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5" yWindow="-15" windowWidth="10200" windowHeight="8400" firstSheet="1" activeTab="1"/>
  </bookViews>
  <sheets>
    <sheet name="Resumo" sheetId="7" state="hidden" r:id="rId1"/>
    <sheet name="Entrada" sheetId="4" r:id="rId2"/>
    <sheet name="Saida" sheetId="1" r:id="rId3"/>
    <sheet name="Prevs" sheetId="2" r:id="rId4"/>
    <sheet name="Prevs_MLT" sheetId="24" r:id="rId5"/>
    <sheet name="MemSudeste" sheetId="8" r:id="rId6"/>
    <sheet name="MemSul" sheetId="9" r:id="rId7"/>
    <sheet name="MemNordeste" sheetId="10" r:id="rId8"/>
    <sheet name="MemNorte" sheetId="11" r:id="rId9"/>
    <sheet name="Plan1" sheetId="15" state="hidden" r:id="rId10"/>
    <sheet name="ENA_ACOPLAMENTO" sheetId="5" state="hidden" r:id="rId11"/>
    <sheet name="Plan2" sheetId="17" state="hidden" r:id="rId12"/>
    <sheet name="Auxiliar" sheetId="14" r:id="rId13"/>
    <sheet name="aux" sheetId="13" state="hidden" r:id="rId14"/>
    <sheet name="Plan6" sheetId="6" state="hidden" r:id="rId15"/>
    <sheet name="Usinas" sheetId="19" r:id="rId16"/>
    <sheet name="Postos" sheetId="18" r:id="rId17"/>
    <sheet name="Bacias" sheetId="20" r:id="rId18"/>
    <sheet name="Ajustes" sheetId="22" r:id="rId19"/>
    <sheet name="Fatores" sheetId="23" r:id="rId20"/>
  </sheets>
  <functionGroups builtInGroupCount="17"/>
  <definedNames>
    <definedName name="_xlnm._FilterDatabase" localSheetId="18" hidden="1">Ajustes!$A$2:$AP$157</definedName>
    <definedName name="_xlnm._FilterDatabase" localSheetId="16" hidden="1">Postos!$A$1:$H$196</definedName>
    <definedName name="_inicioPrevsBase" localSheetId="4">Prevs_MLT!$B$7</definedName>
    <definedName name="_inicioPrevsBase">Prevs!$B$7</definedName>
    <definedName name="_REV">Entrada!$G$4</definedName>
    <definedName name="solver_adj" localSheetId="19" hidden="1">Fatores!$H$2</definedName>
    <definedName name="solver_cvg" localSheetId="19" hidden="1">0.0001</definedName>
    <definedName name="solver_drv" localSheetId="19" hidden="1">1</definedName>
    <definedName name="solver_eng" localSheetId="1" hidden="1">1</definedName>
    <definedName name="solver_eng" localSheetId="19" hidden="1">1</definedName>
    <definedName name="solver_est" localSheetId="19" hidden="1">1</definedName>
    <definedName name="solver_itr" localSheetId="19" hidden="1">50</definedName>
    <definedName name="solver_lhs1" localSheetId="19" hidden="1">Fatores!$H$2</definedName>
    <definedName name="solver_lhs2" localSheetId="19" hidden="1">Fatores!$H$3</definedName>
    <definedName name="solver_lhs3" localSheetId="19" hidden="1">Fatores!$H$4</definedName>
    <definedName name="solver_lhs4" localSheetId="19" hidden="1">Fatores!$H$5</definedName>
    <definedName name="solver_lin" localSheetId="19" hidden="1">2</definedName>
    <definedName name="solver_mip" localSheetId="19" hidden="1">2147483647</definedName>
    <definedName name="solver_mni" localSheetId="19" hidden="1">30</definedName>
    <definedName name="solver_mrt" localSheetId="19" hidden="1">0.075</definedName>
    <definedName name="solver_msl" localSheetId="19" hidden="1">2</definedName>
    <definedName name="solver_neg" localSheetId="1" hidden="1">1</definedName>
    <definedName name="solver_neg" localSheetId="19" hidden="1">1</definedName>
    <definedName name="solver_nod" localSheetId="19" hidden="1">2147483647</definedName>
    <definedName name="solver_num" localSheetId="1" hidden="1">0</definedName>
    <definedName name="solver_num" localSheetId="19" hidden="1">4</definedName>
    <definedName name="solver_nwt" localSheetId="19" hidden="1">1</definedName>
    <definedName name="solver_opt" localSheetId="1" hidden="1">Entrada!$B$16</definedName>
    <definedName name="solver_opt" localSheetId="19" hidden="1">Fatores!#REF!</definedName>
    <definedName name="solver_pre" localSheetId="19" hidden="1">0.1</definedName>
    <definedName name="solver_rbv" localSheetId="19" hidden="1">1</definedName>
    <definedName name="solver_rel1" localSheetId="19" hidden="1">3</definedName>
    <definedName name="solver_rel2" localSheetId="19" hidden="1">3</definedName>
    <definedName name="solver_rel3" localSheetId="19" hidden="1">3</definedName>
    <definedName name="solver_rel4" localSheetId="19" hidden="1">3</definedName>
    <definedName name="solver_rhs1" localSheetId="19" hidden="1">0</definedName>
    <definedName name="solver_rhs2" localSheetId="19" hidden="1">0</definedName>
    <definedName name="solver_rhs3" localSheetId="19" hidden="1">0</definedName>
    <definedName name="solver_rhs4" localSheetId="19" hidden="1">0</definedName>
    <definedName name="solver_rlx" localSheetId="19" hidden="1">2</definedName>
    <definedName name="solver_rsd" localSheetId="19" hidden="1">0</definedName>
    <definedName name="solver_scl" localSheetId="19" hidden="1">1</definedName>
    <definedName name="solver_sho" localSheetId="19" hidden="1">1</definedName>
    <definedName name="solver_ssz" localSheetId="19" hidden="1">100</definedName>
    <definedName name="solver_tim" localSheetId="19" hidden="1">60</definedName>
    <definedName name="solver_tol" localSheetId="19" hidden="1">0.01</definedName>
    <definedName name="solver_typ" localSheetId="1" hidden="1">2</definedName>
    <definedName name="solver_typ" localSheetId="19" hidden="1">3</definedName>
    <definedName name="solver_val" localSheetId="1" hidden="1">0</definedName>
    <definedName name="solver_val" localSheetId="19" hidden="1">33959</definedName>
    <definedName name="solver_ver" localSheetId="1" hidden="1">3</definedName>
    <definedName name="solver_ver" localSheetId="19" hidden="1">3</definedName>
  </definedNames>
  <calcPr calcId="145621"/>
</workbook>
</file>

<file path=xl/calcChain.xml><?xml version="1.0" encoding="utf-8"?>
<calcChain xmlns="http://schemas.openxmlformats.org/spreadsheetml/2006/main">
  <c r="D3" i="11" l="1"/>
  <c r="E3" i="11"/>
  <c r="F3" i="11"/>
  <c r="G3" i="11"/>
  <c r="H3" i="11"/>
  <c r="I3" i="11"/>
  <c r="D3" i="10"/>
  <c r="E3" i="10"/>
  <c r="F3" i="10"/>
  <c r="G3" i="10"/>
  <c r="H3" i="10"/>
  <c r="I3" i="10"/>
  <c r="D3" i="9"/>
  <c r="E3" i="9"/>
  <c r="F3" i="9"/>
  <c r="G3" i="9"/>
  <c r="H3" i="9"/>
  <c r="I3" i="9"/>
  <c r="D3" i="8"/>
  <c r="E3" i="8"/>
  <c r="F3" i="8"/>
  <c r="G3" i="8"/>
  <c r="H3" i="8"/>
  <c r="I3" i="8"/>
  <c r="I354" i="2"/>
  <c r="I10" i="9" s="1"/>
  <c r="H354" i="2"/>
  <c r="H10" i="9" s="1"/>
  <c r="G354" i="2"/>
  <c r="G10" i="9" s="1"/>
  <c r="F354" i="2"/>
  <c r="F10" i="9" s="1"/>
  <c r="E354" i="2"/>
  <c r="E10" i="9" s="1"/>
  <c r="D354" i="2"/>
  <c r="D10" i="9" s="1"/>
  <c r="I338" i="2"/>
  <c r="I85" i="8" s="1"/>
  <c r="H338" i="2"/>
  <c r="H85" i="8" s="1"/>
  <c r="G338" i="2"/>
  <c r="G85" i="8" s="1"/>
  <c r="F338" i="2"/>
  <c r="F85" i="8" s="1"/>
  <c r="E338" i="2"/>
  <c r="E85" i="8" s="1"/>
  <c r="D338" i="2"/>
  <c r="D85" i="8" s="1"/>
  <c r="I337" i="2"/>
  <c r="I84" i="8" s="1"/>
  <c r="H337" i="2"/>
  <c r="H84" i="8" s="1"/>
  <c r="G337" i="2"/>
  <c r="G84" i="8" s="1"/>
  <c r="F337" i="2"/>
  <c r="F84" i="8" s="1"/>
  <c r="E337" i="2"/>
  <c r="E84" i="8" s="1"/>
  <c r="D337" i="2"/>
  <c r="D84" i="8" s="1"/>
  <c r="I336" i="2"/>
  <c r="I79" i="8" s="1"/>
  <c r="H336" i="2"/>
  <c r="H79" i="8" s="1"/>
  <c r="G336" i="2"/>
  <c r="G79" i="8" s="1"/>
  <c r="F336" i="2"/>
  <c r="F79" i="8" s="1"/>
  <c r="E336" i="2"/>
  <c r="E79" i="8" s="1"/>
  <c r="D336" i="2"/>
  <c r="D79" i="8" s="1"/>
  <c r="I335" i="2"/>
  <c r="H335" i="2"/>
  <c r="G335" i="2"/>
  <c r="F335" i="2"/>
  <c r="E335" i="2"/>
  <c r="D335" i="2"/>
  <c r="I334" i="2"/>
  <c r="I59" i="8" s="1"/>
  <c r="H334" i="2"/>
  <c r="H59" i="8" s="1"/>
  <c r="G334" i="2"/>
  <c r="G59" i="8" s="1"/>
  <c r="F334" i="2"/>
  <c r="F59" i="8" s="1"/>
  <c r="E334" i="2"/>
  <c r="E59" i="8" s="1"/>
  <c r="D334" i="2"/>
  <c r="D59" i="8" s="1"/>
  <c r="I333" i="2"/>
  <c r="I58" i="8" s="1"/>
  <c r="H333" i="2"/>
  <c r="H58" i="8" s="1"/>
  <c r="G333" i="2"/>
  <c r="G58" i="8" s="1"/>
  <c r="F333" i="2"/>
  <c r="F58" i="8" s="1"/>
  <c r="E333" i="2"/>
  <c r="E58" i="8" s="1"/>
  <c r="D333" i="2"/>
  <c r="D58" i="8" s="1"/>
  <c r="I332" i="2"/>
  <c r="I57" i="8" s="1"/>
  <c r="H332" i="2"/>
  <c r="H57" i="8" s="1"/>
  <c r="G332" i="2"/>
  <c r="G57" i="8" s="1"/>
  <c r="F332" i="2"/>
  <c r="F57" i="8" s="1"/>
  <c r="E332" i="2"/>
  <c r="E57" i="8" s="1"/>
  <c r="D332" i="2"/>
  <c r="D57" i="8" s="1"/>
  <c r="I331" i="2"/>
  <c r="I56" i="8" s="1"/>
  <c r="H331" i="2"/>
  <c r="H56" i="8" s="1"/>
  <c r="G331" i="2"/>
  <c r="G56" i="8" s="1"/>
  <c r="F331" i="2"/>
  <c r="F56" i="8" s="1"/>
  <c r="E331" i="2"/>
  <c r="E56" i="8" s="1"/>
  <c r="D331" i="2"/>
  <c r="D56" i="8" s="1"/>
  <c r="I330" i="2"/>
  <c r="I55" i="8" s="1"/>
  <c r="H330" i="2"/>
  <c r="H55" i="8" s="1"/>
  <c r="G330" i="2"/>
  <c r="G55" i="8" s="1"/>
  <c r="F330" i="2"/>
  <c r="F55" i="8" s="1"/>
  <c r="E330" i="2"/>
  <c r="E55" i="8" s="1"/>
  <c r="D330" i="2"/>
  <c r="D55" i="8" s="1"/>
  <c r="I329" i="2"/>
  <c r="I54" i="8" s="1"/>
  <c r="H329" i="2"/>
  <c r="H54" i="8" s="1"/>
  <c r="G329" i="2"/>
  <c r="G54" i="8" s="1"/>
  <c r="F329" i="2"/>
  <c r="F54" i="8" s="1"/>
  <c r="E329" i="2"/>
  <c r="E54" i="8" s="1"/>
  <c r="D329" i="2"/>
  <c r="D54" i="8" s="1"/>
  <c r="I328" i="2"/>
  <c r="I49" i="8" s="1"/>
  <c r="H328" i="2"/>
  <c r="H49" i="8" s="1"/>
  <c r="G328" i="2"/>
  <c r="G49" i="8" s="1"/>
  <c r="F328" i="2"/>
  <c r="F49" i="8" s="1"/>
  <c r="E328" i="2"/>
  <c r="E49" i="8" s="1"/>
  <c r="D328" i="2"/>
  <c r="D49" i="8" s="1"/>
  <c r="I21" i="11"/>
  <c r="H21" i="11"/>
  <c r="G21" i="11"/>
  <c r="F21" i="11"/>
  <c r="E21" i="11"/>
  <c r="D21" i="11"/>
  <c r="I20" i="11"/>
  <c r="H20" i="11"/>
  <c r="G20" i="11"/>
  <c r="F20" i="11"/>
  <c r="E20" i="11"/>
  <c r="D20" i="11"/>
  <c r="I15" i="11"/>
  <c r="H15" i="11"/>
  <c r="G15" i="11"/>
  <c r="F15" i="11"/>
  <c r="E15" i="11"/>
  <c r="D15" i="11"/>
  <c r="I14" i="11"/>
  <c r="H14" i="11"/>
  <c r="G14" i="11"/>
  <c r="F14" i="11"/>
  <c r="E14" i="11"/>
  <c r="D14" i="11"/>
  <c r="I13" i="11"/>
  <c r="H13" i="11"/>
  <c r="G13" i="11"/>
  <c r="F13" i="11"/>
  <c r="E13" i="11"/>
  <c r="D13" i="11"/>
  <c r="I8" i="11"/>
  <c r="H8" i="11"/>
  <c r="G8" i="11"/>
  <c r="F8" i="11"/>
  <c r="E8" i="11"/>
  <c r="D8" i="11"/>
  <c r="I7" i="11"/>
  <c r="H7" i="11"/>
  <c r="G7" i="11"/>
  <c r="F7" i="11"/>
  <c r="E7" i="11"/>
  <c r="D7" i="11"/>
  <c r="I25" i="10"/>
  <c r="H25" i="10"/>
  <c r="G25" i="10"/>
  <c r="F25" i="10"/>
  <c r="E25" i="10"/>
  <c r="D25" i="10"/>
  <c r="I20" i="10"/>
  <c r="H20" i="10"/>
  <c r="G20" i="10"/>
  <c r="F20" i="10"/>
  <c r="E20" i="10"/>
  <c r="D20" i="10"/>
  <c r="I15" i="10"/>
  <c r="H15" i="10"/>
  <c r="G15" i="10"/>
  <c r="F15" i="10"/>
  <c r="E15" i="10"/>
  <c r="D15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7" i="10"/>
  <c r="H7" i="10"/>
  <c r="G7" i="10"/>
  <c r="F7" i="10"/>
  <c r="E7" i="10"/>
  <c r="D7" i="10"/>
  <c r="I55" i="9"/>
  <c r="H55" i="9"/>
  <c r="G55" i="9"/>
  <c r="F55" i="9"/>
  <c r="E55" i="9"/>
  <c r="D55" i="9"/>
  <c r="I50" i="9"/>
  <c r="H50" i="9"/>
  <c r="G50" i="9"/>
  <c r="F50" i="9"/>
  <c r="E50" i="9"/>
  <c r="D50" i="9"/>
  <c r="I45" i="9"/>
  <c r="H45" i="9"/>
  <c r="G45" i="9"/>
  <c r="F45" i="9"/>
  <c r="E45" i="9"/>
  <c r="D45" i="9"/>
  <c r="I40" i="9"/>
  <c r="H40" i="9"/>
  <c r="G40" i="9"/>
  <c r="F40" i="9"/>
  <c r="E40" i="9"/>
  <c r="D40" i="9"/>
  <c r="I39" i="9"/>
  <c r="H39" i="9"/>
  <c r="G39" i="9"/>
  <c r="F39" i="9"/>
  <c r="E39" i="9"/>
  <c r="D39" i="9"/>
  <c r="I38" i="9"/>
  <c r="H38" i="9"/>
  <c r="G38" i="9"/>
  <c r="F38" i="9"/>
  <c r="E38" i="9"/>
  <c r="D38" i="9"/>
  <c r="I37" i="9"/>
  <c r="H37" i="9"/>
  <c r="G37" i="9"/>
  <c r="F37" i="9"/>
  <c r="E37" i="9"/>
  <c r="D37" i="9"/>
  <c r="I36" i="9"/>
  <c r="H36" i="9"/>
  <c r="G36" i="9"/>
  <c r="F36" i="9"/>
  <c r="E36" i="9"/>
  <c r="D36" i="9"/>
  <c r="I35" i="9"/>
  <c r="H35" i="9"/>
  <c r="G35" i="9"/>
  <c r="F35" i="9"/>
  <c r="E35" i="9"/>
  <c r="D35" i="9"/>
  <c r="I34" i="9"/>
  <c r="H34" i="9"/>
  <c r="G34" i="9"/>
  <c r="F34" i="9"/>
  <c r="E34" i="9"/>
  <c r="D34" i="9"/>
  <c r="I33" i="9"/>
  <c r="H33" i="9"/>
  <c r="G33" i="9"/>
  <c r="F33" i="9"/>
  <c r="E33" i="9"/>
  <c r="D33" i="9"/>
  <c r="I32" i="9"/>
  <c r="H32" i="9"/>
  <c r="G32" i="9"/>
  <c r="F32" i="9"/>
  <c r="E32" i="9"/>
  <c r="D32" i="9"/>
  <c r="I31" i="9"/>
  <c r="H31" i="9"/>
  <c r="G31" i="9"/>
  <c r="F31" i="9"/>
  <c r="E31" i="9"/>
  <c r="D31" i="9"/>
  <c r="I30" i="9"/>
  <c r="H30" i="9"/>
  <c r="G30" i="9"/>
  <c r="F30" i="9"/>
  <c r="E30" i="9"/>
  <c r="D30" i="9"/>
  <c r="I25" i="9"/>
  <c r="H25" i="9"/>
  <c r="G25" i="9"/>
  <c r="F25" i="9"/>
  <c r="E25" i="9"/>
  <c r="D25" i="9"/>
  <c r="I24" i="9"/>
  <c r="H24" i="9"/>
  <c r="G24" i="9"/>
  <c r="F24" i="9"/>
  <c r="E24" i="9"/>
  <c r="D24" i="9"/>
  <c r="I23" i="9"/>
  <c r="H23" i="9"/>
  <c r="G23" i="9"/>
  <c r="F23" i="9"/>
  <c r="E23" i="9"/>
  <c r="D23" i="9"/>
  <c r="I22" i="9"/>
  <c r="H22" i="9"/>
  <c r="G22" i="9"/>
  <c r="F22" i="9"/>
  <c r="E22" i="9"/>
  <c r="D22" i="9"/>
  <c r="I21" i="9"/>
  <c r="H21" i="9"/>
  <c r="G21" i="9"/>
  <c r="F21" i="9"/>
  <c r="E21" i="9"/>
  <c r="D21" i="9"/>
  <c r="I20" i="9"/>
  <c r="H20" i="9"/>
  <c r="G20" i="9"/>
  <c r="F20" i="9"/>
  <c r="E20" i="9"/>
  <c r="D20" i="9"/>
  <c r="I19" i="9"/>
  <c r="H19" i="9"/>
  <c r="G19" i="9"/>
  <c r="F19" i="9"/>
  <c r="E19" i="9"/>
  <c r="D19" i="9"/>
  <c r="I18" i="9"/>
  <c r="H18" i="9"/>
  <c r="G18" i="9"/>
  <c r="F18" i="9"/>
  <c r="E18" i="9"/>
  <c r="D18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I9" i="9"/>
  <c r="H9" i="9"/>
  <c r="G9" i="9"/>
  <c r="F9" i="9"/>
  <c r="E9" i="9"/>
  <c r="D9" i="9"/>
  <c r="I8" i="9"/>
  <c r="H8" i="9"/>
  <c r="G8" i="9"/>
  <c r="F8" i="9"/>
  <c r="E8" i="9"/>
  <c r="D8" i="9"/>
  <c r="I7" i="9"/>
  <c r="H7" i="9"/>
  <c r="G7" i="9"/>
  <c r="F7" i="9"/>
  <c r="E7" i="9"/>
  <c r="D7" i="9"/>
  <c r="I162" i="8"/>
  <c r="H162" i="8"/>
  <c r="G162" i="8"/>
  <c r="F162" i="8"/>
  <c r="E162" i="8"/>
  <c r="D162" i="8"/>
  <c r="I161" i="8"/>
  <c r="H161" i="8"/>
  <c r="G161" i="8"/>
  <c r="F161" i="8"/>
  <c r="E161" i="8"/>
  <c r="D161" i="8"/>
  <c r="I160" i="8"/>
  <c r="H160" i="8"/>
  <c r="G160" i="8"/>
  <c r="F160" i="8"/>
  <c r="E160" i="8"/>
  <c r="D160" i="8"/>
  <c r="I159" i="8"/>
  <c r="H159" i="8"/>
  <c r="G159" i="8"/>
  <c r="F159" i="8"/>
  <c r="E159" i="8"/>
  <c r="D159" i="8"/>
  <c r="I158" i="8"/>
  <c r="H158" i="8"/>
  <c r="G158" i="8"/>
  <c r="F158" i="8"/>
  <c r="E158" i="8"/>
  <c r="D158" i="8"/>
  <c r="I153" i="8"/>
  <c r="H153" i="8"/>
  <c r="G153" i="8"/>
  <c r="F153" i="8"/>
  <c r="E153" i="8"/>
  <c r="D153" i="8"/>
  <c r="I152" i="8"/>
  <c r="H152" i="8"/>
  <c r="G152" i="8"/>
  <c r="F152" i="8"/>
  <c r="E152" i="8"/>
  <c r="D152" i="8"/>
  <c r="I151" i="8"/>
  <c r="H151" i="8"/>
  <c r="G151" i="8"/>
  <c r="F151" i="8"/>
  <c r="E151" i="8"/>
  <c r="D151" i="8"/>
  <c r="I146" i="8"/>
  <c r="H146" i="8"/>
  <c r="G146" i="8"/>
  <c r="F146" i="8"/>
  <c r="E146" i="8"/>
  <c r="D146" i="8"/>
  <c r="I145" i="8"/>
  <c r="H145" i="8"/>
  <c r="G145" i="8"/>
  <c r="F145" i="8"/>
  <c r="E145" i="8"/>
  <c r="D145" i="8"/>
  <c r="I144" i="8"/>
  <c r="H144" i="8"/>
  <c r="G144" i="8"/>
  <c r="F144" i="8"/>
  <c r="E144" i="8"/>
  <c r="D144" i="8"/>
  <c r="I143" i="8"/>
  <c r="H143" i="8"/>
  <c r="G143" i="8"/>
  <c r="F143" i="8"/>
  <c r="E143" i="8"/>
  <c r="D143" i="8"/>
  <c r="I142" i="8"/>
  <c r="H142" i="8"/>
  <c r="G142" i="8"/>
  <c r="F142" i="8"/>
  <c r="E142" i="8"/>
  <c r="D142" i="8"/>
  <c r="I141" i="8"/>
  <c r="H141" i="8"/>
  <c r="G141" i="8"/>
  <c r="F141" i="8"/>
  <c r="E141" i="8"/>
  <c r="D141" i="8"/>
  <c r="I136" i="8"/>
  <c r="H136" i="8"/>
  <c r="G136" i="8"/>
  <c r="F136" i="8"/>
  <c r="E136" i="8"/>
  <c r="D136" i="8"/>
  <c r="I131" i="8"/>
  <c r="H131" i="8"/>
  <c r="G131" i="8"/>
  <c r="F131" i="8"/>
  <c r="E131" i="8"/>
  <c r="D131" i="8"/>
  <c r="I130" i="8"/>
  <c r="H130" i="8"/>
  <c r="G130" i="8"/>
  <c r="F130" i="8"/>
  <c r="E130" i="8"/>
  <c r="D130" i="8"/>
  <c r="I129" i="8"/>
  <c r="H129" i="8"/>
  <c r="G129" i="8"/>
  <c r="F129" i="8"/>
  <c r="E129" i="8"/>
  <c r="D129" i="8"/>
  <c r="I128" i="8"/>
  <c r="H128" i="8"/>
  <c r="G128" i="8"/>
  <c r="F128" i="8"/>
  <c r="E128" i="8"/>
  <c r="D128" i="8"/>
  <c r="I127" i="8"/>
  <c r="H127" i="8"/>
  <c r="G127" i="8"/>
  <c r="F127" i="8"/>
  <c r="E127" i="8"/>
  <c r="D127" i="8"/>
  <c r="I122" i="8"/>
  <c r="H122" i="8"/>
  <c r="G122" i="8"/>
  <c r="F122" i="8"/>
  <c r="E122" i="8"/>
  <c r="D122" i="8"/>
  <c r="I121" i="8"/>
  <c r="H121" i="8"/>
  <c r="G121" i="8"/>
  <c r="F121" i="8"/>
  <c r="E121" i="8"/>
  <c r="D121" i="8"/>
  <c r="I120" i="8"/>
  <c r="H120" i="8"/>
  <c r="G120" i="8"/>
  <c r="F120" i="8"/>
  <c r="E120" i="8"/>
  <c r="D120" i="8"/>
  <c r="I119" i="8"/>
  <c r="H119" i="8"/>
  <c r="G119" i="8"/>
  <c r="F119" i="8"/>
  <c r="E119" i="8"/>
  <c r="D119" i="8"/>
  <c r="I118" i="8"/>
  <c r="H118" i="8"/>
  <c r="G118" i="8"/>
  <c r="F118" i="8"/>
  <c r="E118" i="8"/>
  <c r="D118" i="8"/>
  <c r="I117" i="8"/>
  <c r="H117" i="8"/>
  <c r="G117" i="8"/>
  <c r="F117" i="8"/>
  <c r="E117" i="8"/>
  <c r="D117" i="8"/>
  <c r="I116" i="8"/>
  <c r="H116" i="8"/>
  <c r="G116" i="8"/>
  <c r="F116" i="8"/>
  <c r="E116" i="8"/>
  <c r="D116" i="8"/>
  <c r="I115" i="8"/>
  <c r="H115" i="8"/>
  <c r="G115" i="8"/>
  <c r="F115" i="8"/>
  <c r="E115" i="8"/>
  <c r="D115" i="8"/>
  <c r="I110" i="8"/>
  <c r="H110" i="8"/>
  <c r="G110" i="8"/>
  <c r="F110" i="8"/>
  <c r="E110" i="8"/>
  <c r="D110" i="8"/>
  <c r="I105" i="8"/>
  <c r="H105" i="8"/>
  <c r="G105" i="8"/>
  <c r="F105" i="8"/>
  <c r="E105" i="8"/>
  <c r="D105" i="8"/>
  <c r="I95" i="8"/>
  <c r="H95" i="8"/>
  <c r="G95" i="8"/>
  <c r="F95" i="8"/>
  <c r="E95" i="8"/>
  <c r="D95" i="8"/>
  <c r="I94" i="8"/>
  <c r="H94" i="8"/>
  <c r="G94" i="8"/>
  <c r="F94" i="8"/>
  <c r="E94" i="8"/>
  <c r="D94" i="8"/>
  <c r="I93" i="8"/>
  <c r="H93" i="8"/>
  <c r="G93" i="8"/>
  <c r="F93" i="8"/>
  <c r="E93" i="8"/>
  <c r="D93" i="8"/>
  <c r="I92" i="8"/>
  <c r="H92" i="8"/>
  <c r="G92" i="8"/>
  <c r="F92" i="8"/>
  <c r="E92" i="8"/>
  <c r="D92" i="8"/>
  <c r="I91" i="8"/>
  <c r="H91" i="8"/>
  <c r="G91" i="8"/>
  <c r="F91" i="8"/>
  <c r="E91" i="8"/>
  <c r="D91" i="8"/>
  <c r="I90" i="8"/>
  <c r="H90" i="8"/>
  <c r="G90" i="8"/>
  <c r="F90" i="8"/>
  <c r="E90" i="8"/>
  <c r="D90" i="8"/>
  <c r="I78" i="8"/>
  <c r="H78" i="8"/>
  <c r="G78" i="8"/>
  <c r="F78" i="8"/>
  <c r="E78" i="8"/>
  <c r="D78" i="8"/>
  <c r="I73" i="8"/>
  <c r="H73" i="8"/>
  <c r="G73" i="8"/>
  <c r="F73" i="8"/>
  <c r="E73" i="8"/>
  <c r="D73" i="8"/>
  <c r="I72" i="8"/>
  <c r="H72" i="8"/>
  <c r="G72" i="8"/>
  <c r="F72" i="8"/>
  <c r="E72" i="8"/>
  <c r="D72" i="8"/>
  <c r="I71" i="8"/>
  <c r="H71" i="8"/>
  <c r="G71" i="8"/>
  <c r="F71" i="8"/>
  <c r="E71" i="8"/>
  <c r="D71" i="8"/>
  <c r="I70" i="8"/>
  <c r="H70" i="8"/>
  <c r="G70" i="8"/>
  <c r="F70" i="8"/>
  <c r="E70" i="8"/>
  <c r="D70" i="8"/>
  <c r="I69" i="8"/>
  <c r="H69" i="8"/>
  <c r="G69" i="8"/>
  <c r="F69" i="8"/>
  <c r="E69" i="8"/>
  <c r="D69" i="8"/>
  <c r="I68" i="8"/>
  <c r="H68" i="8"/>
  <c r="G68" i="8"/>
  <c r="F68" i="8"/>
  <c r="E68" i="8"/>
  <c r="D68" i="8"/>
  <c r="I67" i="8"/>
  <c r="H67" i="8"/>
  <c r="G67" i="8"/>
  <c r="F67" i="8"/>
  <c r="E67" i="8"/>
  <c r="D67" i="8"/>
  <c r="I66" i="8"/>
  <c r="H66" i="8"/>
  <c r="G66" i="8"/>
  <c r="F66" i="8"/>
  <c r="E66" i="8"/>
  <c r="D66" i="8"/>
  <c r="I65" i="8"/>
  <c r="H65" i="8"/>
  <c r="G65" i="8"/>
  <c r="F65" i="8"/>
  <c r="E65" i="8"/>
  <c r="D65" i="8"/>
  <c r="I64" i="8"/>
  <c r="H64" i="8"/>
  <c r="G64" i="8"/>
  <c r="F64" i="8"/>
  <c r="E64" i="8"/>
  <c r="D64" i="8"/>
  <c r="I44" i="8"/>
  <c r="H44" i="8"/>
  <c r="G44" i="8"/>
  <c r="F44" i="8"/>
  <c r="E44" i="8"/>
  <c r="D44" i="8"/>
  <c r="I43" i="8"/>
  <c r="H43" i="8"/>
  <c r="G43" i="8"/>
  <c r="F43" i="8"/>
  <c r="E43" i="8"/>
  <c r="D43" i="8"/>
  <c r="I42" i="8"/>
  <c r="H42" i="8"/>
  <c r="G42" i="8"/>
  <c r="F42" i="8"/>
  <c r="E42" i="8"/>
  <c r="D42" i="8"/>
  <c r="I41" i="8"/>
  <c r="H41" i="8"/>
  <c r="G41" i="8"/>
  <c r="F41" i="8"/>
  <c r="E41" i="8"/>
  <c r="D41" i="8"/>
  <c r="I40" i="8"/>
  <c r="H40" i="8"/>
  <c r="G40" i="8"/>
  <c r="F40" i="8"/>
  <c r="E40" i="8"/>
  <c r="D40" i="8"/>
  <c r="I39" i="8"/>
  <c r="H39" i="8"/>
  <c r="G39" i="8"/>
  <c r="F39" i="8"/>
  <c r="E39" i="8"/>
  <c r="D39" i="8"/>
  <c r="I38" i="8"/>
  <c r="H38" i="8"/>
  <c r="G38" i="8"/>
  <c r="F38" i="8"/>
  <c r="E38" i="8"/>
  <c r="D38" i="8"/>
  <c r="I37" i="8"/>
  <c r="H37" i="8"/>
  <c r="G37" i="8"/>
  <c r="F37" i="8"/>
  <c r="E37" i="8"/>
  <c r="D37" i="8"/>
  <c r="I36" i="8"/>
  <c r="H36" i="8"/>
  <c r="G36" i="8"/>
  <c r="F36" i="8"/>
  <c r="E36" i="8"/>
  <c r="D36" i="8"/>
  <c r="I35" i="8"/>
  <c r="H35" i="8"/>
  <c r="G35" i="8"/>
  <c r="F35" i="8"/>
  <c r="E35" i="8"/>
  <c r="D35" i="8"/>
  <c r="I34" i="8"/>
  <c r="H34" i="8"/>
  <c r="G34" i="8"/>
  <c r="F34" i="8"/>
  <c r="E34" i="8"/>
  <c r="D34" i="8"/>
  <c r="I33" i="8"/>
  <c r="H33" i="8"/>
  <c r="G33" i="8"/>
  <c r="F33" i="8"/>
  <c r="E33" i="8"/>
  <c r="D33" i="8"/>
  <c r="I32" i="8"/>
  <c r="H32" i="8"/>
  <c r="G32" i="8"/>
  <c r="F32" i="8"/>
  <c r="E32" i="8"/>
  <c r="D32" i="8"/>
  <c r="I31" i="8"/>
  <c r="H31" i="8"/>
  <c r="G31" i="8"/>
  <c r="F31" i="8"/>
  <c r="E31" i="8"/>
  <c r="D31" i="8"/>
  <c r="I30" i="8"/>
  <c r="H30" i="8"/>
  <c r="G30" i="8"/>
  <c r="F30" i="8"/>
  <c r="E30" i="8"/>
  <c r="D30" i="8"/>
  <c r="I29" i="8"/>
  <c r="H29" i="8"/>
  <c r="G29" i="8"/>
  <c r="F29" i="8"/>
  <c r="E29" i="8"/>
  <c r="D29" i="8"/>
  <c r="I28" i="8"/>
  <c r="H28" i="8"/>
  <c r="G28" i="8"/>
  <c r="F28" i="8"/>
  <c r="E28" i="8"/>
  <c r="D28" i="8"/>
  <c r="I27" i="8"/>
  <c r="H27" i="8"/>
  <c r="G27" i="8"/>
  <c r="F27" i="8"/>
  <c r="E27" i="8"/>
  <c r="D27" i="8"/>
  <c r="I26" i="8"/>
  <c r="H26" i="8"/>
  <c r="G26" i="8"/>
  <c r="F26" i="8"/>
  <c r="E26" i="8"/>
  <c r="D26" i="8"/>
  <c r="I21" i="8"/>
  <c r="H21" i="8"/>
  <c r="G21" i="8"/>
  <c r="F21" i="8"/>
  <c r="E21" i="8"/>
  <c r="D21" i="8"/>
  <c r="I20" i="8"/>
  <c r="H20" i="8"/>
  <c r="G20" i="8"/>
  <c r="F20" i="8"/>
  <c r="E20" i="8"/>
  <c r="D20" i="8"/>
  <c r="I19" i="8"/>
  <c r="H19" i="8"/>
  <c r="G19" i="8"/>
  <c r="F19" i="8"/>
  <c r="E19" i="8"/>
  <c r="D19" i="8"/>
  <c r="I18" i="8"/>
  <c r="H18" i="8"/>
  <c r="G18" i="8"/>
  <c r="F18" i="8"/>
  <c r="E18" i="8"/>
  <c r="D18" i="8"/>
  <c r="I17" i="8"/>
  <c r="H17" i="8"/>
  <c r="G17" i="8"/>
  <c r="F17" i="8"/>
  <c r="E17" i="8"/>
  <c r="D17" i="8"/>
  <c r="I16" i="8"/>
  <c r="H16" i="8"/>
  <c r="G16" i="8"/>
  <c r="F16" i="8"/>
  <c r="E16" i="8"/>
  <c r="D16" i="8"/>
  <c r="I15" i="8"/>
  <c r="H15" i="8"/>
  <c r="G15" i="8"/>
  <c r="F15" i="8"/>
  <c r="E15" i="8"/>
  <c r="D15" i="8"/>
  <c r="I14" i="8"/>
  <c r="H14" i="8"/>
  <c r="G14" i="8"/>
  <c r="F14" i="8"/>
  <c r="E14" i="8"/>
  <c r="D14" i="8"/>
  <c r="I13" i="8"/>
  <c r="H13" i="8"/>
  <c r="G13" i="8"/>
  <c r="F13" i="8"/>
  <c r="E13" i="8"/>
  <c r="D13" i="8"/>
  <c r="I12" i="8"/>
  <c r="H12" i="8"/>
  <c r="G12" i="8"/>
  <c r="F12" i="8"/>
  <c r="E12" i="8"/>
  <c r="D12" i="8"/>
  <c r="I11" i="8"/>
  <c r="H11" i="8"/>
  <c r="G11" i="8"/>
  <c r="F11" i="8"/>
  <c r="E11" i="8"/>
  <c r="D11" i="8"/>
  <c r="I10" i="8"/>
  <c r="H10" i="8"/>
  <c r="G10" i="8"/>
  <c r="F10" i="8"/>
  <c r="E10" i="8"/>
  <c r="D10" i="8"/>
  <c r="I9" i="8"/>
  <c r="H9" i="8"/>
  <c r="G9" i="8"/>
  <c r="F9" i="8"/>
  <c r="E9" i="8"/>
  <c r="D9" i="8"/>
  <c r="I8" i="8"/>
  <c r="H8" i="8"/>
  <c r="G8" i="8"/>
  <c r="F8" i="8"/>
  <c r="E8" i="8"/>
  <c r="D8" i="8"/>
  <c r="I7" i="8"/>
  <c r="H7" i="8"/>
  <c r="G7" i="8"/>
  <c r="F7" i="8"/>
  <c r="E7" i="8"/>
  <c r="D7" i="8"/>
  <c r="AE1" i="22" l="1"/>
  <c r="AJ1" i="22"/>
  <c r="AI1" i="22"/>
  <c r="AH1" i="22"/>
  <c r="AG1" i="22"/>
  <c r="AF1" i="22"/>
  <c r="AC5" i="1" l="1"/>
  <c r="AD5" i="1"/>
  <c r="AE5" i="1"/>
  <c r="AF5" i="1"/>
  <c r="AG5" i="1"/>
  <c r="AH5" i="1"/>
  <c r="T5" i="1"/>
  <c r="U5" i="1"/>
  <c r="V5" i="1"/>
  <c r="W5" i="1"/>
  <c r="X5" i="1"/>
  <c r="Y5" i="1"/>
  <c r="K5" i="1"/>
  <c r="L5" i="1"/>
  <c r="M5" i="1"/>
  <c r="N5" i="1"/>
  <c r="O5" i="1"/>
  <c r="P5" i="1"/>
  <c r="BR1" i="22" l="1"/>
  <c r="BQ1" i="22"/>
  <c r="BP1" i="22"/>
  <c r="BO1" i="22"/>
  <c r="BN1" i="22"/>
  <c r="BM1" i="22"/>
  <c r="BD1" i="22"/>
  <c r="BC1" i="22"/>
  <c r="BB1" i="22"/>
  <c r="BA1" i="22"/>
  <c r="AZ1" i="22"/>
  <c r="AY1" i="22"/>
  <c r="BE4" i="22"/>
  <c r="BF4" i="22"/>
  <c r="BE5" i="22"/>
  <c r="BF5" i="22"/>
  <c r="BE6" i="22"/>
  <c r="BF6" i="22"/>
  <c r="BE7" i="22"/>
  <c r="BF7" i="22"/>
  <c r="BE8" i="22"/>
  <c r="BF8" i="22"/>
  <c r="BE9" i="22"/>
  <c r="BF9" i="22"/>
  <c r="BE10" i="22"/>
  <c r="BF10" i="22"/>
  <c r="BE11" i="22"/>
  <c r="BF11" i="22"/>
  <c r="BE12" i="22"/>
  <c r="BF12" i="22"/>
  <c r="BE13" i="22"/>
  <c r="BF13" i="22"/>
  <c r="BE14" i="22"/>
  <c r="BF14" i="22"/>
  <c r="BE15" i="22"/>
  <c r="BF15" i="22"/>
  <c r="BE16" i="22"/>
  <c r="BF16" i="22"/>
  <c r="BE17" i="22"/>
  <c r="BF17" i="22"/>
  <c r="BE18" i="22"/>
  <c r="BF18" i="22"/>
  <c r="BE19" i="22"/>
  <c r="BF19" i="22"/>
  <c r="BE20" i="22"/>
  <c r="BF20" i="22"/>
  <c r="BE21" i="22"/>
  <c r="BF21" i="22"/>
  <c r="BE22" i="22"/>
  <c r="BF22" i="22"/>
  <c r="BE23" i="22"/>
  <c r="BF23" i="22"/>
  <c r="BE24" i="22"/>
  <c r="BF24" i="22"/>
  <c r="BE25" i="22"/>
  <c r="BF25" i="22"/>
  <c r="BE26" i="22"/>
  <c r="BF26" i="22"/>
  <c r="BE27" i="22"/>
  <c r="BF27" i="22"/>
  <c r="BE28" i="22"/>
  <c r="BF28" i="22"/>
  <c r="BE29" i="22"/>
  <c r="BF29" i="22"/>
  <c r="BE30" i="22"/>
  <c r="BF30" i="22"/>
  <c r="BE31" i="22"/>
  <c r="BF31" i="22"/>
  <c r="BE32" i="22"/>
  <c r="BF32" i="22"/>
  <c r="BE33" i="22"/>
  <c r="BF33" i="22"/>
  <c r="BE34" i="22"/>
  <c r="BF34" i="22"/>
  <c r="BE35" i="22"/>
  <c r="BF35" i="22"/>
  <c r="BE36" i="22"/>
  <c r="BF36" i="22"/>
  <c r="BE37" i="22"/>
  <c r="BF37" i="22"/>
  <c r="BE38" i="22"/>
  <c r="BF38" i="22"/>
  <c r="BE39" i="22"/>
  <c r="BF39" i="22"/>
  <c r="BE40" i="22"/>
  <c r="BF40" i="22"/>
  <c r="BE41" i="22"/>
  <c r="BF41" i="22"/>
  <c r="BE42" i="22"/>
  <c r="BF42" i="22"/>
  <c r="BE43" i="22"/>
  <c r="BF43" i="22"/>
  <c r="BE44" i="22"/>
  <c r="BF44" i="22"/>
  <c r="BE45" i="22"/>
  <c r="BF45" i="22"/>
  <c r="BE46" i="22"/>
  <c r="BF46" i="22"/>
  <c r="BE47" i="22"/>
  <c r="BF47" i="22"/>
  <c r="BE48" i="22"/>
  <c r="BF48" i="22"/>
  <c r="BE49" i="22"/>
  <c r="BF49" i="22"/>
  <c r="BE50" i="22"/>
  <c r="BF50" i="22"/>
  <c r="BE51" i="22"/>
  <c r="BF51" i="22"/>
  <c r="BE52" i="22"/>
  <c r="BF52" i="22"/>
  <c r="BE53" i="22"/>
  <c r="BF53" i="22"/>
  <c r="BE54" i="22"/>
  <c r="BF54" i="22"/>
  <c r="BE55" i="22"/>
  <c r="BF55" i="22"/>
  <c r="BE56" i="22"/>
  <c r="BF56" i="22"/>
  <c r="BE57" i="22"/>
  <c r="BF57" i="22"/>
  <c r="BE58" i="22"/>
  <c r="BF58" i="22"/>
  <c r="BE59" i="22"/>
  <c r="BF59" i="22"/>
  <c r="BE60" i="22"/>
  <c r="BF60" i="22"/>
  <c r="BE61" i="22"/>
  <c r="BF61" i="22"/>
  <c r="BE62" i="22"/>
  <c r="BF62" i="22"/>
  <c r="BE63" i="22"/>
  <c r="BF63" i="22"/>
  <c r="BE64" i="22"/>
  <c r="BF64" i="22"/>
  <c r="BE65" i="22"/>
  <c r="BF65" i="22"/>
  <c r="BE66" i="22"/>
  <c r="BF66" i="22"/>
  <c r="BE67" i="22"/>
  <c r="BF67" i="22"/>
  <c r="BE68" i="22"/>
  <c r="BF68" i="22"/>
  <c r="BE69" i="22"/>
  <c r="BF69" i="22"/>
  <c r="BE70" i="22"/>
  <c r="BF70" i="22"/>
  <c r="BE71" i="22"/>
  <c r="BF71" i="22"/>
  <c r="BE72" i="22"/>
  <c r="BF72" i="22"/>
  <c r="BE73" i="22"/>
  <c r="BF73" i="22"/>
  <c r="BE74" i="22"/>
  <c r="BF74" i="22"/>
  <c r="BE75" i="22"/>
  <c r="BF75" i="22"/>
  <c r="BE76" i="22"/>
  <c r="BF76" i="22"/>
  <c r="BE77" i="22"/>
  <c r="BF77" i="22"/>
  <c r="BE78" i="22"/>
  <c r="BF78" i="22"/>
  <c r="BE79" i="22"/>
  <c r="BF79" i="22"/>
  <c r="BE80" i="22"/>
  <c r="BF80" i="22"/>
  <c r="BE81" i="22"/>
  <c r="BF81" i="22"/>
  <c r="BE82" i="22"/>
  <c r="BF82" i="22"/>
  <c r="BE83" i="22"/>
  <c r="BF83" i="22"/>
  <c r="BE84" i="22"/>
  <c r="BF84" i="22"/>
  <c r="BE85" i="22"/>
  <c r="BF85" i="22"/>
  <c r="BE86" i="22"/>
  <c r="BF86" i="22"/>
  <c r="BE87" i="22"/>
  <c r="BF87" i="22"/>
  <c r="BE88" i="22"/>
  <c r="BF88" i="22"/>
  <c r="BE89" i="22"/>
  <c r="BF89" i="22"/>
  <c r="BE90" i="22"/>
  <c r="BF90" i="22"/>
  <c r="BE91" i="22"/>
  <c r="BF91" i="22"/>
  <c r="BE92" i="22"/>
  <c r="BF92" i="22"/>
  <c r="BE93" i="22"/>
  <c r="BF93" i="22"/>
  <c r="BE94" i="22"/>
  <c r="BF94" i="22"/>
  <c r="BE95" i="22"/>
  <c r="BF95" i="22"/>
  <c r="BE96" i="22"/>
  <c r="BF96" i="22"/>
  <c r="BE97" i="22"/>
  <c r="BF97" i="22"/>
  <c r="BE98" i="22"/>
  <c r="BF98" i="22"/>
  <c r="BE99" i="22"/>
  <c r="BF99" i="22"/>
  <c r="BE100" i="22"/>
  <c r="BF100" i="22"/>
  <c r="BE101" i="22"/>
  <c r="BF101" i="22"/>
  <c r="BE102" i="22"/>
  <c r="BF102" i="22"/>
  <c r="BE103" i="22"/>
  <c r="BF103" i="22"/>
  <c r="BE104" i="22"/>
  <c r="BF104" i="22"/>
  <c r="BE105" i="22"/>
  <c r="BF105" i="22"/>
  <c r="BE106" i="22"/>
  <c r="BF106" i="22"/>
  <c r="BE107" i="22"/>
  <c r="BF107" i="22"/>
  <c r="BE108" i="22"/>
  <c r="BF108" i="22"/>
  <c r="BE109" i="22"/>
  <c r="BF109" i="22"/>
  <c r="BE110" i="22"/>
  <c r="BF110" i="22"/>
  <c r="BE111" i="22"/>
  <c r="BF111" i="22"/>
  <c r="BE112" i="22"/>
  <c r="BF112" i="22"/>
  <c r="BE113" i="22"/>
  <c r="BF113" i="22"/>
  <c r="BE114" i="22"/>
  <c r="BF114" i="22"/>
  <c r="BE115" i="22"/>
  <c r="BF115" i="22"/>
  <c r="BE116" i="22"/>
  <c r="BF116" i="22"/>
  <c r="BE117" i="22"/>
  <c r="BF117" i="22"/>
  <c r="BE118" i="22"/>
  <c r="BF118" i="22"/>
  <c r="BE119" i="22"/>
  <c r="BF119" i="22"/>
  <c r="BE120" i="22"/>
  <c r="BF120" i="22"/>
  <c r="BE121" i="22"/>
  <c r="BF121" i="22"/>
  <c r="BE122" i="22"/>
  <c r="BF122" i="22"/>
  <c r="BE123" i="22"/>
  <c r="BF123" i="22"/>
  <c r="BE124" i="22"/>
  <c r="BF124" i="22"/>
  <c r="BE125" i="22"/>
  <c r="BF125" i="22"/>
  <c r="BE126" i="22"/>
  <c r="BF126" i="22"/>
  <c r="BE127" i="22"/>
  <c r="BF127" i="22"/>
  <c r="BE128" i="22"/>
  <c r="BF128" i="22"/>
  <c r="BE129" i="22"/>
  <c r="BF129" i="22"/>
  <c r="BE130" i="22"/>
  <c r="BF130" i="22"/>
  <c r="BE131" i="22"/>
  <c r="BF131" i="22"/>
  <c r="BE132" i="22"/>
  <c r="BF132" i="22"/>
  <c r="BE133" i="22"/>
  <c r="BF133" i="22"/>
  <c r="BE134" i="22"/>
  <c r="BF134" i="22"/>
  <c r="BE135" i="22"/>
  <c r="BF135" i="22"/>
  <c r="BE136" i="22"/>
  <c r="BF136" i="22"/>
  <c r="BE137" i="22"/>
  <c r="BF137" i="22"/>
  <c r="BE138" i="22"/>
  <c r="BF138" i="22"/>
  <c r="BE139" i="22"/>
  <c r="BF139" i="22"/>
  <c r="BE140" i="22"/>
  <c r="BF140" i="22"/>
  <c r="BE141" i="22"/>
  <c r="BF141" i="22"/>
  <c r="BE142" i="22"/>
  <c r="BF142" i="22"/>
  <c r="BE143" i="22"/>
  <c r="BF143" i="22"/>
  <c r="BE144" i="22"/>
  <c r="BF144" i="22"/>
  <c r="BE145" i="22"/>
  <c r="BF145" i="22"/>
  <c r="BE146" i="22"/>
  <c r="BF146" i="22"/>
  <c r="BE147" i="22"/>
  <c r="BF147" i="22"/>
  <c r="BE148" i="22"/>
  <c r="BF148" i="22"/>
  <c r="BE149" i="22"/>
  <c r="BF149" i="22"/>
  <c r="BE150" i="22"/>
  <c r="BF150" i="22"/>
  <c r="BE151" i="22"/>
  <c r="BF151" i="22"/>
  <c r="BE152" i="22"/>
  <c r="BF152" i="22"/>
  <c r="BE153" i="22"/>
  <c r="BF153" i="22"/>
  <c r="BE154" i="22"/>
  <c r="BF154" i="22"/>
  <c r="BE155" i="22"/>
  <c r="BF155" i="22"/>
  <c r="BE156" i="22"/>
  <c r="BF156" i="22"/>
  <c r="BE157" i="22"/>
  <c r="BF157" i="22"/>
  <c r="BF3" i="22"/>
  <c r="BE3" i="22"/>
  <c r="AR4" i="22"/>
  <c r="AR5" i="22"/>
  <c r="AR6" i="22"/>
  <c r="AR7" i="22"/>
  <c r="AR8" i="22"/>
  <c r="AR9" i="22"/>
  <c r="AR10" i="22"/>
  <c r="AR11" i="22"/>
  <c r="AR12" i="22"/>
  <c r="AR13" i="22"/>
  <c r="AR14" i="22"/>
  <c r="AR15" i="22"/>
  <c r="AR16" i="22"/>
  <c r="AR17" i="22"/>
  <c r="AR18" i="22"/>
  <c r="AR19" i="22"/>
  <c r="AR20" i="22"/>
  <c r="AR21" i="22"/>
  <c r="AR22" i="22"/>
  <c r="AR23" i="22"/>
  <c r="AR24" i="22"/>
  <c r="AR25" i="22"/>
  <c r="AR26" i="22"/>
  <c r="AR27" i="22"/>
  <c r="AR28" i="22"/>
  <c r="AR29" i="22"/>
  <c r="AR30" i="22"/>
  <c r="AR31" i="22"/>
  <c r="AR32" i="22"/>
  <c r="AR33" i="22"/>
  <c r="AR34" i="22"/>
  <c r="AR35" i="22"/>
  <c r="AR36" i="22"/>
  <c r="AR37" i="22"/>
  <c r="AR38" i="22"/>
  <c r="AR39" i="22"/>
  <c r="AR40" i="22"/>
  <c r="AR41" i="22"/>
  <c r="AR42" i="22"/>
  <c r="AR43" i="22"/>
  <c r="AR44" i="22"/>
  <c r="AR45" i="22"/>
  <c r="AR46" i="22"/>
  <c r="AR47" i="22"/>
  <c r="AR48" i="22"/>
  <c r="AR49" i="22"/>
  <c r="AR50" i="22"/>
  <c r="AR51" i="22"/>
  <c r="AR52" i="22"/>
  <c r="AR53" i="22"/>
  <c r="AR54" i="22"/>
  <c r="AR55" i="22"/>
  <c r="AR56" i="22"/>
  <c r="AR57" i="22"/>
  <c r="AR58" i="22"/>
  <c r="AR59" i="22"/>
  <c r="AR60" i="22"/>
  <c r="AR61" i="22"/>
  <c r="AR62" i="22"/>
  <c r="AR63" i="22"/>
  <c r="AR64" i="22"/>
  <c r="AR65" i="22"/>
  <c r="AR66" i="22"/>
  <c r="AR67" i="22"/>
  <c r="AR68" i="22"/>
  <c r="AR69" i="22"/>
  <c r="AR70" i="22"/>
  <c r="AR71" i="22"/>
  <c r="AR72" i="22"/>
  <c r="AR73" i="22"/>
  <c r="AR74" i="22"/>
  <c r="AR75" i="22"/>
  <c r="AR76" i="22"/>
  <c r="AR77" i="22"/>
  <c r="AR78" i="22"/>
  <c r="AR79" i="22"/>
  <c r="AR80" i="22"/>
  <c r="AR81" i="22"/>
  <c r="AR82" i="22"/>
  <c r="AR83" i="22"/>
  <c r="AR84" i="22"/>
  <c r="AR85" i="22"/>
  <c r="AR86" i="22"/>
  <c r="AR87" i="22"/>
  <c r="AR88" i="22"/>
  <c r="AR89" i="22"/>
  <c r="AR90" i="22"/>
  <c r="AR91" i="22"/>
  <c r="AR92" i="22"/>
  <c r="AR93" i="22"/>
  <c r="AR94" i="22"/>
  <c r="AR95" i="22"/>
  <c r="AR96" i="22"/>
  <c r="AR97" i="22"/>
  <c r="AR98" i="22"/>
  <c r="AR99" i="22"/>
  <c r="AR100" i="22"/>
  <c r="AR101" i="22"/>
  <c r="AR102" i="22"/>
  <c r="AR103" i="22"/>
  <c r="AR104" i="22"/>
  <c r="AR105" i="22"/>
  <c r="AR106" i="22"/>
  <c r="AR107" i="22"/>
  <c r="AR108" i="22"/>
  <c r="AR109" i="22"/>
  <c r="AR110" i="22"/>
  <c r="AR111" i="22"/>
  <c r="AR112" i="22"/>
  <c r="AR113" i="22"/>
  <c r="AR114" i="22"/>
  <c r="AR115" i="22"/>
  <c r="AR116" i="22"/>
  <c r="AR117" i="22"/>
  <c r="AR118" i="22"/>
  <c r="AR119" i="22"/>
  <c r="AR120" i="22"/>
  <c r="AR121" i="22"/>
  <c r="AR122" i="22"/>
  <c r="AR123" i="22"/>
  <c r="AR124" i="22"/>
  <c r="AR125" i="22"/>
  <c r="AR126" i="22"/>
  <c r="AR127" i="22"/>
  <c r="AR128" i="22"/>
  <c r="AR129" i="22"/>
  <c r="AR130" i="22"/>
  <c r="AR131" i="22"/>
  <c r="AR132" i="22"/>
  <c r="AR133" i="22"/>
  <c r="AR134" i="22"/>
  <c r="AR135" i="22"/>
  <c r="AR136" i="22"/>
  <c r="AR137" i="22"/>
  <c r="AR138" i="22"/>
  <c r="AR139" i="22"/>
  <c r="AR140" i="22"/>
  <c r="AR141" i="22"/>
  <c r="AR142" i="22"/>
  <c r="AR143" i="22"/>
  <c r="AR144" i="22"/>
  <c r="AR145" i="22"/>
  <c r="AR146" i="22"/>
  <c r="AR147" i="22"/>
  <c r="AR148" i="22"/>
  <c r="AR149" i="22"/>
  <c r="AR150" i="22"/>
  <c r="AR151" i="22"/>
  <c r="AR152" i="22"/>
  <c r="AR153" i="22"/>
  <c r="AR154" i="22"/>
  <c r="AR155" i="22"/>
  <c r="AR156" i="22"/>
  <c r="AR157" i="22"/>
  <c r="AR3" i="22"/>
  <c r="AD4" i="22"/>
  <c r="AD5" i="22"/>
  <c r="AD6" i="22"/>
  <c r="AD7" i="22"/>
  <c r="AD8" i="22"/>
  <c r="AD9" i="22"/>
  <c r="AD10" i="22"/>
  <c r="AD11" i="22"/>
  <c r="AD12" i="22"/>
  <c r="AD13" i="22"/>
  <c r="AD14" i="22"/>
  <c r="AD15" i="22"/>
  <c r="AD16" i="22"/>
  <c r="AD17" i="22"/>
  <c r="AD18" i="22"/>
  <c r="AD19" i="22"/>
  <c r="AD20" i="22"/>
  <c r="AD21" i="22"/>
  <c r="AD22" i="22"/>
  <c r="AD23" i="22"/>
  <c r="AD24" i="22"/>
  <c r="AD25" i="22"/>
  <c r="AD26" i="22"/>
  <c r="AD27" i="22"/>
  <c r="AD28" i="22"/>
  <c r="AD29" i="22"/>
  <c r="AD30" i="22"/>
  <c r="AD31" i="22"/>
  <c r="AD32" i="22"/>
  <c r="AD33" i="22"/>
  <c r="AD34" i="22"/>
  <c r="AD35" i="22"/>
  <c r="AD36" i="22"/>
  <c r="AD37" i="22"/>
  <c r="AD38" i="22"/>
  <c r="AD39" i="22"/>
  <c r="AD40" i="22"/>
  <c r="AD41" i="22"/>
  <c r="AD42" i="22"/>
  <c r="AD43" i="22"/>
  <c r="AD44" i="22"/>
  <c r="AD45" i="22"/>
  <c r="AD46" i="22"/>
  <c r="AD47" i="22"/>
  <c r="AD48" i="22"/>
  <c r="AD49" i="22"/>
  <c r="AD50" i="22"/>
  <c r="AD51" i="22"/>
  <c r="AD52" i="22"/>
  <c r="AD53" i="22"/>
  <c r="AD54" i="22"/>
  <c r="AD55" i="22"/>
  <c r="AD56" i="22"/>
  <c r="AD57" i="22"/>
  <c r="AD58" i="22"/>
  <c r="AD59" i="22"/>
  <c r="AD60" i="22"/>
  <c r="AD61" i="22"/>
  <c r="AD62" i="22"/>
  <c r="AD63" i="22"/>
  <c r="AD64" i="22"/>
  <c r="AD65" i="22"/>
  <c r="AD66" i="22"/>
  <c r="AD67" i="22"/>
  <c r="AD68" i="22"/>
  <c r="AD69" i="22"/>
  <c r="AD70" i="22"/>
  <c r="AD71" i="22"/>
  <c r="AD72" i="22"/>
  <c r="AD73" i="22"/>
  <c r="AD74" i="22"/>
  <c r="AD75" i="22"/>
  <c r="AD76" i="22"/>
  <c r="AD77" i="22"/>
  <c r="AD78" i="22"/>
  <c r="AD79" i="22"/>
  <c r="AD80" i="22"/>
  <c r="AD81" i="22"/>
  <c r="AD82" i="22"/>
  <c r="AD83" i="22"/>
  <c r="AD84" i="22"/>
  <c r="AD85" i="22"/>
  <c r="AD86" i="22"/>
  <c r="AD87" i="22"/>
  <c r="AD88" i="22"/>
  <c r="AD89" i="22"/>
  <c r="AD90" i="22"/>
  <c r="AD91" i="22"/>
  <c r="AD92" i="22"/>
  <c r="AD93" i="22"/>
  <c r="AD94" i="22"/>
  <c r="AD95" i="22"/>
  <c r="AD96" i="22"/>
  <c r="AD97" i="22"/>
  <c r="AD98" i="22"/>
  <c r="AD99" i="22"/>
  <c r="AD100" i="22"/>
  <c r="AD101" i="22"/>
  <c r="AD102" i="22"/>
  <c r="AD103" i="22"/>
  <c r="AD104" i="22"/>
  <c r="AD105" i="22"/>
  <c r="AD106" i="22"/>
  <c r="AD107" i="22"/>
  <c r="AD108" i="22"/>
  <c r="AD109" i="22"/>
  <c r="AD110" i="22"/>
  <c r="AD111" i="22"/>
  <c r="AD112" i="22"/>
  <c r="AD113" i="22"/>
  <c r="AD114" i="22"/>
  <c r="AD115" i="22"/>
  <c r="AD116" i="22"/>
  <c r="AD117" i="22"/>
  <c r="AD118" i="22"/>
  <c r="AD119" i="22"/>
  <c r="AD120" i="22"/>
  <c r="AD121" i="22"/>
  <c r="AD122" i="22"/>
  <c r="AD123" i="22"/>
  <c r="AD124" i="22"/>
  <c r="AD125" i="22"/>
  <c r="AD126" i="22"/>
  <c r="AD127" i="22"/>
  <c r="AD128" i="22"/>
  <c r="AD129" i="22"/>
  <c r="AD130" i="22"/>
  <c r="AD131" i="22"/>
  <c r="AD132" i="22"/>
  <c r="AD133" i="22"/>
  <c r="AD134" i="22"/>
  <c r="AD135" i="22"/>
  <c r="AD136" i="22"/>
  <c r="AD137" i="22"/>
  <c r="AD138" i="22"/>
  <c r="AD139" i="22"/>
  <c r="AD140" i="22"/>
  <c r="AD141" i="22"/>
  <c r="AD142" i="22"/>
  <c r="AD143" i="22"/>
  <c r="AD144" i="22"/>
  <c r="AD145" i="22"/>
  <c r="AD146" i="22"/>
  <c r="AD147" i="22"/>
  <c r="AD148" i="22"/>
  <c r="AD149" i="22"/>
  <c r="AD150" i="22"/>
  <c r="AD151" i="22"/>
  <c r="AD152" i="22"/>
  <c r="AD153" i="22"/>
  <c r="AD154" i="22"/>
  <c r="AD155" i="22"/>
  <c r="AD156" i="22"/>
  <c r="AD157" i="22"/>
  <c r="AD3" i="22"/>
  <c r="AQ3" i="22"/>
  <c r="AQ4" i="22"/>
  <c r="AQ5" i="22"/>
  <c r="AQ6" i="22"/>
  <c r="AQ7" i="22"/>
  <c r="AQ8" i="22"/>
  <c r="AQ9" i="22"/>
  <c r="AQ10" i="22"/>
  <c r="AQ11" i="22"/>
  <c r="AQ12" i="22"/>
  <c r="AQ13" i="22"/>
  <c r="AQ14" i="22"/>
  <c r="AQ15" i="22"/>
  <c r="AQ16" i="22"/>
  <c r="AQ17" i="22"/>
  <c r="AQ18" i="22"/>
  <c r="AQ19" i="22"/>
  <c r="AQ20" i="22"/>
  <c r="AQ21" i="22"/>
  <c r="AQ22" i="22"/>
  <c r="AQ23" i="22"/>
  <c r="AQ24" i="22"/>
  <c r="AQ25" i="22"/>
  <c r="AQ26" i="22"/>
  <c r="AQ27" i="22"/>
  <c r="AQ28" i="22"/>
  <c r="AQ29" i="22"/>
  <c r="AQ30" i="22"/>
  <c r="AQ31" i="22"/>
  <c r="AQ32" i="22"/>
  <c r="AQ33" i="22"/>
  <c r="AQ34" i="22"/>
  <c r="AQ35" i="22"/>
  <c r="AQ36" i="22"/>
  <c r="AQ37" i="22"/>
  <c r="AQ38" i="22"/>
  <c r="AQ39" i="22"/>
  <c r="AQ40" i="22"/>
  <c r="AQ41" i="22"/>
  <c r="AQ42" i="22"/>
  <c r="AQ43" i="22"/>
  <c r="AQ44" i="22"/>
  <c r="AQ45" i="22"/>
  <c r="AQ46" i="22"/>
  <c r="AQ47" i="22"/>
  <c r="AQ48" i="22"/>
  <c r="AQ49" i="22"/>
  <c r="AQ50" i="22"/>
  <c r="AQ51" i="22"/>
  <c r="AQ52" i="22"/>
  <c r="AQ53" i="22"/>
  <c r="AQ54" i="22"/>
  <c r="AQ55" i="22"/>
  <c r="AQ56" i="22"/>
  <c r="AQ57" i="22"/>
  <c r="AQ58" i="22"/>
  <c r="AQ59" i="22"/>
  <c r="AQ60" i="22"/>
  <c r="AQ61" i="22"/>
  <c r="AQ62" i="22"/>
  <c r="AQ63" i="22"/>
  <c r="AQ64" i="22"/>
  <c r="AQ65" i="22"/>
  <c r="AQ66" i="22"/>
  <c r="AQ67" i="22"/>
  <c r="AQ68" i="22"/>
  <c r="AQ69" i="22"/>
  <c r="AQ70" i="22"/>
  <c r="AQ71" i="22"/>
  <c r="AQ72" i="22"/>
  <c r="AQ73" i="22"/>
  <c r="AQ74" i="22"/>
  <c r="AQ75" i="22"/>
  <c r="AQ76" i="22"/>
  <c r="AQ77" i="22"/>
  <c r="AQ78" i="22"/>
  <c r="AQ79" i="22"/>
  <c r="AQ80" i="22"/>
  <c r="AQ81" i="22"/>
  <c r="AQ82" i="22"/>
  <c r="AQ83" i="22"/>
  <c r="AQ84" i="22"/>
  <c r="AQ85" i="22"/>
  <c r="AQ86" i="22"/>
  <c r="AQ87" i="22"/>
  <c r="AQ88" i="22"/>
  <c r="AQ89" i="22"/>
  <c r="AQ90" i="22"/>
  <c r="AQ91" i="22"/>
  <c r="AQ92" i="22"/>
  <c r="AQ93" i="22"/>
  <c r="AQ94" i="22"/>
  <c r="AQ95" i="22"/>
  <c r="AQ96" i="22"/>
  <c r="AQ97" i="22"/>
  <c r="AQ98" i="22"/>
  <c r="AQ99" i="22"/>
  <c r="AQ100" i="22"/>
  <c r="AQ101" i="22"/>
  <c r="AQ102" i="22"/>
  <c r="AQ103" i="22"/>
  <c r="AQ104" i="22"/>
  <c r="AQ105" i="22"/>
  <c r="AQ106" i="22"/>
  <c r="AQ107" i="22"/>
  <c r="AQ108" i="22"/>
  <c r="AQ109" i="22"/>
  <c r="AQ110" i="22"/>
  <c r="AQ111" i="22"/>
  <c r="AQ112" i="22"/>
  <c r="AQ113" i="22"/>
  <c r="AQ114" i="22"/>
  <c r="AQ115" i="22"/>
  <c r="AQ116" i="22"/>
  <c r="AQ117" i="22"/>
  <c r="AQ118" i="22"/>
  <c r="AQ119" i="22"/>
  <c r="AQ120" i="22"/>
  <c r="AQ121" i="22"/>
  <c r="AQ122" i="22"/>
  <c r="AQ123" i="22"/>
  <c r="AQ124" i="22"/>
  <c r="AQ125" i="22"/>
  <c r="AQ126" i="22"/>
  <c r="AQ127" i="22"/>
  <c r="AQ128" i="22"/>
  <c r="AQ129" i="22"/>
  <c r="AQ130" i="22"/>
  <c r="AQ131" i="22"/>
  <c r="AQ132" i="22"/>
  <c r="AQ133" i="22"/>
  <c r="AQ134" i="22"/>
  <c r="AQ135" i="22"/>
  <c r="AQ136" i="22"/>
  <c r="AQ137" i="22"/>
  <c r="AQ138" i="22"/>
  <c r="AQ139" i="22"/>
  <c r="AQ140" i="22"/>
  <c r="AQ141" i="22"/>
  <c r="AQ142" i="22"/>
  <c r="AQ143" i="22"/>
  <c r="AQ144" i="22"/>
  <c r="AQ145" i="22"/>
  <c r="AQ146" i="22"/>
  <c r="AQ147" i="22"/>
  <c r="AQ148" i="22"/>
  <c r="AQ149" i="22"/>
  <c r="AQ150" i="22"/>
  <c r="AQ151" i="22"/>
  <c r="AQ152" i="22"/>
  <c r="AQ153" i="22"/>
  <c r="AQ154" i="22"/>
  <c r="AQ155" i="22"/>
  <c r="AQ156" i="22"/>
  <c r="AQ157" i="22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60" i="22"/>
  <c r="AC61" i="22"/>
  <c r="AC62" i="22"/>
  <c r="AC63" i="22"/>
  <c r="AC64" i="22"/>
  <c r="AC65" i="22"/>
  <c r="AC66" i="22"/>
  <c r="AC67" i="22"/>
  <c r="AC68" i="22"/>
  <c r="AC69" i="22"/>
  <c r="AC70" i="22"/>
  <c r="AC71" i="22"/>
  <c r="AC72" i="22"/>
  <c r="AC73" i="22"/>
  <c r="AC74" i="22"/>
  <c r="AC75" i="22"/>
  <c r="AC76" i="22"/>
  <c r="AC77" i="22"/>
  <c r="AC78" i="22"/>
  <c r="AC79" i="22"/>
  <c r="AC80" i="22"/>
  <c r="AC81" i="22"/>
  <c r="AC82" i="22"/>
  <c r="AC83" i="22"/>
  <c r="AC84" i="22"/>
  <c r="AC85" i="22"/>
  <c r="AC86" i="22"/>
  <c r="AC87" i="22"/>
  <c r="AC88" i="22"/>
  <c r="AC89" i="22"/>
  <c r="AC90" i="22"/>
  <c r="AC91" i="22"/>
  <c r="AC92" i="22"/>
  <c r="AC93" i="22"/>
  <c r="AC94" i="22"/>
  <c r="AC95" i="22"/>
  <c r="AC96" i="22"/>
  <c r="AC97" i="22"/>
  <c r="AC98" i="22"/>
  <c r="AC99" i="22"/>
  <c r="AC100" i="22"/>
  <c r="AC101" i="22"/>
  <c r="AC102" i="22"/>
  <c r="AC103" i="22"/>
  <c r="AC104" i="22"/>
  <c r="AC105" i="22"/>
  <c r="AC106" i="22"/>
  <c r="AC107" i="22"/>
  <c r="AC108" i="22"/>
  <c r="AC109" i="22"/>
  <c r="AC110" i="22"/>
  <c r="AC111" i="22"/>
  <c r="AC112" i="22"/>
  <c r="AC113" i="22"/>
  <c r="AC114" i="22"/>
  <c r="AC115" i="22"/>
  <c r="AC116" i="22"/>
  <c r="AC117" i="22"/>
  <c r="AC118" i="22"/>
  <c r="AC119" i="22"/>
  <c r="AC120" i="22"/>
  <c r="AC121" i="22"/>
  <c r="AC122" i="22"/>
  <c r="AC123" i="22"/>
  <c r="AC124" i="22"/>
  <c r="AC125" i="22"/>
  <c r="AC126" i="22"/>
  <c r="AC127" i="22"/>
  <c r="AC128" i="22"/>
  <c r="AC129" i="22"/>
  <c r="AC130" i="22"/>
  <c r="AC131" i="22"/>
  <c r="AC132" i="22"/>
  <c r="AC133" i="22"/>
  <c r="AC134" i="22"/>
  <c r="AC135" i="22"/>
  <c r="AC136" i="22"/>
  <c r="AC137" i="22"/>
  <c r="AC138" i="22"/>
  <c r="AC139" i="22"/>
  <c r="AC140" i="22"/>
  <c r="AC141" i="22"/>
  <c r="AC142" i="22"/>
  <c r="AC143" i="22"/>
  <c r="AC144" i="22"/>
  <c r="AC145" i="22"/>
  <c r="AC146" i="22"/>
  <c r="AC147" i="22"/>
  <c r="AC148" i="22"/>
  <c r="AC149" i="22"/>
  <c r="AC150" i="22"/>
  <c r="AC151" i="22"/>
  <c r="AC152" i="22"/>
  <c r="AC153" i="22"/>
  <c r="AC154" i="22"/>
  <c r="AC155" i="22"/>
  <c r="AC156" i="22"/>
  <c r="AC157" i="22"/>
  <c r="AC3" i="22"/>
  <c r="AJ5" i="2"/>
  <c r="AI5" i="2"/>
  <c r="AH5" i="2"/>
  <c r="AG5" i="2"/>
  <c r="AF5" i="2"/>
  <c r="AE5" i="2"/>
  <c r="AJ4" i="2"/>
  <c r="AI4" i="2"/>
  <c r="AH4" i="2"/>
  <c r="AG4" i="2"/>
  <c r="AF4" i="2"/>
  <c r="AE4" i="2"/>
  <c r="AJ3" i="2"/>
  <c r="AI3" i="2"/>
  <c r="AH3" i="2"/>
  <c r="AG3" i="2"/>
  <c r="AF3" i="2"/>
  <c r="AE3" i="2"/>
  <c r="AA5" i="2"/>
  <c r="Z5" i="2"/>
  <c r="Y5" i="2"/>
  <c r="X5" i="2"/>
  <c r="W5" i="2"/>
  <c r="V5" i="2"/>
  <c r="AA4" i="2"/>
  <c r="Z4" i="2"/>
  <c r="Y4" i="2"/>
  <c r="X4" i="2"/>
  <c r="W4" i="2"/>
  <c r="V4" i="2"/>
  <c r="AA3" i="2"/>
  <c r="Z3" i="2"/>
  <c r="Y3" i="2"/>
  <c r="X3" i="2"/>
  <c r="W3" i="2"/>
  <c r="V3" i="2"/>
  <c r="E22" i="11" l="1"/>
  <c r="I22" i="11"/>
  <c r="F22" i="11"/>
  <c r="D22" i="11"/>
  <c r="H22" i="11"/>
  <c r="G22" i="11"/>
  <c r="V73" i="22"/>
  <c r="U73" i="22"/>
  <c r="T73" i="22"/>
  <c r="S73" i="22"/>
  <c r="R73" i="22"/>
  <c r="Q73" i="22"/>
  <c r="P73" i="22"/>
  <c r="O73" i="22"/>
  <c r="N73" i="22"/>
  <c r="M73" i="22"/>
  <c r="L73" i="22"/>
  <c r="K73" i="22"/>
  <c r="V22" i="22"/>
  <c r="U22" i="22"/>
  <c r="T22" i="22"/>
  <c r="S22" i="22"/>
  <c r="R22" i="22"/>
  <c r="Q22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P70" i="22"/>
  <c r="O70" i="22"/>
  <c r="N70" i="22"/>
  <c r="M70" i="22"/>
  <c r="L70" i="22"/>
  <c r="K70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P22" i="22"/>
  <c r="O22" i="22"/>
  <c r="N22" i="22"/>
  <c r="M22" i="22"/>
  <c r="L22" i="22"/>
  <c r="K22" i="22"/>
  <c r="V15" i="22"/>
  <c r="U15" i="22"/>
  <c r="T15" i="22"/>
  <c r="S15" i="22"/>
  <c r="R15" i="22"/>
  <c r="Q15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V69" i="22"/>
  <c r="U69" i="22"/>
  <c r="T69" i="22"/>
  <c r="S69" i="22"/>
  <c r="R69" i="22"/>
  <c r="Q69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P15" i="22"/>
  <c r="O15" i="22"/>
  <c r="N15" i="22"/>
  <c r="M15" i="22"/>
  <c r="L15" i="22"/>
  <c r="K15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V9" i="22"/>
  <c r="U9" i="22"/>
  <c r="T9" i="22"/>
  <c r="S9" i="22"/>
  <c r="R9" i="22"/>
  <c r="Q9" i="22"/>
  <c r="P9" i="22"/>
  <c r="O9" i="22"/>
  <c r="N9" i="22"/>
  <c r="M9" i="22"/>
  <c r="L9" i="22"/>
  <c r="K9" i="22"/>
  <c r="V8" i="22"/>
  <c r="U8" i="22"/>
  <c r="T8" i="22"/>
  <c r="S8" i="22"/>
  <c r="R8" i="22"/>
  <c r="Q8" i="22"/>
  <c r="P8" i="22"/>
  <c r="O8" i="22"/>
  <c r="N8" i="22"/>
  <c r="M8" i="22"/>
  <c r="L8" i="22"/>
  <c r="K8" i="22"/>
  <c r="V7" i="22"/>
  <c r="U7" i="22"/>
  <c r="T7" i="22"/>
  <c r="S7" i="22"/>
  <c r="R7" i="22"/>
  <c r="Q7" i="22"/>
  <c r="P7" i="22"/>
  <c r="O7" i="22"/>
  <c r="N7" i="22"/>
  <c r="M7" i="22"/>
  <c r="L7" i="22"/>
  <c r="K7" i="22"/>
  <c r="V6" i="22"/>
  <c r="U6" i="22"/>
  <c r="T6" i="22"/>
  <c r="S6" i="22"/>
  <c r="R6" i="22"/>
  <c r="Q6" i="22"/>
  <c r="P6" i="22"/>
  <c r="O6" i="22"/>
  <c r="N6" i="22"/>
  <c r="M6" i="22"/>
  <c r="L6" i="22"/>
  <c r="K6" i="22"/>
  <c r="V5" i="22"/>
  <c r="U5" i="22"/>
  <c r="T5" i="22"/>
  <c r="S5" i="22"/>
  <c r="R5" i="22"/>
  <c r="Q5" i="22"/>
  <c r="P5" i="22"/>
  <c r="O5" i="22"/>
  <c r="N5" i="22"/>
  <c r="M5" i="22"/>
  <c r="L5" i="22"/>
  <c r="K5" i="22"/>
  <c r="P154" i="22"/>
  <c r="AB154" i="22" s="1"/>
  <c r="AX154" i="22" s="1"/>
  <c r="O154" i="22"/>
  <c r="AA154" i="22" s="1"/>
  <c r="N154" i="22"/>
  <c r="Z154" i="22" s="1"/>
  <c r="M154" i="22"/>
  <c r="Y154" i="22" s="1"/>
  <c r="L154" i="22"/>
  <c r="X154" i="22" s="1"/>
  <c r="AF154" i="22" s="1"/>
  <c r="K154" i="22"/>
  <c r="W154" i="22" s="1"/>
  <c r="BG154" i="22" s="1"/>
  <c r="P153" i="22"/>
  <c r="AB153" i="22" s="1"/>
  <c r="O153" i="22"/>
  <c r="AA153" i="22" s="1"/>
  <c r="N153" i="22"/>
  <c r="Z153" i="22" s="1"/>
  <c r="BJ153" i="22" s="1"/>
  <c r="M153" i="22"/>
  <c r="Y153" i="22" s="1"/>
  <c r="AU153" i="22" s="1"/>
  <c r="L153" i="22"/>
  <c r="X153" i="22" s="1"/>
  <c r="K153" i="22"/>
  <c r="W153" i="22" s="1"/>
  <c r="AE153" i="22" s="1"/>
  <c r="P152" i="22"/>
  <c r="AB152" i="22" s="1"/>
  <c r="BL152" i="22" s="1"/>
  <c r="O152" i="22"/>
  <c r="AA152" i="22" s="1"/>
  <c r="N152" i="22"/>
  <c r="Z152" i="22" s="1"/>
  <c r="M152" i="22"/>
  <c r="Y152" i="22" s="1"/>
  <c r="L152" i="22"/>
  <c r="X152" i="22" s="1"/>
  <c r="BH152" i="22" s="1"/>
  <c r="K152" i="22"/>
  <c r="W152" i="22" s="1"/>
  <c r="AS152" i="22" s="1"/>
  <c r="P151" i="22"/>
  <c r="AB151" i="22" s="1"/>
  <c r="O151" i="22"/>
  <c r="AA151" i="22" s="1"/>
  <c r="N151" i="22"/>
  <c r="Z151" i="22" s="1"/>
  <c r="M151" i="22"/>
  <c r="Y151" i="22" s="1"/>
  <c r="L151" i="22"/>
  <c r="X151" i="22" s="1"/>
  <c r="K151" i="22"/>
  <c r="W151" i="22" s="1"/>
  <c r="AS151" i="22" s="1"/>
  <c r="P150" i="22"/>
  <c r="AB150" i="22" s="1"/>
  <c r="BL150" i="22" s="1"/>
  <c r="O150" i="22"/>
  <c r="AA150" i="22" s="1"/>
  <c r="AI150" i="22" s="1"/>
  <c r="N150" i="22"/>
  <c r="Z150" i="22" s="1"/>
  <c r="M150" i="22"/>
  <c r="Y150" i="22" s="1"/>
  <c r="L150" i="22"/>
  <c r="X150" i="22" s="1"/>
  <c r="K150" i="22"/>
  <c r="W150" i="22" s="1"/>
  <c r="P148" i="22"/>
  <c r="AB148" i="22" s="1"/>
  <c r="O148" i="22"/>
  <c r="AA148" i="22" s="1"/>
  <c r="AW148" i="22" s="1"/>
  <c r="N148" i="22"/>
  <c r="Z148" i="22" s="1"/>
  <c r="AV148" i="22" s="1"/>
  <c r="M148" i="22"/>
  <c r="Y148" i="22" s="1"/>
  <c r="AG148" i="22" s="1"/>
  <c r="L148" i="22"/>
  <c r="X148" i="22" s="1"/>
  <c r="K148" i="22"/>
  <c r="W148" i="22" s="1"/>
  <c r="P145" i="22"/>
  <c r="AB145" i="22" s="1"/>
  <c r="AX145" i="22" s="1"/>
  <c r="O145" i="22"/>
  <c r="AA145" i="22" s="1"/>
  <c r="N145" i="22"/>
  <c r="Z145" i="22" s="1"/>
  <c r="M145" i="22"/>
  <c r="Y145" i="22" s="1"/>
  <c r="L145" i="22"/>
  <c r="X145" i="22" s="1"/>
  <c r="K145" i="22"/>
  <c r="W145" i="22" s="1"/>
  <c r="P144" i="22"/>
  <c r="AB144" i="22" s="1"/>
  <c r="O144" i="22"/>
  <c r="AA144" i="22" s="1"/>
  <c r="N144" i="22"/>
  <c r="Z144" i="22" s="1"/>
  <c r="AH144" i="22" s="1"/>
  <c r="M144" i="22"/>
  <c r="Y144" i="22" s="1"/>
  <c r="L144" i="22"/>
  <c r="X144" i="22" s="1"/>
  <c r="K144" i="22"/>
  <c r="W144" i="22" s="1"/>
  <c r="AE144" i="22" s="1"/>
  <c r="P143" i="22"/>
  <c r="AB143" i="22" s="1"/>
  <c r="AJ143" i="22" s="1"/>
  <c r="O143" i="22"/>
  <c r="AA143" i="22" s="1"/>
  <c r="AI143" i="22" s="1"/>
  <c r="N143" i="22"/>
  <c r="Z143" i="22" s="1"/>
  <c r="M143" i="22"/>
  <c r="Y143" i="22" s="1"/>
  <c r="L143" i="22"/>
  <c r="X143" i="22" s="1"/>
  <c r="AF143" i="22" s="1"/>
  <c r="K143" i="22"/>
  <c r="W143" i="22" s="1"/>
  <c r="P142" i="22"/>
  <c r="AB142" i="22" s="1"/>
  <c r="AX142" i="22" s="1"/>
  <c r="O142" i="22"/>
  <c r="AA142" i="22" s="1"/>
  <c r="N142" i="22"/>
  <c r="Z142" i="22" s="1"/>
  <c r="BJ142" i="22" s="1"/>
  <c r="M142" i="22"/>
  <c r="Y142" i="22" s="1"/>
  <c r="L142" i="22"/>
  <c r="X142" i="22" s="1"/>
  <c r="K142" i="22"/>
  <c r="W142" i="22" s="1"/>
  <c r="P141" i="22"/>
  <c r="AB141" i="22" s="1"/>
  <c r="BL141" i="22" s="1"/>
  <c r="O141" i="22"/>
  <c r="AA141" i="22" s="1"/>
  <c r="N141" i="22"/>
  <c r="Z141" i="22" s="1"/>
  <c r="M141" i="22"/>
  <c r="Y141" i="22" s="1"/>
  <c r="L141" i="22"/>
  <c r="X141" i="22" s="1"/>
  <c r="AT141" i="22" s="1"/>
  <c r="K141" i="22"/>
  <c r="W141" i="22" s="1"/>
  <c r="AE141" i="22" s="1"/>
  <c r="P140" i="22"/>
  <c r="AB140" i="22" s="1"/>
  <c r="AX140" i="22" s="1"/>
  <c r="O140" i="22"/>
  <c r="AA140" i="22" s="1"/>
  <c r="N140" i="22"/>
  <c r="Z140" i="22" s="1"/>
  <c r="M140" i="22"/>
  <c r="Y140" i="22" s="1"/>
  <c r="AG140" i="22" s="1"/>
  <c r="L140" i="22"/>
  <c r="X140" i="22" s="1"/>
  <c r="K140" i="22"/>
  <c r="W140" i="22" s="1"/>
  <c r="P136" i="22"/>
  <c r="AB136" i="22" s="1"/>
  <c r="AJ136" i="22" s="1"/>
  <c r="O136" i="22"/>
  <c r="AA136" i="22" s="1"/>
  <c r="N136" i="22"/>
  <c r="Z136" i="22" s="1"/>
  <c r="M136" i="22"/>
  <c r="Y136" i="22" s="1"/>
  <c r="L136" i="22"/>
  <c r="X136" i="22" s="1"/>
  <c r="AF136" i="22" s="1"/>
  <c r="K136" i="22"/>
  <c r="W136" i="22" s="1"/>
  <c r="AS136" i="22" s="1"/>
  <c r="P135" i="22"/>
  <c r="AB135" i="22" s="1"/>
  <c r="AJ135" i="22" s="1"/>
  <c r="O135" i="22"/>
  <c r="AA135" i="22" s="1"/>
  <c r="N135" i="22"/>
  <c r="Z135" i="22" s="1"/>
  <c r="BJ135" i="22" s="1"/>
  <c r="M135" i="22"/>
  <c r="Y135" i="22" s="1"/>
  <c r="L135" i="22"/>
  <c r="X135" i="22" s="1"/>
  <c r="K135" i="22"/>
  <c r="W135" i="22" s="1"/>
  <c r="P132" i="22"/>
  <c r="AB132" i="22" s="1"/>
  <c r="O132" i="22"/>
  <c r="AA132" i="22" s="1"/>
  <c r="BK132" i="22" s="1"/>
  <c r="N132" i="22"/>
  <c r="Z132" i="22" s="1"/>
  <c r="M132" i="22"/>
  <c r="Y132" i="22" s="1"/>
  <c r="L132" i="22"/>
  <c r="X132" i="22" s="1"/>
  <c r="BH132" i="22" s="1"/>
  <c r="K132" i="22"/>
  <c r="W132" i="22" s="1"/>
  <c r="P130" i="22"/>
  <c r="AB130" i="22" s="1"/>
  <c r="AJ130" i="22" s="1"/>
  <c r="O130" i="22"/>
  <c r="AA130" i="22" s="1"/>
  <c r="N130" i="22"/>
  <c r="Z130" i="22" s="1"/>
  <c r="BJ130" i="22" s="1"/>
  <c r="M130" i="22"/>
  <c r="Y130" i="22" s="1"/>
  <c r="L130" i="22"/>
  <c r="X130" i="22" s="1"/>
  <c r="AF130" i="22" s="1"/>
  <c r="K130" i="22"/>
  <c r="W130" i="22" s="1"/>
  <c r="P128" i="22"/>
  <c r="AB128" i="22" s="1"/>
  <c r="O128" i="22"/>
  <c r="AA128" i="22" s="1"/>
  <c r="N128" i="22"/>
  <c r="Z128" i="22" s="1"/>
  <c r="M128" i="22"/>
  <c r="Y128" i="22" s="1"/>
  <c r="L128" i="22"/>
  <c r="X128" i="22" s="1"/>
  <c r="AF128" i="22" s="1"/>
  <c r="K128" i="22"/>
  <c r="W128" i="22" s="1"/>
  <c r="AE128" i="22" s="1"/>
  <c r="P127" i="22"/>
  <c r="AB127" i="22" s="1"/>
  <c r="AJ127" i="22" s="1"/>
  <c r="O127" i="22"/>
  <c r="AA127" i="22" s="1"/>
  <c r="N127" i="22"/>
  <c r="Z127" i="22" s="1"/>
  <c r="AH127" i="22" s="1"/>
  <c r="M127" i="22"/>
  <c r="Y127" i="22" s="1"/>
  <c r="L127" i="22"/>
  <c r="X127" i="22" s="1"/>
  <c r="K127" i="22"/>
  <c r="W127" i="22" s="1"/>
  <c r="P121" i="22"/>
  <c r="AB121" i="22" s="1"/>
  <c r="BL121" i="22" s="1"/>
  <c r="O121" i="22"/>
  <c r="AA121" i="22" s="1"/>
  <c r="BK121" i="22" s="1"/>
  <c r="N121" i="22"/>
  <c r="Z121" i="22" s="1"/>
  <c r="M121" i="22"/>
  <c r="Y121" i="22" s="1"/>
  <c r="AG121" i="22" s="1"/>
  <c r="L121" i="22"/>
  <c r="X121" i="22" s="1"/>
  <c r="K121" i="22"/>
  <c r="W121" i="22" s="1"/>
  <c r="AE121" i="22" s="1"/>
  <c r="P106" i="22"/>
  <c r="AB106" i="22" s="1"/>
  <c r="O106" i="22"/>
  <c r="AA106" i="22" s="1"/>
  <c r="N106" i="22"/>
  <c r="Z106" i="22" s="1"/>
  <c r="BJ106" i="22" s="1"/>
  <c r="M106" i="22"/>
  <c r="Y106" i="22" s="1"/>
  <c r="AU106" i="22" s="1"/>
  <c r="L106" i="22"/>
  <c r="X106" i="22" s="1"/>
  <c r="K106" i="22"/>
  <c r="W106" i="22" s="1"/>
  <c r="P101" i="22"/>
  <c r="AB101" i="22" s="1"/>
  <c r="AX101" i="22" s="1"/>
  <c r="O101" i="22"/>
  <c r="AA101" i="22" s="1"/>
  <c r="AI101" i="22" s="1"/>
  <c r="N101" i="22"/>
  <c r="Z101" i="22" s="1"/>
  <c r="M101" i="22"/>
  <c r="Y101" i="22" s="1"/>
  <c r="L101" i="22"/>
  <c r="X101" i="22" s="1"/>
  <c r="K101" i="22"/>
  <c r="W101" i="22" s="1"/>
  <c r="AS101" i="22" s="1"/>
  <c r="P99" i="22"/>
  <c r="AB99" i="22" s="1"/>
  <c r="O99" i="22"/>
  <c r="AA99" i="22" s="1"/>
  <c r="N99" i="22"/>
  <c r="Z99" i="22" s="1"/>
  <c r="AH99" i="22" s="1"/>
  <c r="M99" i="22"/>
  <c r="Y99" i="22" s="1"/>
  <c r="AG99" i="22" s="1"/>
  <c r="L99" i="22"/>
  <c r="X99" i="22" s="1"/>
  <c r="K99" i="22"/>
  <c r="W99" i="22" s="1"/>
  <c r="P96" i="22"/>
  <c r="AB96" i="22" s="1"/>
  <c r="O96" i="22"/>
  <c r="AA96" i="22" s="1"/>
  <c r="N96" i="22"/>
  <c r="Z96" i="22" s="1"/>
  <c r="AH96" i="22" s="1"/>
  <c r="M96" i="22"/>
  <c r="Y96" i="22" s="1"/>
  <c r="L96" i="22"/>
  <c r="X96" i="22" s="1"/>
  <c r="K96" i="22"/>
  <c r="W96" i="22" s="1"/>
  <c r="AE96" i="22" s="1"/>
  <c r="P95" i="22"/>
  <c r="AB95" i="22" s="1"/>
  <c r="AJ95" i="22" s="1"/>
  <c r="O95" i="22"/>
  <c r="AA95" i="22" s="1"/>
  <c r="AI95" i="22" s="1"/>
  <c r="N95" i="22"/>
  <c r="Z95" i="22" s="1"/>
  <c r="M95" i="22"/>
  <c r="Y95" i="22" s="1"/>
  <c r="L95" i="22"/>
  <c r="X95" i="22" s="1"/>
  <c r="AT95" i="22" s="1"/>
  <c r="K95" i="22"/>
  <c r="W95" i="22" s="1"/>
  <c r="AS95" i="22" s="1"/>
  <c r="P93" i="22"/>
  <c r="AB93" i="22" s="1"/>
  <c r="AJ93" i="22" s="1"/>
  <c r="O93" i="22"/>
  <c r="AA93" i="22" s="1"/>
  <c r="N93" i="22"/>
  <c r="Z93" i="22" s="1"/>
  <c r="M93" i="22"/>
  <c r="Y93" i="22" s="1"/>
  <c r="L93" i="22"/>
  <c r="X93" i="22" s="1"/>
  <c r="BH93" i="22" s="1"/>
  <c r="K93" i="22"/>
  <c r="W93" i="22" s="1"/>
  <c r="P92" i="22"/>
  <c r="AB92" i="22" s="1"/>
  <c r="BL92" i="22" s="1"/>
  <c r="O92" i="22"/>
  <c r="AA92" i="22" s="1"/>
  <c r="N92" i="22"/>
  <c r="Z92" i="22" s="1"/>
  <c r="AH92" i="22" s="1"/>
  <c r="M92" i="22"/>
  <c r="Y92" i="22" s="1"/>
  <c r="L92" i="22"/>
  <c r="X92" i="22" s="1"/>
  <c r="BH92" i="22" s="1"/>
  <c r="K92" i="22"/>
  <c r="W92" i="22" s="1"/>
  <c r="BG92" i="22" s="1"/>
  <c r="P87" i="22"/>
  <c r="AB87" i="22" s="1"/>
  <c r="O87" i="22"/>
  <c r="AA87" i="22" s="1"/>
  <c r="AW87" i="22" s="1"/>
  <c r="N87" i="22"/>
  <c r="Z87" i="22" s="1"/>
  <c r="AH87" i="22" s="1"/>
  <c r="M87" i="22"/>
  <c r="Y87" i="22" s="1"/>
  <c r="AU87" i="22" s="1"/>
  <c r="L87" i="22"/>
  <c r="X87" i="22" s="1"/>
  <c r="K87" i="22"/>
  <c r="W87" i="22" s="1"/>
  <c r="P85" i="22"/>
  <c r="AB85" i="22" s="1"/>
  <c r="O85" i="22"/>
  <c r="AA85" i="22" s="1"/>
  <c r="N85" i="22"/>
  <c r="Z85" i="22" s="1"/>
  <c r="M85" i="22"/>
  <c r="Y85" i="22" s="1"/>
  <c r="L85" i="22"/>
  <c r="X85" i="22" s="1"/>
  <c r="AT85" i="22" s="1"/>
  <c r="K85" i="22"/>
  <c r="W85" i="22" s="1"/>
  <c r="P83" i="22"/>
  <c r="AB83" i="22" s="1"/>
  <c r="O83" i="22"/>
  <c r="AA83" i="22" s="1"/>
  <c r="N83" i="22"/>
  <c r="Z83" i="22" s="1"/>
  <c r="BJ83" i="22" s="1"/>
  <c r="M83" i="22"/>
  <c r="Y83" i="22" s="1"/>
  <c r="AG83" i="22" s="1"/>
  <c r="L83" i="22"/>
  <c r="X83" i="22" s="1"/>
  <c r="BH83" i="22" s="1"/>
  <c r="K83" i="22"/>
  <c r="W83" i="22" s="1"/>
  <c r="P81" i="22"/>
  <c r="AB81" i="22" s="1"/>
  <c r="O81" i="22"/>
  <c r="AA81" i="22" s="1"/>
  <c r="N81" i="22"/>
  <c r="Z81" i="22" s="1"/>
  <c r="AH81" i="22" s="1"/>
  <c r="M81" i="22"/>
  <c r="Y81" i="22" s="1"/>
  <c r="L81" i="22"/>
  <c r="X81" i="22" s="1"/>
  <c r="K81" i="22"/>
  <c r="W81" i="22" s="1"/>
  <c r="P80" i="22"/>
  <c r="AB80" i="22" s="1"/>
  <c r="O80" i="22"/>
  <c r="AA80" i="22" s="1"/>
  <c r="N80" i="22"/>
  <c r="Z80" i="22" s="1"/>
  <c r="M80" i="22"/>
  <c r="Y80" i="22" s="1"/>
  <c r="L80" i="22"/>
  <c r="X80" i="22" s="1"/>
  <c r="AF80" i="22" s="1"/>
  <c r="K80" i="22"/>
  <c r="W80" i="22" s="1"/>
  <c r="P78" i="22"/>
  <c r="AB78" i="22" s="1"/>
  <c r="BL78" i="22" s="1"/>
  <c r="O78" i="22"/>
  <c r="AA78" i="22" s="1"/>
  <c r="N78" i="22"/>
  <c r="Z78" i="22" s="1"/>
  <c r="M78" i="22"/>
  <c r="Y78" i="22" s="1"/>
  <c r="AU78" i="22" s="1"/>
  <c r="L78" i="22"/>
  <c r="X78" i="22" s="1"/>
  <c r="AF78" i="22" s="1"/>
  <c r="K78" i="22"/>
  <c r="W78" i="22" s="1"/>
  <c r="P77" i="22"/>
  <c r="AB77" i="22" s="1"/>
  <c r="O77" i="22"/>
  <c r="AA77" i="22" s="1"/>
  <c r="N77" i="22"/>
  <c r="Z77" i="22" s="1"/>
  <c r="AV77" i="22" s="1"/>
  <c r="M77" i="22"/>
  <c r="Y77" i="22" s="1"/>
  <c r="L77" i="22"/>
  <c r="X77" i="22" s="1"/>
  <c r="K77" i="22"/>
  <c r="W77" i="22" s="1"/>
  <c r="AE77" i="22" s="1"/>
  <c r="P75" i="22"/>
  <c r="AB75" i="22" s="1"/>
  <c r="AJ75" i="22" s="1"/>
  <c r="O75" i="22"/>
  <c r="AA75" i="22" s="1"/>
  <c r="N75" i="22"/>
  <c r="Z75" i="22" s="1"/>
  <c r="AH75" i="22" s="1"/>
  <c r="M75" i="22"/>
  <c r="Y75" i="22" s="1"/>
  <c r="L75" i="22"/>
  <c r="X75" i="22" s="1"/>
  <c r="AT75" i="22" s="1"/>
  <c r="K75" i="22"/>
  <c r="W75" i="22" s="1"/>
  <c r="P72" i="22"/>
  <c r="AB72" i="22" s="1"/>
  <c r="O72" i="22"/>
  <c r="AA72" i="22" s="1"/>
  <c r="AI72" i="22" s="1"/>
  <c r="N72" i="22"/>
  <c r="Z72" i="22" s="1"/>
  <c r="BJ72" i="22" s="1"/>
  <c r="M72" i="22"/>
  <c r="Y72" i="22" s="1"/>
  <c r="BI72" i="22" s="1"/>
  <c r="L72" i="22"/>
  <c r="X72" i="22" s="1"/>
  <c r="AF72" i="22" s="1"/>
  <c r="K72" i="22"/>
  <c r="W72" i="22" s="1"/>
  <c r="P66" i="22"/>
  <c r="AB66" i="22" s="1"/>
  <c r="BL66" i="22" s="1"/>
  <c r="O66" i="22"/>
  <c r="AA66" i="22" s="1"/>
  <c r="AW66" i="22" s="1"/>
  <c r="N66" i="22"/>
  <c r="Z66" i="22" s="1"/>
  <c r="M66" i="22"/>
  <c r="Y66" i="22" s="1"/>
  <c r="L66" i="22"/>
  <c r="X66" i="22" s="1"/>
  <c r="K66" i="22"/>
  <c r="W66" i="22" s="1"/>
  <c r="BG66" i="22" s="1"/>
  <c r="P65" i="22"/>
  <c r="AB65" i="22" s="1"/>
  <c r="O65" i="22"/>
  <c r="AA65" i="22" s="1"/>
  <c r="N65" i="22"/>
  <c r="Z65" i="22" s="1"/>
  <c r="AH65" i="22" s="1"/>
  <c r="M65" i="22"/>
  <c r="Y65" i="22" s="1"/>
  <c r="AU65" i="22" s="1"/>
  <c r="L65" i="22"/>
  <c r="X65" i="22" s="1"/>
  <c r="K65" i="22"/>
  <c r="W65" i="22" s="1"/>
  <c r="P64" i="22"/>
  <c r="AB64" i="22" s="1"/>
  <c r="BL64" i="22" s="1"/>
  <c r="O64" i="22"/>
  <c r="AA64" i="22" s="1"/>
  <c r="BK64" i="22" s="1"/>
  <c r="N64" i="22"/>
  <c r="Z64" i="22" s="1"/>
  <c r="M64" i="22"/>
  <c r="Y64" i="22" s="1"/>
  <c r="L64" i="22"/>
  <c r="X64" i="22" s="1"/>
  <c r="BH64" i="22" s="1"/>
  <c r="K64" i="22"/>
  <c r="W64" i="22" s="1"/>
  <c r="BG64" i="22" s="1"/>
  <c r="P62" i="22"/>
  <c r="AB62" i="22" s="1"/>
  <c r="O62" i="22"/>
  <c r="AA62" i="22" s="1"/>
  <c r="N62" i="22"/>
  <c r="Z62" i="22" s="1"/>
  <c r="M62" i="22"/>
  <c r="Y62" i="22" s="1"/>
  <c r="AU62" i="22" s="1"/>
  <c r="L62" i="22"/>
  <c r="X62" i="22" s="1"/>
  <c r="AT62" i="22" s="1"/>
  <c r="K62" i="22"/>
  <c r="W62" i="22" s="1"/>
  <c r="P61" i="22"/>
  <c r="AB61" i="22" s="1"/>
  <c r="BL61" i="22" s="1"/>
  <c r="O61" i="22"/>
  <c r="AA61" i="22" s="1"/>
  <c r="N61" i="22"/>
  <c r="Z61" i="22" s="1"/>
  <c r="M61" i="22"/>
  <c r="Y61" i="22" s="1"/>
  <c r="L61" i="22"/>
  <c r="X61" i="22" s="1"/>
  <c r="K61" i="22"/>
  <c r="W61" i="22" s="1"/>
  <c r="P60" i="22"/>
  <c r="AB60" i="22" s="1"/>
  <c r="AJ60" i="22" s="1"/>
  <c r="O60" i="22"/>
  <c r="AA60" i="22" s="1"/>
  <c r="N60" i="22"/>
  <c r="Z60" i="22" s="1"/>
  <c r="M60" i="22"/>
  <c r="Y60" i="22" s="1"/>
  <c r="L60" i="22"/>
  <c r="X60" i="22" s="1"/>
  <c r="AF60" i="22" s="1"/>
  <c r="K60" i="22"/>
  <c r="W60" i="22" s="1"/>
  <c r="AE60" i="22" s="1"/>
  <c r="P55" i="22"/>
  <c r="AB55" i="22" s="1"/>
  <c r="AJ55" i="22" s="1"/>
  <c r="O55" i="22"/>
  <c r="AA55" i="22" s="1"/>
  <c r="AI55" i="22" s="1"/>
  <c r="N55" i="22"/>
  <c r="Z55" i="22" s="1"/>
  <c r="AH55" i="22" s="1"/>
  <c r="M55" i="22"/>
  <c r="Y55" i="22" s="1"/>
  <c r="L55" i="22"/>
  <c r="X55" i="22" s="1"/>
  <c r="K55" i="22"/>
  <c r="W55" i="22" s="1"/>
  <c r="AE55" i="22" s="1"/>
  <c r="P54" i="22"/>
  <c r="AB54" i="22" s="1"/>
  <c r="AJ54" i="22" s="1"/>
  <c r="O54" i="22"/>
  <c r="AA54" i="22" s="1"/>
  <c r="N54" i="22"/>
  <c r="Z54" i="22" s="1"/>
  <c r="M54" i="22"/>
  <c r="Y54" i="22" s="1"/>
  <c r="L54" i="22"/>
  <c r="X54" i="22" s="1"/>
  <c r="AF54" i="22" s="1"/>
  <c r="K54" i="22"/>
  <c r="W54" i="22" s="1"/>
  <c r="P51" i="22"/>
  <c r="AB51" i="22" s="1"/>
  <c r="AX51" i="22" s="1"/>
  <c r="O51" i="22"/>
  <c r="AA51" i="22" s="1"/>
  <c r="AW51" i="22" s="1"/>
  <c r="N51" i="22"/>
  <c r="Z51" i="22" s="1"/>
  <c r="M51" i="22"/>
  <c r="Y51" i="22" s="1"/>
  <c r="L51" i="22"/>
  <c r="X51" i="22" s="1"/>
  <c r="BH51" i="22" s="1"/>
  <c r="K51" i="22"/>
  <c r="W51" i="22" s="1"/>
  <c r="P50" i="22"/>
  <c r="AB50" i="22" s="1"/>
  <c r="O50" i="22"/>
  <c r="AA50" i="22" s="1"/>
  <c r="N50" i="22"/>
  <c r="Z50" i="22" s="1"/>
  <c r="AV50" i="22" s="1"/>
  <c r="M50" i="22"/>
  <c r="Y50" i="22" s="1"/>
  <c r="AG50" i="22" s="1"/>
  <c r="L50" i="22"/>
  <c r="X50" i="22" s="1"/>
  <c r="K50" i="22"/>
  <c r="W50" i="22" s="1"/>
  <c r="P49" i="22"/>
  <c r="AB49" i="22" s="1"/>
  <c r="AJ49" i="22" s="1"/>
  <c r="O49" i="22"/>
  <c r="AA49" i="22" s="1"/>
  <c r="N49" i="22"/>
  <c r="Z49" i="22" s="1"/>
  <c r="M49" i="22"/>
  <c r="Y49" i="22" s="1"/>
  <c r="L49" i="22"/>
  <c r="X49" i="22" s="1"/>
  <c r="AF49" i="22" s="1"/>
  <c r="K49" i="22"/>
  <c r="W49" i="22" s="1"/>
  <c r="P48" i="22"/>
  <c r="AB48" i="22" s="1"/>
  <c r="O48" i="22"/>
  <c r="AA48" i="22" s="1"/>
  <c r="AW48" i="22" s="1"/>
  <c r="N48" i="22"/>
  <c r="Z48" i="22" s="1"/>
  <c r="M48" i="22"/>
  <c r="Y48" i="22" s="1"/>
  <c r="AU48" i="22" s="1"/>
  <c r="L48" i="22"/>
  <c r="X48" i="22" s="1"/>
  <c r="K48" i="22"/>
  <c r="W48" i="22" s="1"/>
  <c r="P45" i="22"/>
  <c r="AB45" i="22" s="1"/>
  <c r="O45" i="22"/>
  <c r="AA45" i="22" s="1"/>
  <c r="BK45" i="22" s="1"/>
  <c r="N45" i="22"/>
  <c r="Z45" i="22" s="1"/>
  <c r="M45" i="22"/>
  <c r="Y45" i="22" s="1"/>
  <c r="L45" i="22"/>
  <c r="X45" i="22" s="1"/>
  <c r="K45" i="22"/>
  <c r="W45" i="22" s="1"/>
  <c r="AE45" i="22" s="1"/>
  <c r="P43" i="22"/>
  <c r="AB43" i="22" s="1"/>
  <c r="AJ43" i="22" s="1"/>
  <c r="O43" i="22"/>
  <c r="AA43" i="22" s="1"/>
  <c r="N43" i="22"/>
  <c r="Z43" i="22" s="1"/>
  <c r="AH43" i="22" s="1"/>
  <c r="M43" i="22"/>
  <c r="Y43" i="22" s="1"/>
  <c r="L43" i="22"/>
  <c r="X43" i="22" s="1"/>
  <c r="K43" i="22"/>
  <c r="W43" i="22" s="1"/>
  <c r="P39" i="22"/>
  <c r="AB39" i="22" s="1"/>
  <c r="BL39" i="22" s="1"/>
  <c r="O39" i="22"/>
  <c r="AA39" i="22" s="1"/>
  <c r="AI39" i="22" s="1"/>
  <c r="N39" i="22"/>
  <c r="Z39" i="22" s="1"/>
  <c r="AH39" i="22" s="1"/>
  <c r="M39" i="22"/>
  <c r="Y39" i="22" s="1"/>
  <c r="L39" i="22"/>
  <c r="X39" i="22" s="1"/>
  <c r="AT39" i="22" s="1"/>
  <c r="K39" i="22"/>
  <c r="W39" i="22" s="1"/>
  <c r="BG39" i="22" s="1"/>
  <c r="P36" i="22"/>
  <c r="AB36" i="22" s="1"/>
  <c r="O36" i="22"/>
  <c r="AA36" i="22" s="1"/>
  <c r="AI36" i="22" s="1"/>
  <c r="N36" i="22"/>
  <c r="Z36" i="22" s="1"/>
  <c r="AH36" i="22" s="1"/>
  <c r="M36" i="22"/>
  <c r="Y36" i="22" s="1"/>
  <c r="AG36" i="22" s="1"/>
  <c r="L36" i="22"/>
  <c r="X36" i="22" s="1"/>
  <c r="K36" i="22"/>
  <c r="W36" i="22" s="1"/>
  <c r="P32" i="22"/>
  <c r="AB32" i="22" s="1"/>
  <c r="AJ32" i="22" s="1"/>
  <c r="O32" i="22"/>
  <c r="AA32" i="22" s="1"/>
  <c r="BK32" i="22" s="1"/>
  <c r="N32" i="22"/>
  <c r="Z32" i="22" s="1"/>
  <c r="M32" i="22"/>
  <c r="Y32" i="22" s="1"/>
  <c r="L32" i="22"/>
  <c r="X32" i="22" s="1"/>
  <c r="AT32" i="22" s="1"/>
  <c r="K32" i="22"/>
  <c r="W32" i="22" s="1"/>
  <c r="BG32" i="22" s="1"/>
  <c r="P26" i="22"/>
  <c r="AB26" i="22" s="1"/>
  <c r="O26" i="22"/>
  <c r="AA26" i="22" s="1"/>
  <c r="BK26" i="22" s="1"/>
  <c r="N26" i="22"/>
  <c r="Z26" i="22" s="1"/>
  <c r="AV26" i="22" s="1"/>
  <c r="M26" i="22"/>
  <c r="Y26" i="22" s="1"/>
  <c r="BI26" i="22" s="1"/>
  <c r="L26" i="22"/>
  <c r="X26" i="22" s="1"/>
  <c r="K26" i="22"/>
  <c r="W26" i="22" s="1"/>
  <c r="BG26" i="22" s="1"/>
  <c r="P25" i="22"/>
  <c r="AB25" i="22" s="1"/>
  <c r="AJ25" i="22" s="1"/>
  <c r="O25" i="22"/>
  <c r="AA25" i="22" s="1"/>
  <c r="N25" i="22"/>
  <c r="Z25" i="22" s="1"/>
  <c r="M25" i="22"/>
  <c r="Y25" i="22" s="1"/>
  <c r="L25" i="22"/>
  <c r="X25" i="22" s="1"/>
  <c r="BH25" i="22" s="1"/>
  <c r="K25" i="22"/>
  <c r="W25" i="22" s="1"/>
  <c r="P20" i="22"/>
  <c r="AB20" i="22" s="1"/>
  <c r="O20" i="22"/>
  <c r="AA20" i="22" s="1"/>
  <c r="AI20" i="22" s="1"/>
  <c r="N20" i="22"/>
  <c r="Z20" i="22" s="1"/>
  <c r="AH20" i="22" s="1"/>
  <c r="M20" i="22"/>
  <c r="Y20" i="22" s="1"/>
  <c r="AG20" i="22" s="1"/>
  <c r="L20" i="22"/>
  <c r="X20" i="22" s="1"/>
  <c r="K20" i="22"/>
  <c r="W20" i="22" s="1"/>
  <c r="P17" i="22"/>
  <c r="AB17" i="22" s="1"/>
  <c r="BL17" i="22" s="1"/>
  <c r="O17" i="22"/>
  <c r="AA17" i="22" s="1"/>
  <c r="N17" i="22"/>
  <c r="Z17" i="22" s="1"/>
  <c r="M17" i="22"/>
  <c r="Y17" i="22" s="1"/>
  <c r="L17" i="22"/>
  <c r="X17" i="22" s="1"/>
  <c r="AF17" i="22" s="1"/>
  <c r="K17" i="22"/>
  <c r="W17" i="22" s="1"/>
  <c r="AF51" i="22" l="1"/>
  <c r="AL51" i="22" s="1"/>
  <c r="AH83" i="22"/>
  <c r="AN83" i="22" s="1"/>
  <c r="AE101" i="22"/>
  <c r="AK101" i="22" s="1"/>
  <c r="AJ66" i="22"/>
  <c r="AP66" i="22" s="1"/>
  <c r="AJ150" i="22"/>
  <c r="AP150" i="22" s="1"/>
  <c r="AJ17" i="22"/>
  <c r="AP17" i="22" s="1"/>
  <c r="AH153" i="22"/>
  <c r="AN153" i="22" s="1"/>
  <c r="AT78" i="22"/>
  <c r="AW32" i="22"/>
  <c r="AV72" i="22"/>
  <c r="AW45" i="22"/>
  <c r="BG152" i="22"/>
  <c r="BM152" i="22" s="1"/>
  <c r="AV83" i="22"/>
  <c r="AV153" i="22"/>
  <c r="AE39" i="22"/>
  <c r="AK39" i="22" s="1"/>
  <c r="AF95" i="22"/>
  <c r="AL95" i="22" s="1"/>
  <c r="AJ92" i="22"/>
  <c r="AP92" i="22" s="1"/>
  <c r="AJ152" i="22"/>
  <c r="AP152" i="22" s="1"/>
  <c r="AS32" i="22"/>
  <c r="AU72" i="22"/>
  <c r="BH39" i="22"/>
  <c r="BN39" i="22" s="1"/>
  <c r="BH78" i="22"/>
  <c r="BN78" i="22" s="1"/>
  <c r="BL154" i="22"/>
  <c r="BR154" i="22" s="1"/>
  <c r="AX152" i="22"/>
  <c r="AH135" i="22"/>
  <c r="AN135" i="22" s="1"/>
  <c r="AF32" i="22"/>
  <c r="AL32" i="22" s="1"/>
  <c r="AF64" i="22"/>
  <c r="AL64" i="22" s="1"/>
  <c r="AE92" i="22"/>
  <c r="AK92" i="22" s="1"/>
  <c r="AF152" i="22"/>
  <c r="AL152" i="22" s="1"/>
  <c r="AH50" i="22"/>
  <c r="AN50" i="22" s="1"/>
  <c r="AH106" i="22"/>
  <c r="AN106" i="22" s="1"/>
  <c r="AE154" i="22"/>
  <c r="AK154" i="22" s="1"/>
  <c r="AI45" i="22"/>
  <c r="AO45" i="22" s="1"/>
  <c r="AV106" i="22"/>
  <c r="AT64" i="22"/>
  <c r="AS92" i="22"/>
  <c r="BK51" i="22"/>
  <c r="BQ51" i="22" s="1"/>
  <c r="BH95" i="22"/>
  <c r="BN95" i="22" s="1"/>
  <c r="BH141" i="22"/>
  <c r="BN141" i="22" s="1"/>
  <c r="AX141" i="22"/>
  <c r="AS39" i="22"/>
  <c r="AT152" i="22"/>
  <c r="AJ51" i="22"/>
  <c r="AP51" i="22" s="1"/>
  <c r="AE95" i="22"/>
  <c r="AK95" i="22" s="1"/>
  <c r="AI64" i="22"/>
  <c r="AO64" i="22" s="1"/>
  <c r="AS66" i="22"/>
  <c r="AX64" i="22"/>
  <c r="AX92" i="22"/>
  <c r="BL51" i="22"/>
  <c r="BR51" i="22" s="1"/>
  <c r="BG101" i="22"/>
  <c r="BM101" i="22" s="1"/>
  <c r="AX17" i="22"/>
  <c r="BJ50" i="22"/>
  <c r="BP50" i="22" s="1"/>
  <c r="AX39" i="22"/>
  <c r="BI65" i="22"/>
  <c r="BO65" i="22" s="1"/>
  <c r="AS20" i="22"/>
  <c r="BG20" i="22"/>
  <c r="BM20" i="22" s="1"/>
  <c r="BI25" i="22"/>
  <c r="BO25" i="22" s="1"/>
  <c r="AG25" i="22"/>
  <c r="AM25" i="22" s="1"/>
  <c r="AU25" i="22"/>
  <c r="AS36" i="22"/>
  <c r="BG36" i="22"/>
  <c r="BM36" i="22" s="1"/>
  <c r="AU39" i="22"/>
  <c r="BI39" i="22"/>
  <c r="BO39" i="22" s="1"/>
  <c r="AW43" i="22"/>
  <c r="BK43" i="22"/>
  <c r="BQ43" i="22" s="1"/>
  <c r="AI43" i="22"/>
  <c r="AO43" i="22" s="1"/>
  <c r="BG48" i="22"/>
  <c r="BM48" i="22" s="1"/>
  <c r="AE48" i="22"/>
  <c r="AK48" i="22" s="1"/>
  <c r="AS48" i="22"/>
  <c r="AU49" i="22"/>
  <c r="BI49" i="22"/>
  <c r="BO49" i="22" s="1"/>
  <c r="AG49" i="22"/>
  <c r="AM49" i="22" s="1"/>
  <c r="AI50" i="22"/>
  <c r="AO50" i="22" s="1"/>
  <c r="BK50" i="22"/>
  <c r="BQ50" i="22" s="1"/>
  <c r="BG54" i="22"/>
  <c r="BM54" i="22" s="1"/>
  <c r="AS54" i="22"/>
  <c r="AE54" i="22"/>
  <c r="AK54" i="22" s="1"/>
  <c r="BI55" i="22"/>
  <c r="BO55" i="22" s="1"/>
  <c r="AU55" i="22"/>
  <c r="AW60" i="22"/>
  <c r="BK60" i="22"/>
  <c r="BQ60" i="22" s="1"/>
  <c r="BG62" i="22"/>
  <c r="BM62" i="22" s="1"/>
  <c r="AS62" i="22"/>
  <c r="AE62" i="22"/>
  <c r="AK62" i="22" s="1"/>
  <c r="AU64" i="22"/>
  <c r="BI64" i="22"/>
  <c r="BO64" i="22" s="1"/>
  <c r="AG64" i="22"/>
  <c r="AM64" i="22" s="1"/>
  <c r="AW65" i="22"/>
  <c r="BK65" i="22"/>
  <c r="BQ65" i="22" s="1"/>
  <c r="AI65" i="22"/>
  <c r="AO65" i="22" s="1"/>
  <c r="BG72" i="22"/>
  <c r="BM72" i="22" s="1"/>
  <c r="AS72" i="22"/>
  <c r="AE72" i="22"/>
  <c r="AK72" i="22" s="1"/>
  <c r="BI75" i="22"/>
  <c r="BO75" i="22" s="1"/>
  <c r="AU75" i="22"/>
  <c r="BK77" i="22"/>
  <c r="BQ77" i="22" s="1"/>
  <c r="AW77" i="22"/>
  <c r="AS80" i="22"/>
  <c r="BG80" i="22"/>
  <c r="BM80" i="22" s="1"/>
  <c r="AE80" i="22"/>
  <c r="AK80" i="22" s="1"/>
  <c r="AU81" i="22"/>
  <c r="BI81" i="22"/>
  <c r="BO81" i="22" s="1"/>
  <c r="AW83" i="22"/>
  <c r="BK83" i="22"/>
  <c r="BQ83" i="22" s="1"/>
  <c r="AI83" i="22"/>
  <c r="AO83" i="22" s="1"/>
  <c r="AS87" i="22"/>
  <c r="BG87" i="22"/>
  <c r="BM87" i="22" s="1"/>
  <c r="BI92" i="22"/>
  <c r="BO92" i="22" s="1"/>
  <c r="AU92" i="22"/>
  <c r="BK93" i="22"/>
  <c r="BQ93" i="22" s="1"/>
  <c r="AW93" i="22"/>
  <c r="AI93" i="22"/>
  <c r="AO93" i="22" s="1"/>
  <c r="AU95" i="22"/>
  <c r="AG95" i="22"/>
  <c r="AM95" i="22" s="1"/>
  <c r="BI95" i="22"/>
  <c r="BO95" i="22" s="1"/>
  <c r="AW96" i="22"/>
  <c r="BK96" i="22"/>
  <c r="BQ96" i="22" s="1"/>
  <c r="AI96" i="22"/>
  <c r="AO96" i="22" s="1"/>
  <c r="BG99" i="22"/>
  <c r="BM99" i="22" s="1"/>
  <c r="AS99" i="22"/>
  <c r="AE99" i="22"/>
  <c r="AK99" i="22" s="1"/>
  <c r="AU101" i="22"/>
  <c r="AG101" i="22"/>
  <c r="AM101" i="22" s="1"/>
  <c r="BI101" i="22"/>
  <c r="BO101" i="22" s="1"/>
  <c r="AI106" i="22"/>
  <c r="AO106" i="22" s="1"/>
  <c r="BK106" i="22"/>
  <c r="BQ106" i="22" s="1"/>
  <c r="AW106" i="22"/>
  <c r="BG127" i="22"/>
  <c r="BM127" i="22" s="1"/>
  <c r="AS127" i="22"/>
  <c r="AE127" i="22"/>
  <c r="AK127" i="22" s="1"/>
  <c r="AU128" i="22"/>
  <c r="BI128" i="22"/>
  <c r="BO128" i="22" s="1"/>
  <c r="AG128" i="22"/>
  <c r="AM128" i="22" s="1"/>
  <c r="BK130" i="22"/>
  <c r="BQ130" i="22" s="1"/>
  <c r="AI130" i="22"/>
  <c r="AO130" i="22" s="1"/>
  <c r="AS135" i="22"/>
  <c r="BG135" i="22"/>
  <c r="BM135" i="22" s="1"/>
  <c r="AE135" i="22"/>
  <c r="AK135" i="22" s="1"/>
  <c r="AU136" i="22"/>
  <c r="BI136" i="22"/>
  <c r="BO136" i="22" s="1"/>
  <c r="AG136" i="22"/>
  <c r="AM136" i="22" s="1"/>
  <c r="BK140" i="22"/>
  <c r="BQ140" i="22" s="1"/>
  <c r="AW140" i="22"/>
  <c r="BG142" i="22"/>
  <c r="BM142" i="22" s="1"/>
  <c r="AS142" i="22"/>
  <c r="AE142" i="22"/>
  <c r="AK142" i="22" s="1"/>
  <c r="BI143" i="22"/>
  <c r="BO143" i="22" s="1"/>
  <c r="AU143" i="22"/>
  <c r="AG143" i="22"/>
  <c r="AM143" i="22" s="1"/>
  <c r="BK144" i="22"/>
  <c r="BQ144" i="22" s="1"/>
  <c r="AW144" i="22"/>
  <c r="AI144" i="22"/>
  <c r="AO144" i="22" s="1"/>
  <c r="BG148" i="22"/>
  <c r="BM148" i="22" s="1"/>
  <c r="AE148" i="22"/>
  <c r="AK148" i="22" s="1"/>
  <c r="AS148" i="22"/>
  <c r="AU152" i="22"/>
  <c r="BI152" i="22"/>
  <c r="BO152" i="22" s="1"/>
  <c r="AG152" i="22"/>
  <c r="AM152" i="22" s="1"/>
  <c r="AW153" i="22"/>
  <c r="AI153" i="22"/>
  <c r="AO153" i="22" s="1"/>
  <c r="BK153" i="22"/>
  <c r="BQ153" i="22" s="1"/>
  <c r="AI87" i="22"/>
  <c r="AO87" i="22" s="1"/>
  <c r="AI77" i="22"/>
  <c r="AO77" i="22" s="1"/>
  <c r="AW26" i="22"/>
  <c r="BJ17" i="22"/>
  <c r="BP17" i="22" s="1"/>
  <c r="AV17" i="22"/>
  <c r="AH17" i="22"/>
  <c r="AN17" i="22" s="1"/>
  <c r="AX20" i="22"/>
  <c r="BL20" i="22"/>
  <c r="BR20" i="22" s="1"/>
  <c r="AJ20" i="22"/>
  <c r="AP20" i="22" s="1"/>
  <c r="BH26" i="22"/>
  <c r="BN26" i="22" s="1"/>
  <c r="AF26" i="22"/>
  <c r="AL26" i="22" s="1"/>
  <c r="AT26" i="22"/>
  <c r="BJ32" i="22"/>
  <c r="BP32" i="22" s="1"/>
  <c r="AV32" i="22"/>
  <c r="AH32" i="22"/>
  <c r="AN32" i="22" s="1"/>
  <c r="AX36" i="22"/>
  <c r="BL36" i="22"/>
  <c r="BR36" i="22" s="1"/>
  <c r="AJ36" i="22"/>
  <c r="AP36" i="22" s="1"/>
  <c r="AT43" i="22"/>
  <c r="BH43" i="22"/>
  <c r="BN43" i="22" s="1"/>
  <c r="BJ45" i="22"/>
  <c r="BP45" i="22" s="1"/>
  <c r="AH45" i="22"/>
  <c r="AN45" i="22" s="1"/>
  <c r="BL48" i="22"/>
  <c r="BR48" i="22" s="1"/>
  <c r="AX48" i="22"/>
  <c r="BH50" i="22"/>
  <c r="BN50" i="22" s="1"/>
  <c r="AF50" i="22"/>
  <c r="AL50" i="22" s="1"/>
  <c r="AT50" i="22"/>
  <c r="BJ51" i="22"/>
  <c r="BP51" i="22" s="1"/>
  <c r="AV51" i="22"/>
  <c r="AH51" i="22"/>
  <c r="AN51" i="22" s="1"/>
  <c r="BL54" i="22"/>
  <c r="BR54" i="22" s="1"/>
  <c r="AX54" i="22"/>
  <c r="AT60" i="22"/>
  <c r="BH60" i="22"/>
  <c r="BN60" i="22" s="1"/>
  <c r="AV61" i="22"/>
  <c r="BJ61" i="22"/>
  <c r="BP61" i="22" s="1"/>
  <c r="AJ62" i="22"/>
  <c r="AP62" i="22" s="1"/>
  <c r="AX62" i="22"/>
  <c r="BL62" i="22"/>
  <c r="BR62" i="22" s="1"/>
  <c r="AT65" i="22"/>
  <c r="AF65" i="22"/>
  <c r="AL65" i="22" s="1"/>
  <c r="BH65" i="22"/>
  <c r="BN65" i="22" s="1"/>
  <c r="BJ66" i="22"/>
  <c r="BP66" i="22" s="1"/>
  <c r="AV66" i="22"/>
  <c r="AH66" i="22"/>
  <c r="AN66" i="22" s="1"/>
  <c r="BL72" i="22"/>
  <c r="BR72" i="22" s="1"/>
  <c r="AX72" i="22"/>
  <c r="AJ72" i="22"/>
  <c r="AP72" i="22" s="1"/>
  <c r="BH77" i="22"/>
  <c r="BN77" i="22" s="1"/>
  <c r="AT77" i="22"/>
  <c r="AF77" i="22"/>
  <c r="AL77" i="22" s="1"/>
  <c r="BJ78" i="22"/>
  <c r="BP78" i="22" s="1"/>
  <c r="AH78" i="22"/>
  <c r="AN78" i="22" s="1"/>
  <c r="AV78" i="22"/>
  <c r="AX80" i="22"/>
  <c r="BL80" i="22"/>
  <c r="BR80" i="22" s="1"/>
  <c r="AJ80" i="22"/>
  <c r="AP80" i="22" s="1"/>
  <c r="AF83" i="22"/>
  <c r="AL83" i="22" s="1"/>
  <c r="AT83" i="22"/>
  <c r="AV85" i="22"/>
  <c r="BJ85" i="22"/>
  <c r="BP85" i="22" s="1"/>
  <c r="AH85" i="22"/>
  <c r="AN85" i="22" s="1"/>
  <c r="AX87" i="22"/>
  <c r="BL87" i="22"/>
  <c r="BR87" i="22" s="1"/>
  <c r="AV95" i="22"/>
  <c r="BJ95" i="22"/>
  <c r="BP95" i="22" s="1"/>
  <c r="AH95" i="22"/>
  <c r="AN95" i="22" s="1"/>
  <c r="BL96" i="22"/>
  <c r="BR96" i="22" s="1"/>
  <c r="AX96" i="22"/>
  <c r="AJ96" i="22"/>
  <c r="AP96" i="22" s="1"/>
  <c r="AT99" i="22"/>
  <c r="BH99" i="22"/>
  <c r="BN99" i="22" s="1"/>
  <c r="AF99" i="22"/>
  <c r="AL99" i="22" s="1"/>
  <c r="AV101" i="22"/>
  <c r="AH101" i="22"/>
  <c r="AN101" i="22" s="1"/>
  <c r="BJ101" i="22"/>
  <c r="BP101" i="22" s="1"/>
  <c r="BL106" i="22"/>
  <c r="BR106" i="22" s="1"/>
  <c r="AX106" i="22"/>
  <c r="AJ106" i="22"/>
  <c r="AP106" i="22" s="1"/>
  <c r="BH127" i="22"/>
  <c r="BN127" i="22" s="1"/>
  <c r="AT127" i="22"/>
  <c r="AV128" i="22"/>
  <c r="BJ128" i="22"/>
  <c r="BP128" i="22" s="1"/>
  <c r="BL130" i="22"/>
  <c r="BR130" i="22" s="1"/>
  <c r="AX130" i="22"/>
  <c r="BH135" i="22"/>
  <c r="BN135" i="22" s="1"/>
  <c r="AT135" i="22"/>
  <c r="AV136" i="22"/>
  <c r="BJ136" i="22"/>
  <c r="BP136" i="22" s="1"/>
  <c r="AH136" i="22"/>
  <c r="AN136" i="22" s="1"/>
  <c r="BL140" i="22"/>
  <c r="BR140" i="22" s="1"/>
  <c r="AJ140" i="22"/>
  <c r="AP140" i="22" s="1"/>
  <c r="BH142" i="22"/>
  <c r="BN142" i="22" s="1"/>
  <c r="AF142" i="22"/>
  <c r="AL142" i="22" s="1"/>
  <c r="AT142" i="22"/>
  <c r="BJ143" i="22"/>
  <c r="BP143" i="22" s="1"/>
  <c r="AV143" i="22"/>
  <c r="AX144" i="22"/>
  <c r="BL144" i="22"/>
  <c r="BR144" i="22" s="1"/>
  <c r="AJ144" i="22"/>
  <c r="AP144" i="22" s="1"/>
  <c r="AT148" i="22"/>
  <c r="BH148" i="22"/>
  <c r="BN148" i="22" s="1"/>
  <c r="AF148" i="22"/>
  <c r="AL148" i="22" s="1"/>
  <c r="AH150" i="22"/>
  <c r="AN150" i="22" s="1"/>
  <c r="BJ150" i="22"/>
  <c r="BP150" i="22" s="1"/>
  <c r="AV150" i="22"/>
  <c r="AX151" i="22"/>
  <c r="BL151" i="22"/>
  <c r="BR151" i="22" s="1"/>
  <c r="AT153" i="22"/>
  <c r="AF153" i="22"/>
  <c r="AL153" i="22" s="1"/>
  <c r="BH153" i="22"/>
  <c r="BN153" i="22" s="1"/>
  <c r="BJ154" i="22"/>
  <c r="BP154" i="22" s="1"/>
  <c r="AH154" i="22"/>
  <c r="AN154" i="22" s="1"/>
  <c r="AG75" i="22"/>
  <c r="AM75" i="22" s="1"/>
  <c r="AF127" i="22"/>
  <c r="AL127" i="22" s="1"/>
  <c r="AF93" i="22"/>
  <c r="AL93" i="22" s="1"/>
  <c r="AS26" i="22"/>
  <c r="AV45" i="22"/>
  <c r="AT93" i="22"/>
  <c r="AJ87" i="22"/>
  <c r="AP87" i="22" s="1"/>
  <c r="AH143" i="22"/>
  <c r="AN143" i="22" s="1"/>
  <c r="AJ151" i="22"/>
  <c r="AP151" i="22" s="1"/>
  <c r="AJ48" i="22"/>
  <c r="AP48" i="22" s="1"/>
  <c r="AG92" i="22"/>
  <c r="AM92" i="22" s="1"/>
  <c r="AH61" i="22"/>
  <c r="AN61" i="22" s="1"/>
  <c r="AI26" i="22"/>
  <c r="AO26" i="22" s="1"/>
  <c r="AW50" i="22"/>
  <c r="BK87" i="22"/>
  <c r="BQ87" i="22" s="1"/>
  <c r="BI17" i="22"/>
  <c r="BO17" i="22" s="1"/>
  <c r="AG17" i="22"/>
  <c r="AM17" i="22" s="1"/>
  <c r="AU17" i="22"/>
  <c r="BK20" i="22"/>
  <c r="BQ20" i="22" s="1"/>
  <c r="AW20" i="22"/>
  <c r="BI32" i="22"/>
  <c r="BO32" i="22" s="1"/>
  <c r="AU32" i="22"/>
  <c r="AG32" i="22"/>
  <c r="AM32" i="22" s="1"/>
  <c r="AW36" i="22"/>
  <c r="BK36" i="22"/>
  <c r="BQ36" i="22" s="1"/>
  <c r="AS43" i="22"/>
  <c r="BG43" i="22"/>
  <c r="BM43" i="22" s="1"/>
  <c r="AE43" i="22"/>
  <c r="AK43" i="22" s="1"/>
  <c r="BI45" i="22"/>
  <c r="BO45" i="22" s="1"/>
  <c r="AU45" i="22"/>
  <c r="AG45" i="22"/>
  <c r="AM45" i="22" s="1"/>
  <c r="BK48" i="22"/>
  <c r="BQ48" i="22" s="1"/>
  <c r="AI48" i="22"/>
  <c r="AO48" i="22" s="1"/>
  <c r="BG50" i="22"/>
  <c r="BM50" i="22" s="1"/>
  <c r="AE50" i="22"/>
  <c r="AK50" i="22" s="1"/>
  <c r="AU51" i="22"/>
  <c r="BI51" i="22"/>
  <c r="BO51" i="22" s="1"/>
  <c r="AG51" i="22"/>
  <c r="AM51" i="22" s="1"/>
  <c r="BK54" i="22"/>
  <c r="BQ54" i="22" s="1"/>
  <c r="AW54" i="22"/>
  <c r="AI54" i="22"/>
  <c r="AO54" i="22" s="1"/>
  <c r="AS60" i="22"/>
  <c r="BG60" i="22"/>
  <c r="BM60" i="22" s="1"/>
  <c r="AU61" i="22"/>
  <c r="BI61" i="22"/>
  <c r="BO61" i="22" s="1"/>
  <c r="BK62" i="22"/>
  <c r="BQ62" i="22" s="1"/>
  <c r="AW62" i="22"/>
  <c r="AI62" i="22"/>
  <c r="AO62" i="22" s="1"/>
  <c r="AS65" i="22"/>
  <c r="BG65" i="22"/>
  <c r="BM65" i="22" s="1"/>
  <c r="AE65" i="22"/>
  <c r="AK65" i="22" s="1"/>
  <c r="BI66" i="22"/>
  <c r="BO66" i="22" s="1"/>
  <c r="AU66" i="22"/>
  <c r="BK72" i="22"/>
  <c r="BQ72" i="22" s="1"/>
  <c r="AW72" i="22"/>
  <c r="BG77" i="22"/>
  <c r="BM77" i="22" s="1"/>
  <c r="AS77" i="22"/>
  <c r="BI78" i="22"/>
  <c r="BO78" i="22" s="1"/>
  <c r="AG78" i="22"/>
  <c r="AM78" i="22" s="1"/>
  <c r="AW80" i="22"/>
  <c r="BK80" i="22"/>
  <c r="BQ80" i="22" s="1"/>
  <c r="AS83" i="22"/>
  <c r="BG83" i="22"/>
  <c r="BM83" i="22" s="1"/>
  <c r="AE83" i="22"/>
  <c r="AK83" i="22" s="1"/>
  <c r="BI85" i="22"/>
  <c r="BO85" i="22" s="1"/>
  <c r="AU85" i="22"/>
  <c r="AG85" i="22"/>
  <c r="AM85" i="22" s="1"/>
  <c r="BG93" i="22"/>
  <c r="BM93" i="22" s="1"/>
  <c r="AS93" i="22"/>
  <c r="AE93" i="22"/>
  <c r="AK93" i="22" s="1"/>
  <c r="BG96" i="22"/>
  <c r="BM96" i="22" s="1"/>
  <c r="AS96" i="22"/>
  <c r="BK99" i="22"/>
  <c r="BQ99" i="22" s="1"/>
  <c r="AW99" i="22"/>
  <c r="AI99" i="22"/>
  <c r="AO99" i="22" s="1"/>
  <c r="BG106" i="22"/>
  <c r="BM106" i="22" s="1"/>
  <c r="AS106" i="22"/>
  <c r="AU121" i="22"/>
  <c r="BI121" i="22"/>
  <c r="BO121" i="22" s="1"/>
  <c r="BK127" i="22"/>
  <c r="BQ127" i="22" s="1"/>
  <c r="AW127" i="22"/>
  <c r="BG130" i="22"/>
  <c r="BM130" i="22" s="1"/>
  <c r="AE130" i="22"/>
  <c r="AK130" i="22" s="1"/>
  <c r="AS130" i="22"/>
  <c r="BI132" i="22"/>
  <c r="BO132" i="22" s="1"/>
  <c r="AU132" i="22"/>
  <c r="AG132" i="22"/>
  <c r="AM132" i="22" s="1"/>
  <c r="BK135" i="22"/>
  <c r="BQ135" i="22" s="1"/>
  <c r="AW135" i="22"/>
  <c r="BG140" i="22"/>
  <c r="BM140" i="22" s="1"/>
  <c r="AS140" i="22"/>
  <c r="AE140" i="22"/>
  <c r="AK140" i="22" s="1"/>
  <c r="AU141" i="22"/>
  <c r="BI141" i="22"/>
  <c r="BO141" i="22" s="1"/>
  <c r="AW142" i="22"/>
  <c r="AI142" i="22"/>
  <c r="AO142" i="22" s="1"/>
  <c r="BK142" i="22"/>
  <c r="BQ142" i="22" s="1"/>
  <c r="AS144" i="22"/>
  <c r="BG144" i="22"/>
  <c r="BM144" i="22" s="1"/>
  <c r="AU145" i="22"/>
  <c r="BI145" i="22"/>
  <c r="BO145" i="22" s="1"/>
  <c r="AG145" i="22"/>
  <c r="AM145" i="22" s="1"/>
  <c r="BK148" i="22"/>
  <c r="BQ148" i="22" s="1"/>
  <c r="AI148" i="22"/>
  <c r="AO148" i="22" s="1"/>
  <c r="BI150" i="22"/>
  <c r="BO150" i="22" s="1"/>
  <c r="AU150" i="22"/>
  <c r="AG150" i="22"/>
  <c r="AM150" i="22" s="1"/>
  <c r="BK151" i="22"/>
  <c r="BQ151" i="22" s="1"/>
  <c r="AW151" i="22"/>
  <c r="AS153" i="22"/>
  <c r="BG153" i="22"/>
  <c r="BM153" i="22" s="1"/>
  <c r="BI154" i="22"/>
  <c r="BO154" i="22" s="1"/>
  <c r="AG154" i="22"/>
  <c r="AM154" i="22" s="1"/>
  <c r="AU154" i="22"/>
  <c r="AI151" i="22"/>
  <c r="AO151" i="22" s="1"/>
  <c r="AG66" i="22"/>
  <c r="AM66" i="22" s="1"/>
  <c r="AE106" i="22"/>
  <c r="AK106" i="22" s="1"/>
  <c r="AT20" i="22"/>
  <c r="BH20" i="22"/>
  <c r="BN20" i="22" s="1"/>
  <c r="AF20" i="22"/>
  <c r="AL20" i="22" s="1"/>
  <c r="BJ25" i="22"/>
  <c r="BP25" i="22" s="1"/>
  <c r="AV25" i="22"/>
  <c r="AH25" i="22"/>
  <c r="AN25" i="22" s="1"/>
  <c r="BL26" i="22"/>
  <c r="BR26" i="22" s="1"/>
  <c r="AX26" i="22"/>
  <c r="AJ26" i="22"/>
  <c r="AP26" i="22" s="1"/>
  <c r="AT36" i="22"/>
  <c r="BH36" i="22"/>
  <c r="BN36" i="22" s="1"/>
  <c r="AF36" i="22"/>
  <c r="AL36" i="22" s="1"/>
  <c r="AV39" i="22"/>
  <c r="BJ39" i="22"/>
  <c r="BP39" i="22" s="1"/>
  <c r="AX43" i="22"/>
  <c r="BL43" i="22"/>
  <c r="BR43" i="22" s="1"/>
  <c r="BH48" i="22"/>
  <c r="BN48" i="22" s="1"/>
  <c r="AT48" i="22"/>
  <c r="BJ49" i="22"/>
  <c r="BP49" i="22" s="1"/>
  <c r="AV49" i="22"/>
  <c r="AH49" i="22"/>
  <c r="AN49" i="22" s="1"/>
  <c r="BL50" i="22"/>
  <c r="BR50" i="22" s="1"/>
  <c r="AJ50" i="22"/>
  <c r="AP50" i="22" s="1"/>
  <c r="AX50" i="22"/>
  <c r="BH54" i="22"/>
  <c r="BN54" i="22" s="1"/>
  <c r="AT54" i="22"/>
  <c r="BJ55" i="22"/>
  <c r="BP55" i="22" s="1"/>
  <c r="AV55" i="22"/>
  <c r="AX60" i="22"/>
  <c r="BL60" i="22"/>
  <c r="BR60" i="22" s="1"/>
  <c r="BH62" i="22"/>
  <c r="BN62" i="22" s="1"/>
  <c r="AF62" i="22"/>
  <c r="AL62" i="22" s="1"/>
  <c r="BJ64" i="22"/>
  <c r="BP64" i="22" s="1"/>
  <c r="AV64" i="22"/>
  <c r="AH64" i="22"/>
  <c r="AN64" i="22" s="1"/>
  <c r="BL65" i="22"/>
  <c r="BR65" i="22" s="1"/>
  <c r="AX65" i="22"/>
  <c r="AJ65" i="22"/>
  <c r="AP65" i="22" s="1"/>
  <c r="BH72" i="22"/>
  <c r="BN72" i="22" s="1"/>
  <c r="AT72" i="22"/>
  <c r="AV75" i="22"/>
  <c r="BJ75" i="22"/>
  <c r="BP75" i="22" s="1"/>
  <c r="BL77" i="22"/>
  <c r="BR77" i="22" s="1"/>
  <c r="AX77" i="22"/>
  <c r="AJ77" i="22"/>
  <c r="AP77" i="22" s="1"/>
  <c r="AT80" i="22"/>
  <c r="BH80" i="22"/>
  <c r="BN80" i="22" s="1"/>
  <c r="BJ81" i="22"/>
  <c r="BP81" i="22" s="1"/>
  <c r="AV81" i="22"/>
  <c r="AX83" i="22"/>
  <c r="BL83" i="22"/>
  <c r="BR83" i="22" s="1"/>
  <c r="AJ83" i="22"/>
  <c r="AP83" i="22" s="1"/>
  <c r="AT87" i="22"/>
  <c r="BH87" i="22"/>
  <c r="BN87" i="22" s="1"/>
  <c r="AV92" i="22"/>
  <c r="BJ92" i="22"/>
  <c r="BP92" i="22" s="1"/>
  <c r="BL93" i="22"/>
  <c r="BR93" i="22" s="1"/>
  <c r="AX93" i="22"/>
  <c r="AT96" i="22"/>
  <c r="BH96" i="22"/>
  <c r="BN96" i="22" s="1"/>
  <c r="AF96" i="22"/>
  <c r="AL96" i="22" s="1"/>
  <c r="BL99" i="22"/>
  <c r="BR99" i="22" s="1"/>
  <c r="AX99" i="22"/>
  <c r="AJ99" i="22"/>
  <c r="AP99" i="22" s="1"/>
  <c r="BH106" i="22"/>
  <c r="BN106" i="22" s="1"/>
  <c r="AT106" i="22"/>
  <c r="AF106" i="22"/>
  <c r="AL106" i="22" s="1"/>
  <c r="AV121" i="22"/>
  <c r="BJ121" i="22"/>
  <c r="BP121" i="22" s="1"/>
  <c r="AH121" i="22"/>
  <c r="AN121" i="22" s="1"/>
  <c r="BL127" i="22"/>
  <c r="BR127" i="22" s="1"/>
  <c r="AX127" i="22"/>
  <c r="BH130" i="22"/>
  <c r="BN130" i="22" s="1"/>
  <c r="AT130" i="22"/>
  <c r="BJ132" i="22"/>
  <c r="BP132" i="22" s="1"/>
  <c r="AH132" i="22"/>
  <c r="AN132" i="22" s="1"/>
  <c r="BL135" i="22"/>
  <c r="BR135" i="22" s="1"/>
  <c r="AX135" i="22"/>
  <c r="BH140" i="22"/>
  <c r="BN140" i="22" s="1"/>
  <c r="AF140" i="22"/>
  <c r="AL140" i="22" s="1"/>
  <c r="AT140" i="22"/>
  <c r="AV141" i="22"/>
  <c r="BJ141" i="22"/>
  <c r="BP141" i="22" s="1"/>
  <c r="AH141" i="22"/>
  <c r="AN141" i="22" s="1"/>
  <c r="BL142" i="22"/>
  <c r="BR142" i="22" s="1"/>
  <c r="AJ142" i="22"/>
  <c r="AP142" i="22" s="1"/>
  <c r="AT144" i="22"/>
  <c r="BH144" i="22"/>
  <c r="BN144" i="22" s="1"/>
  <c r="AF144" i="22"/>
  <c r="AL144" i="22" s="1"/>
  <c r="AV145" i="22"/>
  <c r="BJ145" i="22"/>
  <c r="BP145" i="22" s="1"/>
  <c r="AH145" i="22"/>
  <c r="AN145" i="22" s="1"/>
  <c r="BL148" i="22"/>
  <c r="BR148" i="22" s="1"/>
  <c r="AX148" i="22"/>
  <c r="AJ148" i="22"/>
  <c r="AP148" i="22" s="1"/>
  <c r="BH151" i="22"/>
  <c r="BN151" i="22" s="1"/>
  <c r="AT151" i="22"/>
  <c r="AV152" i="22"/>
  <c r="BJ152" i="22"/>
  <c r="BP152" i="22" s="1"/>
  <c r="AH152" i="22"/>
  <c r="AN152" i="22" s="1"/>
  <c r="AX153" i="22"/>
  <c r="AJ153" i="22"/>
  <c r="AP153" i="22" s="1"/>
  <c r="BL153" i="22"/>
  <c r="BR153" i="22" s="1"/>
  <c r="AF43" i="22"/>
  <c r="AL43" i="22" s="1"/>
  <c r="AE87" i="22"/>
  <c r="AK87" i="22" s="1"/>
  <c r="AI135" i="22"/>
  <c r="AO135" i="22" s="1"/>
  <c r="AE151" i="22"/>
  <c r="AK151" i="22" s="1"/>
  <c r="AG39" i="22"/>
  <c r="AM39" i="22" s="1"/>
  <c r="AG55" i="22"/>
  <c r="AM55" i="22" s="1"/>
  <c r="AF87" i="22"/>
  <c r="AL87" i="22" s="1"/>
  <c r="AI127" i="22"/>
  <c r="AO127" i="22" s="1"/>
  <c r="AF135" i="22"/>
  <c r="AL135" i="22" s="1"/>
  <c r="AF151" i="22"/>
  <c r="AL151" i="22" s="1"/>
  <c r="AG141" i="22"/>
  <c r="AM141" i="22" s="1"/>
  <c r="AE20" i="22"/>
  <c r="AK20" i="22" s="1"/>
  <c r="AE36" i="22"/>
  <c r="AK36" i="22" s="1"/>
  <c r="AF48" i="22"/>
  <c r="AL48" i="22" s="1"/>
  <c r="AI60" i="22"/>
  <c r="AO60" i="22" s="1"/>
  <c r="AI80" i="22"/>
  <c r="AO80" i="22" s="1"/>
  <c r="AH128" i="22"/>
  <c r="AN128" i="22" s="1"/>
  <c r="AI140" i="22"/>
  <c r="AO140" i="22" s="1"/>
  <c r="AG61" i="22"/>
  <c r="AM61" i="22" s="1"/>
  <c r="AE26" i="22"/>
  <c r="AK26" i="22" s="1"/>
  <c r="AG81" i="22"/>
  <c r="AM81" i="22" s="1"/>
  <c r="AS50" i="22"/>
  <c r="AW130" i="22"/>
  <c r="AV154" i="22"/>
  <c r="AV132" i="22"/>
  <c r="BG151" i="22"/>
  <c r="BM151" i="22" s="1"/>
  <c r="BG17" i="22"/>
  <c r="BM17" i="22" s="1"/>
  <c r="AS17" i="22"/>
  <c r="AE17" i="22"/>
  <c r="AK17" i="22" s="1"/>
  <c r="BK17" i="22"/>
  <c r="BQ17" i="22" s="1"/>
  <c r="AI17" i="22"/>
  <c r="AO17" i="22" s="1"/>
  <c r="AW17" i="22"/>
  <c r="AU20" i="22"/>
  <c r="BI20" i="22"/>
  <c r="BO20" i="22" s="1"/>
  <c r="BG25" i="22"/>
  <c r="BM25" i="22" s="1"/>
  <c r="AS25" i="22"/>
  <c r="AE25" i="22"/>
  <c r="AK25" i="22" s="1"/>
  <c r="BK25" i="22"/>
  <c r="BQ25" i="22" s="1"/>
  <c r="AW25" i="22"/>
  <c r="AI25" i="22"/>
  <c r="AO25" i="22" s="1"/>
  <c r="AU36" i="22"/>
  <c r="BI36" i="22"/>
  <c r="BO36" i="22" s="1"/>
  <c r="AW39" i="22"/>
  <c r="BK39" i="22"/>
  <c r="BQ39" i="22" s="1"/>
  <c r="AU43" i="22"/>
  <c r="BI43" i="22"/>
  <c r="BO43" i="22" s="1"/>
  <c r="BG45" i="22"/>
  <c r="BM45" i="22" s="1"/>
  <c r="AS45" i="22"/>
  <c r="AS49" i="22"/>
  <c r="BG49" i="22"/>
  <c r="BM49" i="22" s="1"/>
  <c r="AE49" i="22"/>
  <c r="AK49" i="22" s="1"/>
  <c r="AW49" i="22"/>
  <c r="BK49" i="22"/>
  <c r="BQ49" i="22" s="1"/>
  <c r="AI49" i="22"/>
  <c r="AO49" i="22" s="1"/>
  <c r="BI50" i="22"/>
  <c r="BO50" i="22" s="1"/>
  <c r="AU50" i="22"/>
  <c r="AS51" i="22"/>
  <c r="BG51" i="22"/>
  <c r="BM51" i="22" s="1"/>
  <c r="BI54" i="22"/>
  <c r="BO54" i="22" s="1"/>
  <c r="AG54" i="22"/>
  <c r="AM54" i="22" s="1"/>
  <c r="BG55" i="22"/>
  <c r="BM55" i="22" s="1"/>
  <c r="AS55" i="22"/>
  <c r="BK55" i="22"/>
  <c r="BQ55" i="22" s="1"/>
  <c r="AW55" i="22"/>
  <c r="AU60" i="22"/>
  <c r="BI60" i="22"/>
  <c r="BO60" i="22" s="1"/>
  <c r="AS61" i="22"/>
  <c r="BG61" i="22"/>
  <c r="BM61" i="22" s="1"/>
  <c r="AE61" i="22"/>
  <c r="AK61" i="22" s="1"/>
  <c r="AW61" i="22"/>
  <c r="BK61" i="22"/>
  <c r="BQ61" i="22" s="1"/>
  <c r="AI61" i="22"/>
  <c r="AO61" i="22" s="1"/>
  <c r="BI62" i="22"/>
  <c r="BO62" i="22" s="1"/>
  <c r="AG62" i="22"/>
  <c r="AM62" i="22" s="1"/>
  <c r="BK66" i="22"/>
  <c r="BQ66" i="22" s="1"/>
  <c r="AI66" i="22"/>
  <c r="AO66" i="22" s="1"/>
  <c r="AS75" i="22"/>
  <c r="BG75" i="22"/>
  <c r="BM75" i="22" s="1"/>
  <c r="AW75" i="22"/>
  <c r="BK75" i="22"/>
  <c r="BQ75" i="22" s="1"/>
  <c r="BI77" i="22"/>
  <c r="BO77" i="22" s="1"/>
  <c r="AU77" i="22"/>
  <c r="AG77" i="22"/>
  <c r="AM77" i="22" s="1"/>
  <c r="BG78" i="22"/>
  <c r="BM78" i="22" s="1"/>
  <c r="AS78" i="22"/>
  <c r="AE78" i="22"/>
  <c r="AK78" i="22" s="1"/>
  <c r="BK78" i="22"/>
  <c r="BQ78" i="22" s="1"/>
  <c r="AW78" i="22"/>
  <c r="AU80" i="22"/>
  <c r="BI80" i="22"/>
  <c r="BO80" i="22" s="1"/>
  <c r="AS81" i="22"/>
  <c r="BG81" i="22"/>
  <c r="BM81" i="22" s="1"/>
  <c r="AE81" i="22"/>
  <c r="AK81" i="22" s="1"/>
  <c r="BK81" i="22"/>
  <c r="BQ81" i="22" s="1"/>
  <c r="AW81" i="22"/>
  <c r="AI81" i="22"/>
  <c r="AO81" i="22" s="1"/>
  <c r="AU83" i="22"/>
  <c r="BI83" i="22"/>
  <c r="BO83" i="22" s="1"/>
  <c r="BG85" i="22"/>
  <c r="BM85" i="22" s="1"/>
  <c r="AS85" i="22"/>
  <c r="AE85" i="22"/>
  <c r="AK85" i="22" s="1"/>
  <c r="BK85" i="22"/>
  <c r="BQ85" i="22" s="1"/>
  <c r="AW85" i="22"/>
  <c r="AI85" i="22"/>
  <c r="AO85" i="22" s="1"/>
  <c r="BK92" i="22"/>
  <c r="BQ92" i="22" s="1"/>
  <c r="AW92" i="22"/>
  <c r="BI93" i="22"/>
  <c r="BO93" i="22" s="1"/>
  <c r="AU93" i="22"/>
  <c r="AG93" i="22"/>
  <c r="AM93" i="22" s="1"/>
  <c r="AW95" i="22"/>
  <c r="BK95" i="22"/>
  <c r="BQ95" i="22" s="1"/>
  <c r="AU96" i="22"/>
  <c r="BI96" i="22"/>
  <c r="BO96" i="22" s="1"/>
  <c r="AU99" i="22"/>
  <c r="BI99" i="22"/>
  <c r="BO99" i="22" s="1"/>
  <c r="AW101" i="22"/>
  <c r="BK101" i="22"/>
  <c r="BQ101" i="22" s="1"/>
  <c r="BI106" i="22"/>
  <c r="BO106" i="22" s="1"/>
  <c r="AG106" i="22"/>
  <c r="AM106" i="22" s="1"/>
  <c r="AS121" i="22"/>
  <c r="BG121" i="22"/>
  <c r="BM121" i="22" s="1"/>
  <c r="AW121" i="22"/>
  <c r="AI121" i="22"/>
  <c r="AO121" i="22" s="1"/>
  <c r="BI127" i="22"/>
  <c r="BO127" i="22" s="1"/>
  <c r="AU127" i="22"/>
  <c r="AS128" i="22"/>
  <c r="BG128" i="22"/>
  <c r="BM128" i="22" s="1"/>
  <c r="BK128" i="22"/>
  <c r="BQ128" i="22" s="1"/>
  <c r="AI128" i="22"/>
  <c r="AO128" i="22" s="1"/>
  <c r="AW128" i="22"/>
  <c r="BI130" i="22"/>
  <c r="BO130" i="22" s="1"/>
  <c r="AG130" i="22"/>
  <c r="AM130" i="22" s="1"/>
  <c r="BG132" i="22"/>
  <c r="BM132" i="22" s="1"/>
  <c r="AE132" i="22"/>
  <c r="AK132" i="22" s="1"/>
  <c r="BI135" i="22"/>
  <c r="BO135" i="22" s="1"/>
  <c r="AU135" i="22"/>
  <c r="AW136" i="22"/>
  <c r="BK136" i="22"/>
  <c r="BQ136" i="22" s="1"/>
  <c r="AI136" i="22"/>
  <c r="AO136" i="22" s="1"/>
  <c r="BI140" i="22"/>
  <c r="BO140" i="22" s="1"/>
  <c r="AU140" i="22"/>
  <c r="AS141" i="22"/>
  <c r="BG141" i="22"/>
  <c r="BM141" i="22" s="1"/>
  <c r="AW141" i="22"/>
  <c r="BK141" i="22"/>
  <c r="BQ141" i="22" s="1"/>
  <c r="BI142" i="22"/>
  <c r="BO142" i="22" s="1"/>
  <c r="AU142" i="22"/>
  <c r="BG143" i="22"/>
  <c r="BM143" i="22" s="1"/>
  <c r="AS143" i="22"/>
  <c r="BK143" i="22"/>
  <c r="BQ143" i="22" s="1"/>
  <c r="AW143" i="22"/>
  <c r="AU144" i="22"/>
  <c r="BI144" i="22"/>
  <c r="BO144" i="22" s="1"/>
  <c r="AG144" i="22"/>
  <c r="AM144" i="22" s="1"/>
  <c r="AS145" i="22"/>
  <c r="BG145" i="22"/>
  <c r="BM145" i="22" s="1"/>
  <c r="AE145" i="22"/>
  <c r="AK145" i="22" s="1"/>
  <c r="AW145" i="22"/>
  <c r="BK145" i="22"/>
  <c r="BQ145" i="22" s="1"/>
  <c r="AI145" i="22"/>
  <c r="AO145" i="22" s="1"/>
  <c r="BG150" i="22"/>
  <c r="BM150" i="22" s="1"/>
  <c r="AS150" i="22"/>
  <c r="AE150" i="22"/>
  <c r="AK150" i="22" s="1"/>
  <c r="BK150" i="22"/>
  <c r="BQ150" i="22" s="1"/>
  <c r="AW150" i="22"/>
  <c r="BI151" i="22"/>
  <c r="BO151" i="22" s="1"/>
  <c r="AU151" i="22"/>
  <c r="AW152" i="22"/>
  <c r="BK152" i="22"/>
  <c r="BQ152" i="22" s="1"/>
  <c r="AI152" i="22"/>
  <c r="AO152" i="22" s="1"/>
  <c r="BI153" i="22"/>
  <c r="BO153" i="22" s="1"/>
  <c r="AG153" i="22"/>
  <c r="AM153" i="22" s="1"/>
  <c r="BK154" i="22"/>
  <c r="BQ154" i="22" s="1"/>
  <c r="AI154" i="22"/>
  <c r="AO154" i="22" s="1"/>
  <c r="W110" i="22"/>
  <c r="AA110" i="22"/>
  <c r="AJ39" i="22"/>
  <c r="AP39" i="22" s="1"/>
  <c r="AI51" i="22"/>
  <c r="AO51" i="22" s="1"/>
  <c r="AE75" i="22"/>
  <c r="AK75" i="22" s="1"/>
  <c r="AE143" i="22"/>
  <c r="AK143" i="22" s="1"/>
  <c r="AG151" i="22"/>
  <c r="AM151" i="22" s="1"/>
  <c r="AJ141" i="22"/>
  <c r="AP141" i="22" s="1"/>
  <c r="AI32" i="22"/>
  <c r="AO32" i="22" s="1"/>
  <c r="AG48" i="22"/>
  <c r="AM48" i="22" s="1"/>
  <c r="AG60" i="22"/>
  <c r="AM60" i="22" s="1"/>
  <c r="AE64" i="22"/>
  <c r="AK64" i="22" s="1"/>
  <c r="AG72" i="22"/>
  <c r="AM72" i="22" s="1"/>
  <c r="AG80" i="22"/>
  <c r="AM80" i="22" s="1"/>
  <c r="AF92" i="22"/>
  <c r="AL92" i="22" s="1"/>
  <c r="AG96" i="22"/>
  <c r="AM96" i="22" s="1"/>
  <c r="AE136" i="22"/>
  <c r="AK136" i="22" s="1"/>
  <c r="AE152" i="22"/>
  <c r="AK152" i="22" s="1"/>
  <c r="AJ101" i="22"/>
  <c r="AP101" i="22" s="1"/>
  <c r="AG26" i="22"/>
  <c r="AM26" i="22" s="1"/>
  <c r="AE66" i="22"/>
  <c r="AK66" i="22" s="1"/>
  <c r="AG142" i="22"/>
  <c r="AM142" i="22" s="1"/>
  <c r="AJ154" i="22"/>
  <c r="AP154" i="22" s="1"/>
  <c r="AU26" i="22"/>
  <c r="AX66" i="22"/>
  <c r="AV130" i="22"/>
  <c r="AX150" i="22"/>
  <c r="AW154" i="22"/>
  <c r="AW64" i="22"/>
  <c r="AT92" i="22"/>
  <c r="AW132" i="22"/>
  <c r="BH75" i="22"/>
  <c r="BN75" i="22" s="1"/>
  <c r="BG95" i="22"/>
  <c r="BM95" i="22" s="1"/>
  <c r="BL145" i="22"/>
  <c r="BR145" i="22" s="1"/>
  <c r="AT25" i="22"/>
  <c r="BJ26" i="22"/>
  <c r="BP26" i="22" s="1"/>
  <c r="BI48" i="22"/>
  <c r="BO48" i="22" s="1"/>
  <c r="BG136" i="22"/>
  <c r="BM136" i="22" s="1"/>
  <c r="BH17" i="22"/>
  <c r="BN17" i="22" s="1"/>
  <c r="AT17" i="22"/>
  <c r="AV20" i="22"/>
  <c r="BJ20" i="22"/>
  <c r="BP20" i="22" s="1"/>
  <c r="BL25" i="22"/>
  <c r="BR25" i="22" s="1"/>
  <c r="AX25" i="22"/>
  <c r="BL32" i="22"/>
  <c r="BR32" i="22" s="1"/>
  <c r="AX32" i="22"/>
  <c r="AV36" i="22"/>
  <c r="BJ36" i="22"/>
  <c r="BP36" i="22" s="1"/>
  <c r="AV43" i="22"/>
  <c r="BJ43" i="22"/>
  <c r="BP43" i="22" s="1"/>
  <c r="BH45" i="22"/>
  <c r="BN45" i="22" s="1"/>
  <c r="AF45" i="22"/>
  <c r="AL45" i="22" s="1"/>
  <c r="AT45" i="22"/>
  <c r="BL45" i="22"/>
  <c r="BR45" i="22" s="1"/>
  <c r="AX45" i="22"/>
  <c r="AJ45" i="22"/>
  <c r="AP45" i="22" s="1"/>
  <c r="BJ48" i="22"/>
  <c r="BP48" i="22" s="1"/>
  <c r="AV48" i="22"/>
  <c r="BH49" i="22"/>
  <c r="BN49" i="22" s="1"/>
  <c r="AT49" i="22"/>
  <c r="BL49" i="22"/>
  <c r="BR49" i="22" s="1"/>
  <c r="AX49" i="22"/>
  <c r="AH54" i="22"/>
  <c r="AN54" i="22" s="1"/>
  <c r="BJ54" i="22"/>
  <c r="BP54" i="22" s="1"/>
  <c r="AV54" i="22"/>
  <c r="AT55" i="22"/>
  <c r="BH55" i="22"/>
  <c r="BN55" i="22" s="1"/>
  <c r="BL55" i="22"/>
  <c r="BR55" i="22" s="1"/>
  <c r="AX55" i="22"/>
  <c r="BJ60" i="22"/>
  <c r="BP60" i="22" s="1"/>
  <c r="AV60" i="22"/>
  <c r="AT61" i="22"/>
  <c r="AF61" i="22"/>
  <c r="AL61" i="22" s="1"/>
  <c r="BH61" i="22"/>
  <c r="BN61" i="22" s="1"/>
  <c r="AX61" i="22"/>
  <c r="AJ61" i="22"/>
  <c r="AP61" i="22" s="1"/>
  <c r="BJ62" i="22"/>
  <c r="BP62" i="22" s="1"/>
  <c r="AV62" i="22"/>
  <c r="AH62" i="22"/>
  <c r="AN62" i="22" s="1"/>
  <c r="AV65" i="22"/>
  <c r="BJ65" i="22"/>
  <c r="BP65" i="22" s="1"/>
  <c r="BH66" i="22"/>
  <c r="BN66" i="22" s="1"/>
  <c r="AT66" i="22"/>
  <c r="AF66" i="22"/>
  <c r="AL66" i="22" s="1"/>
  <c r="AX75" i="22"/>
  <c r="BL75" i="22"/>
  <c r="BR75" i="22" s="1"/>
  <c r="BJ77" i="22"/>
  <c r="BP77" i="22" s="1"/>
  <c r="AH77" i="22"/>
  <c r="AN77" i="22" s="1"/>
  <c r="AX78" i="22"/>
  <c r="AJ78" i="22"/>
  <c r="AP78" i="22" s="1"/>
  <c r="AV80" i="22"/>
  <c r="BJ80" i="22"/>
  <c r="BP80" i="22" s="1"/>
  <c r="AT81" i="22"/>
  <c r="BH81" i="22"/>
  <c r="BN81" i="22" s="1"/>
  <c r="AF81" i="22"/>
  <c r="AL81" i="22" s="1"/>
  <c r="BL81" i="22"/>
  <c r="BR81" i="22" s="1"/>
  <c r="AX81" i="22"/>
  <c r="AJ81" i="22"/>
  <c r="AP81" i="22" s="1"/>
  <c r="BH85" i="22"/>
  <c r="BN85" i="22" s="1"/>
  <c r="AF85" i="22"/>
  <c r="AL85" i="22" s="1"/>
  <c r="BL85" i="22"/>
  <c r="BR85" i="22" s="1"/>
  <c r="AJ85" i="22"/>
  <c r="AP85" i="22" s="1"/>
  <c r="AV87" i="22"/>
  <c r="BJ87" i="22"/>
  <c r="BP87" i="22" s="1"/>
  <c r="BJ93" i="22"/>
  <c r="BP93" i="22" s="1"/>
  <c r="AV93" i="22"/>
  <c r="AH93" i="22"/>
  <c r="AN93" i="22" s="1"/>
  <c r="AX95" i="22"/>
  <c r="BL95" i="22"/>
  <c r="BR95" i="22" s="1"/>
  <c r="AV96" i="22"/>
  <c r="BJ96" i="22"/>
  <c r="BP96" i="22" s="1"/>
  <c r="BJ99" i="22"/>
  <c r="BP99" i="22" s="1"/>
  <c r="AV99" i="22"/>
  <c r="AT101" i="22"/>
  <c r="BH101" i="22"/>
  <c r="BN101" i="22" s="1"/>
  <c r="AT121" i="22"/>
  <c r="AF121" i="22"/>
  <c r="AL121" i="22" s="1"/>
  <c r="BH121" i="22"/>
  <c r="BN121" i="22" s="1"/>
  <c r="AX121" i="22"/>
  <c r="AJ121" i="22"/>
  <c r="AP121" i="22" s="1"/>
  <c r="BJ127" i="22"/>
  <c r="BP127" i="22" s="1"/>
  <c r="AV127" i="22"/>
  <c r="AT128" i="22"/>
  <c r="BH128" i="22"/>
  <c r="BN128" i="22" s="1"/>
  <c r="AX128" i="22"/>
  <c r="BL128" i="22"/>
  <c r="BR128" i="22" s="1"/>
  <c r="AT132" i="22"/>
  <c r="AF132" i="22"/>
  <c r="AL132" i="22" s="1"/>
  <c r="BL132" i="22"/>
  <c r="BR132" i="22" s="1"/>
  <c r="AX132" i="22"/>
  <c r="AJ132" i="22"/>
  <c r="AP132" i="22" s="1"/>
  <c r="AT136" i="22"/>
  <c r="BH136" i="22"/>
  <c r="BN136" i="22" s="1"/>
  <c r="BL136" i="22"/>
  <c r="BR136" i="22" s="1"/>
  <c r="AX136" i="22"/>
  <c r="BJ140" i="22"/>
  <c r="BP140" i="22" s="1"/>
  <c r="AH140" i="22"/>
  <c r="AN140" i="22" s="1"/>
  <c r="AV140" i="22"/>
  <c r="AH142" i="22"/>
  <c r="AN142" i="22" s="1"/>
  <c r="AV142" i="22"/>
  <c r="BH143" i="22"/>
  <c r="BN143" i="22" s="1"/>
  <c r="AT143" i="22"/>
  <c r="BL143" i="22"/>
  <c r="BR143" i="22" s="1"/>
  <c r="AX143" i="22"/>
  <c r="BJ144" i="22"/>
  <c r="BP144" i="22" s="1"/>
  <c r="AV144" i="22"/>
  <c r="AT145" i="22"/>
  <c r="AF145" i="22"/>
  <c r="AL145" i="22" s="1"/>
  <c r="BJ148" i="22"/>
  <c r="BP148" i="22" s="1"/>
  <c r="AH148" i="22"/>
  <c r="AN148" i="22" s="1"/>
  <c r="BH150" i="22"/>
  <c r="BN150" i="22" s="1"/>
  <c r="AF150" i="22"/>
  <c r="AL150" i="22" s="1"/>
  <c r="BJ151" i="22"/>
  <c r="BP151" i="22" s="1"/>
  <c r="AV151" i="22"/>
  <c r="BH154" i="22"/>
  <c r="BN154" i="22" s="1"/>
  <c r="AT154" i="22"/>
  <c r="AF39" i="22"/>
  <c r="AL39" i="22" s="1"/>
  <c r="AG43" i="22"/>
  <c r="AM43" i="22" s="1"/>
  <c r="AE51" i="22"/>
  <c r="AK51" i="22" s="1"/>
  <c r="AF55" i="22"/>
  <c r="AL55" i="22" s="1"/>
  <c r="AI75" i="22"/>
  <c r="AO75" i="22" s="1"/>
  <c r="AF75" i="22"/>
  <c r="AL75" i="22" s="1"/>
  <c r="AG87" i="22"/>
  <c r="AM87" i="22" s="1"/>
  <c r="AG127" i="22"/>
  <c r="AM127" i="22" s="1"/>
  <c r="AG135" i="22"/>
  <c r="AM135" i="22" s="1"/>
  <c r="AH151" i="22"/>
  <c r="AN151" i="22" s="1"/>
  <c r="AI141" i="22"/>
  <c r="AO141" i="22" s="1"/>
  <c r="AF141" i="22"/>
  <c r="AL141" i="22" s="1"/>
  <c r="AE32" i="22"/>
  <c r="AK32" i="22" s="1"/>
  <c r="AH48" i="22"/>
  <c r="AN48" i="22" s="1"/>
  <c r="AH60" i="22"/>
  <c r="AN60" i="22" s="1"/>
  <c r="AJ64" i="22"/>
  <c r="AP64" i="22" s="1"/>
  <c r="AH72" i="22"/>
  <c r="AN72" i="22" s="1"/>
  <c r="AH80" i="22"/>
  <c r="AN80" i="22" s="1"/>
  <c r="AI92" i="22"/>
  <c r="AO92" i="22" s="1"/>
  <c r="AJ128" i="22"/>
  <c r="AP128" i="22" s="1"/>
  <c r="AI132" i="22"/>
  <c r="AO132" i="22" s="1"/>
  <c r="AF25" i="22"/>
  <c r="AL25" i="22" s="1"/>
  <c r="AF101" i="22"/>
  <c r="AL101" i="22" s="1"/>
  <c r="AJ145" i="22"/>
  <c r="AP145" i="22" s="1"/>
  <c r="AH26" i="22"/>
  <c r="AN26" i="22" s="1"/>
  <c r="AI78" i="22"/>
  <c r="AO78" i="22" s="1"/>
  <c r="AH130" i="22"/>
  <c r="AN130" i="22" s="1"/>
  <c r="AG65" i="22"/>
  <c r="AM65" i="22" s="1"/>
  <c r="AU54" i="22"/>
  <c r="AU130" i="22"/>
  <c r="AT150" i="22"/>
  <c r="AS154" i="22"/>
  <c r="AS64" i="22"/>
  <c r="AS132" i="22"/>
  <c r="AU148" i="22"/>
  <c r="BI87" i="22"/>
  <c r="BO87" i="22" s="1"/>
  <c r="BL101" i="22"/>
  <c r="BR101" i="22" s="1"/>
  <c r="BH145" i="22"/>
  <c r="BN145" i="22" s="1"/>
  <c r="AX85" i="22"/>
  <c r="BH32" i="22"/>
  <c r="BN32" i="22" s="1"/>
  <c r="BI148" i="22"/>
  <c r="BO148" i="22" s="1"/>
  <c r="AT51" i="22"/>
  <c r="AV135" i="22"/>
  <c r="BM32" i="22"/>
  <c r="BQ64" i="22"/>
  <c r="BM66" i="22"/>
  <c r="BO72" i="22"/>
  <c r="BR17" i="22"/>
  <c r="BN25" i="22"/>
  <c r="BR39" i="22"/>
  <c r="BN51" i="22"/>
  <c r="BR64" i="22"/>
  <c r="BR66" i="22"/>
  <c r="BR78" i="22"/>
  <c r="BP83" i="22"/>
  <c r="BN92" i="22"/>
  <c r="BN132" i="22"/>
  <c r="BP135" i="22"/>
  <c r="BR141" i="22"/>
  <c r="BP142" i="22"/>
  <c r="BR150" i="22"/>
  <c r="BN152" i="22"/>
  <c r="BR152" i="22"/>
  <c r="BP153" i="22"/>
  <c r="BM26" i="22"/>
  <c r="BQ26" i="22"/>
  <c r="BO26" i="22"/>
  <c r="BQ32" i="22"/>
  <c r="BM39" i="22"/>
  <c r="BQ45" i="22"/>
  <c r="BM64" i="22"/>
  <c r="BM92" i="22"/>
  <c r="BQ121" i="22"/>
  <c r="BQ132" i="22"/>
  <c r="BM154" i="22"/>
  <c r="BR61" i="22"/>
  <c r="BN64" i="22"/>
  <c r="BP72" i="22"/>
  <c r="BR92" i="22"/>
  <c r="BP106" i="22"/>
  <c r="BR121" i="22"/>
  <c r="BP130" i="22"/>
  <c r="BN83" i="22"/>
  <c r="BN93" i="22"/>
  <c r="Z73" i="22"/>
  <c r="Z110" i="22"/>
  <c r="Y110" i="22"/>
  <c r="Z11" i="22"/>
  <c r="X13" i="22"/>
  <c r="AB13" i="22"/>
  <c r="Z14" i="22"/>
  <c r="X15" i="22"/>
  <c r="AB15" i="22"/>
  <c r="X16" i="22"/>
  <c r="AB16" i="22"/>
  <c r="Z18" i="22"/>
  <c r="X19" i="22"/>
  <c r="AB19" i="22"/>
  <c r="Z21" i="22"/>
  <c r="Z34" i="22"/>
  <c r="X35" i="22"/>
  <c r="AB35" i="22"/>
  <c r="Z37" i="22"/>
  <c r="X38" i="22"/>
  <c r="AB38" i="22"/>
  <c r="Z40" i="22"/>
  <c r="X42" i="22"/>
  <c r="AB42" i="22"/>
  <c r="X53" i="22"/>
  <c r="AB53" i="22"/>
  <c r="X57" i="22"/>
  <c r="AB57" i="22"/>
  <c r="X59" i="22"/>
  <c r="AB59" i="22"/>
  <c r="X67" i="22"/>
  <c r="AB67" i="22"/>
  <c r="X71" i="22"/>
  <c r="AB71" i="22"/>
  <c r="Z71" i="22"/>
  <c r="Z74" i="22"/>
  <c r="Z88" i="22"/>
  <c r="X89" i="22"/>
  <c r="AB89" i="22"/>
  <c r="Z90" i="22"/>
  <c r="Z94" i="22"/>
  <c r="Z103" i="22"/>
  <c r="Z109" i="22"/>
  <c r="W114" i="22"/>
  <c r="AA114" i="22"/>
  <c r="W116" i="22"/>
  <c r="AA116" i="22"/>
  <c r="AA120" i="22"/>
  <c r="Y122" i="22"/>
  <c r="W82" i="22"/>
  <c r="AA82" i="22"/>
  <c r="Y84" i="22"/>
  <c r="W108" i="22"/>
  <c r="AA108" i="22"/>
  <c r="Y118" i="22"/>
  <c r="W119" i="22"/>
  <c r="AA119" i="22"/>
  <c r="Y134" i="22"/>
  <c r="Y73" i="22"/>
  <c r="Z112" i="22"/>
  <c r="X115" i="22"/>
  <c r="AB115" i="22"/>
  <c r="X117" i="22"/>
  <c r="AB117" i="22"/>
  <c r="Z120" i="22"/>
  <c r="AB122" i="22"/>
  <c r="Z125" i="22"/>
  <c r="AB125" i="22"/>
  <c r="X126" i="22"/>
  <c r="AB126" i="22"/>
  <c r="AB133" i="22"/>
  <c r="X41" i="22"/>
  <c r="AB41" i="22"/>
  <c r="Z46" i="22"/>
  <c r="X68" i="22"/>
  <c r="AB68" i="22"/>
  <c r="AA22" i="22"/>
  <c r="W5" i="22"/>
  <c r="AA5" i="22"/>
  <c r="Y6" i="22"/>
  <c r="W9" i="22"/>
  <c r="AA9" i="22"/>
  <c r="Y10" i="22"/>
  <c r="W11" i="22"/>
  <c r="AA11" i="22"/>
  <c r="Y13" i="22"/>
  <c r="Y15" i="22"/>
  <c r="Y23" i="22"/>
  <c r="W24" i="22"/>
  <c r="AA24" i="22"/>
  <c r="Y27" i="22"/>
  <c r="W28" i="22"/>
  <c r="AA28" i="22"/>
  <c r="Y29" i="22"/>
  <c r="W30" i="22"/>
  <c r="AA30" i="22"/>
  <c r="Y31" i="22"/>
  <c r="W44" i="22"/>
  <c r="AA44" i="22"/>
  <c r="Y47" i="22"/>
  <c r="W52" i="22"/>
  <c r="AA52" i="22"/>
  <c r="W56" i="22"/>
  <c r="AA56" i="22"/>
  <c r="W58" i="22"/>
  <c r="AA58" i="22"/>
  <c r="W63" i="22"/>
  <c r="AA63" i="22"/>
  <c r="W79" i="22"/>
  <c r="AA79" i="22"/>
  <c r="W88" i="22"/>
  <c r="AA88" i="22"/>
  <c r="W90" i="22"/>
  <c r="AA90" i="22"/>
  <c r="Y104" i="22"/>
  <c r="W109" i="22"/>
  <c r="AA109" i="22"/>
  <c r="W129" i="22"/>
  <c r="AA129" i="22"/>
  <c r="Y129" i="22"/>
  <c r="AB139" i="22"/>
  <c r="Z146" i="22"/>
  <c r="X147" i="22"/>
  <c r="AB147" i="22"/>
  <c r="Z156" i="22"/>
  <c r="X22" i="22"/>
  <c r="AB22" i="22"/>
  <c r="W33" i="22"/>
  <c r="AA33" i="22"/>
  <c r="W46" i="22"/>
  <c r="AA46" i="22"/>
  <c r="Y68" i="22"/>
  <c r="W73" i="22"/>
  <c r="AA73" i="22"/>
  <c r="AP32" i="22"/>
  <c r="AK60" i="22"/>
  <c r="AL128" i="22"/>
  <c r="Z8" i="22"/>
  <c r="W126" i="22"/>
  <c r="AA126" i="22"/>
  <c r="Y126" i="22"/>
  <c r="X133" i="22"/>
  <c r="Y137" i="22"/>
  <c r="Y138" i="22"/>
  <c r="Y147" i="22"/>
  <c r="Y155" i="22"/>
  <c r="Y157" i="22"/>
  <c r="X33" i="22"/>
  <c r="AB33" i="22"/>
  <c r="Z82" i="22"/>
  <c r="X84" i="22"/>
  <c r="AB84" i="22"/>
  <c r="Z108" i="22"/>
  <c r="X118" i="22"/>
  <c r="AB118" i="22"/>
  <c r="Z119" i="22"/>
  <c r="X134" i="22"/>
  <c r="AB134" i="22"/>
  <c r="X73" i="22"/>
  <c r="AB73" i="22"/>
  <c r="AA8" i="22"/>
  <c r="Z10" i="22"/>
  <c r="Z13" i="22"/>
  <c r="W91" i="22"/>
  <c r="AA91" i="22"/>
  <c r="W97" i="22"/>
  <c r="AA97" i="22"/>
  <c r="W102" i="22"/>
  <c r="AA102" i="22"/>
  <c r="AA104" i="22"/>
  <c r="Y105" i="22"/>
  <c r="W111" i="22"/>
  <c r="AA111" i="22"/>
  <c r="W115" i="22"/>
  <c r="AA115" i="22"/>
  <c r="W117" i="22"/>
  <c r="AA117" i="22"/>
  <c r="Y120" i="22"/>
  <c r="Y123" i="22"/>
  <c r="Y125" i="22"/>
  <c r="Y7" i="22"/>
  <c r="W8" i="22"/>
  <c r="Z23" i="22"/>
  <c r="X24" i="22"/>
  <c r="AB24" i="22"/>
  <c r="Z27" i="22"/>
  <c r="X28" i="22"/>
  <c r="AB28" i="22"/>
  <c r="Z29" i="22"/>
  <c r="X30" i="22"/>
  <c r="AB30" i="22"/>
  <c r="Z31" i="22"/>
  <c r="Z76" i="22"/>
  <c r="X79" i="22"/>
  <c r="AB79" i="22"/>
  <c r="Z79" i="22"/>
  <c r="Z89" i="22"/>
  <c r="X131" i="22"/>
  <c r="AB131" i="22"/>
  <c r="Y146" i="22"/>
  <c r="Y149" i="22"/>
  <c r="Y156" i="22"/>
  <c r="W157" i="22"/>
  <c r="AA157" i="22"/>
  <c r="W22" i="22"/>
  <c r="Z33" i="22"/>
  <c r="W41" i="22"/>
  <c r="AA41" i="22"/>
  <c r="W68" i="22"/>
  <c r="AA68" i="22"/>
  <c r="Y82" i="22"/>
  <c r="W84" i="22"/>
  <c r="AA84" i="22"/>
  <c r="Y108" i="22"/>
  <c r="W118" i="22"/>
  <c r="AA118" i="22"/>
  <c r="Y119" i="22"/>
  <c r="W134" i="22"/>
  <c r="AA134" i="22"/>
  <c r="Z5" i="22"/>
  <c r="X6" i="22"/>
  <c r="AB6" i="22"/>
  <c r="Z6" i="22"/>
  <c r="Z7" i="22"/>
  <c r="X8" i="22"/>
  <c r="Y14" i="22"/>
  <c r="W15" i="22"/>
  <c r="AA15" i="22"/>
  <c r="W16" i="22"/>
  <c r="AA16" i="22"/>
  <c r="Y18" i="22"/>
  <c r="W19" i="22"/>
  <c r="AA19" i="22"/>
  <c r="Y21" i="22"/>
  <c r="Y34" i="22"/>
  <c r="W35" i="22"/>
  <c r="AA35" i="22"/>
  <c r="Y37" i="22"/>
  <c r="W38" i="22"/>
  <c r="Y40" i="22"/>
  <c r="AA40" i="22"/>
  <c r="AA47" i="22"/>
  <c r="Y74" i="22"/>
  <c r="W76" i="22"/>
  <c r="AA76" i="22"/>
  <c r="W89" i="22"/>
  <c r="AA89" i="22"/>
  <c r="Z97" i="22"/>
  <c r="Z102" i="22"/>
  <c r="X103" i="22"/>
  <c r="AB103" i="22"/>
  <c r="Z104" i="22"/>
  <c r="Z107" i="22"/>
  <c r="X109" i="22"/>
  <c r="AB109" i="22"/>
  <c r="Z113" i="22"/>
  <c r="AB113" i="22"/>
  <c r="X114" i="22"/>
  <c r="AB114" i="22"/>
  <c r="X116" i="22"/>
  <c r="AB116" i="22"/>
  <c r="Z122" i="22"/>
  <c r="Y131" i="22"/>
  <c r="Z139" i="22"/>
  <c r="X139" i="22"/>
  <c r="X146" i="22"/>
  <c r="Z155" i="22"/>
  <c r="X157" i="22"/>
  <c r="Z22" i="22"/>
  <c r="Y33" i="22"/>
  <c r="Z41" i="22"/>
  <c r="X46" i="22"/>
  <c r="AB46" i="22"/>
  <c r="Z68" i="22"/>
  <c r="X82" i="22"/>
  <c r="AB82" i="22"/>
  <c r="Z84" i="22"/>
  <c r="X108" i="22"/>
  <c r="AB108" i="22"/>
  <c r="Z118" i="22"/>
  <c r="X119" i="22"/>
  <c r="AB119" i="22"/>
  <c r="Z134" i="22"/>
  <c r="Y22" i="22"/>
  <c r="Y41" i="22"/>
  <c r="Y46" i="22"/>
  <c r="Y5" i="22"/>
  <c r="W6" i="22"/>
  <c r="AA6" i="22"/>
  <c r="AO72" i="22"/>
  <c r="AB8" i="22"/>
  <c r="Y9" i="22"/>
  <c r="W10" i="22"/>
  <c r="AA10" i="22"/>
  <c r="W14" i="22"/>
  <c r="AA14" i="22"/>
  <c r="Y16" i="22"/>
  <c r="W18" i="22"/>
  <c r="AA18" i="22"/>
  <c r="Y19" i="22"/>
  <c r="W21" i="22"/>
  <c r="AA21" i="22"/>
  <c r="W23" i="22"/>
  <c r="AA23" i="22"/>
  <c r="Y24" i="22"/>
  <c r="W27" i="22"/>
  <c r="AA27" i="22"/>
  <c r="Y28" i="22"/>
  <c r="W29" i="22"/>
  <c r="AA29" i="22"/>
  <c r="Y30" i="22"/>
  <c r="W31" i="22"/>
  <c r="AA31" i="22"/>
  <c r="W34" i="22"/>
  <c r="AA34" i="22"/>
  <c r="Y35" i="22"/>
  <c r="W37" i="22"/>
  <c r="AA37" i="22"/>
  <c r="Y38" i="22"/>
  <c r="AA38" i="22"/>
  <c r="W40" i="22"/>
  <c r="X44" i="22"/>
  <c r="AB44" i="22"/>
  <c r="AA105" i="22"/>
  <c r="AB120" i="22"/>
  <c r="X156" i="22"/>
  <c r="W7" i="22"/>
  <c r="AA7" i="22"/>
  <c r="Y8" i="22"/>
  <c r="Z9" i="22"/>
  <c r="X10" i="22"/>
  <c r="AB10" i="22"/>
  <c r="Y11" i="22"/>
  <c r="W13" i="22"/>
  <c r="AA13" i="22"/>
  <c r="X14" i="22"/>
  <c r="AB14" i="22"/>
  <c r="Z15" i="22"/>
  <c r="Z16" i="22"/>
  <c r="X18" i="22"/>
  <c r="AB18" i="22"/>
  <c r="Z19" i="22"/>
  <c r="X21" i="22"/>
  <c r="AB21" i="22"/>
  <c r="X23" i="22"/>
  <c r="AB23" i="22"/>
  <c r="Z24" i="22"/>
  <c r="X27" i="22"/>
  <c r="AB27" i="22"/>
  <c r="Z28" i="22"/>
  <c r="X29" i="22"/>
  <c r="AB29" i="22"/>
  <c r="Z30" i="22"/>
  <c r="X31" i="22"/>
  <c r="AB31" i="22"/>
  <c r="X34" i="22"/>
  <c r="AB34" i="22"/>
  <c r="Z35" i="22"/>
  <c r="X37" i="22"/>
  <c r="AB37" i="22"/>
  <c r="Z38" i="22"/>
  <c r="X40" i="22"/>
  <c r="AB40" i="22"/>
  <c r="W42" i="22"/>
  <c r="AA42" i="22"/>
  <c r="AA74" i="22"/>
  <c r="AA122" i="22"/>
  <c r="AB155" i="22"/>
  <c r="X47" i="22"/>
  <c r="AB47" i="22"/>
  <c r="W53" i="22"/>
  <c r="AA53" i="22"/>
  <c r="W57" i="22"/>
  <c r="AA57" i="22"/>
  <c r="W59" i="22"/>
  <c r="AA59" i="22"/>
  <c r="W67" i="22"/>
  <c r="AA67" i="22"/>
  <c r="W71" i="22"/>
  <c r="AA71" i="22"/>
  <c r="W86" i="22"/>
  <c r="AA86" i="22"/>
  <c r="Y90" i="22"/>
  <c r="Z91" i="22"/>
  <c r="X94" i="22"/>
  <c r="AB94" i="22"/>
  <c r="Y97" i="22"/>
  <c r="W103" i="22"/>
  <c r="AA103" i="22"/>
  <c r="X104" i="22"/>
  <c r="AB104" i="22"/>
  <c r="W105" i="22"/>
  <c r="Z111" i="22"/>
  <c r="X112" i="22"/>
  <c r="AB112" i="22"/>
  <c r="Y113" i="22"/>
  <c r="AA113" i="22"/>
  <c r="Z114" i="22"/>
  <c r="Z115" i="22"/>
  <c r="Z116" i="22"/>
  <c r="Z117" i="22"/>
  <c r="X120" i="22"/>
  <c r="X122" i="22"/>
  <c r="X123" i="22"/>
  <c r="AB123" i="22"/>
  <c r="Z123" i="22"/>
  <c r="Y124" i="22"/>
  <c r="Z126" i="22"/>
  <c r="Z133" i="22"/>
  <c r="X137" i="22"/>
  <c r="AB137" i="22"/>
  <c r="Y139" i="22"/>
  <c r="AB146" i="22"/>
  <c r="W147" i="22"/>
  <c r="AA147" i="22"/>
  <c r="X149" i="22"/>
  <c r="AB149" i="22"/>
  <c r="X155" i="22"/>
  <c r="AB156" i="22"/>
  <c r="W47" i="22"/>
  <c r="X52" i="22"/>
  <c r="AB52" i="22"/>
  <c r="X56" i="22"/>
  <c r="AB56" i="22"/>
  <c r="X58" i="22"/>
  <c r="AB58" i="22"/>
  <c r="X63" i="22"/>
  <c r="AB63" i="22"/>
  <c r="W74" i="22"/>
  <c r="Z86" i="22"/>
  <c r="X88" i="22"/>
  <c r="AB88" i="22"/>
  <c r="Y89" i="22"/>
  <c r="W94" i="22"/>
  <c r="AA94" i="22"/>
  <c r="X97" i="22"/>
  <c r="AB97" i="22"/>
  <c r="W104" i="22"/>
  <c r="Z105" i="22"/>
  <c r="W107" i="22"/>
  <c r="AA107" i="22"/>
  <c r="Y109" i="22"/>
  <c r="W112" i="22"/>
  <c r="AA112" i="22"/>
  <c r="X113" i="22"/>
  <c r="Y114" i="22"/>
  <c r="Y115" i="22"/>
  <c r="Y116" i="22"/>
  <c r="Y117" i="22"/>
  <c r="W120" i="22"/>
  <c r="W122" i="22"/>
  <c r="W123" i="22"/>
  <c r="AA123" i="22"/>
  <c r="X124" i="22"/>
  <c r="AB124" i="22"/>
  <c r="Z124" i="22"/>
  <c r="X125" i="22"/>
  <c r="X129" i="22"/>
  <c r="AB129" i="22"/>
  <c r="Y133" i="22"/>
  <c r="W137" i="22"/>
  <c r="AA137" i="22"/>
  <c r="X138" i="22"/>
  <c r="AB138" i="22"/>
  <c r="W146" i="22"/>
  <c r="AA146" i="22"/>
  <c r="W156" i="22"/>
  <c r="AA156" i="22"/>
  <c r="AB157" i="22"/>
  <c r="X5" i="22"/>
  <c r="AB5" i="22"/>
  <c r="X7" i="22"/>
  <c r="AB7" i="22"/>
  <c r="X9" i="22"/>
  <c r="AB9" i="22"/>
  <c r="X11" i="22"/>
  <c r="AB11" i="22"/>
  <c r="Y44" i="22"/>
  <c r="Y53" i="22"/>
  <c r="Y42" i="22"/>
  <c r="Y52" i="22"/>
  <c r="Y56" i="22"/>
  <c r="Y57" i="22"/>
  <c r="Y58" i="22"/>
  <c r="Y59" i="22"/>
  <c r="Y63" i="22"/>
  <c r="Y67" i="22"/>
  <c r="Z42" i="22"/>
  <c r="Z44" i="22"/>
  <c r="Z47" i="22"/>
  <c r="Z52" i="22"/>
  <c r="Z53" i="22"/>
  <c r="Z56" i="22"/>
  <c r="Z57" i="22"/>
  <c r="Z58" i="22"/>
  <c r="Z59" i="22"/>
  <c r="Z63" i="22"/>
  <c r="Z67" i="22"/>
  <c r="X74" i="22"/>
  <c r="AB74" i="22"/>
  <c r="Y76" i="22"/>
  <c r="Y86" i="22"/>
  <c r="X90" i="22"/>
  <c r="AB90" i="22"/>
  <c r="Y91" i="22"/>
  <c r="Y102" i="22"/>
  <c r="X105" i="22"/>
  <c r="AB105" i="22"/>
  <c r="Y107" i="22"/>
  <c r="X110" i="22"/>
  <c r="AB110" i="22"/>
  <c r="Y111" i="22"/>
  <c r="Y71" i="22"/>
  <c r="X76" i="22"/>
  <c r="AB76" i="22"/>
  <c r="Y79" i="22"/>
  <c r="X86" i="22"/>
  <c r="AB86" i="22"/>
  <c r="Y88" i="22"/>
  <c r="X91" i="22"/>
  <c r="AB91" i="22"/>
  <c r="Y94" i="22"/>
  <c r="X102" i="22"/>
  <c r="AB102" i="22"/>
  <c r="Y103" i="22"/>
  <c r="X107" i="22"/>
  <c r="AB107" i="22"/>
  <c r="X111" i="22"/>
  <c r="AB111" i="22"/>
  <c r="Y112" i="22"/>
  <c r="W113" i="22"/>
  <c r="W124" i="22"/>
  <c r="AA124" i="22"/>
  <c r="Z129" i="22"/>
  <c r="W131" i="22"/>
  <c r="AA131" i="22"/>
  <c r="Z137" i="22"/>
  <c r="W138" i="22"/>
  <c r="AA138" i="22"/>
  <c r="Z147" i="22"/>
  <c r="W149" i="22"/>
  <c r="AA149" i="22"/>
  <c r="Z157" i="22"/>
  <c r="W125" i="22"/>
  <c r="AA125" i="22"/>
  <c r="Z131" i="22"/>
  <c r="W133" i="22"/>
  <c r="AA133" i="22"/>
  <c r="Z138" i="22"/>
  <c r="W139" i="22"/>
  <c r="AA139" i="22"/>
  <c r="Z149" i="22"/>
  <c r="W155" i="22"/>
  <c r="AA155" i="22"/>
  <c r="AN87" i="22"/>
  <c r="AP135" i="22"/>
  <c r="AN39" i="22"/>
  <c r="AK45" i="22"/>
  <c r="AM83" i="22"/>
  <c r="AP130" i="22"/>
  <c r="AL80" i="22"/>
  <c r="AO39" i="22"/>
  <c r="AP43" i="22"/>
  <c r="AK55" i="22"/>
  <c r="AO55" i="22"/>
  <c r="AL136" i="22"/>
  <c r="AP136" i="22"/>
  <c r="AN144" i="22"/>
  <c r="AK153" i="22"/>
  <c r="AN20" i="22"/>
  <c r="AO36" i="22"/>
  <c r="AM36" i="22"/>
  <c r="AN36" i="22"/>
  <c r="AN65" i="22"/>
  <c r="AL72" i="22"/>
  <c r="AL78" i="22"/>
  <c r="AO143" i="22"/>
  <c r="AK144" i="22"/>
  <c r="AP49" i="22"/>
  <c r="AM50" i="22"/>
  <c r="AP54" i="22"/>
  <c r="AK77" i="22"/>
  <c r="AP93" i="22"/>
  <c r="AO101" i="22"/>
  <c r="AK121" i="22"/>
  <c r="AK141" i="22"/>
  <c r="AL154" i="22"/>
  <c r="AL17" i="22"/>
  <c r="AM20" i="22"/>
  <c r="AP55" i="22"/>
  <c r="AL49" i="22"/>
  <c r="AL130" i="22"/>
  <c r="AP75" i="22"/>
  <c r="AN99" i="22"/>
  <c r="AO20" i="22"/>
  <c r="AN55" i="22"/>
  <c r="AL60" i="22"/>
  <c r="AP60" i="22"/>
  <c r="AN75" i="22"/>
  <c r="AN96" i="22"/>
  <c r="AM121" i="22"/>
  <c r="AK128" i="22"/>
  <c r="AM140" i="22"/>
  <c r="AL143" i="22"/>
  <c r="AP143" i="22"/>
  <c r="AM99" i="22"/>
  <c r="AP25" i="22"/>
  <c r="AN43" i="22"/>
  <c r="AL54" i="22"/>
  <c r="AN81" i="22"/>
  <c r="AN92" i="22"/>
  <c r="AK96" i="22"/>
  <c r="AM148" i="22"/>
  <c r="AO150" i="22"/>
  <c r="AN127" i="22"/>
  <c r="AP127" i="22"/>
  <c r="AP95" i="22"/>
  <c r="AO95" i="22"/>
  <c r="P12" i="22"/>
  <c r="AB12" i="22" s="1"/>
  <c r="O12" i="22"/>
  <c r="AA12" i="22" s="1"/>
  <c r="N12" i="22"/>
  <c r="Z12" i="22" s="1"/>
  <c r="M12" i="22"/>
  <c r="Y12" i="22" s="1"/>
  <c r="L12" i="22"/>
  <c r="X12" i="22" s="1"/>
  <c r="K12" i="22"/>
  <c r="W12" i="22" s="1"/>
  <c r="AJ76" i="2" l="1"/>
  <c r="AJ117" i="8" s="1"/>
  <c r="AH76" i="2"/>
  <c r="AH117" i="8" s="1"/>
  <c r="AI89" i="2"/>
  <c r="AG140" i="2"/>
  <c r="AG158" i="8" s="1"/>
  <c r="AE30" i="2"/>
  <c r="AE64" i="8" s="1"/>
  <c r="AJ82" i="2"/>
  <c r="AJ151" i="8" s="1"/>
  <c r="AG84" i="2"/>
  <c r="AG153" i="8" s="1"/>
  <c r="AI29" i="2"/>
  <c r="AI78" i="8" s="1"/>
  <c r="AJ140" i="2"/>
  <c r="AJ158" i="8" s="1"/>
  <c r="AF125" i="2"/>
  <c r="AF39" i="8" s="1"/>
  <c r="AJ85" i="2"/>
  <c r="AE149" i="2"/>
  <c r="AG66" i="2"/>
  <c r="AI53" i="2"/>
  <c r="AI44" i="8" s="1"/>
  <c r="AH43" i="2"/>
  <c r="AH9" i="9" s="1"/>
  <c r="AF24" i="2"/>
  <c r="AF29" i="8" s="1"/>
  <c r="AI152" i="2"/>
  <c r="AE100" i="2"/>
  <c r="AE94" i="8" s="1"/>
  <c r="AE87" i="2"/>
  <c r="AE64" i="2"/>
  <c r="AF146" i="2"/>
  <c r="AF141" i="8" s="1"/>
  <c r="AJ110" i="2"/>
  <c r="AJ30" i="9" s="1"/>
  <c r="AE76" i="2"/>
  <c r="AE117" i="8" s="1"/>
  <c r="AG53" i="2"/>
  <c r="AG44" i="8" s="1"/>
  <c r="AG43" i="2"/>
  <c r="AG9" i="9" s="1"/>
  <c r="AJ158" i="2"/>
  <c r="AJ146" i="8" s="1"/>
  <c r="AF87" i="2"/>
  <c r="AF76" i="2"/>
  <c r="AF117" i="8" s="1"/>
  <c r="AH59" i="2"/>
  <c r="AH18" i="9" s="1"/>
  <c r="AF30" i="2"/>
  <c r="AF64" i="8" s="1"/>
  <c r="AF105" i="2"/>
  <c r="AF33" i="8" s="1"/>
  <c r="AH69" i="2"/>
  <c r="AH90" i="8" s="1"/>
  <c r="AF43" i="2"/>
  <c r="AF9" i="9" s="1"/>
  <c r="AE154" i="2"/>
  <c r="AE14" i="11" s="1"/>
  <c r="AI125" i="2"/>
  <c r="AI39" i="8" s="1"/>
  <c r="AG87" i="2"/>
  <c r="AE53" i="2"/>
  <c r="AE44" i="8" s="1"/>
  <c r="AI36" i="2"/>
  <c r="AI155" i="2"/>
  <c r="AI139" i="2"/>
  <c r="AI15" i="11" s="1"/>
  <c r="AE110" i="2"/>
  <c r="AE30" i="9" s="1"/>
  <c r="AG96" i="2"/>
  <c r="AG70" i="2"/>
  <c r="AG91" i="8" s="1"/>
  <c r="AE24" i="2"/>
  <c r="AE29" i="8" s="1"/>
  <c r="AJ156" i="2"/>
  <c r="AF149" i="2"/>
  <c r="AH139" i="2"/>
  <c r="AH15" i="11" s="1"/>
  <c r="AF96" i="2"/>
  <c r="AJ70" i="2"/>
  <c r="AJ91" i="8" s="1"/>
  <c r="AJ53" i="2"/>
  <c r="AJ44" i="8" s="1"/>
  <c r="AJ21" i="2"/>
  <c r="AJ26" i="8" s="1"/>
  <c r="AI105" i="2"/>
  <c r="AI33" i="8" s="1"/>
  <c r="AG76" i="2"/>
  <c r="AG117" i="8" s="1"/>
  <c r="AG52" i="2"/>
  <c r="AG24" i="9" s="1"/>
  <c r="AG24" i="2"/>
  <c r="AG29" i="8" s="1"/>
  <c r="AF36" i="2"/>
  <c r="AG91" i="2"/>
  <c r="AH155" i="2"/>
  <c r="AH152" i="2"/>
  <c r="AH148" i="2"/>
  <c r="AH128" i="8" s="1"/>
  <c r="AF147" i="2"/>
  <c r="AF21" i="11" s="1"/>
  <c r="AF140" i="2"/>
  <c r="AF158" i="8" s="1"/>
  <c r="AJ136" i="2"/>
  <c r="AJ115" i="8" s="1"/>
  <c r="AH131" i="2"/>
  <c r="AH100" i="2"/>
  <c r="AH94" i="8" s="1"/>
  <c r="AF89" i="2"/>
  <c r="AH81" i="2"/>
  <c r="AH119" i="8" s="1"/>
  <c r="AF59" i="2"/>
  <c r="AF18" i="9" s="1"/>
  <c r="AF53" i="2"/>
  <c r="AF44" i="8" s="1"/>
  <c r="AF49" i="2"/>
  <c r="AF35" i="9" s="1"/>
  <c r="AJ29" i="2"/>
  <c r="AJ78" i="8" s="1"/>
  <c r="AF21" i="2"/>
  <c r="AF26" i="8" s="1"/>
  <c r="AG157" i="2"/>
  <c r="AI149" i="2"/>
  <c r="AE145" i="2"/>
  <c r="AE127" i="8" s="1"/>
  <c r="AG139" i="2"/>
  <c r="AG15" i="11" s="1"/>
  <c r="AG134" i="2"/>
  <c r="AG130" i="8" s="1"/>
  <c r="AE132" i="2"/>
  <c r="AE136" i="8" s="1"/>
  <c r="AG103" i="2"/>
  <c r="AE85" i="2"/>
  <c r="AE82" i="2"/>
  <c r="AE151" i="8" s="1"/>
  <c r="AI79" i="2"/>
  <c r="AI142" i="8" s="1"/>
  <c r="AE65" i="2"/>
  <c r="AI43" i="2"/>
  <c r="AI9" i="9" s="1"/>
  <c r="AJ157" i="2"/>
  <c r="AH156" i="2"/>
  <c r="AH149" i="2"/>
  <c r="AH145" i="2"/>
  <c r="AH127" i="8" s="1"/>
  <c r="AF144" i="2"/>
  <c r="AF13" i="11" s="1"/>
  <c r="AH136" i="2"/>
  <c r="AH115" i="8" s="1"/>
  <c r="AJ131" i="2"/>
  <c r="AJ97" i="2"/>
  <c r="AH68" i="2"/>
  <c r="AF58" i="2"/>
  <c r="AF52" i="2"/>
  <c r="AF24" i="9" s="1"/>
  <c r="AG145" i="2"/>
  <c r="AG127" i="8" s="1"/>
  <c r="AE144" i="2"/>
  <c r="AE13" i="11" s="1"/>
  <c r="AE134" i="2"/>
  <c r="AE130" i="8" s="1"/>
  <c r="AG82" i="2"/>
  <c r="AG151" i="8" s="1"/>
  <c r="AI76" i="2"/>
  <c r="AI117" i="8" s="1"/>
  <c r="AE69" i="2"/>
  <c r="AE90" i="8" s="1"/>
  <c r="AI66" i="2"/>
  <c r="AE54" i="2"/>
  <c r="AH158" i="2"/>
  <c r="AH146" i="8" s="1"/>
  <c r="AJ155" i="2"/>
  <c r="AH147" i="2"/>
  <c r="AH21" i="11" s="1"/>
  <c r="AJ134" i="2"/>
  <c r="AJ130" i="8" s="1"/>
  <c r="AF131" i="2"/>
  <c r="AH105" i="2"/>
  <c r="AH33" i="8" s="1"/>
  <c r="AF103" i="2"/>
  <c r="AJ100" i="2"/>
  <c r="AJ94" i="8" s="1"/>
  <c r="AJ91" i="2"/>
  <c r="AJ84" i="2"/>
  <c r="AJ153" i="8" s="1"/>
  <c r="AH82" i="2"/>
  <c r="AH151" i="8" s="1"/>
  <c r="AH65" i="2"/>
  <c r="AH55" i="2"/>
  <c r="AH39" i="9" s="1"/>
  <c r="AF47" i="2"/>
  <c r="AF31" i="9" s="1"/>
  <c r="AJ24" i="2"/>
  <c r="AJ29" i="8" s="1"/>
  <c r="AH21" i="2"/>
  <c r="AH26" i="8" s="1"/>
  <c r="AI148" i="2"/>
  <c r="AI128" i="8" s="1"/>
  <c r="AI144" i="2"/>
  <c r="AI13" i="11" s="1"/>
  <c r="AI134" i="2"/>
  <c r="AI130" i="8" s="1"/>
  <c r="AI110" i="2"/>
  <c r="AI30" i="9" s="1"/>
  <c r="AI97" i="2"/>
  <c r="AG85" i="2"/>
  <c r="AG79" i="2"/>
  <c r="AG142" i="8" s="1"/>
  <c r="AG68" i="2"/>
  <c r="AE66" i="2"/>
  <c r="AG59" i="2"/>
  <c r="AG18" i="9" s="1"/>
  <c r="AI54" i="2"/>
  <c r="AG69" i="2"/>
  <c r="AG90" i="8" s="1"/>
  <c r="AE105" i="2"/>
  <c r="AE33" i="8" s="1"/>
  <c r="AF99" i="2"/>
  <c r="AF105" i="8" s="1"/>
  <c r="AF82" i="2"/>
  <c r="AF151" i="8" s="1"/>
  <c r="AJ146" i="2"/>
  <c r="AJ141" i="8" s="1"/>
  <c r="AJ30" i="2"/>
  <c r="AJ64" i="8" s="1"/>
  <c r="AH54" i="2"/>
  <c r="AG64" i="2"/>
  <c r="AE131" i="2"/>
  <c r="AF154" i="2"/>
  <c r="AF14" i="11" s="1"/>
  <c r="AF29" i="2"/>
  <c r="AF78" i="8" s="1"/>
  <c r="AG152" i="2"/>
  <c r="AJ132" i="2"/>
  <c r="AH91" i="2"/>
  <c r="AH30" i="2"/>
  <c r="AH64" i="8" s="1"/>
  <c r="AI154" i="2"/>
  <c r="AI14" i="11" s="1"/>
  <c r="AG144" i="2"/>
  <c r="AG13" i="11" s="1"/>
  <c r="AG131" i="2"/>
  <c r="AG100" i="2"/>
  <c r="AG94" i="8" s="1"/>
  <c r="AF155" i="2"/>
  <c r="AF91" i="2"/>
  <c r="AJ64" i="2"/>
  <c r="AG125" i="2"/>
  <c r="AG39" i="8" s="1"/>
  <c r="AI58" i="2"/>
  <c r="AE47" i="2"/>
  <c r="AE31" i="9" s="1"/>
  <c r="AI91" i="2"/>
  <c r="AH49" i="2"/>
  <c r="AH35" i="9" s="1"/>
  <c r="AG99" i="2"/>
  <c r="AE84" i="2"/>
  <c r="AE153" i="8" s="1"/>
  <c r="AE58" i="2"/>
  <c r="AE52" i="2"/>
  <c r="AE24" i="9" s="1"/>
  <c r="AF145" i="2"/>
  <c r="AF127" i="8" s="1"/>
  <c r="AE156" i="2"/>
  <c r="AE42" i="8" s="1"/>
  <c r="AF110" i="2"/>
  <c r="AF30" i="9" s="1"/>
  <c r="AF139" i="2"/>
  <c r="AF15" i="11" s="1"/>
  <c r="AH53" i="2"/>
  <c r="AH44" i="8" s="1"/>
  <c r="AG148" i="2"/>
  <c r="AG30" i="2"/>
  <c r="AG64" i="8" s="1"/>
  <c r="AI52" i="2"/>
  <c r="AI24" i="9" s="1"/>
  <c r="AJ68" i="2"/>
  <c r="AF132" i="2"/>
  <c r="AF136" i="8" s="1"/>
  <c r="AF85" i="2"/>
  <c r="AF70" i="2"/>
  <c r="AF91" i="8" s="1"/>
  <c r="AF65" i="2"/>
  <c r="AH64" i="2"/>
  <c r="AJ49" i="2"/>
  <c r="AJ35" i="9" s="1"/>
  <c r="AH47" i="2"/>
  <c r="AH31" i="9" s="1"/>
  <c r="AH24" i="2"/>
  <c r="AH29" i="8" s="1"/>
  <c r="AE140" i="2"/>
  <c r="AE158" i="8" s="1"/>
  <c r="AJ149" i="2"/>
  <c r="AG155" i="2"/>
  <c r="AI147" i="2"/>
  <c r="AI21" i="11" s="1"/>
  <c r="AG146" i="2"/>
  <c r="AG141" i="8" s="1"/>
  <c r="AI140" i="2"/>
  <c r="AI158" i="8" s="1"/>
  <c r="AG110" i="2"/>
  <c r="AG30" i="9" s="1"/>
  <c r="AI99" i="2"/>
  <c r="AG97" i="2"/>
  <c r="AE89" i="2"/>
  <c r="AI82" i="2"/>
  <c r="AI151" i="8" s="1"/>
  <c r="AI70" i="2"/>
  <c r="AI91" i="8" s="1"/>
  <c r="AI65" i="2"/>
  <c r="AI59" i="2"/>
  <c r="AI18" i="9" s="1"/>
  <c r="AG58" i="2"/>
  <c r="AG54" i="2"/>
  <c r="AE49" i="2"/>
  <c r="AE35" i="9" s="1"/>
  <c r="AE29" i="2"/>
  <c r="AE78" i="8" s="1"/>
  <c r="AE21" i="2"/>
  <c r="AE26" i="8" s="1"/>
  <c r="AJ103" i="2"/>
  <c r="AF100" i="2"/>
  <c r="AF94" i="8" s="1"/>
  <c r="AH96" i="2"/>
  <c r="AH85" i="2"/>
  <c r="AJ69" i="2"/>
  <c r="AJ90" i="8" s="1"/>
  <c r="AJ47" i="2"/>
  <c r="AJ31" i="9" s="1"/>
  <c r="AH29" i="2"/>
  <c r="AH78" i="8" s="1"/>
  <c r="AG154" i="2"/>
  <c r="AG14" i="11" s="1"/>
  <c r="AG149" i="2"/>
  <c r="AI146" i="2"/>
  <c r="AI141" i="8" s="1"/>
  <c r="AG136" i="2"/>
  <c r="AG115" i="8" s="1"/>
  <c r="AI103" i="2"/>
  <c r="AG89" i="2"/>
  <c r="AI84" i="2"/>
  <c r="AI153" i="8" s="1"/>
  <c r="AG65" i="2"/>
  <c r="AG55" i="2"/>
  <c r="AG39" i="9" s="1"/>
  <c r="AG49" i="2"/>
  <c r="AG35" i="9" s="1"/>
  <c r="AI40" i="2"/>
  <c r="AI7" i="9" s="1"/>
  <c r="AG36" i="2"/>
  <c r="AF157" i="2"/>
  <c r="AJ148" i="2"/>
  <c r="AJ128" i="8" s="1"/>
  <c r="AJ144" i="2"/>
  <c r="AJ13" i="11" s="1"/>
  <c r="AH132" i="2"/>
  <c r="AH70" i="2"/>
  <c r="AH91" i="8" s="1"/>
  <c r="AJ66" i="2"/>
  <c r="AJ58" i="2"/>
  <c r="AJ52" i="2"/>
  <c r="AJ24" i="9" s="1"/>
  <c r="AI157" i="2"/>
  <c r="AI129" i="8" s="1"/>
  <c r="AG156" i="2"/>
  <c r="AG42" i="8" s="1"/>
  <c r="AE152" i="2"/>
  <c r="AE139" i="2"/>
  <c r="AE15" i="11" s="1"/>
  <c r="AI100" i="2"/>
  <c r="AI94" i="8" s="1"/>
  <c r="AI69" i="2"/>
  <c r="AI90" i="8" s="1"/>
  <c r="AI64" i="2"/>
  <c r="AI47" i="2"/>
  <c r="AI31" i="9" s="1"/>
  <c r="AE40" i="2"/>
  <c r="AE7" i="9" s="1"/>
  <c r="AG29" i="2"/>
  <c r="AG78" i="8" s="1"/>
  <c r="AJ55" i="2"/>
  <c r="AJ39" i="9" s="1"/>
  <c r="AI55" i="2"/>
  <c r="AI39" i="9" s="1"/>
  <c r="AH125" i="2"/>
  <c r="AH39" i="8" s="1"/>
  <c r="AJ87" i="2"/>
  <c r="AF64" i="2"/>
  <c r="AH110" i="2"/>
  <c r="AH30" i="9" s="1"/>
  <c r="AI156" i="2"/>
  <c r="AI42" i="8" s="1"/>
  <c r="AI136" i="2"/>
  <c r="AI115" i="8" s="1"/>
  <c r="AE43" i="2"/>
  <c r="AE9" i="9" s="1"/>
  <c r="AG158" i="2"/>
  <c r="AG146" i="8" s="1"/>
  <c r="AE97" i="2"/>
  <c r="AE81" i="2"/>
  <c r="AE119" i="8" s="1"/>
  <c r="AH157" i="2"/>
  <c r="AH129" i="8" s="1"/>
  <c r="AJ145" i="2"/>
  <c r="AJ127" i="8" s="1"/>
  <c r="AH97" i="2"/>
  <c r="AF55" i="2"/>
  <c r="AF39" i="9" s="1"/>
  <c r="AE125" i="2"/>
  <c r="AE39" i="8" s="1"/>
  <c r="AE55" i="2"/>
  <c r="AE39" i="9" s="1"/>
  <c r="AJ105" i="2"/>
  <c r="AJ33" i="8" s="1"/>
  <c r="AH84" i="2"/>
  <c r="AH153" i="8" s="1"/>
  <c r="AJ59" i="2"/>
  <c r="AJ18" i="9" s="1"/>
  <c r="AH58" i="2"/>
  <c r="AH40" i="2"/>
  <c r="AH7" i="9" s="1"/>
  <c r="AF79" i="2"/>
  <c r="AF142" i="8" s="1"/>
  <c r="AE147" i="2"/>
  <c r="AE21" i="11" s="1"/>
  <c r="AI132" i="2"/>
  <c r="AI96" i="2"/>
  <c r="AG81" i="2"/>
  <c r="AG119" i="8" s="1"/>
  <c r="AE59" i="2"/>
  <c r="AE18" i="9" s="1"/>
  <c r="AF148" i="2"/>
  <c r="AF128" i="8" s="1"/>
  <c r="AH79" i="2"/>
  <c r="AH142" i="8" s="1"/>
  <c r="AJ54" i="2"/>
  <c r="AE157" i="2"/>
  <c r="AE148" i="2"/>
  <c r="AE128" i="8" s="1"/>
  <c r="AI24" i="2"/>
  <c r="AI29" i="8" s="1"/>
  <c r="AH154" i="2"/>
  <c r="AH14" i="11" s="1"/>
  <c r="AH140" i="2"/>
  <c r="AH158" i="8" s="1"/>
  <c r="AH89" i="2"/>
  <c r="AF81" i="2"/>
  <c r="AF119" i="8" s="1"/>
  <c r="AF54" i="2"/>
  <c r="AJ40" i="2"/>
  <c r="AJ7" i="9" s="1"/>
  <c r="AH36" i="2"/>
  <c r="AG147" i="2"/>
  <c r="AG21" i="11" s="1"/>
  <c r="AE103" i="2"/>
  <c r="AE91" i="2"/>
  <c r="AJ139" i="2"/>
  <c r="AJ15" i="11" s="1"/>
  <c r="AJ152" i="2"/>
  <c r="AH99" i="2"/>
  <c r="AF84" i="2"/>
  <c r="AF153" i="8" s="1"/>
  <c r="AF69" i="2"/>
  <c r="AF90" i="8" s="1"/>
  <c r="AH134" i="2"/>
  <c r="AH130" i="8" s="1"/>
  <c r="AF68" i="2"/>
  <c r="AJ36" i="2"/>
  <c r="AE99" i="2"/>
  <c r="AE105" i="8" s="1"/>
  <c r="AE79" i="2"/>
  <c r="AE142" i="8" s="1"/>
  <c r="AI49" i="2"/>
  <c r="AI35" i="9" s="1"/>
  <c r="AE155" i="2"/>
  <c r="AG132" i="2"/>
  <c r="AG105" i="2"/>
  <c r="AG33" i="8" s="1"/>
  <c r="AI87" i="2"/>
  <c r="AG21" i="2"/>
  <c r="AG26" i="8" s="1"/>
  <c r="AF156" i="2"/>
  <c r="AF42" i="8" s="1"/>
  <c r="AJ147" i="2"/>
  <c r="AJ21" i="11" s="1"/>
  <c r="AF136" i="2"/>
  <c r="AF115" i="8" s="1"/>
  <c r="AJ89" i="2"/>
  <c r="AH52" i="2"/>
  <c r="AH24" i="9" s="1"/>
  <c r="AI158" i="2"/>
  <c r="AI146" i="8" s="1"/>
  <c r="AE70" i="2"/>
  <c r="AE91" i="8" s="1"/>
  <c r="AG40" i="2"/>
  <c r="AG7" i="9" s="1"/>
  <c r="AH144" i="2"/>
  <c r="AH13" i="11" s="1"/>
  <c r="AH103" i="2"/>
  <c r="AJ79" i="2"/>
  <c r="AJ142" i="8" s="1"/>
  <c r="AF152" i="2"/>
  <c r="AF134" i="2"/>
  <c r="AF130" i="8" s="1"/>
  <c r="AF97" i="2"/>
  <c r="AJ81" i="2"/>
  <c r="AJ119" i="8" s="1"/>
  <c r="AF66" i="2"/>
  <c r="AF40" i="2"/>
  <c r="AF7" i="9" s="1"/>
  <c r="AJ125" i="2"/>
  <c r="AJ39" i="8" s="1"/>
  <c r="AJ96" i="2"/>
  <c r="AJ65" i="2"/>
  <c r="AE158" i="2"/>
  <c r="AE146" i="8" s="1"/>
  <c r="AI145" i="2"/>
  <c r="AI127" i="8" s="1"/>
  <c r="AE96" i="2"/>
  <c r="AE68" i="2"/>
  <c r="AG47" i="2"/>
  <c r="AG31" i="9" s="1"/>
  <c r="AI21" i="2"/>
  <c r="AI26" i="8" s="1"/>
  <c r="AE146" i="2"/>
  <c r="AE141" i="8" s="1"/>
  <c r="AI131" i="2"/>
  <c r="AI81" i="2"/>
  <c r="AI119" i="8" s="1"/>
  <c r="AI30" i="2"/>
  <c r="AI64" i="8" s="1"/>
  <c r="AF158" i="2"/>
  <c r="AJ154" i="2"/>
  <c r="AJ14" i="11" s="1"/>
  <c r="AH146" i="2"/>
  <c r="AH141" i="8" s="1"/>
  <c r="AJ99" i="2"/>
  <c r="AH87" i="2"/>
  <c r="AH66" i="2"/>
  <c r="AJ43" i="2"/>
  <c r="AJ9" i="9" s="1"/>
  <c r="AE136" i="2"/>
  <c r="AE115" i="8" s="1"/>
  <c r="AI85" i="2"/>
  <c r="AI68" i="2"/>
  <c r="AE36" i="2"/>
  <c r="AY54" i="22"/>
  <c r="AT12" i="22"/>
  <c r="BH12" i="22"/>
  <c r="BN12" i="22" s="1"/>
  <c r="AF12" i="22"/>
  <c r="AL12" i="22" s="1"/>
  <c r="BK139" i="22"/>
  <c r="AW139" i="22"/>
  <c r="AI139" i="22"/>
  <c r="AV157" i="22"/>
  <c r="BJ157" i="22"/>
  <c r="BP157" i="22" s="1"/>
  <c r="AH157" i="22"/>
  <c r="AN157" i="22" s="1"/>
  <c r="BG131" i="22"/>
  <c r="AS131" i="22"/>
  <c r="AE131" i="22"/>
  <c r="BL107" i="22"/>
  <c r="BR107" i="22" s="1"/>
  <c r="AX107" i="22"/>
  <c r="AJ107" i="22"/>
  <c r="AP107" i="22" s="1"/>
  <c r="AU88" i="22"/>
  <c r="AG88" i="22"/>
  <c r="AM88" i="22" s="1"/>
  <c r="BI88" i="22"/>
  <c r="BO88" i="22" s="1"/>
  <c r="AJ110" i="22"/>
  <c r="BL110" i="22"/>
  <c r="AX110" i="22"/>
  <c r="AU91" i="22"/>
  <c r="BI91" i="22"/>
  <c r="BO91" i="22" s="1"/>
  <c r="AG91" i="22"/>
  <c r="AM91" i="22" s="1"/>
  <c r="AV67" i="22"/>
  <c r="BJ67" i="22"/>
  <c r="BP67" i="22" s="1"/>
  <c r="AH67" i="22"/>
  <c r="AN67" i="22" s="1"/>
  <c r="AV57" i="22"/>
  <c r="BJ57" i="22"/>
  <c r="AH57" i="22"/>
  <c r="AU67" i="22"/>
  <c r="BI67" i="22"/>
  <c r="BO67" i="22" s="1"/>
  <c r="AG67" i="22"/>
  <c r="AM67" i="22" s="1"/>
  <c r="AU53" i="22"/>
  <c r="BI53" i="22"/>
  <c r="BO53" i="22" s="1"/>
  <c r="AG53" i="22"/>
  <c r="AM53" i="22" s="1"/>
  <c r="BL5" i="22"/>
  <c r="AX5" i="22"/>
  <c r="AJ5" i="22"/>
  <c r="BH138" i="22"/>
  <c r="AT138" i="22"/>
  <c r="AF138" i="22"/>
  <c r="BL124" i="22"/>
  <c r="BR124" i="22" s="1"/>
  <c r="AX124" i="22"/>
  <c r="AJ124" i="22"/>
  <c r="AP124" i="22" s="1"/>
  <c r="BI115" i="22"/>
  <c r="BO115" i="22" s="1"/>
  <c r="AU115" i="22"/>
  <c r="AG115" i="22"/>
  <c r="AM115" i="22" s="1"/>
  <c r="AV105" i="22"/>
  <c r="BJ105" i="22"/>
  <c r="AH105" i="22"/>
  <c r="AX88" i="22"/>
  <c r="BL88" i="22"/>
  <c r="BR88" i="22" s="1"/>
  <c r="AJ88" i="22"/>
  <c r="AP88" i="22" s="1"/>
  <c r="AS47" i="22"/>
  <c r="BG47" i="22"/>
  <c r="BM47" i="22" s="1"/>
  <c r="AE47" i="22"/>
  <c r="AK47" i="22" s="1"/>
  <c r="AU139" i="22"/>
  <c r="BI139" i="22"/>
  <c r="AG139" i="22"/>
  <c r="AT123" i="22"/>
  <c r="BH123" i="22"/>
  <c r="AF123" i="22"/>
  <c r="AU113" i="22"/>
  <c r="BI113" i="22"/>
  <c r="AG113" i="22"/>
  <c r="BG103" i="22"/>
  <c r="AS103" i="22"/>
  <c r="AE103" i="22"/>
  <c r="AW71" i="22"/>
  <c r="BK71" i="22"/>
  <c r="AI71" i="22"/>
  <c r="AI57" i="22"/>
  <c r="AW57" i="22"/>
  <c r="BK57" i="22"/>
  <c r="BK74" i="22"/>
  <c r="AI74" i="22"/>
  <c r="AW74" i="22"/>
  <c r="BJ35" i="22"/>
  <c r="AV35" i="22"/>
  <c r="AH35" i="22"/>
  <c r="AX23" i="22"/>
  <c r="BL23" i="22"/>
  <c r="AJ23" i="22"/>
  <c r="AV15" i="22"/>
  <c r="AH15" i="22"/>
  <c r="BJ15" i="22"/>
  <c r="BJ9" i="22"/>
  <c r="AV9" i="22"/>
  <c r="AH9" i="22"/>
  <c r="AX44" i="22"/>
  <c r="BL44" i="22"/>
  <c r="AJ44" i="22"/>
  <c r="BK34" i="22"/>
  <c r="AW34" i="22"/>
  <c r="AI34" i="22"/>
  <c r="AW27" i="22"/>
  <c r="BK27" i="22"/>
  <c r="BQ27" i="22" s="1"/>
  <c r="AI27" i="22"/>
  <c r="AO27" i="22" s="1"/>
  <c r="AW18" i="22"/>
  <c r="AI18" i="22"/>
  <c r="AO18" i="22" s="1"/>
  <c r="BK18" i="22"/>
  <c r="BQ18" i="22" s="1"/>
  <c r="AX8" i="22"/>
  <c r="BL8" i="22"/>
  <c r="AJ8" i="22"/>
  <c r="BG6" i="22"/>
  <c r="AE6" i="22"/>
  <c r="AS6" i="22"/>
  <c r="BL108" i="22"/>
  <c r="AX108" i="22"/>
  <c r="AJ108" i="22"/>
  <c r="BL46" i="22"/>
  <c r="AJ46" i="22"/>
  <c r="AX46" i="22"/>
  <c r="AT139" i="22"/>
  <c r="BH139" i="22"/>
  <c r="AF139" i="22"/>
  <c r="AX113" i="22"/>
  <c r="BL113" i="22"/>
  <c r="AJ113" i="22"/>
  <c r="BK76" i="22"/>
  <c r="AI76" i="22"/>
  <c r="AW76" i="22"/>
  <c r="AW35" i="22"/>
  <c r="AI35" i="22"/>
  <c r="BK35" i="22"/>
  <c r="AS16" i="22"/>
  <c r="BG16" i="22"/>
  <c r="AE16" i="22"/>
  <c r="BH6" i="22"/>
  <c r="AT6" i="22"/>
  <c r="AF6" i="22"/>
  <c r="BG118" i="22"/>
  <c r="AS118" i="22"/>
  <c r="AE118" i="22"/>
  <c r="AW41" i="22"/>
  <c r="BK41" i="22"/>
  <c r="AI41" i="22"/>
  <c r="BI146" i="22"/>
  <c r="AU146" i="22"/>
  <c r="AG146" i="22"/>
  <c r="AF30" i="22"/>
  <c r="BH30" i="22"/>
  <c r="AT30" i="22"/>
  <c r="BG8" i="22"/>
  <c r="AS8" i="22"/>
  <c r="AE8" i="22"/>
  <c r="BG115" i="22"/>
  <c r="BM115" i="22" s="1"/>
  <c r="AS115" i="22"/>
  <c r="AE115" i="22"/>
  <c r="AK115" i="22" s="1"/>
  <c r="AW97" i="22"/>
  <c r="AI97" i="22"/>
  <c r="AO97" i="22" s="1"/>
  <c r="BK97" i="22"/>
  <c r="BQ97" i="22" s="1"/>
  <c r="BH73" i="22"/>
  <c r="AT73" i="22"/>
  <c r="AF73" i="22"/>
  <c r="BH84" i="22"/>
  <c r="AT84" i="22"/>
  <c r="AF84" i="22"/>
  <c r="AU137" i="22"/>
  <c r="BI137" i="22"/>
  <c r="AG137" i="22"/>
  <c r="AU68" i="22"/>
  <c r="BI68" i="22"/>
  <c r="AG68" i="22"/>
  <c r="BL147" i="22"/>
  <c r="BR147" i="22" s="1"/>
  <c r="AX147" i="22"/>
  <c r="AJ147" i="22"/>
  <c r="AP147" i="22" s="1"/>
  <c r="AS109" i="22"/>
  <c r="AE109" i="22"/>
  <c r="AK109" i="22" s="1"/>
  <c r="BG109" i="22"/>
  <c r="BM109" i="22" s="1"/>
  <c r="AW63" i="22"/>
  <c r="BK63" i="22"/>
  <c r="BQ63" i="22" s="1"/>
  <c r="AI63" i="22"/>
  <c r="AO63" i="22" s="1"/>
  <c r="AU47" i="22"/>
  <c r="BI47" i="22"/>
  <c r="BO47" i="22" s="1"/>
  <c r="AG47" i="22"/>
  <c r="AM47" i="22" s="1"/>
  <c r="AS28" i="22"/>
  <c r="AE28" i="22"/>
  <c r="BG28" i="22"/>
  <c r="BG11" i="22"/>
  <c r="AS11" i="22"/>
  <c r="AE11" i="22"/>
  <c r="AX68" i="22"/>
  <c r="BL68" i="22"/>
  <c r="AJ68" i="22"/>
  <c r="BL126" i="22"/>
  <c r="AJ126" i="22"/>
  <c r="AX126" i="22"/>
  <c r="BL115" i="22"/>
  <c r="BR115" i="22" s="1"/>
  <c r="AX115" i="22"/>
  <c r="AJ115" i="22"/>
  <c r="AP115" i="22" s="1"/>
  <c r="AW108" i="22"/>
  <c r="BK108" i="22"/>
  <c r="AI108" i="22"/>
  <c r="AS116" i="22"/>
  <c r="BG116" i="22"/>
  <c r="AE116" i="22"/>
  <c r="AX89" i="22"/>
  <c r="BL89" i="22"/>
  <c r="AJ89" i="22"/>
  <c r="AT67" i="22"/>
  <c r="AF67" i="22"/>
  <c r="AL67" i="22" s="1"/>
  <c r="BH67" i="22"/>
  <c r="BN67" i="22" s="1"/>
  <c r="BH42" i="22"/>
  <c r="AF42" i="22"/>
  <c r="AT42" i="22"/>
  <c r="AV21" i="22"/>
  <c r="BJ21" i="22"/>
  <c r="AH21" i="22"/>
  <c r="AV14" i="22"/>
  <c r="AH14" i="22"/>
  <c r="BJ14" i="22"/>
  <c r="AU110" i="22"/>
  <c r="AG110" i="22"/>
  <c r="BI110" i="22"/>
  <c r="BG139" i="22"/>
  <c r="AS139" i="22"/>
  <c r="AE139" i="22"/>
  <c r="AW149" i="22"/>
  <c r="AI149" i="22"/>
  <c r="BK149" i="22"/>
  <c r="AV129" i="22"/>
  <c r="AH129" i="22"/>
  <c r="BJ129" i="22"/>
  <c r="BH107" i="22"/>
  <c r="BN107" i="22" s="1"/>
  <c r="AT107" i="22"/>
  <c r="AF107" i="22"/>
  <c r="AL107" i="22" s="1"/>
  <c r="AJ86" i="22"/>
  <c r="BL86" i="22"/>
  <c r="AX86" i="22"/>
  <c r="AU102" i="22"/>
  <c r="BI102" i="22"/>
  <c r="BO102" i="22" s="1"/>
  <c r="AG102" i="22"/>
  <c r="AM102" i="22" s="1"/>
  <c r="BL74" i="22"/>
  <c r="AJ74" i="22"/>
  <c r="AX74" i="22"/>
  <c r="BJ56" i="22"/>
  <c r="BP56" i="22" s="1"/>
  <c r="AH56" i="22"/>
  <c r="AN56" i="22" s="1"/>
  <c r="AV56" i="22"/>
  <c r="AU63" i="22"/>
  <c r="AG63" i="22"/>
  <c r="AM63" i="22" s="1"/>
  <c r="BI63" i="22"/>
  <c r="BO63" i="22" s="1"/>
  <c r="AU44" i="22"/>
  <c r="BI44" i="22"/>
  <c r="AG44" i="22"/>
  <c r="BH5" i="22"/>
  <c r="AT5" i="22"/>
  <c r="AF5" i="22"/>
  <c r="AW137" i="22"/>
  <c r="AI137" i="22"/>
  <c r="BK137" i="22"/>
  <c r="AT124" i="22"/>
  <c r="AF124" i="22"/>
  <c r="AL124" i="22" s="1"/>
  <c r="BH124" i="22"/>
  <c r="BN124" i="22" s="1"/>
  <c r="BI114" i="22"/>
  <c r="AG114" i="22"/>
  <c r="AU114" i="22"/>
  <c r="AS104" i="22"/>
  <c r="BG104" i="22"/>
  <c r="AE104" i="22"/>
  <c r="AT63" i="22"/>
  <c r="BH63" i="22"/>
  <c r="BN63" i="22" s="1"/>
  <c r="AF63" i="22"/>
  <c r="AL63" i="22" s="1"/>
  <c r="AX156" i="22"/>
  <c r="BL156" i="22"/>
  <c r="AJ156" i="22"/>
  <c r="AX137" i="22"/>
  <c r="BL137" i="22"/>
  <c r="AJ137" i="22"/>
  <c r="BH122" i="22"/>
  <c r="BN122" i="22" s="1"/>
  <c r="AT122" i="22"/>
  <c r="AF122" i="22"/>
  <c r="AL122" i="22" s="1"/>
  <c r="BL112" i="22"/>
  <c r="AX112" i="22"/>
  <c r="AJ112" i="22"/>
  <c r="AU97" i="22"/>
  <c r="BI97" i="22"/>
  <c r="BO97" i="22" s="1"/>
  <c r="AG97" i="22"/>
  <c r="AM97" i="22" s="1"/>
  <c r="AS71" i="22"/>
  <c r="BG71" i="22"/>
  <c r="AE71" i="22"/>
  <c r="AT47" i="22"/>
  <c r="AF47" i="22"/>
  <c r="AL47" i="22" s="1"/>
  <c r="BH47" i="22"/>
  <c r="BN47" i="22" s="1"/>
  <c r="AV38" i="22"/>
  <c r="AH38" i="22"/>
  <c r="BJ38" i="22"/>
  <c r="AV30" i="22"/>
  <c r="AH30" i="22"/>
  <c r="BJ30" i="22"/>
  <c r="BL18" i="22"/>
  <c r="BR18" i="22" s="1"/>
  <c r="AX18" i="22"/>
  <c r="AJ18" i="22"/>
  <c r="AP18" i="22" s="1"/>
  <c r="AU11" i="22"/>
  <c r="BI11" i="22"/>
  <c r="AG11" i="22"/>
  <c r="BL120" i="22"/>
  <c r="AX120" i="22"/>
  <c r="AJ120" i="22"/>
  <c r="BK37" i="22"/>
  <c r="BQ37" i="22" s="1"/>
  <c r="AW37" i="22"/>
  <c r="AI37" i="22"/>
  <c r="AO37" i="22" s="1"/>
  <c r="BK29" i="22"/>
  <c r="AW29" i="22"/>
  <c r="AI29" i="22"/>
  <c r="AW21" i="22"/>
  <c r="BK21" i="22"/>
  <c r="AI21" i="22"/>
  <c r="BK10" i="22"/>
  <c r="AW10" i="22"/>
  <c r="AI10" i="22"/>
  <c r="BI46" i="22"/>
  <c r="AU46" i="22"/>
  <c r="AG46" i="22"/>
  <c r="AT108" i="22"/>
  <c r="BH108" i="22"/>
  <c r="AF108" i="22"/>
  <c r="AF46" i="22"/>
  <c r="BH46" i="22"/>
  <c r="AT46" i="22"/>
  <c r="BJ139" i="22"/>
  <c r="AV139" i="22"/>
  <c r="AH139" i="22"/>
  <c r="BJ113" i="22"/>
  <c r="AV113" i="22"/>
  <c r="AH113" i="22"/>
  <c r="AV97" i="22"/>
  <c r="BJ97" i="22"/>
  <c r="BP97" i="22" s="1"/>
  <c r="AH97" i="22"/>
  <c r="AN97" i="22" s="1"/>
  <c r="BI40" i="22"/>
  <c r="BO40" i="22" s="1"/>
  <c r="AU40" i="22"/>
  <c r="AG40" i="22"/>
  <c r="AM40" i="22" s="1"/>
  <c r="AS19" i="22"/>
  <c r="BG19" i="22"/>
  <c r="AE19" i="22"/>
  <c r="AV7" i="22"/>
  <c r="BJ7" i="22"/>
  <c r="AH7" i="22"/>
  <c r="BG134" i="22"/>
  <c r="AS134" i="22"/>
  <c r="AE134" i="22"/>
  <c r="AE157" i="22"/>
  <c r="AK157" i="22" s="1"/>
  <c r="BG157" i="22"/>
  <c r="BM157" i="22" s="1"/>
  <c r="AS157" i="22"/>
  <c r="AX79" i="22"/>
  <c r="BL79" i="22"/>
  <c r="BR79" i="22" s="1"/>
  <c r="AJ79" i="22"/>
  <c r="AP79" i="22" s="1"/>
  <c r="AV29" i="22"/>
  <c r="BJ29" i="22"/>
  <c r="AH29" i="22"/>
  <c r="BI7" i="22"/>
  <c r="AU7" i="22"/>
  <c r="AG7" i="22"/>
  <c r="BK102" i="22"/>
  <c r="BQ102" i="22" s="1"/>
  <c r="AW102" i="22"/>
  <c r="AI102" i="22"/>
  <c r="AO102" i="22" s="1"/>
  <c r="AV10" i="22"/>
  <c r="AH10" i="22"/>
  <c r="BJ10" i="22"/>
  <c r="BH118" i="22"/>
  <c r="AF118" i="22"/>
  <c r="AT118" i="22"/>
  <c r="BI155" i="22"/>
  <c r="BO155" i="22" s="1"/>
  <c r="AU155" i="22"/>
  <c r="AG155" i="22"/>
  <c r="AM155" i="22" s="1"/>
  <c r="BJ8" i="22"/>
  <c r="AH8" i="22"/>
  <c r="AV8" i="22"/>
  <c r="AS73" i="22"/>
  <c r="BG73" i="22"/>
  <c r="AE73" i="22"/>
  <c r="BL22" i="22"/>
  <c r="AX22" i="22"/>
  <c r="AJ22" i="22"/>
  <c r="AW129" i="22"/>
  <c r="AI129" i="22"/>
  <c r="BK129" i="22"/>
  <c r="AS88" i="22"/>
  <c r="BG88" i="22"/>
  <c r="BM88" i="22" s="1"/>
  <c r="AE88" i="22"/>
  <c r="AK88" i="22" s="1"/>
  <c r="AS56" i="22"/>
  <c r="AE56" i="22"/>
  <c r="AK56" i="22" s="1"/>
  <c r="BG56" i="22"/>
  <c r="BM56" i="22" s="1"/>
  <c r="BG30" i="22"/>
  <c r="AE30" i="22"/>
  <c r="AS30" i="22"/>
  <c r="AU15" i="22"/>
  <c r="BI15" i="22"/>
  <c r="AG15" i="22"/>
  <c r="BK5" i="22"/>
  <c r="AW5" i="22"/>
  <c r="AI5" i="22"/>
  <c r="BH68" i="22"/>
  <c r="AT68" i="22"/>
  <c r="AF68" i="22"/>
  <c r="BH126" i="22"/>
  <c r="AF126" i="22"/>
  <c r="AT126" i="22"/>
  <c r="AT115" i="22"/>
  <c r="BH115" i="22"/>
  <c r="BN115" i="22" s="1"/>
  <c r="AF115" i="22"/>
  <c r="AL115" i="22" s="1"/>
  <c r="BI122" i="22"/>
  <c r="BO122" i="22" s="1"/>
  <c r="AG122" i="22"/>
  <c r="AM122" i="22" s="1"/>
  <c r="AU122" i="22"/>
  <c r="AX71" i="22"/>
  <c r="BL71" i="22"/>
  <c r="AJ71" i="22"/>
  <c r="BL53" i="22"/>
  <c r="BR53" i="22" s="1"/>
  <c r="AX53" i="22"/>
  <c r="AJ53" i="22"/>
  <c r="AP53" i="22" s="1"/>
  <c r="AX35" i="22"/>
  <c r="BL35" i="22"/>
  <c r="AJ35" i="22"/>
  <c r="AT16" i="22"/>
  <c r="BH16" i="22"/>
  <c r="AF16" i="22"/>
  <c r="BJ110" i="22"/>
  <c r="AH110" i="22"/>
  <c r="AV110" i="22"/>
  <c r="BJ12" i="22"/>
  <c r="BP12" i="22" s="1"/>
  <c r="AV12" i="22"/>
  <c r="AH12" i="22"/>
  <c r="AN12" i="22" s="1"/>
  <c r="BG155" i="22"/>
  <c r="BM155" i="22" s="1"/>
  <c r="AS155" i="22"/>
  <c r="AE155" i="22"/>
  <c r="AK155" i="22" s="1"/>
  <c r="BJ138" i="22"/>
  <c r="AV138" i="22"/>
  <c r="AH138" i="22"/>
  <c r="AW125" i="22"/>
  <c r="BK125" i="22"/>
  <c r="BQ125" i="22" s="1"/>
  <c r="AI125" i="22"/>
  <c r="AO125" i="22" s="1"/>
  <c r="AS149" i="22"/>
  <c r="BG149" i="22"/>
  <c r="AE149" i="22"/>
  <c r="AV137" i="22"/>
  <c r="AH137" i="22"/>
  <c r="BJ137" i="22"/>
  <c r="AW124" i="22"/>
  <c r="BK124" i="22"/>
  <c r="BQ124" i="22" s="1"/>
  <c r="AI124" i="22"/>
  <c r="AO124" i="22" s="1"/>
  <c r="BL111" i="22"/>
  <c r="AX111" i="22"/>
  <c r="AJ111" i="22"/>
  <c r="BI103" i="22"/>
  <c r="AU103" i="22"/>
  <c r="AG103" i="22"/>
  <c r="AX91" i="22"/>
  <c r="BL91" i="22"/>
  <c r="BR91" i="22" s="1"/>
  <c r="AJ91" i="22"/>
  <c r="AP91" i="22" s="1"/>
  <c r="BH86" i="22"/>
  <c r="AT86" i="22"/>
  <c r="AF86" i="22"/>
  <c r="AU71" i="22"/>
  <c r="BI71" i="22"/>
  <c r="AG71" i="22"/>
  <c r="BI107" i="22"/>
  <c r="BO107" i="22" s="1"/>
  <c r="AU107" i="22"/>
  <c r="AG107" i="22"/>
  <c r="AM107" i="22" s="1"/>
  <c r="BH90" i="22"/>
  <c r="AF90" i="22"/>
  <c r="AT90" i="22"/>
  <c r="BH74" i="22"/>
  <c r="AT74" i="22"/>
  <c r="AF74" i="22"/>
  <c r="BJ59" i="22"/>
  <c r="AV59" i="22"/>
  <c r="AH59" i="22"/>
  <c r="AV53" i="22"/>
  <c r="BJ53" i="22"/>
  <c r="BP53" i="22" s="1"/>
  <c r="AH53" i="22"/>
  <c r="AN53" i="22" s="1"/>
  <c r="AV42" i="22"/>
  <c r="AH42" i="22"/>
  <c r="BJ42" i="22"/>
  <c r="BI59" i="22"/>
  <c r="AG59" i="22"/>
  <c r="AU59" i="22"/>
  <c r="AU52" i="22"/>
  <c r="BI52" i="22"/>
  <c r="BO52" i="22" s="1"/>
  <c r="AG52" i="22"/>
  <c r="AM52" i="22" s="1"/>
  <c r="BL11" i="22"/>
  <c r="AX11" i="22"/>
  <c r="AJ11" i="22"/>
  <c r="BL7" i="22"/>
  <c r="AX7" i="22"/>
  <c r="AJ7" i="22"/>
  <c r="AX157" i="22"/>
  <c r="BL157" i="22"/>
  <c r="BR157" i="22" s="1"/>
  <c r="AJ157" i="22"/>
  <c r="AP157" i="22" s="1"/>
  <c r="BG146" i="22"/>
  <c r="AE146" i="22"/>
  <c r="AS146" i="22"/>
  <c r="AS137" i="22"/>
  <c r="BG137" i="22"/>
  <c r="AE137" i="22"/>
  <c r="AT125" i="22"/>
  <c r="BH125" i="22"/>
  <c r="BN125" i="22" s="1"/>
  <c r="AF125" i="22"/>
  <c r="AL125" i="22" s="1"/>
  <c r="BK123" i="22"/>
  <c r="AW123" i="22"/>
  <c r="AI123" i="22"/>
  <c r="AU117" i="22"/>
  <c r="BI117" i="22"/>
  <c r="AG117" i="22"/>
  <c r="AT113" i="22"/>
  <c r="BH113" i="22"/>
  <c r="AF113" i="22"/>
  <c r="BK107" i="22"/>
  <c r="BQ107" i="22" s="1"/>
  <c r="AW107" i="22"/>
  <c r="AI107" i="22"/>
  <c r="AO107" i="22" s="1"/>
  <c r="BG94" i="22"/>
  <c r="BM94" i="22" s="1"/>
  <c r="AS94" i="22"/>
  <c r="AE94" i="22"/>
  <c r="AK94" i="22" s="1"/>
  <c r="BJ86" i="22"/>
  <c r="AV86" i="22"/>
  <c r="AH86" i="22"/>
  <c r="BL58" i="22"/>
  <c r="AJ58" i="22"/>
  <c r="AX58" i="22"/>
  <c r="BL52" i="22"/>
  <c r="BR52" i="22" s="1"/>
  <c r="AX52" i="22"/>
  <c r="AJ52" i="22"/>
  <c r="AP52" i="22" s="1"/>
  <c r="BH155" i="22"/>
  <c r="BN155" i="22" s="1"/>
  <c r="AF155" i="22"/>
  <c r="AL155" i="22" s="1"/>
  <c r="AT155" i="22"/>
  <c r="BG147" i="22"/>
  <c r="BM147" i="22" s="1"/>
  <c r="AS147" i="22"/>
  <c r="AE147" i="22"/>
  <c r="AK147" i="22" s="1"/>
  <c r="AT137" i="22"/>
  <c r="AF137" i="22"/>
  <c r="BH137" i="22"/>
  <c r="BJ123" i="22"/>
  <c r="AV123" i="22"/>
  <c r="AH123" i="22"/>
  <c r="BH120" i="22"/>
  <c r="AT120" i="22"/>
  <c r="AF120" i="22"/>
  <c r="BJ114" i="22"/>
  <c r="AH114" i="22"/>
  <c r="AV114" i="22"/>
  <c r="AT112" i="22"/>
  <c r="BH112" i="22"/>
  <c r="AF112" i="22"/>
  <c r="AT104" i="22"/>
  <c r="BH104" i="22"/>
  <c r="AF104" i="22"/>
  <c r="AJ94" i="22"/>
  <c r="AP94" i="22" s="1"/>
  <c r="BL94" i="22"/>
  <c r="BR94" i="22" s="1"/>
  <c r="AX94" i="22"/>
  <c r="BK86" i="22"/>
  <c r="AW86" i="22"/>
  <c r="AI86" i="22"/>
  <c r="BK59" i="22"/>
  <c r="AW59" i="22"/>
  <c r="AI59" i="22"/>
  <c r="BK53" i="22"/>
  <c r="BQ53" i="22" s="1"/>
  <c r="AW53" i="22"/>
  <c r="AI53" i="22"/>
  <c r="AO53" i="22" s="1"/>
  <c r="BL155" i="22"/>
  <c r="BR155" i="22" s="1"/>
  <c r="AJ155" i="22"/>
  <c r="AP155" i="22" s="1"/>
  <c r="AX155" i="22"/>
  <c r="BG42" i="22"/>
  <c r="AS42" i="22"/>
  <c r="AE42" i="22"/>
  <c r="BL37" i="22"/>
  <c r="BR37" i="22" s="1"/>
  <c r="AX37" i="22"/>
  <c r="AJ37" i="22"/>
  <c r="AP37" i="22" s="1"/>
  <c r="BH34" i="22"/>
  <c r="AF34" i="22"/>
  <c r="AT34" i="22"/>
  <c r="AX29" i="22"/>
  <c r="BL29" i="22"/>
  <c r="AJ29" i="22"/>
  <c r="BH27" i="22"/>
  <c r="BN27" i="22" s="1"/>
  <c r="AT27" i="22"/>
  <c r="AF27" i="22"/>
  <c r="AL27" i="22" s="1"/>
  <c r="AX21" i="22"/>
  <c r="BL21" i="22"/>
  <c r="AJ21" i="22"/>
  <c r="BH18" i="22"/>
  <c r="BN18" i="22" s="1"/>
  <c r="AF18" i="22"/>
  <c r="AL18" i="22" s="1"/>
  <c r="AT18" i="22"/>
  <c r="AF14" i="22"/>
  <c r="BH14" i="22"/>
  <c r="AT14" i="22"/>
  <c r="BL10" i="22"/>
  <c r="AX10" i="22"/>
  <c r="AJ10" i="22"/>
  <c r="BK7" i="22"/>
  <c r="AW7" i="22"/>
  <c r="AI7" i="22"/>
  <c r="AW105" i="22"/>
  <c r="BK105" i="22"/>
  <c r="AI105" i="22"/>
  <c r="AS40" i="22"/>
  <c r="BG40" i="22"/>
  <c r="BM40" i="22" s="1"/>
  <c r="AE40" i="22"/>
  <c r="AK40" i="22" s="1"/>
  <c r="BG37" i="22"/>
  <c r="BM37" i="22" s="1"/>
  <c r="AS37" i="22"/>
  <c r="AE37" i="22"/>
  <c r="AK37" i="22" s="1"/>
  <c r="AW31" i="22"/>
  <c r="BK31" i="22"/>
  <c r="AI31" i="22"/>
  <c r="BG29" i="22"/>
  <c r="AS29" i="22"/>
  <c r="AE29" i="22"/>
  <c r="BI24" i="22"/>
  <c r="AU24" i="22"/>
  <c r="AG24" i="22"/>
  <c r="AS21" i="22"/>
  <c r="BG21" i="22"/>
  <c r="AE21" i="22"/>
  <c r="AU16" i="22"/>
  <c r="BI16" i="22"/>
  <c r="AG16" i="22"/>
  <c r="BG10" i="22"/>
  <c r="AS10" i="22"/>
  <c r="AE10" i="22"/>
  <c r="AU41" i="22"/>
  <c r="BI41" i="22"/>
  <c r="AG41" i="22"/>
  <c r="BH119" i="22"/>
  <c r="AT119" i="22"/>
  <c r="AF119" i="22"/>
  <c r="BJ84" i="22"/>
  <c r="AV84" i="22"/>
  <c r="AH84" i="22"/>
  <c r="AV41" i="22"/>
  <c r="BJ41" i="22"/>
  <c r="AH41" i="22"/>
  <c r="BJ155" i="22"/>
  <c r="BP155" i="22" s="1"/>
  <c r="AV155" i="22"/>
  <c r="AH155" i="22"/>
  <c r="AN155" i="22" s="1"/>
  <c r="BI131" i="22"/>
  <c r="AU131" i="22"/>
  <c r="AG131" i="22"/>
  <c r="BL114" i="22"/>
  <c r="AX114" i="22"/>
  <c r="AJ114" i="22"/>
  <c r="AX109" i="22"/>
  <c r="AJ109" i="22"/>
  <c r="AP109" i="22" s="1"/>
  <c r="BL109" i="22"/>
  <c r="BR109" i="22" s="1"/>
  <c r="BL103" i="22"/>
  <c r="AX103" i="22"/>
  <c r="AJ103" i="22"/>
  <c r="BK89" i="22"/>
  <c r="AW89" i="22"/>
  <c r="AI89" i="22"/>
  <c r="BI74" i="22"/>
  <c r="AU74" i="22"/>
  <c r="AG74" i="22"/>
  <c r="BG38" i="22"/>
  <c r="AE38" i="22"/>
  <c r="AS38" i="22"/>
  <c r="BI34" i="22"/>
  <c r="AU34" i="22"/>
  <c r="AG34" i="22"/>
  <c r="BI18" i="22"/>
  <c r="BO18" i="22" s="1"/>
  <c r="AU18" i="22"/>
  <c r="AG18" i="22"/>
  <c r="AM18" i="22" s="1"/>
  <c r="AS15" i="22"/>
  <c r="BG15" i="22"/>
  <c r="AE15" i="22"/>
  <c r="AV6" i="22"/>
  <c r="AH6" i="22"/>
  <c r="BJ6" i="22"/>
  <c r="BI119" i="22"/>
  <c r="AU119" i="22"/>
  <c r="AG119" i="22"/>
  <c r="AW84" i="22"/>
  <c r="AI84" i="22"/>
  <c r="BK84" i="22"/>
  <c r="AI68" i="22"/>
  <c r="AW68" i="22"/>
  <c r="BK68" i="22"/>
  <c r="BJ33" i="22"/>
  <c r="AV33" i="22"/>
  <c r="AH33" i="22"/>
  <c r="AU156" i="22"/>
  <c r="BI156" i="22"/>
  <c r="AG156" i="22"/>
  <c r="BH131" i="22"/>
  <c r="AT131" i="22"/>
  <c r="AF131" i="22"/>
  <c r="AT79" i="22"/>
  <c r="BH79" i="22"/>
  <c r="BN79" i="22" s="1"/>
  <c r="AF79" i="22"/>
  <c r="AL79" i="22" s="1"/>
  <c r="AV31" i="22"/>
  <c r="BJ31" i="22"/>
  <c r="AH31" i="22"/>
  <c r="BL28" i="22"/>
  <c r="AX28" i="22"/>
  <c r="AJ28" i="22"/>
  <c r="AT24" i="22"/>
  <c r="BH24" i="22"/>
  <c r="AF24" i="22"/>
  <c r="AU125" i="22"/>
  <c r="BI125" i="22"/>
  <c r="BO125" i="22" s="1"/>
  <c r="AG125" i="22"/>
  <c r="AM125" i="22" s="1"/>
  <c r="AS117" i="22"/>
  <c r="BG117" i="22"/>
  <c r="AE117" i="22"/>
  <c r="BG111" i="22"/>
  <c r="AS111" i="22"/>
  <c r="AE111" i="22"/>
  <c r="BG102" i="22"/>
  <c r="BM102" i="22" s="1"/>
  <c r="AS102" i="22"/>
  <c r="AE102" i="22"/>
  <c r="AK102" i="22" s="1"/>
  <c r="AW91" i="22"/>
  <c r="BK91" i="22"/>
  <c r="BQ91" i="22" s="1"/>
  <c r="AI91" i="22"/>
  <c r="AO91" i="22" s="1"/>
  <c r="BK8" i="22"/>
  <c r="AW8" i="22"/>
  <c r="AI8" i="22"/>
  <c r="BH134" i="22"/>
  <c r="AF134" i="22"/>
  <c r="AT134" i="22"/>
  <c r="AV108" i="22"/>
  <c r="AH108" i="22"/>
  <c r="BJ108" i="22"/>
  <c r="BL33" i="22"/>
  <c r="AX33" i="22"/>
  <c r="AJ33" i="22"/>
  <c r="BI147" i="22"/>
  <c r="BO147" i="22" s="1"/>
  <c r="AU147" i="22"/>
  <c r="AG147" i="22"/>
  <c r="AM147" i="22" s="1"/>
  <c r="BI126" i="22"/>
  <c r="AU126" i="22"/>
  <c r="AG126" i="22"/>
  <c r="BG46" i="22"/>
  <c r="AE46" i="22"/>
  <c r="AS46" i="22"/>
  <c r="BH22" i="22"/>
  <c r="AT22" i="22"/>
  <c r="AF22" i="22"/>
  <c r="BJ146" i="22"/>
  <c r="AH146" i="22"/>
  <c r="AV146" i="22"/>
  <c r="AS129" i="22"/>
  <c r="BG129" i="22"/>
  <c r="AE129" i="22"/>
  <c r="AW90" i="22"/>
  <c r="AI90" i="22"/>
  <c r="BK90" i="22"/>
  <c r="AW79" i="22"/>
  <c r="BK79" i="22"/>
  <c r="BQ79" i="22" s="1"/>
  <c r="AI79" i="22"/>
  <c r="AO79" i="22" s="1"/>
  <c r="BK58" i="22"/>
  <c r="AW58" i="22"/>
  <c r="AI58" i="22"/>
  <c r="AW52" i="22"/>
  <c r="BK52" i="22"/>
  <c r="BQ52" i="22" s="1"/>
  <c r="AI52" i="22"/>
  <c r="AO52" i="22" s="1"/>
  <c r="AS44" i="22"/>
  <c r="BG44" i="22"/>
  <c r="AE44" i="22"/>
  <c r="BI29" i="22"/>
  <c r="AU29" i="22"/>
  <c r="AG29" i="22"/>
  <c r="BK24" i="22"/>
  <c r="AW24" i="22"/>
  <c r="AI24" i="22"/>
  <c r="BI13" i="22"/>
  <c r="AU13" i="22"/>
  <c r="AG13" i="22"/>
  <c r="AW9" i="22"/>
  <c r="BK9" i="22"/>
  <c r="AI9" i="22"/>
  <c r="BG5" i="22"/>
  <c r="AS5" i="22"/>
  <c r="AE5" i="22"/>
  <c r="BK22" i="22"/>
  <c r="AW22" i="22"/>
  <c r="AI22" i="22"/>
  <c r="AV46" i="22"/>
  <c r="AH46" i="22"/>
  <c r="BJ46" i="22"/>
  <c r="BL125" i="22"/>
  <c r="BR125" i="22" s="1"/>
  <c r="AX125" i="22"/>
  <c r="AJ125" i="22"/>
  <c r="AP125" i="22" s="1"/>
  <c r="AX117" i="22"/>
  <c r="BL117" i="22"/>
  <c r="AJ117" i="22"/>
  <c r="BJ112" i="22"/>
  <c r="AV112" i="22"/>
  <c r="AH112" i="22"/>
  <c r="AS119" i="22"/>
  <c r="BG119" i="22"/>
  <c r="AE119" i="22"/>
  <c r="BI84" i="22"/>
  <c r="AU84" i="22"/>
  <c r="AG84" i="22"/>
  <c r="BK120" i="22"/>
  <c r="AI120" i="22"/>
  <c r="AW120" i="22"/>
  <c r="BG114" i="22"/>
  <c r="AE114" i="22"/>
  <c r="AS114" i="22"/>
  <c r="BJ94" i="22"/>
  <c r="BP94" i="22" s="1"/>
  <c r="AV94" i="22"/>
  <c r="AH94" i="22"/>
  <c r="AN94" i="22" s="1"/>
  <c r="AV88" i="22"/>
  <c r="BJ88" i="22"/>
  <c r="BP88" i="22" s="1"/>
  <c r="AH88" i="22"/>
  <c r="AN88" i="22" s="1"/>
  <c r="AT71" i="22"/>
  <c r="BH71" i="22"/>
  <c r="AF71" i="22"/>
  <c r="BH59" i="22"/>
  <c r="AT59" i="22"/>
  <c r="AF59" i="22"/>
  <c r="AT53" i="22"/>
  <c r="BH53" i="22"/>
  <c r="BN53" i="22" s="1"/>
  <c r="AF53" i="22"/>
  <c r="AL53" i="22" s="1"/>
  <c r="BL38" i="22"/>
  <c r="AX38" i="22"/>
  <c r="AJ38" i="22"/>
  <c r="AT35" i="22"/>
  <c r="BH35" i="22"/>
  <c r="AF35" i="22"/>
  <c r="AT19" i="22"/>
  <c r="BH19" i="22"/>
  <c r="AF19" i="22"/>
  <c r="AX15" i="22"/>
  <c r="BL15" i="22"/>
  <c r="AJ15" i="22"/>
  <c r="AT13" i="22"/>
  <c r="BH13" i="22"/>
  <c r="AF13" i="22"/>
  <c r="BJ73" i="22"/>
  <c r="AH73" i="22"/>
  <c r="AV73" i="22"/>
  <c r="AX12" i="22"/>
  <c r="BL12" i="22"/>
  <c r="BR12" i="22" s="1"/>
  <c r="AJ12" i="22"/>
  <c r="AP12" i="22" s="1"/>
  <c r="AS133" i="22"/>
  <c r="BG133" i="22"/>
  <c r="BM133" i="22" s="1"/>
  <c r="AE133" i="22"/>
  <c r="AK133" i="22" s="1"/>
  <c r="BK138" i="22"/>
  <c r="AI138" i="22"/>
  <c r="AW138" i="22"/>
  <c r="AS113" i="22"/>
  <c r="BG113" i="22"/>
  <c r="AE113" i="22"/>
  <c r="BH102" i="22"/>
  <c r="BN102" i="22" s="1"/>
  <c r="AF102" i="22"/>
  <c r="AL102" i="22" s="1"/>
  <c r="AT102" i="22"/>
  <c r="BL76" i="22"/>
  <c r="AX76" i="22"/>
  <c r="AJ76" i="22"/>
  <c r="AT105" i="22"/>
  <c r="BH105" i="22"/>
  <c r="AF105" i="22"/>
  <c r="BI76" i="22"/>
  <c r="AU76" i="22"/>
  <c r="AG76" i="22"/>
  <c r="AV47" i="22"/>
  <c r="BJ47" i="22"/>
  <c r="BP47" i="22" s="1"/>
  <c r="AH47" i="22"/>
  <c r="AN47" i="22" s="1"/>
  <c r="AU57" i="22"/>
  <c r="BI57" i="22"/>
  <c r="AG57" i="22"/>
  <c r="AX9" i="22"/>
  <c r="AJ9" i="22"/>
  <c r="BL9" i="22"/>
  <c r="AS156" i="22"/>
  <c r="BG156" i="22"/>
  <c r="AE156" i="22"/>
  <c r="AX129" i="22"/>
  <c r="BL129" i="22"/>
  <c r="AJ129" i="22"/>
  <c r="BG122" i="22"/>
  <c r="BM122" i="22" s="1"/>
  <c r="AS122" i="22"/>
  <c r="AE122" i="22"/>
  <c r="AK122" i="22" s="1"/>
  <c r="BG112" i="22"/>
  <c r="AS112" i="22"/>
  <c r="AE112" i="22"/>
  <c r="AT97" i="22"/>
  <c r="AF97" i="22"/>
  <c r="AL97" i="22" s="1"/>
  <c r="BH97" i="22"/>
  <c r="BN97" i="22" s="1"/>
  <c r="AX63" i="22"/>
  <c r="BL63" i="22"/>
  <c r="BR63" i="22" s="1"/>
  <c r="AJ63" i="22"/>
  <c r="AP63" i="22" s="1"/>
  <c r="BL56" i="22"/>
  <c r="BR56" i="22" s="1"/>
  <c r="AX56" i="22"/>
  <c r="AJ56" i="22"/>
  <c r="AP56" i="22" s="1"/>
  <c r="AT149" i="22"/>
  <c r="AF149" i="22"/>
  <c r="BH149" i="22"/>
  <c r="AH126" i="22"/>
  <c r="AV126" i="22"/>
  <c r="BJ126" i="22"/>
  <c r="AH116" i="22"/>
  <c r="AV116" i="22"/>
  <c r="BJ116" i="22"/>
  <c r="AS105" i="22"/>
  <c r="BG105" i="22"/>
  <c r="AE105" i="22"/>
  <c r="AV91" i="22"/>
  <c r="BJ91" i="22"/>
  <c r="BP91" i="22" s="1"/>
  <c r="AH91" i="22"/>
  <c r="AN91" i="22" s="1"/>
  <c r="AW67" i="22"/>
  <c r="BK67" i="22"/>
  <c r="BQ67" i="22" s="1"/>
  <c r="AI67" i="22"/>
  <c r="AO67" i="22" s="1"/>
  <c r="AX47" i="22"/>
  <c r="BL47" i="22"/>
  <c r="BR47" i="22" s="1"/>
  <c r="AJ47" i="22"/>
  <c r="AP47" i="22" s="1"/>
  <c r="BH40" i="22"/>
  <c r="BN40" i="22" s="1"/>
  <c r="AT40" i="22"/>
  <c r="AF40" i="22"/>
  <c r="AL40" i="22" s="1"/>
  <c r="AT31" i="22"/>
  <c r="AF31" i="22"/>
  <c r="BH31" i="22"/>
  <c r="AV28" i="22"/>
  <c r="BJ28" i="22"/>
  <c r="AH28" i="22"/>
  <c r="BJ19" i="22"/>
  <c r="AH19" i="22"/>
  <c r="AV19" i="22"/>
  <c r="BG13" i="22"/>
  <c r="AS13" i="22"/>
  <c r="AE13" i="22"/>
  <c r="AT156" i="22"/>
  <c r="BH156" i="22"/>
  <c r="AF156" i="22"/>
  <c r="BI38" i="22"/>
  <c r="AU38" i="22"/>
  <c r="AG38" i="22"/>
  <c r="BI30" i="22"/>
  <c r="AU30" i="22"/>
  <c r="AG30" i="22"/>
  <c r="AS23" i="22"/>
  <c r="BG23" i="22"/>
  <c r="AE23" i="22"/>
  <c r="BG14" i="22"/>
  <c r="AE14" i="22"/>
  <c r="AS14" i="22"/>
  <c r="AH134" i="22"/>
  <c r="BJ134" i="22"/>
  <c r="AV134" i="22"/>
  <c r="BH82" i="22"/>
  <c r="AT82" i="22"/>
  <c r="AF82" i="22"/>
  <c r="AV22" i="22"/>
  <c r="AH22" i="22"/>
  <c r="BJ22" i="22"/>
  <c r="AX116" i="22"/>
  <c r="BL116" i="22"/>
  <c r="AJ116" i="22"/>
  <c r="AV107" i="22"/>
  <c r="BJ107" i="22"/>
  <c r="BP107" i="22" s="1"/>
  <c r="AH107" i="22"/>
  <c r="AN107" i="22" s="1"/>
  <c r="BJ102" i="22"/>
  <c r="BP102" i="22" s="1"/>
  <c r="AV102" i="22"/>
  <c r="AH102" i="22"/>
  <c r="AN102" i="22" s="1"/>
  <c r="BK40" i="22"/>
  <c r="BQ40" i="22" s="1"/>
  <c r="AW40" i="22"/>
  <c r="AI40" i="22"/>
  <c r="AO40" i="22" s="1"/>
  <c r="AI19" i="22"/>
  <c r="AW19" i="22"/>
  <c r="BK19" i="22"/>
  <c r="AT8" i="22"/>
  <c r="BH8" i="22"/>
  <c r="AF8" i="22"/>
  <c r="BK134" i="22"/>
  <c r="AW134" i="22"/>
  <c r="AI134" i="22"/>
  <c r="BI82" i="22"/>
  <c r="AU82" i="22"/>
  <c r="AG82" i="22"/>
  <c r="AW157" i="22"/>
  <c r="AI157" i="22"/>
  <c r="AO157" i="22" s="1"/>
  <c r="BK157" i="22"/>
  <c r="BQ157" i="22" s="1"/>
  <c r="AV79" i="22"/>
  <c r="BJ79" i="22"/>
  <c r="BP79" i="22" s="1"/>
  <c r="AH79" i="22"/>
  <c r="AN79" i="22" s="1"/>
  <c r="AV27" i="22"/>
  <c r="BJ27" i="22"/>
  <c r="BP27" i="22" s="1"/>
  <c r="AH27" i="22"/>
  <c r="AN27" i="22" s="1"/>
  <c r="BI120" i="22"/>
  <c r="AU120" i="22"/>
  <c r="AG120" i="22"/>
  <c r="BK104" i="22"/>
  <c r="AW104" i="22"/>
  <c r="AI104" i="22"/>
  <c r="AV13" i="22"/>
  <c r="BJ13" i="22"/>
  <c r="AH13" i="22"/>
  <c r="BL118" i="22"/>
  <c r="AJ118" i="22"/>
  <c r="AX118" i="22"/>
  <c r="AU157" i="22"/>
  <c r="BI157" i="22"/>
  <c r="BO157" i="22" s="1"/>
  <c r="AG157" i="22"/>
  <c r="AM157" i="22" s="1"/>
  <c r="BG126" i="22"/>
  <c r="AS126" i="22"/>
  <c r="AE126" i="22"/>
  <c r="AW73" i="22"/>
  <c r="BK73" i="22"/>
  <c r="AI73" i="22"/>
  <c r="AS33" i="22"/>
  <c r="BG33" i="22"/>
  <c r="AE33" i="22"/>
  <c r="AU129" i="22"/>
  <c r="BI129" i="22"/>
  <c r="AG129" i="22"/>
  <c r="AW88" i="22"/>
  <c r="BK88" i="22"/>
  <c r="BQ88" i="22" s="1"/>
  <c r="AI88" i="22"/>
  <c r="AO88" i="22" s="1"/>
  <c r="BK56" i="22"/>
  <c r="BQ56" i="22" s="1"/>
  <c r="AW56" i="22"/>
  <c r="AI56" i="22"/>
  <c r="AO56" i="22" s="1"/>
  <c r="BK30" i="22"/>
  <c r="AW30" i="22"/>
  <c r="AI30" i="22"/>
  <c r="AU23" i="22"/>
  <c r="BI23" i="22"/>
  <c r="AG23" i="22"/>
  <c r="BI6" i="22"/>
  <c r="AU6" i="22"/>
  <c r="AG6" i="22"/>
  <c r="AT41" i="22"/>
  <c r="AF41" i="22"/>
  <c r="BH41" i="22"/>
  <c r="AX122" i="22"/>
  <c r="AJ122" i="22"/>
  <c r="AP122" i="22" s="1"/>
  <c r="BL122" i="22"/>
  <c r="BR122" i="22" s="1"/>
  <c r="BI134" i="22"/>
  <c r="AU134" i="22"/>
  <c r="AG134" i="22"/>
  <c r="BG82" i="22"/>
  <c r="AE82" i="22"/>
  <c r="AS82" i="22"/>
  <c r="BJ103" i="22"/>
  <c r="AV103" i="22"/>
  <c r="AH103" i="22"/>
  <c r="AV71" i="22"/>
  <c r="BJ71" i="22"/>
  <c r="AH71" i="22"/>
  <c r="AT57" i="22"/>
  <c r="AF57" i="22"/>
  <c r="BH57" i="22"/>
  <c r="BJ37" i="22"/>
  <c r="BP37" i="22" s="1"/>
  <c r="AV37" i="22"/>
  <c r="AH37" i="22"/>
  <c r="AN37" i="22" s="1"/>
  <c r="AX16" i="22"/>
  <c r="BL16" i="22"/>
  <c r="AJ16" i="22"/>
  <c r="BG110" i="22"/>
  <c r="AS110" i="22"/>
  <c r="AE110" i="22"/>
  <c r="AU12" i="22"/>
  <c r="BI12" i="22"/>
  <c r="BO12" i="22" s="1"/>
  <c r="AG12" i="22"/>
  <c r="AM12" i="22" s="1"/>
  <c r="BK155" i="22"/>
  <c r="BQ155" i="22" s="1"/>
  <c r="AW155" i="22"/>
  <c r="AI155" i="22"/>
  <c r="AO155" i="22" s="1"/>
  <c r="AV131" i="22"/>
  <c r="BJ131" i="22"/>
  <c r="AH131" i="22"/>
  <c r="BG138" i="22"/>
  <c r="AS138" i="22"/>
  <c r="AE138" i="22"/>
  <c r="BI112" i="22"/>
  <c r="AG112" i="22"/>
  <c r="AU112" i="22"/>
  <c r="AU94" i="22"/>
  <c r="AG94" i="22"/>
  <c r="AM94" i="22" s="1"/>
  <c r="BI94" i="22"/>
  <c r="BO94" i="22" s="1"/>
  <c r="BH76" i="22"/>
  <c r="AT76" i="22"/>
  <c r="AF76" i="22"/>
  <c r="BH110" i="22"/>
  <c r="AF110" i="22"/>
  <c r="AT110" i="22"/>
  <c r="BL90" i="22"/>
  <c r="AX90" i="22"/>
  <c r="AJ90" i="22"/>
  <c r="AV63" i="22"/>
  <c r="BJ63" i="22"/>
  <c r="BP63" i="22" s="1"/>
  <c r="AH63" i="22"/>
  <c r="AN63" i="22" s="1"/>
  <c r="AV44" i="22"/>
  <c r="BJ44" i="22"/>
  <c r="AH44" i="22"/>
  <c r="BI56" i="22"/>
  <c r="BO56" i="22" s="1"/>
  <c r="AU56" i="22"/>
  <c r="AG56" i="22"/>
  <c r="AM56" i="22" s="1"/>
  <c r="AF9" i="22"/>
  <c r="BH9" i="22"/>
  <c r="AT9" i="22"/>
  <c r="BK146" i="22"/>
  <c r="AI146" i="22"/>
  <c r="AW146" i="22"/>
  <c r="AT129" i="22"/>
  <c r="BH129" i="22"/>
  <c r="AF129" i="22"/>
  <c r="AS120" i="22"/>
  <c r="AE120" i="22"/>
  <c r="BG120" i="22"/>
  <c r="AU109" i="22"/>
  <c r="AG109" i="22"/>
  <c r="AM109" i="22" s="1"/>
  <c r="BI109" i="22"/>
  <c r="BO109" i="22" s="1"/>
  <c r="BK94" i="22"/>
  <c r="BQ94" i="22" s="1"/>
  <c r="AW94" i="22"/>
  <c r="AI94" i="22"/>
  <c r="AO94" i="22" s="1"/>
  <c r="BH88" i="22"/>
  <c r="BN88" i="22" s="1"/>
  <c r="AT88" i="22"/>
  <c r="AF88" i="22"/>
  <c r="AL88" i="22" s="1"/>
  <c r="BH56" i="22"/>
  <c r="BN56" i="22" s="1"/>
  <c r="AT56" i="22"/>
  <c r="AF56" i="22"/>
  <c r="AL56" i="22" s="1"/>
  <c r="AW147" i="22"/>
  <c r="BK147" i="22"/>
  <c r="BQ147" i="22" s="1"/>
  <c r="AI147" i="22"/>
  <c r="AO147" i="22" s="1"/>
  <c r="AU124" i="22"/>
  <c r="BI124" i="22"/>
  <c r="BO124" i="22" s="1"/>
  <c r="AG124" i="22"/>
  <c r="AM124" i="22" s="1"/>
  <c r="BJ115" i="22"/>
  <c r="BP115" i="22" s="1"/>
  <c r="AV115" i="22"/>
  <c r="AH115" i="22"/>
  <c r="AN115" i="22" s="1"/>
  <c r="AX104" i="22"/>
  <c r="BL104" i="22"/>
  <c r="AJ104" i="22"/>
  <c r="BI90" i="22"/>
  <c r="AU90" i="22"/>
  <c r="AG90" i="22"/>
  <c r="AS67" i="22"/>
  <c r="BG67" i="22"/>
  <c r="BM67" i="22" s="1"/>
  <c r="AE67" i="22"/>
  <c r="AK67" i="22" s="1"/>
  <c r="AS57" i="22"/>
  <c r="BG57" i="22"/>
  <c r="AE57" i="22"/>
  <c r="BK42" i="22"/>
  <c r="AI42" i="22"/>
  <c r="AW42" i="22"/>
  <c r="BL34" i="22"/>
  <c r="AX34" i="22"/>
  <c r="AJ34" i="22"/>
  <c r="AX27" i="22"/>
  <c r="BL27" i="22"/>
  <c r="BR27" i="22" s="1"/>
  <c r="AJ27" i="22"/>
  <c r="AP27" i="22" s="1"/>
  <c r="AT23" i="22"/>
  <c r="AF23" i="22"/>
  <c r="BH23" i="22"/>
  <c r="BL14" i="22"/>
  <c r="AJ14" i="22"/>
  <c r="AX14" i="22"/>
  <c r="BI8" i="22"/>
  <c r="AG8" i="22"/>
  <c r="AU8" i="22"/>
  <c r="AT44" i="22"/>
  <c r="BH44" i="22"/>
  <c r="AF44" i="22"/>
  <c r="BG34" i="22"/>
  <c r="AS34" i="22"/>
  <c r="AE34" i="22"/>
  <c r="AS27" i="22"/>
  <c r="BG27" i="22"/>
  <c r="BM27" i="22" s="1"/>
  <c r="AE27" i="22"/>
  <c r="AK27" i="22" s="1"/>
  <c r="BG18" i="22"/>
  <c r="BM18" i="22" s="1"/>
  <c r="AS18" i="22"/>
  <c r="AE18" i="22"/>
  <c r="AK18" i="22" s="1"/>
  <c r="BI5" i="22"/>
  <c r="AU5" i="22"/>
  <c r="AG5" i="22"/>
  <c r="AX119" i="22"/>
  <c r="BL119" i="22"/>
  <c r="AJ119" i="22"/>
  <c r="BH157" i="22"/>
  <c r="BN157" i="22" s="1"/>
  <c r="AF157" i="22"/>
  <c r="AL157" i="22" s="1"/>
  <c r="AT157" i="22"/>
  <c r="AT116" i="22"/>
  <c r="BH116" i="22"/>
  <c r="AF116" i="22"/>
  <c r="AV104" i="22"/>
  <c r="BJ104" i="22"/>
  <c r="AH104" i="22"/>
  <c r="BG76" i="22"/>
  <c r="AS76" i="22"/>
  <c r="AE76" i="22"/>
  <c r="AS35" i="22"/>
  <c r="BG35" i="22"/>
  <c r="AE35" i="22"/>
  <c r="AW15" i="22"/>
  <c r="BK15" i="22"/>
  <c r="AI15" i="22"/>
  <c r="BJ5" i="22"/>
  <c r="AV5" i="22"/>
  <c r="AH5" i="22"/>
  <c r="AU108" i="22"/>
  <c r="BI108" i="22"/>
  <c r="AG108" i="22"/>
  <c r="AS41" i="22"/>
  <c r="BG41" i="22"/>
  <c r="AE41" i="22"/>
  <c r="BL131" i="22"/>
  <c r="AX131" i="22"/>
  <c r="AJ131" i="22"/>
  <c r="AX24" i="22"/>
  <c r="AJ24" i="22"/>
  <c r="BL24" i="22"/>
  <c r="AW117" i="22"/>
  <c r="BK117" i="22"/>
  <c r="AI117" i="22"/>
  <c r="BK111" i="22"/>
  <c r="AW111" i="22"/>
  <c r="AI111" i="22"/>
  <c r="AS97" i="22"/>
  <c r="BG97" i="22"/>
  <c r="BM97" i="22" s="1"/>
  <c r="AE97" i="22"/>
  <c r="AK97" i="22" s="1"/>
  <c r="BL134" i="22"/>
  <c r="AJ134" i="22"/>
  <c r="AX134" i="22"/>
  <c r="BJ82" i="22"/>
  <c r="AV82" i="22"/>
  <c r="AH82" i="22"/>
  <c r="AT133" i="22"/>
  <c r="BH133" i="22"/>
  <c r="BN133" i="22" s="1"/>
  <c r="AF133" i="22"/>
  <c r="AL133" i="22" s="1"/>
  <c r="BK46" i="22"/>
  <c r="AW46" i="22"/>
  <c r="AI46" i="22"/>
  <c r="BH147" i="22"/>
  <c r="BN147" i="22" s="1"/>
  <c r="AT147" i="22"/>
  <c r="AF147" i="22"/>
  <c r="AL147" i="22" s="1"/>
  <c r="BI104" i="22"/>
  <c r="AU104" i="22"/>
  <c r="AG104" i="22"/>
  <c r="AS63" i="22"/>
  <c r="BG63" i="22"/>
  <c r="BM63" i="22" s="1"/>
  <c r="AE63" i="22"/>
  <c r="AK63" i="22" s="1"/>
  <c r="AW44" i="22"/>
  <c r="BK44" i="22"/>
  <c r="AI44" i="22"/>
  <c r="AU27" i="22"/>
  <c r="BI27" i="22"/>
  <c r="BO27" i="22" s="1"/>
  <c r="AG27" i="22"/>
  <c r="AM27" i="22" s="1"/>
  <c r="BI10" i="22"/>
  <c r="AU10" i="22"/>
  <c r="AG10" i="22"/>
  <c r="BL133" i="22"/>
  <c r="BR133" i="22" s="1"/>
  <c r="AX133" i="22"/>
  <c r="AJ133" i="22"/>
  <c r="AP133" i="22" s="1"/>
  <c r="BJ120" i="22"/>
  <c r="AV120" i="22"/>
  <c r="AH120" i="22"/>
  <c r="BK119" i="22"/>
  <c r="AW119" i="22"/>
  <c r="AI119" i="22"/>
  <c r="AS108" i="22"/>
  <c r="BG108" i="22"/>
  <c r="AE108" i="22"/>
  <c r="BK114" i="22"/>
  <c r="AI114" i="22"/>
  <c r="AW114" i="22"/>
  <c r="BH89" i="22"/>
  <c r="AT89" i="22"/>
  <c r="AF89" i="22"/>
  <c r="BL59" i="22"/>
  <c r="AX59" i="22"/>
  <c r="AJ59" i="22"/>
  <c r="BJ40" i="22"/>
  <c r="BP40" i="22" s="1"/>
  <c r="AV40" i="22"/>
  <c r="AH40" i="22"/>
  <c r="AN40" i="22" s="1"/>
  <c r="AX19" i="22"/>
  <c r="BL19" i="22"/>
  <c r="AJ19" i="22"/>
  <c r="AX13" i="22"/>
  <c r="BL13" i="22"/>
  <c r="AJ13" i="22"/>
  <c r="AS12" i="22"/>
  <c r="BG12" i="22"/>
  <c r="BM12" i="22" s="1"/>
  <c r="AE12" i="22"/>
  <c r="AK12" i="22" s="1"/>
  <c r="AW12" i="22"/>
  <c r="BK12" i="22"/>
  <c r="BQ12" i="22" s="1"/>
  <c r="AI12" i="22"/>
  <c r="AO12" i="22" s="1"/>
  <c r="AV149" i="22"/>
  <c r="AH149" i="22"/>
  <c r="BJ149" i="22"/>
  <c r="AW133" i="22"/>
  <c r="BK133" i="22"/>
  <c r="BQ133" i="22" s="1"/>
  <c r="AI133" i="22"/>
  <c r="AO133" i="22" s="1"/>
  <c r="AE125" i="22"/>
  <c r="AK125" i="22" s="1"/>
  <c r="AS125" i="22"/>
  <c r="BG125" i="22"/>
  <c r="BM125" i="22" s="1"/>
  <c r="BJ147" i="22"/>
  <c r="BP147" i="22" s="1"/>
  <c r="AV147" i="22"/>
  <c r="AH147" i="22"/>
  <c r="AN147" i="22" s="1"/>
  <c r="AW131" i="22"/>
  <c r="BK131" i="22"/>
  <c r="AI131" i="22"/>
  <c r="AS124" i="22"/>
  <c r="BG124" i="22"/>
  <c r="BM124" i="22" s="1"/>
  <c r="AE124" i="22"/>
  <c r="AK124" i="22" s="1"/>
  <c r="BH111" i="22"/>
  <c r="AT111" i="22"/>
  <c r="AF111" i="22"/>
  <c r="BL102" i="22"/>
  <c r="BR102" i="22" s="1"/>
  <c r="AJ102" i="22"/>
  <c r="AP102" i="22" s="1"/>
  <c r="AX102" i="22"/>
  <c r="AT91" i="22"/>
  <c r="BH91" i="22"/>
  <c r="BN91" i="22" s="1"/>
  <c r="AF91" i="22"/>
  <c r="AL91" i="22" s="1"/>
  <c r="AU79" i="22"/>
  <c r="AG79" i="22"/>
  <c r="AM79" i="22" s="1"/>
  <c r="BI79" i="22"/>
  <c r="BO79" i="22" s="1"/>
  <c r="BI111" i="22"/>
  <c r="AU111" i="22"/>
  <c r="AG111" i="22"/>
  <c r="AX105" i="22"/>
  <c r="BL105" i="22"/>
  <c r="AJ105" i="22"/>
  <c r="BI86" i="22"/>
  <c r="AU86" i="22"/>
  <c r="AG86" i="22"/>
  <c r="BJ58" i="22"/>
  <c r="AH58" i="22"/>
  <c r="AV58" i="22"/>
  <c r="AV52" i="22"/>
  <c r="BJ52" i="22"/>
  <c r="BP52" i="22" s="1"/>
  <c r="AH52" i="22"/>
  <c r="AN52" i="22" s="1"/>
  <c r="BI58" i="22"/>
  <c r="AU58" i="22"/>
  <c r="AG58" i="22"/>
  <c r="BI42" i="22"/>
  <c r="AU42" i="22"/>
  <c r="AG42" i="22"/>
  <c r="BH11" i="22"/>
  <c r="AT11" i="22"/>
  <c r="AF11" i="22"/>
  <c r="BH7" i="22"/>
  <c r="AT7" i="22"/>
  <c r="AF7" i="22"/>
  <c r="BK156" i="22"/>
  <c r="AW156" i="22"/>
  <c r="AI156" i="22"/>
  <c r="AX138" i="22"/>
  <c r="BL138" i="22"/>
  <c r="AJ138" i="22"/>
  <c r="AG133" i="22"/>
  <c r="AM133" i="22" s="1"/>
  <c r="AU133" i="22"/>
  <c r="BI133" i="22"/>
  <c r="BO133" i="22" s="1"/>
  <c r="AV124" i="22"/>
  <c r="BJ124" i="22"/>
  <c r="BP124" i="22" s="1"/>
  <c r="AH124" i="22"/>
  <c r="AN124" i="22" s="1"/>
  <c r="BG123" i="22"/>
  <c r="AS123" i="22"/>
  <c r="AE123" i="22"/>
  <c r="BI116" i="22"/>
  <c r="AU116" i="22"/>
  <c r="AG116" i="22"/>
  <c r="BK112" i="22"/>
  <c r="AI112" i="22"/>
  <c r="AW112" i="22"/>
  <c r="AS107" i="22"/>
  <c r="BG107" i="22"/>
  <c r="BM107" i="22" s="1"/>
  <c r="AE107" i="22"/>
  <c r="AK107" i="22" s="1"/>
  <c r="AX97" i="22"/>
  <c r="BL97" i="22"/>
  <c r="BR97" i="22" s="1"/>
  <c r="AJ97" i="22"/>
  <c r="AP97" i="22" s="1"/>
  <c r="AU89" i="22"/>
  <c r="BI89" i="22"/>
  <c r="AG89" i="22"/>
  <c r="BG74" i="22"/>
  <c r="AS74" i="22"/>
  <c r="AE74" i="22"/>
  <c r="AF58" i="22"/>
  <c r="AT58" i="22"/>
  <c r="BH58" i="22"/>
  <c r="BH52" i="22"/>
  <c r="BN52" i="22" s="1"/>
  <c r="AT52" i="22"/>
  <c r="AF52" i="22"/>
  <c r="AL52" i="22" s="1"/>
  <c r="BL149" i="22"/>
  <c r="AX149" i="22"/>
  <c r="AJ149" i="22"/>
  <c r="BL146" i="22"/>
  <c r="AX146" i="22"/>
  <c r="AJ146" i="22"/>
  <c r="AV133" i="22"/>
  <c r="BJ133" i="22"/>
  <c r="BP133" i="22" s="1"/>
  <c r="AH133" i="22"/>
  <c r="AN133" i="22" s="1"/>
  <c r="BL123" i="22"/>
  <c r="AX123" i="22"/>
  <c r="AJ123" i="22"/>
  <c r="AV117" i="22"/>
  <c r="BJ117" i="22"/>
  <c r="AH117" i="22"/>
  <c r="AI113" i="22"/>
  <c r="AW113" i="22"/>
  <c r="BK113" i="22"/>
  <c r="BJ111" i="22"/>
  <c r="AV111" i="22"/>
  <c r="AH111" i="22"/>
  <c r="BK103" i="22"/>
  <c r="AW103" i="22"/>
  <c r="AI103" i="22"/>
  <c r="BH94" i="22"/>
  <c r="BN94" i="22" s="1"/>
  <c r="AF94" i="22"/>
  <c r="AL94" i="22" s="1"/>
  <c r="AT94" i="22"/>
  <c r="BG86" i="22"/>
  <c r="AS86" i="22"/>
  <c r="AE86" i="22"/>
  <c r="BG59" i="22"/>
  <c r="AS59" i="22"/>
  <c r="AE59" i="22"/>
  <c r="BG53" i="22"/>
  <c r="BM53" i="22" s="1"/>
  <c r="AS53" i="22"/>
  <c r="AE53" i="22"/>
  <c r="AK53" i="22" s="1"/>
  <c r="BK122" i="22"/>
  <c r="BQ122" i="22" s="1"/>
  <c r="AI122" i="22"/>
  <c r="AO122" i="22" s="1"/>
  <c r="AW122" i="22"/>
  <c r="BL40" i="22"/>
  <c r="BR40" i="22" s="1"/>
  <c r="AJ40" i="22"/>
  <c r="AP40" i="22" s="1"/>
  <c r="AX40" i="22"/>
  <c r="BH37" i="22"/>
  <c r="BN37" i="22" s="1"/>
  <c r="AT37" i="22"/>
  <c r="AF37" i="22"/>
  <c r="AL37" i="22" s="1"/>
  <c r="AX31" i="22"/>
  <c r="BL31" i="22"/>
  <c r="AJ31" i="22"/>
  <c r="AT29" i="22"/>
  <c r="BH29" i="22"/>
  <c r="AF29" i="22"/>
  <c r="BJ24" i="22"/>
  <c r="AV24" i="22"/>
  <c r="AH24" i="22"/>
  <c r="BH21" i="22"/>
  <c r="AT21" i="22"/>
  <c r="AF21" i="22"/>
  <c r="AV16" i="22"/>
  <c r="BJ16" i="22"/>
  <c r="AH16" i="22"/>
  <c r="BK13" i="22"/>
  <c r="AW13" i="22"/>
  <c r="AI13" i="22"/>
  <c r="BH10" i="22"/>
  <c r="AF10" i="22"/>
  <c r="AT10" i="22"/>
  <c r="BG7" i="22"/>
  <c r="AS7" i="22"/>
  <c r="AE7" i="22"/>
  <c r="BK38" i="22"/>
  <c r="AW38" i="22"/>
  <c r="AI38" i="22"/>
  <c r="AU35" i="22"/>
  <c r="BI35" i="22"/>
  <c r="AG35" i="22"/>
  <c r="AS31" i="22"/>
  <c r="BG31" i="22"/>
  <c r="AE31" i="22"/>
  <c r="AU28" i="22"/>
  <c r="BI28" i="22"/>
  <c r="AG28" i="22"/>
  <c r="AW23" i="22"/>
  <c r="BK23" i="22"/>
  <c r="AI23" i="22"/>
  <c r="AU19" i="22"/>
  <c r="BI19" i="22"/>
  <c r="AG19" i="22"/>
  <c r="BK14" i="22"/>
  <c r="AW14" i="22"/>
  <c r="AI14" i="22"/>
  <c r="BI9" i="22"/>
  <c r="AU9" i="22"/>
  <c r="AG9" i="22"/>
  <c r="BK6" i="22"/>
  <c r="AW6" i="22"/>
  <c r="AI6" i="22"/>
  <c r="BI22" i="22"/>
  <c r="AU22" i="22"/>
  <c r="AG22" i="22"/>
  <c r="AH118" i="22"/>
  <c r="BJ118" i="22"/>
  <c r="AV118" i="22"/>
  <c r="BL82" i="22"/>
  <c r="AX82" i="22"/>
  <c r="AJ82" i="22"/>
  <c r="AV68" i="22"/>
  <c r="BJ68" i="22"/>
  <c r="AH68" i="22"/>
  <c r="BI33" i="22"/>
  <c r="AU33" i="22"/>
  <c r="AG33" i="22"/>
  <c r="BH146" i="22"/>
  <c r="AT146" i="22"/>
  <c r="AF146" i="22"/>
  <c r="BJ122" i="22"/>
  <c r="BP122" i="22" s="1"/>
  <c r="AH122" i="22"/>
  <c r="AN122" i="22" s="1"/>
  <c r="AV122" i="22"/>
  <c r="BH114" i="22"/>
  <c r="AT114" i="22"/>
  <c r="AF114" i="22"/>
  <c r="AT109" i="22"/>
  <c r="BH109" i="22"/>
  <c r="BN109" i="22" s="1"/>
  <c r="AF109" i="22"/>
  <c r="AL109" i="22" s="1"/>
  <c r="BH103" i="22"/>
  <c r="AT103" i="22"/>
  <c r="AF103" i="22"/>
  <c r="BG89" i="22"/>
  <c r="AS89" i="22"/>
  <c r="AE89" i="22"/>
  <c r="AW47" i="22"/>
  <c r="BK47" i="22"/>
  <c r="BQ47" i="22" s="1"/>
  <c r="AI47" i="22"/>
  <c r="AO47" i="22" s="1"/>
  <c r="BI37" i="22"/>
  <c r="BO37" i="22" s="1"/>
  <c r="AU37" i="22"/>
  <c r="AG37" i="22"/>
  <c r="AM37" i="22" s="1"/>
  <c r="BI21" i="22"/>
  <c r="AU21" i="22"/>
  <c r="AG21" i="22"/>
  <c r="AW16" i="22"/>
  <c r="BK16" i="22"/>
  <c r="AI16" i="22"/>
  <c r="BI14" i="22"/>
  <c r="AU14" i="22"/>
  <c r="AG14" i="22"/>
  <c r="BL6" i="22"/>
  <c r="AX6" i="22"/>
  <c r="AJ6" i="22"/>
  <c r="BK118" i="22"/>
  <c r="AW118" i="22"/>
  <c r="AI118" i="22"/>
  <c r="BG84" i="22"/>
  <c r="AS84" i="22"/>
  <c r="AE84" i="22"/>
  <c r="BG68" i="22"/>
  <c r="AS68" i="22"/>
  <c r="AE68" i="22"/>
  <c r="BG22" i="22"/>
  <c r="AE22" i="22"/>
  <c r="AS22" i="22"/>
  <c r="AU149" i="22"/>
  <c r="BI149" i="22"/>
  <c r="AG149" i="22"/>
  <c r="AV89" i="22"/>
  <c r="BJ89" i="22"/>
  <c r="AH89" i="22"/>
  <c r="BJ76" i="22"/>
  <c r="AV76" i="22"/>
  <c r="AH76" i="22"/>
  <c r="BL30" i="22"/>
  <c r="AJ30" i="22"/>
  <c r="AX30" i="22"/>
  <c r="BH28" i="22"/>
  <c r="AT28" i="22"/>
  <c r="AF28" i="22"/>
  <c r="AV23" i="22"/>
  <c r="BJ23" i="22"/>
  <c r="AH23" i="22"/>
  <c r="BI123" i="22"/>
  <c r="AG123" i="22"/>
  <c r="AU123" i="22"/>
  <c r="BK115" i="22"/>
  <c r="BQ115" i="22" s="1"/>
  <c r="AW115" i="22"/>
  <c r="AI115" i="22"/>
  <c r="AO115" i="22" s="1"/>
  <c r="BI105" i="22"/>
  <c r="AG105" i="22"/>
  <c r="AU105" i="22"/>
  <c r="BG91" i="22"/>
  <c r="BM91" i="22" s="1"/>
  <c r="AS91" i="22"/>
  <c r="AE91" i="22"/>
  <c r="AK91" i="22" s="1"/>
  <c r="AX73" i="22"/>
  <c r="BL73" i="22"/>
  <c r="AJ73" i="22"/>
  <c r="BJ119" i="22"/>
  <c r="AV119" i="22"/>
  <c r="AH119" i="22"/>
  <c r="BL84" i="22"/>
  <c r="AX84" i="22"/>
  <c r="AJ84" i="22"/>
  <c r="BH33" i="22"/>
  <c r="AT33" i="22"/>
  <c r="AF33" i="22"/>
  <c r="BI138" i="22"/>
  <c r="AG138" i="22"/>
  <c r="AU138" i="22"/>
  <c r="AW126" i="22"/>
  <c r="BK126" i="22"/>
  <c r="AI126" i="22"/>
  <c r="AW33" i="22"/>
  <c r="BK33" i="22"/>
  <c r="AI33" i="22"/>
  <c r="AV156" i="22"/>
  <c r="BJ156" i="22"/>
  <c r="AH156" i="22"/>
  <c r="BL139" i="22"/>
  <c r="AX139" i="22"/>
  <c r="AJ139" i="22"/>
  <c r="AW109" i="22"/>
  <c r="BK109" i="22"/>
  <c r="BQ109" i="22" s="1"/>
  <c r="AI109" i="22"/>
  <c r="AO109" i="22" s="1"/>
  <c r="BG90" i="22"/>
  <c r="AE90" i="22"/>
  <c r="AS90" i="22"/>
  <c r="AS79" i="22"/>
  <c r="BG79" i="22"/>
  <c r="BM79" i="22" s="1"/>
  <c r="AE79" i="22"/>
  <c r="AK79" i="22" s="1"/>
  <c r="BG58" i="22"/>
  <c r="AS58" i="22"/>
  <c r="AE58" i="22"/>
  <c r="AS52" i="22"/>
  <c r="BG52" i="22"/>
  <c r="BM52" i="22" s="1"/>
  <c r="AE52" i="22"/>
  <c r="AK52" i="22" s="1"/>
  <c r="AU31" i="22"/>
  <c r="BI31" i="22"/>
  <c r="AG31" i="22"/>
  <c r="AW28" i="22"/>
  <c r="BK28" i="22"/>
  <c r="AI28" i="22"/>
  <c r="AS24" i="22"/>
  <c r="BG24" i="22"/>
  <c r="AE24" i="22"/>
  <c r="BK11" i="22"/>
  <c r="AW11" i="22"/>
  <c r="AI11" i="22"/>
  <c r="AS9" i="22"/>
  <c r="BG9" i="22"/>
  <c r="AE9" i="22"/>
  <c r="BL41" i="22"/>
  <c r="AX41" i="22"/>
  <c r="AJ41" i="22"/>
  <c r="BJ125" i="22"/>
  <c r="BP125" i="22" s="1"/>
  <c r="AV125" i="22"/>
  <c r="AH125" i="22"/>
  <c r="AN125" i="22" s="1"/>
  <c r="BH117" i="22"/>
  <c r="AF117" i="22"/>
  <c r="AT117" i="22"/>
  <c r="AU73" i="22"/>
  <c r="BI73" i="22"/>
  <c r="AG73" i="22"/>
  <c r="BI118" i="22"/>
  <c r="AU118" i="22"/>
  <c r="AG118" i="22"/>
  <c r="BK82" i="22"/>
  <c r="AI82" i="22"/>
  <c r="AW82" i="22"/>
  <c r="AW116" i="22"/>
  <c r="BK116" i="22"/>
  <c r="AI116" i="22"/>
  <c r="AV109" i="22"/>
  <c r="BJ109" i="22"/>
  <c r="BP109" i="22" s="1"/>
  <c r="AH109" i="22"/>
  <c r="AN109" i="22" s="1"/>
  <c r="BJ90" i="22"/>
  <c r="AV90" i="22"/>
  <c r="AH90" i="22"/>
  <c r="BJ74" i="22"/>
  <c r="AV74" i="22"/>
  <c r="AH74" i="22"/>
  <c r="AX67" i="22"/>
  <c r="BL67" i="22"/>
  <c r="BR67" i="22" s="1"/>
  <c r="AJ67" i="22"/>
  <c r="AP67" i="22" s="1"/>
  <c r="AX57" i="22"/>
  <c r="BL57" i="22"/>
  <c r="AJ57" i="22"/>
  <c r="BL42" i="22"/>
  <c r="AX42" i="22"/>
  <c r="AJ42" i="22"/>
  <c r="BH38" i="22"/>
  <c r="AT38" i="22"/>
  <c r="AF38" i="22"/>
  <c r="BJ34" i="22"/>
  <c r="AV34" i="22"/>
  <c r="AH34" i="22"/>
  <c r="AV18" i="22"/>
  <c r="AH18" i="22"/>
  <c r="AN18" i="22" s="1"/>
  <c r="BJ18" i="22"/>
  <c r="BP18" i="22" s="1"/>
  <c r="AT15" i="22"/>
  <c r="AF15" i="22"/>
  <c r="BH15" i="22"/>
  <c r="BJ11" i="22"/>
  <c r="AV11" i="22"/>
  <c r="AH11" i="22"/>
  <c r="BK110" i="22"/>
  <c r="AW110" i="22"/>
  <c r="AI110" i="22"/>
  <c r="AY92" i="22"/>
  <c r="AY130" i="22"/>
  <c r="AY95" i="22"/>
  <c r="AY85" i="22"/>
  <c r="AY64" i="22"/>
  <c r="AY141" i="22"/>
  <c r="AY121" i="22"/>
  <c r="AY65" i="22"/>
  <c r="AY87" i="22"/>
  <c r="AY17" i="22"/>
  <c r="AY150" i="22"/>
  <c r="AY151" i="22"/>
  <c r="AY101" i="22"/>
  <c r="AY45" i="22"/>
  <c r="AY75" i="22"/>
  <c r="AY96" i="22"/>
  <c r="AY132" i="22"/>
  <c r="AY55" i="22"/>
  <c r="AY36" i="22"/>
  <c r="AY140" i="22"/>
  <c r="AY20" i="22"/>
  <c r="AY106" i="22"/>
  <c r="AY72" i="22"/>
  <c r="AY62" i="22"/>
  <c r="AY145" i="22"/>
  <c r="AY128" i="22"/>
  <c r="AY135" i="22"/>
  <c r="AY83" i="22"/>
  <c r="AY50" i="22"/>
  <c r="AY39" i="22"/>
  <c r="AY144" i="22"/>
  <c r="AY80" i="22"/>
  <c r="AY136" i="22"/>
  <c r="AY48" i="22"/>
  <c r="AY78" i="22"/>
  <c r="AY61" i="22"/>
  <c r="AY26" i="22"/>
  <c r="AY81" i="22"/>
  <c r="AY99" i="22"/>
  <c r="AY25" i="22"/>
  <c r="AY49" i="22"/>
  <c r="AY77" i="22"/>
  <c r="AY153" i="22"/>
  <c r="AY51" i="22"/>
  <c r="AY143" i="22"/>
  <c r="AY93" i="22"/>
  <c r="AY60" i="22"/>
  <c r="AY148" i="22"/>
  <c r="AY127" i="22"/>
  <c r="AY66" i="22"/>
  <c r="AY142" i="22"/>
  <c r="AY32" i="22"/>
  <c r="AY43" i="22"/>
  <c r="AY152" i="22"/>
  <c r="AY154" i="22"/>
  <c r="BA128" i="22"/>
  <c r="BC43" i="22"/>
  <c r="BA20" i="22"/>
  <c r="BD154" i="22"/>
  <c r="BD132" i="22"/>
  <c r="AZ121" i="22"/>
  <c r="BD136" i="22"/>
  <c r="BC128" i="22"/>
  <c r="BC39" i="22"/>
  <c r="AZ93" i="22"/>
  <c r="BC50" i="22"/>
  <c r="AZ39" i="22"/>
  <c r="AZ85" i="22"/>
  <c r="BD50" i="22"/>
  <c r="BD145" i="22"/>
  <c r="BB78" i="22"/>
  <c r="BA26" i="22"/>
  <c r="AZ150" i="22"/>
  <c r="BC85" i="22"/>
  <c r="BD95" i="22"/>
  <c r="BA92" i="22"/>
  <c r="BB148" i="22"/>
  <c r="BB135" i="22"/>
  <c r="BB121" i="22"/>
  <c r="AZ77" i="22"/>
  <c r="AZ54" i="22"/>
  <c r="BA130" i="22"/>
  <c r="BB96" i="22"/>
  <c r="AZ65" i="22"/>
  <c r="BA55" i="22"/>
  <c r="AZ26" i="22"/>
  <c r="BB101" i="22"/>
  <c r="BB77" i="22"/>
  <c r="BA61" i="22"/>
  <c r="BA36" i="22"/>
  <c r="BB154" i="22"/>
  <c r="BA51" i="22"/>
  <c r="BD36" i="22"/>
  <c r="BD130" i="22"/>
  <c r="BD77" i="22"/>
  <c r="BB50" i="22"/>
  <c r="BA93" i="22"/>
  <c r="BA154" i="22"/>
  <c r="AZ145" i="22"/>
  <c r="BD66" i="22"/>
  <c r="BB17" i="22"/>
  <c r="BD39" i="22"/>
  <c r="BB80" i="22"/>
  <c r="BB145" i="22"/>
  <c r="BB132" i="22"/>
  <c r="BC96" i="22"/>
  <c r="BA87" i="22"/>
  <c r="BA77" i="22"/>
  <c r="BB54" i="22"/>
  <c r="BC32" i="22"/>
  <c r="BD20" i="22"/>
  <c r="BA150" i="22"/>
  <c r="AZ96" i="22"/>
  <c r="BA66" i="22"/>
  <c r="BB150" i="22"/>
  <c r="BD143" i="22"/>
  <c r="BC141" i="22"/>
  <c r="AZ135" i="22"/>
  <c r="BB130" i="22"/>
  <c r="BA121" i="22"/>
  <c r="BB95" i="22"/>
  <c r="BA75" i="22"/>
  <c r="BB64" i="22"/>
  <c r="BD60" i="22"/>
  <c r="BC49" i="22"/>
  <c r="BA39" i="22"/>
  <c r="BB26" i="22"/>
  <c r="BB141" i="22"/>
  <c r="BA96" i="22"/>
  <c r="BD75" i="22"/>
  <c r="AZ99" i="22"/>
  <c r="AZ130" i="22"/>
  <c r="BD96" i="22"/>
  <c r="BC48" i="22"/>
  <c r="BB25" i="22"/>
  <c r="BD17" i="22"/>
  <c r="BD93" i="22"/>
  <c r="AZ45" i="22"/>
  <c r="BB152" i="22"/>
  <c r="BC143" i="22"/>
  <c r="BC121" i="22"/>
  <c r="BC93" i="22"/>
  <c r="AZ72" i="22"/>
  <c r="BC54" i="22"/>
  <c r="BC36" i="22"/>
  <c r="BA153" i="22"/>
  <c r="BA152" i="22"/>
  <c r="BB143" i="22"/>
  <c r="BC135" i="22"/>
  <c r="BD92" i="22"/>
  <c r="BC78" i="22"/>
  <c r="BC55" i="22"/>
  <c r="BD48" i="22"/>
  <c r="BD43" i="22"/>
  <c r="AZ36" i="22"/>
  <c r="BB85" i="22"/>
  <c r="BD140" i="22"/>
  <c r="BD87" i="22"/>
  <c r="BC61" i="22"/>
  <c r="BD135" i="22"/>
  <c r="BB87" i="22"/>
  <c r="BD152" i="22"/>
  <c r="AZ152" i="22"/>
  <c r="AZ66" i="22"/>
  <c r="BD51" i="22"/>
  <c r="AZ128" i="22"/>
  <c r="BD32" i="22"/>
  <c r="BD148" i="22"/>
  <c r="AZ151" i="22"/>
  <c r="BC127" i="22"/>
  <c r="BA95" i="22"/>
  <c r="BB153" i="22"/>
  <c r="BA148" i="22"/>
  <c r="AZ141" i="22"/>
  <c r="BA135" i="22"/>
  <c r="BB92" i="22"/>
  <c r="BC80" i="22"/>
  <c r="BA65" i="22"/>
  <c r="BA60" i="22"/>
  <c r="BB48" i="22"/>
  <c r="BD25" i="22"/>
  <c r="BA151" i="22"/>
  <c r="AZ140" i="22"/>
  <c r="AZ75" i="22"/>
  <c r="BC142" i="22"/>
  <c r="BB140" i="22"/>
  <c r="BA132" i="22"/>
  <c r="BC83" i="22"/>
  <c r="BD65" i="22"/>
  <c r="BB62" i="22"/>
  <c r="BB55" i="22"/>
  <c r="BA43" i="22"/>
  <c r="BB32" i="22"/>
  <c r="AZ153" i="22"/>
  <c r="BA136" i="22"/>
  <c r="BB83" i="22"/>
  <c r="AZ55" i="22"/>
  <c r="BC17" i="22"/>
  <c r="BB49" i="22"/>
  <c r="BD54" i="22"/>
  <c r="BD49" i="22"/>
  <c r="BD26" i="22"/>
  <c r="BC144" i="22"/>
  <c r="BC132" i="22"/>
  <c r="BB106" i="22"/>
  <c r="AZ78" i="22"/>
  <c r="BB65" i="22"/>
  <c r="BB36" i="22"/>
  <c r="BC154" i="22"/>
  <c r="BA144" i="22"/>
  <c r="BD83" i="22"/>
  <c r="AZ61" i="22"/>
  <c r="BC45" i="22"/>
  <c r="BD99" i="22"/>
  <c r="AZ80" i="22"/>
  <c r="BA83" i="22"/>
  <c r="AZ50" i="22"/>
  <c r="BD101" i="22"/>
  <c r="AZ64" i="22"/>
  <c r="BC95" i="22"/>
  <c r="BC151" i="22"/>
  <c r="BC140" i="22"/>
  <c r="BC64" i="22"/>
  <c r="BB43" i="22"/>
  <c r="AZ25" i="22"/>
  <c r="BA99" i="22"/>
  <c r="BB151" i="22"/>
  <c r="BA145" i="22"/>
  <c r="BB136" i="22"/>
  <c r="BA127" i="22"/>
  <c r="BB75" i="22"/>
  <c r="BB61" i="22"/>
  <c r="BC20" i="22"/>
  <c r="BA142" i="22"/>
  <c r="BB99" i="22"/>
  <c r="AZ81" i="22"/>
  <c r="BD151" i="22"/>
  <c r="BA49" i="22"/>
  <c r="BA17" i="22"/>
  <c r="AZ154" i="22"/>
  <c r="AZ132" i="22"/>
  <c r="BC106" i="22"/>
  <c r="BB72" i="22"/>
  <c r="BC51" i="22"/>
  <c r="BD45" i="22"/>
  <c r="BC152" i="22"/>
  <c r="BB128" i="22"/>
  <c r="BB144" i="22"/>
  <c r="AZ136" i="22"/>
  <c r="AZ106" i="22"/>
  <c r="BB93" i="22"/>
  <c r="BB60" i="22"/>
  <c r="BB45" i="22"/>
  <c r="AZ87" i="22"/>
  <c r="BA143" i="22"/>
  <c r="BA78" i="22"/>
  <c r="BB39" i="22"/>
  <c r="BC75" i="22"/>
  <c r="AZ101" i="22"/>
  <c r="BA54" i="22"/>
  <c r="BD128" i="22"/>
  <c r="BA80" i="22"/>
  <c r="BA85" i="22"/>
  <c r="BC92" i="22"/>
  <c r="BC81" i="22"/>
  <c r="BD127" i="22"/>
  <c r="BB127" i="22"/>
  <c r="BA81" i="22"/>
  <c r="BC150" i="22"/>
  <c r="BD141" i="22"/>
  <c r="BC136" i="22"/>
  <c r="BC130" i="22"/>
  <c r="BB81" i="22"/>
  <c r="BC66" i="22"/>
  <c r="BC62" i="22"/>
  <c r="AZ51" i="22"/>
  <c r="BC26" i="22"/>
  <c r="AZ20" i="22"/>
  <c r="BB142" i="22"/>
  <c r="BD81" i="22"/>
  <c r="BC65" i="22"/>
  <c r="AZ148" i="22"/>
  <c r="AZ143" i="22"/>
  <c r="BA140" i="22"/>
  <c r="BC99" i="22"/>
  <c r="AZ95" i="22"/>
  <c r="BB66" i="22"/>
  <c r="AZ62" i="22"/>
  <c r="AZ60" i="22"/>
  <c r="BA48" i="22"/>
  <c r="AZ32" i="22"/>
  <c r="BC25" i="22"/>
  <c r="BD153" i="22"/>
  <c r="BC87" i="22"/>
  <c r="BA64" i="22"/>
  <c r="AZ83" i="22"/>
  <c r="AZ49" i="22"/>
  <c r="BD55" i="22"/>
  <c r="BA25" i="22"/>
  <c r="AZ17" i="22"/>
  <c r="BA141" i="22"/>
  <c r="BD121" i="22"/>
  <c r="BC101" i="22"/>
  <c r="BC77" i="22"/>
  <c r="BD62" i="22"/>
  <c r="BA50" i="22"/>
  <c r="BA32" i="22"/>
  <c r="BD144" i="22"/>
  <c r="AZ142" i="22"/>
  <c r="BA106" i="22"/>
  <c r="BD78" i="22"/>
  <c r="BA72" i="22"/>
  <c r="BB51" i="22"/>
  <c r="BB20" i="22"/>
  <c r="BC153" i="22"/>
  <c r="BC145" i="22"/>
  <c r="BD142" i="22"/>
  <c r="BA101" i="22"/>
  <c r="AZ92" i="22"/>
  <c r="AZ48" i="22"/>
  <c r="AZ43" i="22"/>
  <c r="BD80" i="22"/>
  <c r="AZ144" i="22"/>
  <c r="BD61" i="22"/>
  <c r="BA45" i="22"/>
  <c r="BD106" i="22"/>
  <c r="BD85" i="22"/>
  <c r="BD72" i="22"/>
  <c r="BC72" i="22"/>
  <c r="AZ127" i="22"/>
  <c r="BA62" i="22"/>
  <c r="BD64" i="22"/>
  <c r="BC60" i="22"/>
  <c r="BC148" i="22"/>
  <c r="BD150" i="22"/>
  <c r="AE129" i="8" l="1"/>
  <c r="AE38" i="9"/>
  <c r="AG128" i="8"/>
  <c r="AF146" i="8"/>
  <c r="AH42" i="8"/>
  <c r="AF110" i="8"/>
  <c r="AF111" i="8" s="1"/>
  <c r="AE110" i="8"/>
  <c r="AF129" i="8"/>
  <c r="AJ129" i="8"/>
  <c r="AG129" i="8"/>
  <c r="AJ42" i="8"/>
  <c r="AH105" i="8"/>
  <c r="AH106" i="8" s="1"/>
  <c r="AF50" i="9"/>
  <c r="AF51" i="9" s="1"/>
  <c r="AF45" i="9"/>
  <c r="AF46" i="9" s="1"/>
  <c r="AG20" i="10"/>
  <c r="AG21" i="10" s="1"/>
  <c r="AH45" i="9"/>
  <c r="AH46" i="9" s="1"/>
  <c r="AJ136" i="8"/>
  <c r="AJ137" i="8" s="1"/>
  <c r="AE25" i="10"/>
  <c r="AE26" i="10" s="1"/>
  <c r="AE50" i="9"/>
  <c r="AE51" i="9" s="1"/>
  <c r="AF55" i="9"/>
  <c r="AF56" i="9" s="1"/>
  <c r="AE45" i="9"/>
  <c r="AE46" i="9" s="1"/>
  <c r="AI25" i="10"/>
  <c r="AI26" i="10" s="1"/>
  <c r="AG136" i="8"/>
  <c r="AG137" i="8" s="1"/>
  <c r="AI15" i="10"/>
  <c r="AI16" i="10" s="1"/>
  <c r="AG105" i="8"/>
  <c r="AG106" i="8" s="1"/>
  <c r="AJ105" i="8"/>
  <c r="AJ106" i="8" s="1"/>
  <c r="AE15" i="10"/>
  <c r="AE16" i="10" s="1"/>
  <c r="AJ15" i="10"/>
  <c r="AJ16" i="10" s="1"/>
  <c r="AJ55" i="9"/>
  <c r="AJ56" i="9" s="1"/>
  <c r="AH55" i="9"/>
  <c r="AH56" i="9" s="1"/>
  <c r="AI136" i="8"/>
  <c r="AI137" i="8" s="1"/>
  <c r="AH20" i="10"/>
  <c r="AH21" i="10" s="1"/>
  <c r="AE20" i="10"/>
  <c r="AE21" i="10" s="1"/>
  <c r="AH50" i="9"/>
  <c r="AH51" i="9" s="1"/>
  <c r="AI110" i="8"/>
  <c r="AI111" i="8" s="1"/>
  <c r="AG15" i="10"/>
  <c r="AG16" i="10" s="1"/>
  <c r="AI55" i="9"/>
  <c r="AI56" i="9" s="1"/>
  <c r="AJ50" i="9"/>
  <c r="AJ51" i="9" s="1"/>
  <c r="AI45" i="9"/>
  <c r="AI46" i="9" s="1"/>
  <c r="AJ25" i="10"/>
  <c r="AJ26" i="10" s="1"/>
  <c r="AH110" i="8"/>
  <c r="AH111" i="8" s="1"/>
  <c r="AH25" i="10"/>
  <c r="AH26" i="10" s="1"/>
  <c r="AF15" i="10"/>
  <c r="AF16" i="10" s="1"/>
  <c r="AG110" i="8"/>
  <c r="AG111" i="8" s="1"/>
  <c r="AG50" i="9"/>
  <c r="AG51" i="9" s="1"/>
  <c r="AI105" i="8"/>
  <c r="AI106" i="8" s="1"/>
  <c r="AG45" i="9"/>
  <c r="AG46" i="9" s="1"/>
  <c r="AI50" i="9"/>
  <c r="AI51" i="9" s="1"/>
  <c r="AE55" i="9"/>
  <c r="AE56" i="9" s="1"/>
  <c r="AF20" i="10"/>
  <c r="AF21" i="10" s="1"/>
  <c r="AH136" i="8"/>
  <c r="AH137" i="8" s="1"/>
  <c r="AG55" i="9"/>
  <c r="AG56" i="9" s="1"/>
  <c r="AH15" i="10"/>
  <c r="AH16" i="10" s="1"/>
  <c r="AJ110" i="8"/>
  <c r="AJ111" i="8" s="1"/>
  <c r="AJ45" i="9"/>
  <c r="AJ46" i="9" s="1"/>
  <c r="AG25" i="10"/>
  <c r="AG26" i="10" s="1"/>
  <c r="AI20" i="10"/>
  <c r="AI21" i="10" s="1"/>
  <c r="AF25" i="10"/>
  <c r="AF26" i="10" s="1"/>
  <c r="AJ20" i="10"/>
  <c r="AJ21" i="10" s="1"/>
  <c r="AI16" i="11"/>
  <c r="AE16" i="11"/>
  <c r="AF16" i="11"/>
  <c r="AH16" i="11"/>
  <c r="AJ16" i="11"/>
  <c r="AG16" i="11"/>
  <c r="W36" i="2"/>
  <c r="X89" i="2"/>
  <c r="Y65" i="2"/>
  <c r="X149" i="2"/>
  <c r="X87" i="2"/>
  <c r="AA152" i="2"/>
  <c r="Z97" i="2"/>
  <c r="X79" i="2"/>
  <c r="X142" i="8" s="1"/>
  <c r="Y139" i="2"/>
  <c r="Y15" i="11" s="1"/>
  <c r="Z89" i="2"/>
  <c r="Z54" i="2"/>
  <c r="V158" i="2"/>
  <c r="V24" i="2"/>
  <c r="V29" i="8" s="1"/>
  <c r="V21" i="2"/>
  <c r="V26" i="8" s="1"/>
  <c r="V134" i="2"/>
  <c r="V130" i="8" s="1"/>
  <c r="AH113" i="2"/>
  <c r="AH36" i="9" s="1"/>
  <c r="AI126" i="2"/>
  <c r="AI40" i="8" s="1"/>
  <c r="AI137" i="2"/>
  <c r="AI118" i="8" s="1"/>
  <c r="AI98" i="2"/>
  <c r="AI159" i="8" s="1"/>
  <c r="AI159" i="2"/>
  <c r="AJ67" i="2"/>
  <c r="AJ83" i="2"/>
  <c r="AJ151" i="2"/>
  <c r="AG92" i="2"/>
  <c r="Z64" i="2"/>
  <c r="X54" i="2"/>
  <c r="W99" i="2"/>
  <c r="X84" i="2"/>
  <c r="X153" i="8" s="1"/>
  <c r="X139" i="2"/>
  <c r="X15" i="11" s="1"/>
  <c r="Z139" i="2"/>
  <c r="Z15" i="11" s="1"/>
  <c r="AA97" i="2"/>
  <c r="W97" i="2"/>
  <c r="V65" i="2"/>
  <c r="V84" i="2"/>
  <c r="V153" i="8" s="1"/>
  <c r="V144" i="2"/>
  <c r="V13" i="11" s="1"/>
  <c r="V68" i="2"/>
  <c r="AE16" i="2"/>
  <c r="AE17" i="8" s="1"/>
  <c r="AE31" i="2"/>
  <c r="AE65" i="8" s="1"/>
  <c r="AH31" i="2"/>
  <c r="AH65" i="8" s="1"/>
  <c r="AE137" i="2"/>
  <c r="AE118" i="8" s="1"/>
  <c r="AI111" i="2"/>
  <c r="AI32" i="9" s="1"/>
  <c r="AJ161" i="2"/>
  <c r="AI129" i="2"/>
  <c r="AH101" i="2"/>
  <c r="AH95" i="8" s="1"/>
  <c r="AI41" i="2"/>
  <c r="AI8" i="9" s="1"/>
  <c r="AF51" i="2"/>
  <c r="AF23" i="9" s="1"/>
  <c r="AG106" i="2"/>
  <c r="AG30" i="8" s="1"/>
  <c r="AI101" i="2"/>
  <c r="AI95" i="8" s="1"/>
  <c r="AJ92" i="2"/>
  <c r="AJ111" i="2"/>
  <c r="AJ32" i="9" s="1"/>
  <c r="AA89" i="2"/>
  <c r="X36" i="2"/>
  <c r="X29" i="2"/>
  <c r="X78" i="8" s="1"/>
  <c r="Y146" i="2"/>
  <c r="Y141" i="8" s="1"/>
  <c r="Y131" i="2"/>
  <c r="Y132" i="2"/>
  <c r="W85" i="2"/>
  <c r="W65" i="2"/>
  <c r="W79" i="2"/>
  <c r="W142" i="8" s="1"/>
  <c r="AA144" i="2"/>
  <c r="AA13" i="11" s="1"/>
  <c r="X157" i="2"/>
  <c r="Z36" i="2"/>
  <c r="V64" i="2"/>
  <c r="V103" i="2"/>
  <c r="AF113" i="2"/>
  <c r="AF36" i="9" s="1"/>
  <c r="AE128" i="2"/>
  <c r="AE27" i="8" s="1"/>
  <c r="AJ137" i="2"/>
  <c r="AJ118" i="8" s="1"/>
  <c r="AE101" i="2"/>
  <c r="AE95" i="8" s="1"/>
  <c r="AI128" i="2"/>
  <c r="AI27" i="8" s="1"/>
  <c r="AG101" i="2"/>
  <c r="AG95" i="8" s="1"/>
  <c r="AF111" i="2"/>
  <c r="AF32" i="9" s="1"/>
  <c r="AI22" i="2"/>
  <c r="AI34" i="8" s="1"/>
  <c r="AF16" i="2"/>
  <c r="AF17" i="8" s="1"/>
  <c r="AA110" i="2"/>
  <c r="AA30" i="9" s="1"/>
  <c r="W152" i="2"/>
  <c r="W144" i="2"/>
  <c r="W13" i="11" s="1"/>
  <c r="X99" i="2"/>
  <c r="AA36" i="2"/>
  <c r="AA139" i="2"/>
  <c r="AA15" i="11" s="1"/>
  <c r="X97" i="2"/>
  <c r="V100" i="2"/>
  <c r="V94" i="8" s="1"/>
  <c r="V96" i="2"/>
  <c r="AJ44" i="2"/>
  <c r="AG31" i="2"/>
  <c r="AG65" i="8" s="1"/>
  <c r="AG113" i="2"/>
  <c r="AG36" i="9" s="1"/>
  <c r="Z154" i="2"/>
  <c r="Z14" i="11" s="1"/>
  <c r="Z85" i="2"/>
  <c r="Z110" i="2"/>
  <c r="Z30" i="9" s="1"/>
  <c r="X53" i="2"/>
  <c r="X44" i="8" s="1"/>
  <c r="X146" i="2"/>
  <c r="X141" i="8" s="1"/>
  <c r="X131" i="2"/>
  <c r="X103" i="2"/>
  <c r="Z144" i="2"/>
  <c r="Z13" i="11" s="1"/>
  <c r="AA103" i="2"/>
  <c r="X148" i="2"/>
  <c r="W157" i="2"/>
  <c r="W129" i="8" s="1"/>
  <c r="Y144" i="2"/>
  <c r="Y13" i="11" s="1"/>
  <c r="X155" i="2"/>
  <c r="X69" i="2"/>
  <c r="X90" i="8" s="1"/>
  <c r="W145" i="2"/>
  <c r="W127" i="8" s="1"/>
  <c r="Z131" i="2"/>
  <c r="W132" i="2"/>
  <c r="Z65" i="2"/>
  <c r="Y89" i="2"/>
  <c r="Y145" i="2"/>
  <c r="Y127" i="8" s="1"/>
  <c r="AA64" i="2"/>
  <c r="X154" i="2"/>
  <c r="X14" i="11" s="1"/>
  <c r="X81" i="2"/>
  <c r="X119" i="8" s="1"/>
  <c r="Y149" i="2"/>
  <c r="Y54" i="2"/>
  <c r="Y81" i="2"/>
  <c r="Y119" i="8" s="1"/>
  <c r="W69" i="2"/>
  <c r="W90" i="8" s="1"/>
  <c r="W81" i="2"/>
  <c r="W119" i="8" s="1"/>
  <c r="X96" i="2"/>
  <c r="W89" i="2"/>
  <c r="V47" i="2"/>
  <c r="V31" i="9" s="1"/>
  <c r="V131" i="2"/>
  <c r="V147" i="2"/>
  <c r="V21" i="11" s="1"/>
  <c r="V53" i="2"/>
  <c r="V44" i="8" s="1"/>
  <c r="V82" i="2"/>
  <c r="V151" i="8" s="1"/>
  <c r="V148" i="2"/>
  <c r="V54" i="2"/>
  <c r="V132" i="2"/>
  <c r="V76" i="2"/>
  <c r="V117" i="8" s="1"/>
  <c r="V40" i="2"/>
  <c r="V7" i="9" s="1"/>
  <c r="V79" i="2"/>
  <c r="V142" i="8" s="1"/>
  <c r="V154" i="2"/>
  <c r="V14" i="11" s="1"/>
  <c r="V69" i="2"/>
  <c r="V90" i="8" s="1"/>
  <c r="V89" i="2"/>
  <c r="AE56" i="2"/>
  <c r="AE40" i="9" s="1"/>
  <c r="AI113" i="2"/>
  <c r="AI36" i="9" s="1"/>
  <c r="AF41" i="2"/>
  <c r="AF8" i="9" s="1"/>
  <c r="AF56" i="2"/>
  <c r="AF40" i="9" s="1"/>
  <c r="AG137" i="2"/>
  <c r="AG118" i="8" s="1"/>
  <c r="AI16" i="2"/>
  <c r="AI17" i="8" s="1"/>
  <c r="AG98" i="2"/>
  <c r="AG159" i="8" s="1"/>
  <c r="AG16" i="2"/>
  <c r="AG17" i="8" s="1"/>
  <c r="AG161" i="2"/>
  <c r="AI44" i="2"/>
  <c r="AF44" i="2"/>
  <c r="AH95" i="2"/>
  <c r="AH116" i="8" s="1"/>
  <c r="AF101" i="2"/>
  <c r="AF95" i="8" s="1"/>
  <c r="AE126" i="2"/>
  <c r="AE40" i="8" s="1"/>
  <c r="AH92" i="2"/>
  <c r="AI95" i="2"/>
  <c r="AI116" i="8" s="1"/>
  <c r="AE106" i="2"/>
  <c r="AE30" i="8" s="1"/>
  <c r="AG129" i="2"/>
  <c r="AF83" i="2"/>
  <c r="AF152" i="8" s="1"/>
  <c r="AG22" i="2"/>
  <c r="AG34" i="8" s="1"/>
  <c r="AJ113" i="2"/>
  <c r="AJ36" i="9" s="1"/>
  <c r="AJ41" i="2"/>
  <c r="AJ8" i="9" s="1"/>
  <c r="AJ56" i="2"/>
  <c r="AJ40" i="9" s="1"/>
  <c r="AG56" i="2"/>
  <c r="AG40" i="9" s="1"/>
  <c r="AF119" i="2"/>
  <c r="AF43" i="8" s="1"/>
  <c r="AF71" i="2"/>
  <c r="AF92" i="8" s="1"/>
  <c r="AG51" i="2"/>
  <c r="AG23" i="9" s="1"/>
  <c r="AE119" i="2"/>
  <c r="AE43" i="8" s="1"/>
  <c r="AE51" i="2"/>
  <c r="AE23" i="9" s="1"/>
  <c r="AG71" i="2"/>
  <c r="AG92" i="8" s="1"/>
  <c r="AH161" i="2"/>
  <c r="Z152" i="2"/>
  <c r="W148" i="2"/>
  <c r="W96" i="2"/>
  <c r="Y97" i="2"/>
  <c r="Y87" i="2"/>
  <c r="Z87" i="2"/>
  <c r="Y96" i="2"/>
  <c r="Y157" i="2"/>
  <c r="Y129" i="8" s="1"/>
  <c r="AA96" i="2"/>
  <c r="W139" i="2"/>
  <c r="W15" i="11" s="1"/>
  <c r="V146" i="2"/>
  <c r="V141" i="8" s="1"/>
  <c r="V157" i="2"/>
  <c r="V129" i="8" s="1"/>
  <c r="V140" i="2"/>
  <c r="V158" i="8" s="1"/>
  <c r="V139" i="2"/>
  <c r="V15" i="11" s="1"/>
  <c r="V149" i="2"/>
  <c r="V136" i="2"/>
  <c r="V115" i="8" s="1"/>
  <c r="V105" i="2"/>
  <c r="V33" i="8" s="1"/>
  <c r="V145" i="2"/>
  <c r="V127" i="8" s="1"/>
  <c r="AE83" i="2"/>
  <c r="AE152" i="8" s="1"/>
  <c r="AE95" i="2"/>
  <c r="AE116" i="8" s="1"/>
  <c r="AH137" i="2"/>
  <c r="AH118" i="8" s="1"/>
  <c r="AE111" i="2"/>
  <c r="AE32" i="9" s="1"/>
  <c r="AE129" i="2"/>
  <c r="AE131" i="8" s="1"/>
  <c r="AJ51" i="2"/>
  <c r="AJ23" i="9" s="1"/>
  <c r="AJ16" i="2"/>
  <c r="AJ17" i="8" s="1"/>
  <c r="AG151" i="2"/>
  <c r="AJ159" i="2"/>
  <c r="AF129" i="2"/>
  <c r="AF131" i="8" s="1"/>
  <c r="AE159" i="2"/>
  <c r="AI106" i="2"/>
  <c r="AI30" i="8" s="1"/>
  <c r="AJ119" i="2"/>
  <c r="AJ43" i="8" s="1"/>
  <c r="AG119" i="2"/>
  <c r="AG43" i="8" s="1"/>
  <c r="AH71" i="2"/>
  <c r="AH92" i="8" s="1"/>
  <c r="W131" i="2"/>
  <c r="AA131" i="2"/>
  <c r="W110" i="2"/>
  <c r="W30" i="9" s="1"/>
  <c r="Y103" i="2"/>
  <c r="Y79" i="2"/>
  <c r="Y142" i="8" s="1"/>
  <c r="Y155" i="2"/>
  <c r="AA87" i="2"/>
  <c r="Y53" i="2"/>
  <c r="Y44" i="8" s="1"/>
  <c r="X64" i="2"/>
  <c r="Y99" i="2"/>
  <c r="X65" i="2"/>
  <c r="Y152" i="2"/>
  <c r="W154" i="2"/>
  <c r="W14" i="11" s="1"/>
  <c r="AA54" i="2"/>
  <c r="V156" i="2"/>
  <c r="V42" i="8" s="1"/>
  <c r="V70" i="2"/>
  <c r="V91" i="8" s="1"/>
  <c r="V97" i="2"/>
  <c r="V81" i="2"/>
  <c r="V119" i="8" s="1"/>
  <c r="V85" i="2"/>
  <c r="V66" i="2"/>
  <c r="V155" i="2"/>
  <c r="V91" i="2"/>
  <c r="AI119" i="2"/>
  <c r="AI43" i="8" s="1"/>
  <c r="AG41" i="2"/>
  <c r="AG8" i="9" s="1"/>
  <c r="AJ101" i="2"/>
  <c r="AJ95" i="8" s="1"/>
  <c r="AH119" i="2"/>
  <c r="AH43" i="8" s="1"/>
  <c r="AI60" i="2"/>
  <c r="AI19" i="9" s="1"/>
  <c r="AI161" i="2"/>
  <c r="AF106" i="2"/>
  <c r="AF30" i="8" s="1"/>
  <c r="AF57" i="2"/>
  <c r="AI56" i="2"/>
  <c r="AI40" i="9" s="1"/>
  <c r="AH159" i="2"/>
  <c r="AE41" i="2"/>
  <c r="AE8" i="9" s="1"/>
  <c r="AF31" i="2"/>
  <c r="AF65" i="8" s="1"/>
  <c r="W146" i="2"/>
  <c r="W141" i="8" s="1"/>
  <c r="X145" i="2"/>
  <c r="X127" i="8" s="1"/>
  <c r="W53" i="2"/>
  <c r="W44" i="8" s="1"/>
  <c r="W64" i="2"/>
  <c r="Z103" i="2"/>
  <c r="Y85" i="2"/>
  <c r="AA154" i="2"/>
  <c r="AA14" i="11" s="1"/>
  <c r="AA65" i="2"/>
  <c r="W87" i="2"/>
  <c r="X144" i="2"/>
  <c r="AA85" i="2"/>
  <c r="X85" i="2"/>
  <c r="Z96" i="2"/>
  <c r="Y64" i="2"/>
  <c r="Y148" i="2"/>
  <c r="W29" i="2"/>
  <c r="W78" i="8" s="1"/>
  <c r="W54" i="2"/>
  <c r="Y36" i="2"/>
  <c r="X152" i="2"/>
  <c r="W155" i="2"/>
  <c r="Y29" i="2"/>
  <c r="Y78" i="8" s="1"/>
  <c r="W103" i="2"/>
  <c r="Y154" i="2"/>
  <c r="Y14" i="11" s="1"/>
  <c r="Y84" i="2"/>
  <c r="Y153" i="8" s="1"/>
  <c r="W149" i="2"/>
  <c r="X132" i="2"/>
  <c r="V36" i="2"/>
  <c r="V152" i="2"/>
  <c r="V55" i="2"/>
  <c r="V39" i="9" s="1"/>
  <c r="V29" i="2"/>
  <c r="V78" i="8" s="1"/>
  <c r="V30" i="2"/>
  <c r="V64" i="8" s="1"/>
  <c r="V52" i="2"/>
  <c r="V24" i="9" s="1"/>
  <c r="V43" i="2"/>
  <c r="V9" i="9" s="1"/>
  <c r="V87" i="2"/>
  <c r="V110" i="2"/>
  <c r="V30" i="9" s="1"/>
  <c r="V59" i="2"/>
  <c r="V18" i="9" s="1"/>
  <c r="V49" i="2"/>
  <c r="V35" i="9" s="1"/>
  <c r="V125" i="2"/>
  <c r="V39" i="8" s="1"/>
  <c r="V99" i="2"/>
  <c r="AH22" i="2"/>
  <c r="AH34" i="8" s="1"/>
  <c r="AJ71" i="2"/>
  <c r="AJ92" i="8" s="1"/>
  <c r="AH129" i="2"/>
  <c r="AI51" i="2"/>
  <c r="AI23" i="9" s="1"/>
  <c r="AH126" i="2"/>
  <c r="AH40" i="8" s="1"/>
  <c r="AF98" i="2"/>
  <c r="AF159" i="8" s="1"/>
  <c r="AH56" i="2"/>
  <c r="AH40" i="9" s="1"/>
  <c r="AG83" i="2"/>
  <c r="AF95" i="2"/>
  <c r="AF116" i="8" s="1"/>
  <c r="AJ106" i="2"/>
  <c r="AJ30" i="8" s="1"/>
  <c r="AH151" i="2"/>
  <c r="AH38" i="9" s="1"/>
  <c r="AH44" i="2"/>
  <c r="AF137" i="2"/>
  <c r="AF118" i="8" s="1"/>
  <c r="AF161" i="2"/>
  <c r="AJ31" i="2"/>
  <c r="AJ65" i="8" s="1"/>
  <c r="AG128" i="2"/>
  <c r="AG27" i="8" s="1"/>
  <c r="AH67" i="2"/>
  <c r="AI92" i="2"/>
  <c r="AH83" i="2"/>
  <c r="AH111" i="2"/>
  <c r="AH32" i="9" s="1"/>
  <c r="AI71" i="2"/>
  <c r="AI92" i="8" s="1"/>
  <c r="AJ129" i="2"/>
  <c r="AI83" i="2"/>
  <c r="AE44" i="2"/>
  <c r="AF22" i="2"/>
  <c r="AF34" i="8" s="1"/>
  <c r="AF159" i="2"/>
  <c r="AE98" i="2"/>
  <c r="AE159" i="8" s="1"/>
  <c r="AO108" i="22"/>
  <c r="AO44" i="22" s="1"/>
  <c r="AH57" i="2"/>
  <c r="AG111" i="2"/>
  <c r="AG32" i="9" s="1"/>
  <c r="AJ95" i="2"/>
  <c r="AJ116" i="8" s="1"/>
  <c r="AH16" i="2"/>
  <c r="AH17" i="8" s="1"/>
  <c r="AJ57" i="2"/>
  <c r="AE60" i="2"/>
  <c r="AE19" i="9" s="1"/>
  <c r="AE92" i="2"/>
  <c r="AG159" i="2"/>
  <c r="AE161" i="2"/>
  <c r="AG44" i="2"/>
  <c r="AF126" i="2"/>
  <c r="AF40" i="8" s="1"/>
  <c r="AF128" i="2"/>
  <c r="AF27" i="8" s="1"/>
  <c r="AG67" i="2"/>
  <c r="AE113" i="2"/>
  <c r="AE36" i="9" s="1"/>
  <c r="AJ128" i="2"/>
  <c r="AJ27" i="8" s="1"/>
  <c r="AG57" i="2"/>
  <c r="AG95" i="2"/>
  <c r="AG116" i="8" s="1"/>
  <c r="V58" i="2"/>
  <c r="AY53" i="22"/>
  <c r="V57" i="2" s="1"/>
  <c r="AL57" i="22"/>
  <c r="AN82" i="22"/>
  <c r="AK103" i="22"/>
  <c r="AP38" i="22"/>
  <c r="AO156" i="22"/>
  <c r="AP131" i="22"/>
  <c r="AO103" i="22"/>
  <c r="AM82" i="22"/>
  <c r="AM111" i="22" s="1"/>
  <c r="AL126" i="22"/>
  <c r="AK108" i="22"/>
  <c r="AN146" i="22"/>
  <c r="AM131" i="22"/>
  <c r="AO19" i="22"/>
  <c r="AE22" i="2"/>
  <c r="AE34" i="8" s="1"/>
  <c r="BM104" i="22"/>
  <c r="AH128" i="2"/>
  <c r="AH27" i="8" s="1"/>
  <c r="BP19" i="22"/>
  <c r="AN156" i="22"/>
  <c r="AK90" i="22"/>
  <c r="AP68" i="22"/>
  <c r="AO146" i="22"/>
  <c r="AM108" i="22"/>
  <c r="AM44" i="22" s="1"/>
  <c r="AY122" i="22"/>
  <c r="AY27" i="22"/>
  <c r="AY125" i="22"/>
  <c r="BO13" i="22"/>
  <c r="AY94" i="22"/>
  <c r="AY18" i="22"/>
  <c r="BO156" i="22"/>
  <c r="AY133" i="22"/>
  <c r="AY37" i="22"/>
  <c r="AY157" i="22"/>
  <c r="BQ126" i="22"/>
  <c r="BP68" i="22"/>
  <c r="AY124" i="22"/>
  <c r="AY88" i="22"/>
  <c r="AO126" i="22"/>
  <c r="BN146" i="22"/>
  <c r="AP13" i="22"/>
  <c r="AK13" i="22"/>
  <c r="AY97" i="22"/>
  <c r="BN103" i="22"/>
  <c r="BO28" i="22"/>
  <c r="AO68" i="22"/>
  <c r="BO68" i="22"/>
  <c r="BN13" i="22"/>
  <c r="BM19" i="22"/>
  <c r="AK82" i="22"/>
  <c r="AK57" i="22"/>
  <c r="AP149" i="22"/>
  <c r="AN149" i="22"/>
  <c r="AY63" i="22"/>
  <c r="BM73" i="22"/>
  <c r="AY109" i="22"/>
  <c r="AY56" i="22"/>
  <c r="AY102" i="22"/>
  <c r="AY91" i="22"/>
  <c r="AM68" i="22"/>
  <c r="AP146" i="22"/>
  <c r="AP90" i="22"/>
  <c r="AO13" i="22"/>
  <c r="AN19" i="22"/>
  <c r="AL104" i="22"/>
  <c r="AM149" i="22"/>
  <c r="AL146" i="22"/>
  <c r="AK19" i="22"/>
  <c r="AL82" i="22"/>
  <c r="AK156" i="22"/>
  <c r="AM156" i="22"/>
  <c r="AY147" i="22"/>
  <c r="AY40" i="22"/>
  <c r="BQ90" i="22"/>
  <c r="AN131" i="22"/>
  <c r="BQ38" i="22"/>
  <c r="AY155" i="22"/>
  <c r="BM28" i="22"/>
  <c r="AP126" i="22"/>
  <c r="AY115" i="22"/>
  <c r="AP103" i="22"/>
  <c r="AM104" i="22"/>
  <c r="AM57" i="22"/>
  <c r="AL108" i="22"/>
  <c r="AO90" i="22"/>
  <c r="AO57" i="22"/>
  <c r="AP156" i="22"/>
  <c r="BO126" i="22"/>
  <c r="BQ57" i="22"/>
  <c r="BN108" i="22"/>
  <c r="BN38" i="22"/>
  <c r="AM38" i="22"/>
  <c r="AY47" i="22"/>
  <c r="BO103" i="22"/>
  <c r="BQ104" i="22"/>
  <c r="AO131" i="22"/>
  <c r="AN68" i="22"/>
  <c r="BR82" i="22"/>
  <c r="AK84" i="22"/>
  <c r="AM84" i="22"/>
  <c r="AL13" i="22"/>
  <c r="AM13" i="22"/>
  <c r="AP104" i="22"/>
  <c r="AO84" i="22"/>
  <c r="AP57" i="22"/>
  <c r="AP19" i="22"/>
  <c r="BM126" i="22"/>
  <c r="AK126" i="22"/>
  <c r="AM90" i="22"/>
  <c r="AN84" i="22"/>
  <c r="AN108" i="22"/>
  <c r="BN131" i="22"/>
  <c r="AY79" i="22"/>
  <c r="AK104" i="22"/>
  <c r="AP108" i="22"/>
  <c r="AM103" i="22"/>
  <c r="AY52" i="22"/>
  <c r="AN104" i="22"/>
  <c r="AY67" i="22"/>
  <c r="AO28" i="22"/>
  <c r="AL90" i="22"/>
  <c r="BM131" i="22"/>
  <c r="AN57" i="22"/>
  <c r="AN38" i="22"/>
  <c r="AL131" i="22"/>
  <c r="AP82" i="22"/>
  <c r="AO104" i="22"/>
  <c r="AL19" i="22"/>
  <c r="BQ68" i="22"/>
  <c r="BM38" i="22"/>
  <c r="AL38" i="22"/>
  <c r="BR146" i="22"/>
  <c r="AO38" i="22"/>
  <c r="AL28" i="22"/>
  <c r="AK149" i="22"/>
  <c r="AN28" i="22"/>
  <c r="AN103" i="22"/>
  <c r="AP28" i="22"/>
  <c r="BR84" i="22"/>
  <c r="AK68" i="22"/>
  <c r="AM19" i="22"/>
  <c r="BQ84" i="22"/>
  <c r="BQ103" i="22"/>
  <c r="AY107" i="22"/>
  <c r="BN84" i="22"/>
  <c r="BP104" i="22"/>
  <c r="AL103" i="22"/>
  <c r="AL156" i="22"/>
  <c r="BQ131" i="22"/>
  <c r="AN90" i="22"/>
  <c r="AO82" i="22"/>
  <c r="BQ82" i="22"/>
  <c r="AI57" i="2"/>
  <c r="BR131" i="22"/>
  <c r="AJ126" i="2"/>
  <c r="AJ40" i="8" s="1"/>
  <c r="BR108" i="22"/>
  <c r="BM68" i="22"/>
  <c r="AE71" i="2"/>
  <c r="AE92" i="8" s="1"/>
  <c r="BQ149" i="22"/>
  <c r="AI151" i="2"/>
  <c r="BN19" i="22"/>
  <c r="BP82" i="22"/>
  <c r="BR90" i="22"/>
  <c r="BN126" i="22"/>
  <c r="BN68" i="22"/>
  <c r="BR104" i="22"/>
  <c r="AJ22" i="2"/>
  <c r="AJ34" i="8" s="1"/>
  <c r="BN156" i="22"/>
  <c r="AF67" i="2"/>
  <c r="AK131" i="22"/>
  <c r="AL68" i="22"/>
  <c r="AM28" i="22"/>
  <c r="AL149" i="22"/>
  <c r="AK38" i="22"/>
  <c r="AM126" i="22"/>
  <c r="BP90" i="22"/>
  <c r="BP108" i="22"/>
  <c r="BN28" i="22"/>
  <c r="BO149" i="22"/>
  <c r="BO19" i="22"/>
  <c r="BM103" i="22"/>
  <c r="BR57" i="22"/>
  <c r="AJ60" i="2"/>
  <c r="AJ19" i="9" s="1"/>
  <c r="BM146" i="22"/>
  <c r="BP146" i="22"/>
  <c r="AH51" i="2"/>
  <c r="AH23" i="9" s="1"/>
  <c r="BR73" i="22"/>
  <c r="BN82" i="22"/>
  <c r="BN90" i="22"/>
  <c r="AF92" i="2"/>
  <c r="BM156" i="22"/>
  <c r="AE67" i="2"/>
  <c r="BN149" i="22"/>
  <c r="AF151" i="2"/>
  <c r="BR28" i="22"/>
  <c r="BQ13" i="22"/>
  <c r="BP131" i="22"/>
  <c r="BM108" i="22"/>
  <c r="BN73" i="22"/>
  <c r="BN104" i="22"/>
  <c r="BM90" i="22"/>
  <c r="BO146" i="22"/>
  <c r="BQ19" i="22"/>
  <c r="BO38" i="22"/>
  <c r="BO131" i="22"/>
  <c r="AG126" i="2"/>
  <c r="AG40" i="8" s="1"/>
  <c r="BQ73" i="22"/>
  <c r="BP13" i="22"/>
  <c r="BR126" i="22"/>
  <c r="AJ98" i="2"/>
  <c r="AJ159" i="8" s="1"/>
  <c r="BO82" i="22"/>
  <c r="BQ28" i="22"/>
  <c r="AI31" i="2"/>
  <c r="AI65" i="8" s="1"/>
  <c r="BN57" i="22"/>
  <c r="AF60" i="2"/>
  <c r="AF19" i="9" s="1"/>
  <c r="BR38" i="22"/>
  <c r="BP126" i="22"/>
  <c r="AH98" i="2"/>
  <c r="AH159" i="8" s="1"/>
  <c r="BO84" i="22"/>
  <c r="BR103" i="22"/>
  <c r="BO57" i="22"/>
  <c r="AG60" i="2"/>
  <c r="AG19" i="9" s="1"/>
  <c r="BR19" i="22"/>
  <c r="BO108" i="22"/>
  <c r="BM149" i="22"/>
  <c r="AE151" i="2"/>
  <c r="BP103" i="22"/>
  <c r="AH106" i="2"/>
  <c r="AH30" i="8" s="1"/>
  <c r="BR156" i="22"/>
  <c r="AN13" i="22"/>
  <c r="AK146" i="22"/>
  <c r="AM146" i="22"/>
  <c r="AK28" i="22"/>
  <c r="AN126" i="22"/>
  <c r="AL84" i="22"/>
  <c r="AP84" i="22"/>
  <c r="AO149" i="22"/>
  <c r="BP73" i="22"/>
  <c r="BO73" i="22"/>
  <c r="BR68" i="22"/>
  <c r="BM84" i="22"/>
  <c r="BM13" i="22"/>
  <c r="BP28" i="22"/>
  <c r="BQ156" i="22"/>
  <c r="AI67" i="2"/>
  <c r="BP38" i="22"/>
  <c r="AH41" i="2"/>
  <c r="AH8" i="9" s="1"/>
  <c r="BO90" i="22"/>
  <c r="BO104" i="22"/>
  <c r="BP84" i="22"/>
  <c r="BM82" i="22"/>
  <c r="AE57" i="2"/>
  <c r="BR149" i="22"/>
  <c r="BP57" i="22"/>
  <c r="AH60" i="2"/>
  <c r="AH19" i="9" s="1"/>
  <c r="BR13" i="22"/>
  <c r="BQ108" i="22"/>
  <c r="BP156" i="22"/>
  <c r="BM57" i="22"/>
  <c r="BQ146" i="22"/>
  <c r="BP149" i="22"/>
  <c r="AM73" i="22"/>
  <c r="AN73" i="22"/>
  <c r="AL73" i="22"/>
  <c r="AP73" i="22"/>
  <c r="AK73" i="22"/>
  <c r="AO73" i="22"/>
  <c r="W52" i="2"/>
  <c r="W24" i="9" s="1"/>
  <c r="AZ47" i="22"/>
  <c r="Z157" i="2"/>
  <c r="Z129" i="8" s="1"/>
  <c r="AA82" i="2"/>
  <c r="AA151" i="8" s="1"/>
  <c r="BD79" i="22"/>
  <c r="W55" i="2"/>
  <c r="W39" i="9" s="1"/>
  <c r="AZ52" i="22"/>
  <c r="Z140" i="2"/>
  <c r="Z158" i="8" s="1"/>
  <c r="BC94" i="22"/>
  <c r="Y49" i="2"/>
  <c r="Y35" i="9" s="1"/>
  <c r="BB109" i="22"/>
  <c r="AA49" i="2"/>
  <c r="AA35" i="9" s="1"/>
  <c r="BD109" i="22"/>
  <c r="Y110" i="2"/>
  <c r="Y30" i="9" s="1"/>
  <c r="Z148" i="2"/>
  <c r="AA53" i="2"/>
  <c r="AA44" i="8" s="1"/>
  <c r="X136" i="2"/>
  <c r="X115" i="8" s="1"/>
  <c r="BA91" i="22"/>
  <c r="Z84" i="2"/>
  <c r="Z153" i="8" s="1"/>
  <c r="AA156" i="2"/>
  <c r="AA42" i="8" s="1"/>
  <c r="BD115" i="22"/>
  <c r="AA91" i="2"/>
  <c r="BD88" i="22"/>
  <c r="W40" i="2"/>
  <c r="W7" i="9" s="1"/>
  <c r="AZ37" i="22"/>
  <c r="Y147" i="2"/>
  <c r="Y21" i="11" s="1"/>
  <c r="BB155" i="22"/>
  <c r="Y136" i="2"/>
  <c r="Y115" i="8" s="1"/>
  <c r="BB91" i="22"/>
  <c r="Y100" i="2"/>
  <c r="Y94" i="8" s="1"/>
  <c r="BB97" i="22"/>
  <c r="AE137" i="8"/>
  <c r="Z132" i="2"/>
  <c r="W125" i="2"/>
  <c r="W39" i="8" s="1"/>
  <c r="AZ122" i="22"/>
  <c r="Z47" i="2"/>
  <c r="Z31" i="9" s="1"/>
  <c r="BC107" i="22"/>
  <c r="X66" i="2"/>
  <c r="BA63" i="22"/>
  <c r="AA146" i="2"/>
  <c r="AA141" i="8" s="1"/>
  <c r="X110" i="2"/>
  <c r="X30" i="9" s="1"/>
  <c r="AA148" i="2"/>
  <c r="AA59" i="2"/>
  <c r="AA18" i="9" s="1"/>
  <c r="BD56" i="22"/>
  <c r="X68" i="2"/>
  <c r="BA157" i="22"/>
  <c r="W24" i="2"/>
  <c r="W29" i="8" s="1"/>
  <c r="AZ102" i="22"/>
  <c r="Z66" i="2"/>
  <c r="BC63" i="22"/>
  <c r="AF137" i="8"/>
  <c r="AA132" i="2"/>
  <c r="X82" i="2"/>
  <c r="X151" i="8" s="1"/>
  <c r="BA79" i="22"/>
  <c r="W140" i="2"/>
  <c r="W158" i="8" s="1"/>
  <c r="AZ94" i="22"/>
  <c r="Z55" i="2"/>
  <c r="Z39" i="9" s="1"/>
  <c r="BC52" i="22"/>
  <c r="Y69" i="2"/>
  <c r="Y90" i="8" s="1"/>
  <c r="AA55" i="2"/>
  <c r="AA39" i="9" s="1"/>
  <c r="BD52" i="22"/>
  <c r="Y91" i="2"/>
  <c r="BB88" i="22"/>
  <c r="AA47" i="2"/>
  <c r="AA31" i="9" s="1"/>
  <c r="BD107" i="22"/>
  <c r="Z40" i="2"/>
  <c r="Z7" i="9" s="1"/>
  <c r="BC37" i="22"/>
  <c r="W134" i="2"/>
  <c r="W130" i="8" s="1"/>
  <c r="AZ125" i="22"/>
  <c r="Y58" i="2"/>
  <c r="BB53" i="22"/>
  <c r="X158" i="2"/>
  <c r="X146" i="8" s="1"/>
  <c r="BA147" i="22"/>
  <c r="Y105" i="2"/>
  <c r="Y33" i="8" s="1"/>
  <c r="BB18" i="22"/>
  <c r="AA76" i="2"/>
  <c r="AA117" i="8" s="1"/>
  <c r="BD133" i="22"/>
  <c r="Z91" i="2"/>
  <c r="BC88" i="22"/>
  <c r="Z29" i="2"/>
  <c r="Z78" i="8" s="1"/>
  <c r="W66" i="2"/>
  <c r="AZ63" i="22"/>
  <c r="Z70" i="2"/>
  <c r="Z91" i="8" s="1"/>
  <c r="BC67" i="22"/>
  <c r="Z134" i="2"/>
  <c r="Z130" i="8" s="1"/>
  <c r="BC125" i="22"/>
  <c r="AA145" i="2"/>
  <c r="AA127" i="8" s="1"/>
  <c r="W68" i="2"/>
  <c r="AZ157" i="22"/>
  <c r="Z49" i="2"/>
  <c r="Z35" i="9" s="1"/>
  <c r="BC109" i="22"/>
  <c r="Z158" i="2"/>
  <c r="BC147" i="22"/>
  <c r="Z136" i="2"/>
  <c r="Z115" i="8" s="1"/>
  <c r="BC91" i="22"/>
  <c r="AA30" i="2"/>
  <c r="AA64" i="8" s="1"/>
  <c r="BD27" i="22"/>
  <c r="W59" i="2"/>
  <c r="W18" i="9" s="1"/>
  <c r="AZ56" i="22"/>
  <c r="Y59" i="2"/>
  <c r="Y18" i="9" s="1"/>
  <c r="BB56" i="22"/>
  <c r="AA29" i="2"/>
  <c r="AA78" i="8" s="1"/>
  <c r="W156" i="2"/>
  <c r="W42" i="8" s="1"/>
  <c r="AZ115" i="22"/>
  <c r="AA52" i="2"/>
  <c r="AA24" i="9" s="1"/>
  <c r="BD47" i="22"/>
  <c r="X156" i="2"/>
  <c r="X42" i="8" s="1"/>
  <c r="BA115" i="22"/>
  <c r="Z58" i="2"/>
  <c r="BC53" i="22"/>
  <c r="Y156" i="2"/>
  <c r="Y42" i="8" s="1"/>
  <c r="BB115" i="22"/>
  <c r="AA21" i="2"/>
  <c r="AA26" i="8" s="1"/>
  <c r="BD124" i="22"/>
  <c r="X100" i="2"/>
  <c r="X94" i="8" s="1"/>
  <c r="BA97" i="22"/>
  <c r="Y30" i="2"/>
  <c r="Y64" i="8" s="1"/>
  <c r="BB27" i="22"/>
  <c r="X70" i="2"/>
  <c r="X91" i="8" s="1"/>
  <c r="BA67" i="22"/>
  <c r="Z100" i="2"/>
  <c r="Z94" i="8" s="1"/>
  <c r="BC97" i="22"/>
  <c r="X134" i="2"/>
  <c r="X130" i="8" s="1"/>
  <c r="BA125" i="22"/>
  <c r="Y82" i="2"/>
  <c r="Y151" i="8" s="1"/>
  <c r="BB79" i="22"/>
  <c r="Z43" i="2"/>
  <c r="Z9" i="9" s="1"/>
  <c r="BC40" i="22"/>
  <c r="AA140" i="2"/>
  <c r="AA158" i="8" s="1"/>
  <c r="BD94" i="22"/>
  <c r="Z76" i="2"/>
  <c r="Z117" i="8" s="1"/>
  <c r="BC133" i="22"/>
  <c r="Y55" i="2"/>
  <c r="Y39" i="9" s="1"/>
  <c r="BB52" i="22"/>
  <c r="AA66" i="2"/>
  <c r="BD63" i="22"/>
  <c r="Z105" i="2"/>
  <c r="Z33" i="8" s="1"/>
  <c r="BC18" i="22"/>
  <c r="AA157" i="2"/>
  <c r="X52" i="2"/>
  <c r="X24" i="9" s="1"/>
  <c r="BA47" i="22"/>
  <c r="Y70" i="2"/>
  <c r="Y91" i="8" s="1"/>
  <c r="BB67" i="22"/>
  <c r="Z69" i="2"/>
  <c r="Z90" i="8" s="1"/>
  <c r="Z68" i="2"/>
  <c r="BC157" i="22"/>
  <c r="AA105" i="2"/>
  <c r="AA33" i="8" s="1"/>
  <c r="BD18" i="22"/>
  <c r="W84" i="2"/>
  <c r="W153" i="8" s="1"/>
  <c r="W76" i="2"/>
  <c r="W117" i="8" s="1"/>
  <c r="AZ133" i="22"/>
  <c r="Z147" i="2"/>
  <c r="Z21" i="11" s="1"/>
  <c r="BC155" i="22"/>
  <c r="W100" i="2"/>
  <c r="W94" i="8" s="1"/>
  <c r="AZ97" i="22"/>
  <c r="X91" i="2"/>
  <c r="BA88" i="22"/>
  <c r="AA40" i="2"/>
  <c r="AA7" i="9" s="1"/>
  <c r="BD37" i="22"/>
  <c r="X40" i="2"/>
  <c r="X7" i="9" s="1"/>
  <c r="BA37" i="22"/>
  <c r="X59" i="2"/>
  <c r="X18" i="9" s="1"/>
  <c r="BA56" i="22"/>
  <c r="AF106" i="8"/>
  <c r="AA99" i="2"/>
  <c r="X30" i="2"/>
  <c r="X64" i="8" s="1"/>
  <c r="BA27" i="22"/>
  <c r="AA149" i="2"/>
  <c r="X49" i="2"/>
  <c r="X35" i="9" s="1"/>
  <c r="BA109" i="22"/>
  <c r="W147" i="2"/>
  <c r="W21" i="11" s="1"/>
  <c r="AZ155" i="22"/>
  <c r="W158" i="2"/>
  <c r="AZ147" i="22"/>
  <c r="Z24" i="2"/>
  <c r="Z29" i="8" s="1"/>
  <c r="BC102" i="22"/>
  <c r="AE106" i="8"/>
  <c r="Z99" i="2"/>
  <c r="AA58" i="2"/>
  <c r="BD53" i="22"/>
  <c r="Z21" i="2"/>
  <c r="Z26" i="8" s="1"/>
  <c r="BC124" i="22"/>
  <c r="X140" i="2"/>
  <c r="X158" i="8" s="1"/>
  <c r="BA94" i="22"/>
  <c r="X47" i="2"/>
  <c r="X31" i="9" s="1"/>
  <c r="BA107" i="22"/>
  <c r="AA69" i="2"/>
  <c r="AA90" i="8" s="1"/>
  <c r="Z82" i="2"/>
  <c r="Z151" i="8" s="1"/>
  <c r="BC79" i="22"/>
  <c r="Z52" i="2"/>
  <c r="Z24" i="9" s="1"/>
  <c r="BC47" i="22"/>
  <c r="Z53" i="2"/>
  <c r="Z44" i="8" s="1"/>
  <c r="X125" i="2"/>
  <c r="X39" i="8" s="1"/>
  <c r="BA122" i="22"/>
  <c r="Z145" i="2"/>
  <c r="Z127" i="8" s="1"/>
  <c r="AA43" i="2"/>
  <c r="AA9" i="9" s="1"/>
  <c r="BD40" i="22"/>
  <c r="AA70" i="2"/>
  <c r="AA91" i="8" s="1"/>
  <c r="BD67" i="22"/>
  <c r="AA81" i="2"/>
  <c r="AA119" i="8" s="1"/>
  <c r="X55" i="2"/>
  <c r="X39" i="9" s="1"/>
  <c r="BA52" i="22"/>
  <c r="AA158" i="2"/>
  <c r="AA146" i="8" s="1"/>
  <c r="BD147" i="22"/>
  <c r="AA84" i="2"/>
  <c r="AA153" i="8" s="1"/>
  <c r="X76" i="2"/>
  <c r="X117" i="8" s="1"/>
  <c r="BA133" i="22"/>
  <c r="Z81" i="2"/>
  <c r="Z119" i="8" s="1"/>
  <c r="AA125" i="2"/>
  <c r="AA39" i="8" s="1"/>
  <c r="BD122" i="22"/>
  <c r="W21" i="2"/>
  <c r="W26" i="8" s="1"/>
  <c r="AZ124" i="22"/>
  <c r="X58" i="2"/>
  <c r="BA53" i="22"/>
  <c r="Z79" i="2"/>
  <c r="Z142" i="8" s="1"/>
  <c r="X147" i="2"/>
  <c r="X21" i="11" s="1"/>
  <c r="BA155" i="22"/>
  <c r="AA68" i="2"/>
  <c r="BD157" i="22"/>
  <c r="W47" i="2"/>
  <c r="W31" i="9" s="1"/>
  <c r="AZ107" i="22"/>
  <c r="X105" i="2"/>
  <c r="X33" i="8" s="1"/>
  <c r="BA18" i="22"/>
  <c r="AE111" i="8"/>
  <c r="Z149" i="2"/>
  <c r="Y24" i="2"/>
  <c r="Y29" i="8" s="1"/>
  <c r="BB102" i="22"/>
  <c r="Z30" i="2"/>
  <c r="Z64" i="8" s="1"/>
  <c r="BC27" i="22"/>
  <c r="W105" i="2"/>
  <c r="W33" i="8" s="1"/>
  <c r="AZ18" i="22"/>
  <c r="Y43" i="2"/>
  <c r="Y9" i="9" s="1"/>
  <c r="BB40" i="22"/>
  <c r="W91" i="2"/>
  <c r="AZ88" i="22"/>
  <c r="Z156" i="2"/>
  <c r="Z42" i="8" s="1"/>
  <c r="BC115" i="22"/>
  <c r="Y76" i="2"/>
  <c r="Y117" i="8" s="1"/>
  <c r="BB133" i="22"/>
  <c r="W136" i="2"/>
  <c r="W115" i="8" s="1"/>
  <c r="AZ91" i="22"/>
  <c r="X21" i="2"/>
  <c r="X26" i="8" s="1"/>
  <c r="BA124" i="22"/>
  <c r="AA155" i="2"/>
  <c r="Y140" i="2"/>
  <c r="Y158" i="8" s="1"/>
  <c r="BB94" i="22"/>
  <c r="Y47" i="2"/>
  <c r="Y31" i="9" s="1"/>
  <c r="BB107" i="22"/>
  <c r="Z155" i="2"/>
  <c r="Y40" i="2"/>
  <c r="Y7" i="9" s="1"/>
  <c r="BB37" i="22"/>
  <c r="W82" i="2"/>
  <c r="W151" i="8" s="1"/>
  <c r="AZ79" i="22"/>
  <c r="Y66" i="2"/>
  <c r="BB63" i="22"/>
  <c r="Z146" i="2"/>
  <c r="Z141" i="8" s="1"/>
  <c r="Y52" i="2"/>
  <c r="Y24" i="9" s="1"/>
  <c r="BB47" i="22"/>
  <c r="W70" i="2"/>
  <c r="W91" i="8" s="1"/>
  <c r="AZ67" i="22"/>
  <c r="Z59" i="2"/>
  <c r="Z18" i="9" s="1"/>
  <c r="BC56" i="22"/>
  <c r="Z125" i="2"/>
  <c r="Z39" i="8" s="1"/>
  <c r="BC122" i="22"/>
  <c r="W49" i="2"/>
  <c r="W35" i="9" s="1"/>
  <c r="AZ109" i="22"/>
  <c r="AA100" i="2"/>
  <c r="AA94" i="8" s="1"/>
  <c r="BD97" i="22"/>
  <c r="AA79" i="2"/>
  <c r="AA142" i="8" s="1"/>
  <c r="X43" i="2"/>
  <c r="X9" i="9" s="1"/>
  <c r="BA40" i="22"/>
  <c r="Y68" i="2"/>
  <c r="BB157" i="22"/>
  <c r="Y134" i="2"/>
  <c r="Y130" i="8" s="1"/>
  <c r="BB125" i="22"/>
  <c r="AA147" i="2"/>
  <c r="AA21" i="11" s="1"/>
  <c r="BD155" i="22"/>
  <c r="AA24" i="2"/>
  <c r="AA29" i="8" s="1"/>
  <c r="BD102" i="22"/>
  <c r="Y21" i="2"/>
  <c r="Y26" i="8" s="1"/>
  <c r="BB124" i="22"/>
  <c r="AA134" i="2"/>
  <c r="AA130" i="8" s="1"/>
  <c r="BD125" i="22"/>
  <c r="Y158" i="2"/>
  <c r="Y146" i="8" s="1"/>
  <c r="BB147" i="22"/>
  <c r="W30" i="2"/>
  <c r="W64" i="8" s="1"/>
  <c r="AZ27" i="22"/>
  <c r="W58" i="2"/>
  <c r="AZ53" i="22"/>
  <c r="Y125" i="2"/>
  <c r="Y39" i="8" s="1"/>
  <c r="BB122" i="22"/>
  <c r="W43" i="2"/>
  <c r="W9" i="9" s="1"/>
  <c r="AZ40" i="22"/>
  <c r="AA136" i="2"/>
  <c r="AA115" i="8" s="1"/>
  <c r="BD91" i="22"/>
  <c r="X24" i="2"/>
  <c r="X29" i="8" s="1"/>
  <c r="BA102" i="22"/>
  <c r="AY12" i="22"/>
  <c r="Q4" i="22"/>
  <c r="R4" i="22"/>
  <c r="S4" i="22"/>
  <c r="T4" i="22"/>
  <c r="U4" i="22"/>
  <c r="V4" i="22"/>
  <c r="P4" i="22"/>
  <c r="O4" i="22"/>
  <c r="N4" i="22"/>
  <c r="M4" i="22"/>
  <c r="L4" i="22"/>
  <c r="K4" i="22"/>
  <c r="P3" i="22"/>
  <c r="AB3" i="22" s="1"/>
  <c r="O3" i="22"/>
  <c r="AA3" i="22" s="1"/>
  <c r="N3" i="22"/>
  <c r="Z3" i="22" s="1"/>
  <c r="M3" i="22"/>
  <c r="Y3" i="22" s="1"/>
  <c r="L3" i="22"/>
  <c r="X3" i="22" s="1"/>
  <c r="K3" i="22"/>
  <c r="W3" i="22" s="1"/>
  <c r="V146" i="8" l="1"/>
  <c r="X128" i="8"/>
  <c r="AJ38" i="9"/>
  <c r="X38" i="9"/>
  <c r="Y128" i="8"/>
  <c r="W128" i="8"/>
  <c r="AI38" i="9"/>
  <c r="AG38" i="9"/>
  <c r="Z146" i="8"/>
  <c r="AA129" i="8"/>
  <c r="Z128" i="8"/>
  <c r="AE143" i="8"/>
  <c r="W146" i="8"/>
  <c r="AA128" i="8"/>
  <c r="AH143" i="8"/>
  <c r="V128" i="8"/>
  <c r="X129" i="8"/>
  <c r="AF38" i="9"/>
  <c r="AA136" i="8"/>
  <c r="AA137" i="8" s="1"/>
  <c r="AH152" i="8"/>
  <c r="AH154" i="8" s="1"/>
  <c r="AA50" i="9"/>
  <c r="AA51" i="9" s="1"/>
  <c r="Y105" i="8"/>
  <c r="Y106" i="8" s="1"/>
  <c r="Y20" i="10"/>
  <c r="Y21" i="10" s="1"/>
  <c r="V25" i="10"/>
  <c r="V26" i="10" s="1"/>
  <c r="Z25" i="10"/>
  <c r="Z26" i="10" s="1"/>
  <c r="X105" i="8"/>
  <c r="X106" i="8" s="1"/>
  <c r="Z55" i="9"/>
  <c r="Z56" i="9" s="1"/>
  <c r="AA20" i="10"/>
  <c r="AA21" i="10" s="1"/>
  <c r="W105" i="8"/>
  <c r="W106" i="8" s="1"/>
  <c r="Z105" i="8"/>
  <c r="Z106" i="8" s="1"/>
  <c r="V55" i="9"/>
  <c r="V56" i="9" s="1"/>
  <c r="X45" i="9"/>
  <c r="X46" i="9" s="1"/>
  <c r="W25" i="10"/>
  <c r="W26" i="10" s="1"/>
  <c r="V110" i="8"/>
  <c r="V111" i="8" s="1"/>
  <c r="Y15" i="10"/>
  <c r="Y16" i="10" s="1"/>
  <c r="X20" i="10"/>
  <c r="X21" i="10" s="1"/>
  <c r="X50" i="9"/>
  <c r="X51" i="9" s="1"/>
  <c r="AJ152" i="8"/>
  <c r="AJ154" i="8" s="1"/>
  <c r="Z110" i="8"/>
  <c r="Z111" i="8" s="1"/>
  <c r="AG20" i="11"/>
  <c r="AG22" i="11" s="1"/>
  <c r="X136" i="8"/>
  <c r="X137" i="8" s="1"/>
  <c r="Y55" i="9"/>
  <c r="Y56" i="9" s="1"/>
  <c r="Y45" i="9"/>
  <c r="Y46" i="9" s="1"/>
  <c r="X13" i="11"/>
  <c r="X16" i="11" s="1"/>
  <c r="AH20" i="11"/>
  <c r="AH22" i="11" s="1"/>
  <c r="AE20" i="11"/>
  <c r="AE22" i="11" s="1"/>
  <c r="AG131" i="8"/>
  <c r="AG132" i="8" s="1"/>
  <c r="V136" i="8"/>
  <c r="V137" i="8" s="1"/>
  <c r="X25" i="10"/>
  <c r="X26" i="10" s="1"/>
  <c r="Y136" i="8"/>
  <c r="Y137" i="8" s="1"/>
  <c r="X55" i="9"/>
  <c r="X56" i="9" s="1"/>
  <c r="Z45" i="9"/>
  <c r="Z46" i="9" s="1"/>
  <c r="W55" i="9"/>
  <c r="W56" i="9" s="1"/>
  <c r="AI152" i="8"/>
  <c r="AI154" i="8" s="1"/>
  <c r="V105" i="8"/>
  <c r="V106" i="8" s="1"/>
  <c r="W45" i="9"/>
  <c r="W46" i="9" s="1"/>
  <c r="AA25" i="10"/>
  <c r="AA26" i="10" s="1"/>
  <c r="Y110" i="8"/>
  <c r="Y111" i="8" s="1"/>
  <c r="Z50" i="9"/>
  <c r="Z51" i="9" s="1"/>
  <c r="Z20" i="10"/>
  <c r="Z21" i="10" s="1"/>
  <c r="AF20" i="11"/>
  <c r="AF22" i="11" s="1"/>
  <c r="AJ131" i="8"/>
  <c r="AJ132" i="8" s="1"/>
  <c r="AH131" i="8"/>
  <c r="AH132" i="8" s="1"/>
  <c r="V20" i="10"/>
  <c r="V21" i="10" s="1"/>
  <c r="AJ20" i="11"/>
  <c r="AJ22" i="11" s="1"/>
  <c r="W15" i="10"/>
  <c r="W16" i="10" s="1"/>
  <c r="AA110" i="8"/>
  <c r="AA111" i="8" s="1"/>
  <c r="AA105" i="8"/>
  <c r="AA106" i="8" s="1"/>
  <c r="Z136" i="8"/>
  <c r="Z137" i="8" s="1"/>
  <c r="AG152" i="8"/>
  <c r="AG154" i="8" s="1"/>
  <c r="W110" i="8"/>
  <c r="W111" i="8" s="1"/>
  <c r="W50" i="9"/>
  <c r="W51" i="9" s="1"/>
  <c r="Z15" i="10"/>
  <c r="Z16" i="10" s="1"/>
  <c r="AA15" i="10"/>
  <c r="AA16" i="10" s="1"/>
  <c r="V50" i="9"/>
  <c r="V51" i="9" s="1"/>
  <c r="X15" i="10"/>
  <c r="X16" i="10" s="1"/>
  <c r="Y50" i="9"/>
  <c r="Y51" i="9" s="1"/>
  <c r="AA45" i="9"/>
  <c r="AA46" i="9" s="1"/>
  <c r="W136" i="8"/>
  <c r="W137" i="8" s="1"/>
  <c r="V15" i="10"/>
  <c r="V16" i="10" s="1"/>
  <c r="AA55" i="9"/>
  <c r="AA56" i="9" s="1"/>
  <c r="V45" i="9"/>
  <c r="V46" i="9" s="1"/>
  <c r="Y25" i="10"/>
  <c r="Y26" i="10" s="1"/>
  <c r="AI131" i="8"/>
  <c r="AI132" i="8" s="1"/>
  <c r="W20" i="10"/>
  <c r="W21" i="10" s="1"/>
  <c r="AI20" i="11"/>
  <c r="AI22" i="11" s="1"/>
  <c r="X110" i="8"/>
  <c r="X111" i="8" s="1"/>
  <c r="V16" i="11"/>
  <c r="AY82" i="22"/>
  <c r="AY111" i="22" s="1"/>
  <c r="Y16" i="11"/>
  <c r="W16" i="11"/>
  <c r="Z16" i="11"/>
  <c r="AA16" i="11"/>
  <c r="X111" i="2"/>
  <c r="X32" i="9" s="1"/>
  <c r="Z159" i="2"/>
  <c r="X95" i="2"/>
  <c r="X116" i="8" s="1"/>
  <c r="AM76" i="22"/>
  <c r="AJ153" i="2"/>
  <c r="AJ145" i="8" s="1"/>
  <c r="AG108" i="2"/>
  <c r="AG35" i="8" s="1"/>
  <c r="AG150" i="2"/>
  <c r="AG25" i="9" s="1"/>
  <c r="AE160" i="2"/>
  <c r="AH94" i="2"/>
  <c r="AH10" i="10" s="1"/>
  <c r="AE72" i="2"/>
  <c r="AE93" i="8" s="1"/>
  <c r="AL14" i="22"/>
  <c r="AY146" i="22"/>
  <c r="AM112" i="22"/>
  <c r="AF107" i="2"/>
  <c r="AF31" i="8" s="1"/>
  <c r="AY38" i="22"/>
  <c r="V42" i="2" s="1"/>
  <c r="AO46" i="22"/>
  <c r="W83" i="2"/>
  <c r="X56" i="2"/>
  <c r="X40" i="9" s="1"/>
  <c r="X129" i="2"/>
  <c r="Z129" i="2"/>
  <c r="AJ160" i="2"/>
  <c r="AG61" i="2"/>
  <c r="AG20" i="9" s="1"/>
  <c r="AJ130" i="2"/>
  <c r="AJ160" i="8" s="1"/>
  <c r="AJ94" i="2"/>
  <c r="AJ10" i="10" s="1"/>
  <c r="AI86" i="2"/>
  <c r="AI328" i="2" s="1"/>
  <c r="AI49" i="8" s="1"/>
  <c r="AI50" i="8" s="1"/>
  <c r="V111" i="2"/>
  <c r="V32" i="9" s="1"/>
  <c r="AN123" i="22"/>
  <c r="AJ150" i="2"/>
  <c r="AJ25" i="9" s="1"/>
  <c r="AO123" i="22"/>
  <c r="AF135" i="2"/>
  <c r="AF41" i="8" s="1"/>
  <c r="AK129" i="22"/>
  <c r="AM41" i="22"/>
  <c r="AP21" i="22"/>
  <c r="AP22" i="22" s="1"/>
  <c r="V159" i="2"/>
  <c r="V44" i="2"/>
  <c r="AL111" i="22"/>
  <c r="AY103" i="22"/>
  <c r="V107" i="2" s="1"/>
  <c r="V31" i="8" s="1"/>
  <c r="V67" i="2"/>
  <c r="AK58" i="22"/>
  <c r="AG72" i="2"/>
  <c r="AG93" i="8" s="1"/>
  <c r="V101" i="2"/>
  <c r="V95" i="8" s="1"/>
  <c r="AF150" i="2"/>
  <c r="AF25" i="9" s="1"/>
  <c r="AH72" i="2"/>
  <c r="AH93" i="8" s="1"/>
  <c r="V137" i="2"/>
  <c r="V118" i="8" s="1"/>
  <c r="AG17" i="2"/>
  <c r="AG18" i="8" s="1"/>
  <c r="AY131" i="22"/>
  <c r="AE108" i="2"/>
  <c r="AE35" i="8" s="1"/>
  <c r="AO21" i="22"/>
  <c r="AP41" i="22"/>
  <c r="Z161" i="2"/>
  <c r="Y71" i="2"/>
  <c r="Y92" i="8" s="1"/>
  <c r="W56" i="2"/>
  <c r="W40" i="9" s="1"/>
  <c r="AL76" i="22"/>
  <c r="AN14" i="22"/>
  <c r="AF86" i="2"/>
  <c r="AF328" i="2" s="1"/>
  <c r="AF49" i="8" s="1"/>
  <c r="AF88" i="2"/>
  <c r="AF7" i="10" s="1"/>
  <c r="V56" i="2"/>
  <c r="V40" i="9" s="1"/>
  <c r="V95" i="2"/>
  <c r="V116" i="8" s="1"/>
  <c r="AY126" i="22"/>
  <c r="AY129" i="22" s="1"/>
  <c r="V31" i="2"/>
  <c r="V65" i="8" s="1"/>
  <c r="Y161" i="2"/>
  <c r="W119" i="2"/>
  <c r="W43" i="8" s="1"/>
  <c r="Z95" i="2"/>
  <c r="Z116" i="8" s="1"/>
  <c r="W161" i="2"/>
  <c r="AG94" i="2"/>
  <c r="AG10" i="10" s="1"/>
  <c r="AK123" i="22"/>
  <c r="AH130" i="2"/>
  <c r="AH160" i="8" s="1"/>
  <c r="AO86" i="22"/>
  <c r="AA95" i="2"/>
  <c r="AA116" i="8" s="1"/>
  <c r="W113" i="2"/>
  <c r="W36" i="9" s="1"/>
  <c r="X113" i="2"/>
  <c r="X36" i="9" s="1"/>
  <c r="W129" i="2"/>
  <c r="AA56" i="2"/>
  <c r="AA40" i="9" s="1"/>
  <c r="Z56" i="2"/>
  <c r="Z40" i="9" s="1"/>
  <c r="X161" i="2"/>
  <c r="AA83" i="2"/>
  <c r="AK76" i="22"/>
  <c r="AH160" i="2"/>
  <c r="AE86" i="2"/>
  <c r="AE328" i="2" s="1"/>
  <c r="AE49" i="8" s="1"/>
  <c r="AI160" i="2"/>
  <c r="AP86" i="22"/>
  <c r="AI32" i="2"/>
  <c r="AI66" i="8" s="1"/>
  <c r="AH17" i="2"/>
  <c r="AH18" i="8" s="1"/>
  <c r="AE94" i="2"/>
  <c r="AE10" i="10" s="1"/>
  <c r="AH135" i="2"/>
  <c r="AH41" i="8" s="1"/>
  <c r="AF153" i="2"/>
  <c r="AJ61" i="2"/>
  <c r="AJ20" i="9" s="1"/>
  <c r="AK41" i="22"/>
  <c r="AJ108" i="2"/>
  <c r="AJ35" i="8" s="1"/>
  <c r="AI153" i="2"/>
  <c r="AI145" i="8" s="1"/>
  <c r="AO111" i="22"/>
  <c r="AL21" i="22"/>
  <c r="AI107" i="2"/>
  <c r="AI31" i="8" s="1"/>
  <c r="AL41" i="22"/>
  <c r="AN58" i="22"/>
  <c r="V71" i="2"/>
  <c r="V92" i="8" s="1"/>
  <c r="AP44" i="22"/>
  <c r="AN44" i="22"/>
  <c r="AE130" i="2"/>
  <c r="AE160" i="8" s="1"/>
  <c r="AK86" i="22"/>
  <c r="AI108" i="2"/>
  <c r="AI35" i="8" s="1"/>
  <c r="AG130" i="2"/>
  <c r="AG160" i="8" s="1"/>
  <c r="AL44" i="22"/>
  <c r="V119" i="2"/>
  <c r="V43" i="8" s="1"/>
  <c r="BQ41" i="22"/>
  <c r="BQ42" i="22" s="1"/>
  <c r="AY149" i="22"/>
  <c r="V60" i="2"/>
  <c r="V19" i="9" s="1"/>
  <c r="AK111" i="22"/>
  <c r="AM46" i="22"/>
  <c r="AO129" i="22"/>
  <c r="AI130" i="2"/>
  <c r="AI160" i="8" s="1"/>
  <c r="AG160" i="2"/>
  <c r="V129" i="2"/>
  <c r="AK44" i="22"/>
  <c r="AK21" i="22"/>
  <c r="AK22" i="22" s="1"/>
  <c r="Y44" i="2"/>
  <c r="AA44" i="2"/>
  <c r="W159" i="2"/>
  <c r="Z71" i="2"/>
  <c r="Z92" i="8" s="1"/>
  <c r="AO76" i="22"/>
  <c r="AI150" i="2"/>
  <c r="AI25" i="9" s="1"/>
  <c r="AE17" i="2"/>
  <c r="AE18" i="8" s="1"/>
  <c r="AN129" i="22"/>
  <c r="AF61" i="2"/>
  <c r="AF20" i="9" s="1"/>
  <c r="AJ32" i="2"/>
  <c r="AJ66" i="8" s="1"/>
  <c r="AE150" i="2"/>
  <c r="AE25" i="9" s="1"/>
  <c r="AG23" i="2"/>
  <c r="AG28" i="8" s="1"/>
  <c r="AM123" i="22"/>
  <c r="AF160" i="2"/>
  <c r="AF23" i="2"/>
  <c r="AF28" i="8" s="1"/>
  <c r="AI135" i="2"/>
  <c r="AI41" i="8" s="1"/>
  <c r="AN21" i="22"/>
  <c r="AO41" i="22"/>
  <c r="V83" i="2"/>
  <c r="AP58" i="22"/>
  <c r="AF112" i="2"/>
  <c r="AF33" i="9" s="1"/>
  <c r="AO58" i="22"/>
  <c r="AE32" i="2"/>
  <c r="AE66" i="8" s="1"/>
  <c r="AI94" i="2"/>
  <c r="AI10" i="10" s="1"/>
  <c r="AE77" i="2"/>
  <c r="AE120" i="8" s="1"/>
  <c r="AF17" i="2"/>
  <c r="AF18" i="8" s="1"/>
  <c r="AP14" i="22"/>
  <c r="AY19" i="22"/>
  <c r="V23" i="2" s="1"/>
  <c r="V28" i="8" s="1"/>
  <c r="AL58" i="22"/>
  <c r="AA129" i="2"/>
  <c r="AA159" i="2"/>
  <c r="X159" i="2"/>
  <c r="X20" i="11" s="1"/>
  <c r="X22" i="11" s="1"/>
  <c r="AA71" i="2"/>
  <c r="AA92" i="8" s="1"/>
  <c r="Z44" i="2"/>
  <c r="Y95" i="2"/>
  <c r="Y116" i="8" s="1"/>
  <c r="AA119" i="2"/>
  <c r="AA43" i="8" s="1"/>
  <c r="AA113" i="2"/>
  <c r="AA36" i="9" s="1"/>
  <c r="AJ17" i="2"/>
  <c r="AJ18" i="8" s="1"/>
  <c r="AE153" i="2"/>
  <c r="AG135" i="2"/>
  <c r="AG41" i="8" s="1"/>
  <c r="AG153" i="2"/>
  <c r="AG145" i="8" s="1"/>
  <c r="AM129" i="22"/>
  <c r="AN41" i="22"/>
  <c r="AM21" i="22"/>
  <c r="AM22" i="22" s="1"/>
  <c r="AM86" i="22"/>
  <c r="W44" i="2"/>
  <c r="Y129" i="2"/>
  <c r="X44" i="2"/>
  <c r="Y111" i="2"/>
  <c r="Y32" i="9" s="1"/>
  <c r="W95" i="2"/>
  <c r="W116" i="8" s="1"/>
  <c r="Z119" i="2"/>
  <c r="Z43" i="8" s="1"/>
  <c r="AA161" i="2"/>
  <c r="Y56" i="2"/>
  <c r="Y40" i="9" s="1"/>
  <c r="Y119" i="2"/>
  <c r="Y43" i="8" s="1"/>
  <c r="X119" i="2"/>
  <c r="X43" i="8" s="1"/>
  <c r="Z113" i="2"/>
  <c r="Z36" i="9" s="1"/>
  <c r="Y159" i="2"/>
  <c r="Y113" i="2"/>
  <c r="Y36" i="9" s="1"/>
  <c r="AP76" i="22"/>
  <c r="AN76" i="22"/>
  <c r="AH153" i="2"/>
  <c r="AH145" i="8" s="1"/>
  <c r="AH61" i="2"/>
  <c r="AH20" i="9" s="1"/>
  <c r="AH42" i="2"/>
  <c r="AH354" i="2" s="1"/>
  <c r="AH10" i="9" s="1"/>
  <c r="AL86" i="22"/>
  <c r="AH107" i="2"/>
  <c r="AH31" i="8" s="1"/>
  <c r="AJ23" i="2"/>
  <c r="AJ28" i="8" s="1"/>
  <c r="AI23" i="2"/>
  <c r="AI28" i="8" s="1"/>
  <c r="AF108" i="2"/>
  <c r="AF35" i="8" s="1"/>
  <c r="AI17" i="2"/>
  <c r="AI18" i="8" s="1"/>
  <c r="AF94" i="2"/>
  <c r="AF10" i="10" s="1"/>
  <c r="AH150" i="2"/>
  <c r="AH25" i="9" s="1"/>
  <c r="AE107" i="2"/>
  <c r="AE31" i="8" s="1"/>
  <c r="AJ135" i="2"/>
  <c r="AJ41" i="8" s="1"/>
  <c r="AH108" i="2"/>
  <c r="AH35" i="8" s="1"/>
  <c r="AI88" i="2"/>
  <c r="AI7" i="10" s="1"/>
  <c r="AP123" i="22"/>
  <c r="AL123" i="22"/>
  <c r="AP111" i="22"/>
  <c r="AE135" i="2"/>
  <c r="AE41" i="8" s="1"/>
  <c r="AN86" i="22"/>
  <c r="AM14" i="22"/>
  <c r="AG107" i="2"/>
  <c r="AG31" i="8" s="1"/>
  <c r="AF42" i="2"/>
  <c r="AF354" i="2" s="1"/>
  <c r="AF10" i="9" s="1"/>
  <c r="AM58" i="22"/>
  <c r="AP129" i="22"/>
  <c r="AO14" i="22"/>
  <c r="V113" i="2"/>
  <c r="V36" i="9" s="1"/>
  <c r="AE23" i="2"/>
  <c r="AE28" i="8" s="1"/>
  <c r="AG32" i="2"/>
  <c r="AG66" i="8" s="1"/>
  <c r="AK14" i="22"/>
  <c r="AY90" i="22"/>
  <c r="V161" i="2"/>
  <c r="AY104" i="22"/>
  <c r="AH23" i="2"/>
  <c r="AH28" i="8" s="1"/>
  <c r="AL129" i="22"/>
  <c r="AN111" i="22"/>
  <c r="V128" i="2"/>
  <c r="V27" i="8" s="1"/>
  <c r="V126" i="2"/>
  <c r="V40" i="8" s="1"/>
  <c r="AS3" i="22"/>
  <c r="AE3" i="22"/>
  <c r="AK3" i="22" s="1"/>
  <c r="BG3" i="22"/>
  <c r="BM3" i="22" s="1"/>
  <c r="AJ3" i="22"/>
  <c r="AP3" i="22" s="1"/>
  <c r="AX3" i="22"/>
  <c r="BL3" i="22"/>
  <c r="BR3" i="22" s="1"/>
  <c r="AU3" i="22"/>
  <c r="BI3" i="22"/>
  <c r="BO3" i="22" s="1"/>
  <c r="AG3" i="22"/>
  <c r="AM3" i="22" s="1"/>
  <c r="AY28" i="22"/>
  <c r="BK3" i="22"/>
  <c r="BQ3" i="22" s="1"/>
  <c r="AW3" i="22"/>
  <c r="AI3" i="22"/>
  <c r="AO3" i="22" s="1"/>
  <c r="AT3" i="22"/>
  <c r="AF3" i="22"/>
  <c r="AL3" i="22" s="1"/>
  <c r="BH3" i="22"/>
  <c r="BN3" i="22" s="1"/>
  <c r="AH3" i="22"/>
  <c r="AN3" i="22" s="1"/>
  <c r="BJ3" i="22"/>
  <c r="BP3" i="22" s="1"/>
  <c r="AV3" i="22"/>
  <c r="V98" i="2"/>
  <c r="V159" i="8" s="1"/>
  <c r="BO14" i="22"/>
  <c r="V22" i="2"/>
  <c r="V34" i="8" s="1"/>
  <c r="V41" i="2"/>
  <c r="V8" i="9" s="1"/>
  <c r="BQ129" i="22"/>
  <c r="AY57" i="22"/>
  <c r="V92" i="2"/>
  <c r="AY156" i="22"/>
  <c r="AY73" i="22"/>
  <c r="BN14" i="22"/>
  <c r="V106" i="2"/>
  <c r="V30" i="8" s="1"/>
  <c r="BN21" i="22"/>
  <c r="BM76" i="22"/>
  <c r="BO123" i="22"/>
  <c r="V151" i="2"/>
  <c r="V51" i="2"/>
  <c r="V23" i="9" s="1"/>
  <c r="BO129" i="22"/>
  <c r="AY108" i="22"/>
  <c r="BO21" i="22"/>
  <c r="AI42" i="2"/>
  <c r="AI354" i="2" s="1"/>
  <c r="AI10" i="9" s="1"/>
  <c r="AI61" i="2"/>
  <c r="AI20" i="9" s="1"/>
  <c r="BQ58" i="22"/>
  <c r="BN41" i="22"/>
  <c r="AY84" i="22"/>
  <c r="BM123" i="22"/>
  <c r="BN44" i="22"/>
  <c r="BQ14" i="22"/>
  <c r="AJ86" i="2"/>
  <c r="AJ328" i="2" s="1"/>
  <c r="AJ49" i="8" s="1"/>
  <c r="BR111" i="22"/>
  <c r="BM129" i="22"/>
  <c r="BQ86" i="22"/>
  <c r="AO22" i="22"/>
  <c r="AY68" i="22"/>
  <c r="BQ21" i="22"/>
  <c r="BN86" i="22"/>
  <c r="BM21" i="22"/>
  <c r="BP58" i="22"/>
  <c r="BP41" i="22"/>
  <c r="BM41" i="22"/>
  <c r="AE42" i="2"/>
  <c r="AE354" i="2" s="1"/>
  <c r="AE10" i="9" s="1"/>
  <c r="AJ88" i="2"/>
  <c r="AJ7" i="10" s="1"/>
  <c r="BR86" i="22"/>
  <c r="AI72" i="2"/>
  <c r="AI93" i="8" s="1"/>
  <c r="BQ123" i="22"/>
  <c r="BR58" i="22"/>
  <c r="AH88" i="2"/>
  <c r="AH7" i="10" s="1"/>
  <c r="BP86" i="22"/>
  <c r="BM86" i="22"/>
  <c r="AE88" i="2"/>
  <c r="AE7" i="10" s="1"/>
  <c r="BM14" i="22"/>
  <c r="AE112" i="2"/>
  <c r="AE33" i="9" s="1"/>
  <c r="BM44" i="22"/>
  <c r="BP21" i="22"/>
  <c r="BP44" i="22"/>
  <c r="AH112" i="2"/>
  <c r="AH33" i="9" s="1"/>
  <c r="AF72" i="2"/>
  <c r="AF93" i="8" s="1"/>
  <c r="BR44" i="22"/>
  <c r="AJ112" i="2"/>
  <c r="AJ33" i="9" s="1"/>
  <c r="BM58" i="22"/>
  <c r="AE61" i="2"/>
  <c r="AE20" i="9" s="1"/>
  <c r="AH32" i="2"/>
  <c r="AH66" i="8" s="1"/>
  <c r="BP123" i="22"/>
  <c r="AJ72" i="2"/>
  <c r="AJ93" i="8" s="1"/>
  <c r="BN111" i="22"/>
  <c r="AJ107" i="2"/>
  <c r="AJ31" i="8" s="1"/>
  <c r="BR21" i="22"/>
  <c r="AJ42" i="2"/>
  <c r="AJ354" i="2" s="1"/>
  <c r="AJ10" i="9" s="1"/>
  <c r="BR41" i="22"/>
  <c r="BM111" i="22"/>
  <c r="BR14" i="22"/>
  <c r="BP14" i="22"/>
  <c r="BQ111" i="22"/>
  <c r="BR129" i="22"/>
  <c r="BO76" i="22"/>
  <c r="AG77" i="2"/>
  <c r="AG120" i="8" s="1"/>
  <c r="AG112" i="2"/>
  <c r="AG33" i="9" s="1"/>
  <c r="BO44" i="22"/>
  <c r="AG88" i="2"/>
  <c r="AG7" i="10" s="1"/>
  <c r="BO86" i="22"/>
  <c r="BN76" i="22"/>
  <c r="AF77" i="2"/>
  <c r="AF120" i="8" s="1"/>
  <c r="BN129" i="22"/>
  <c r="AF130" i="2"/>
  <c r="AF160" i="8" s="1"/>
  <c r="BR123" i="22"/>
  <c r="BQ44" i="22"/>
  <c r="AI112" i="2"/>
  <c r="AI33" i="9" s="1"/>
  <c r="BP76" i="22"/>
  <c r="AH77" i="2"/>
  <c r="AH120" i="8" s="1"/>
  <c r="BN58" i="22"/>
  <c r="BO111" i="22"/>
  <c r="AG86" i="2"/>
  <c r="AG328" i="2" s="1"/>
  <c r="AG49" i="8" s="1"/>
  <c r="BQ76" i="22"/>
  <c r="AI77" i="2"/>
  <c r="AI120" i="8" s="1"/>
  <c r="AG42" i="2"/>
  <c r="AG354" i="2" s="1"/>
  <c r="AG10" i="9" s="1"/>
  <c r="BO41" i="22"/>
  <c r="AJ77" i="2"/>
  <c r="AJ120" i="8" s="1"/>
  <c r="BR76" i="22"/>
  <c r="AF32" i="2"/>
  <c r="AF66" i="8" s="1"/>
  <c r="BN123" i="22"/>
  <c r="BP129" i="22"/>
  <c r="BP111" i="22"/>
  <c r="AH86" i="2"/>
  <c r="BO58" i="22"/>
  <c r="BC68" i="22"/>
  <c r="AF132" i="8"/>
  <c r="AE132" i="8"/>
  <c r="BD84" i="22"/>
  <c r="BB68" i="22"/>
  <c r="BB126" i="22"/>
  <c r="Y98" i="2"/>
  <c r="Y159" i="8" s="1"/>
  <c r="X128" i="2"/>
  <c r="X27" i="8" s="1"/>
  <c r="BA19" i="22"/>
  <c r="Y137" i="2"/>
  <c r="Y118" i="8" s="1"/>
  <c r="BB73" i="22"/>
  <c r="BC104" i="22"/>
  <c r="Z22" i="2"/>
  <c r="Z34" i="8" s="1"/>
  <c r="BC82" i="22"/>
  <c r="Z57" i="2"/>
  <c r="BD146" i="22"/>
  <c r="AA51" i="2"/>
  <c r="AA23" i="9" s="1"/>
  <c r="AA137" i="2"/>
  <c r="AA118" i="8" s="1"/>
  <c r="BD73" i="22"/>
  <c r="BA108" i="22"/>
  <c r="BA156" i="22"/>
  <c r="X67" i="2"/>
  <c r="V16" i="2"/>
  <c r="V17" i="8" s="1"/>
  <c r="AY13" i="22"/>
  <c r="BD103" i="22"/>
  <c r="AA106" i="2"/>
  <c r="AA30" i="8" s="1"/>
  <c r="AZ108" i="22"/>
  <c r="W111" i="2"/>
  <c r="W32" i="9" s="1"/>
  <c r="BD131" i="22"/>
  <c r="AA126" i="2"/>
  <c r="AA40" i="8" s="1"/>
  <c r="BD149" i="22"/>
  <c r="AA151" i="2"/>
  <c r="BC84" i="22"/>
  <c r="Z83" i="2"/>
  <c r="BD126" i="22"/>
  <c r="AA98" i="2"/>
  <c r="AA159" i="8" s="1"/>
  <c r="BA68" i="22"/>
  <c r="X71" i="2"/>
  <c r="X92" i="8" s="1"/>
  <c r="BD108" i="22"/>
  <c r="AA111" i="2"/>
  <c r="AA32" i="9" s="1"/>
  <c r="AZ38" i="22"/>
  <c r="W41" i="2"/>
  <c r="W8" i="9" s="1"/>
  <c r="AZ82" i="22"/>
  <c r="W57" i="2"/>
  <c r="BB149" i="22"/>
  <c r="Y151" i="2"/>
  <c r="AA101" i="2"/>
  <c r="AA95" i="8" s="1"/>
  <c r="BC57" i="22"/>
  <c r="Z60" i="2"/>
  <c r="Z19" i="9" s="1"/>
  <c r="BB146" i="22"/>
  <c r="Y51" i="2"/>
  <c r="Y23" i="9" s="1"/>
  <c r="BB156" i="22"/>
  <c r="Y67" i="2"/>
  <c r="BB38" i="22"/>
  <c r="Y41" i="2"/>
  <c r="Y8" i="9" s="1"/>
  <c r="AZ90" i="22"/>
  <c r="W92" i="2"/>
  <c r="AZ104" i="22"/>
  <c r="W22" i="2"/>
  <c r="W34" i="8" s="1"/>
  <c r="X137" i="2"/>
  <c r="X118" i="8" s="1"/>
  <c r="BA73" i="22"/>
  <c r="BA126" i="22"/>
  <c r="X98" i="2"/>
  <c r="X159" i="8" s="1"/>
  <c r="AZ149" i="22"/>
  <c r="W151" i="2"/>
  <c r="BA28" i="22"/>
  <c r="X31" i="2"/>
  <c r="X65" i="8" s="1"/>
  <c r="BA57" i="22"/>
  <c r="X60" i="2"/>
  <c r="X19" i="9" s="1"/>
  <c r="BD38" i="22"/>
  <c r="AA41" i="2"/>
  <c r="AA8" i="9" s="1"/>
  <c r="W101" i="2"/>
  <c r="W95" i="8" s="1"/>
  <c r="W137" i="2"/>
  <c r="W118" i="8" s="1"/>
  <c r="AZ73" i="22"/>
  <c r="BD104" i="22"/>
  <c r="AA22" i="2"/>
  <c r="AA34" i="8" s="1"/>
  <c r="BB84" i="22"/>
  <c r="Y83" i="2"/>
  <c r="Z101" i="2"/>
  <c r="Z95" i="8" s="1"/>
  <c r="AZ156" i="22"/>
  <c r="W67" i="2"/>
  <c r="BC90" i="22"/>
  <c r="Z92" i="2"/>
  <c r="BA84" i="22"/>
  <c r="X83" i="2"/>
  <c r="BC156" i="22"/>
  <c r="Z67" i="2"/>
  <c r="AY41" i="22"/>
  <c r="BB108" i="22"/>
  <c r="BC126" i="22"/>
  <c r="Z98" i="2"/>
  <c r="Z159" i="8" s="1"/>
  <c r="BB131" i="22"/>
  <c r="Y126" i="2"/>
  <c r="Y40" i="8" s="1"/>
  <c r="W31" i="2"/>
  <c r="W65" i="8" s="1"/>
  <c r="AZ28" i="22"/>
  <c r="AZ68" i="22"/>
  <c r="W71" i="2"/>
  <c r="W92" i="8" s="1"/>
  <c r="Z31" i="2"/>
  <c r="Z65" i="8" s="1"/>
  <c r="BC28" i="22"/>
  <c r="Z128" i="2"/>
  <c r="Z27" i="8" s="1"/>
  <c r="BC19" i="22"/>
  <c r="X41" i="2"/>
  <c r="X8" i="9" s="1"/>
  <c r="BA38" i="22"/>
  <c r="BA90" i="22"/>
  <c r="X92" i="2"/>
  <c r="AZ84" i="22"/>
  <c r="BA146" i="22"/>
  <c r="X51" i="2"/>
  <c r="X23" i="9" s="1"/>
  <c r="AZ126" i="22"/>
  <c r="W98" i="2"/>
  <c r="W159" i="8" s="1"/>
  <c r="AZ103" i="22"/>
  <c r="W106" i="2"/>
  <c r="W30" i="8" s="1"/>
  <c r="BD57" i="22"/>
  <c r="AA60" i="2"/>
  <c r="AA19" i="9" s="1"/>
  <c r="AZ146" i="22"/>
  <c r="W51" i="2"/>
  <c r="W23" i="9" s="1"/>
  <c r="BA82" i="22"/>
  <c r="X57" i="2"/>
  <c r="BD68" i="22"/>
  <c r="X101" i="2"/>
  <c r="X95" i="8" s="1"/>
  <c r="BB57" i="22"/>
  <c r="Y60" i="2"/>
  <c r="Y19" i="9" s="1"/>
  <c r="AA31" i="2"/>
  <c r="AA65" i="8" s="1"/>
  <c r="BD28" i="22"/>
  <c r="BA149" i="22"/>
  <c r="X151" i="2"/>
  <c r="BC108" i="22"/>
  <c r="Z111" i="2"/>
  <c r="Z32" i="9" s="1"/>
  <c r="X106" i="2"/>
  <c r="X30" i="8" s="1"/>
  <c r="BA103" i="22"/>
  <c r="Y128" i="2"/>
  <c r="Y27" i="8" s="1"/>
  <c r="BB19" i="22"/>
  <c r="BC131" i="22"/>
  <c r="Z126" i="2"/>
  <c r="Z40" i="8" s="1"/>
  <c r="Y106" i="2"/>
  <c r="Y30" i="8" s="1"/>
  <c r="BB103" i="22"/>
  <c r="BA104" i="22"/>
  <c r="X22" i="2"/>
  <c r="X34" i="8" s="1"/>
  <c r="W128" i="2"/>
  <c r="W27" i="8" s="1"/>
  <c r="AZ19" i="22"/>
  <c r="X126" i="2"/>
  <c r="X40" i="8" s="1"/>
  <c r="BA131" i="22"/>
  <c r="BC146" i="22"/>
  <c r="Z51" i="2"/>
  <c r="Z23" i="9" s="1"/>
  <c r="BD82" i="22"/>
  <c r="AA57" i="2"/>
  <c r="BC103" i="22"/>
  <c r="Z106" i="2"/>
  <c r="Z30" i="8" s="1"/>
  <c r="BD156" i="22"/>
  <c r="AA67" i="2"/>
  <c r="Z137" i="2"/>
  <c r="Z118" i="8" s="1"/>
  <c r="BC73" i="22"/>
  <c r="BB28" i="22"/>
  <c r="Y31" i="2"/>
  <c r="Y65" i="8" s="1"/>
  <c r="AA128" i="2"/>
  <c r="AA27" i="8" s="1"/>
  <c r="BD19" i="22"/>
  <c r="AZ57" i="22"/>
  <c r="W60" i="2"/>
  <c r="W19" i="9" s="1"/>
  <c r="BC149" i="22"/>
  <c r="Z151" i="2"/>
  <c r="BB104" i="22"/>
  <c r="Y22" i="2"/>
  <c r="Y34" i="8" s="1"/>
  <c r="BB82" i="22"/>
  <c r="Y57" i="2"/>
  <c r="BC38" i="22"/>
  <c r="Z41" i="2"/>
  <c r="Z8" i="9" s="1"/>
  <c r="BB90" i="22"/>
  <c r="Y92" i="2"/>
  <c r="AZ131" i="22"/>
  <c r="W126" i="2"/>
  <c r="W40" i="8" s="1"/>
  <c r="Y101" i="2"/>
  <c r="Y95" i="8" s="1"/>
  <c r="BD90" i="22"/>
  <c r="AA92" i="2"/>
  <c r="AZ12" i="22"/>
  <c r="BA12" i="22"/>
  <c r="BD12" i="22"/>
  <c r="BC12" i="22"/>
  <c r="BB12" i="22"/>
  <c r="AE154" i="8"/>
  <c r="AF154" i="8"/>
  <c r="X4" i="22"/>
  <c r="AA4" i="22"/>
  <c r="W4" i="22"/>
  <c r="Y4" i="22"/>
  <c r="AB4" i="22"/>
  <c r="Z4" i="22"/>
  <c r="AJ143" i="8" l="1"/>
  <c r="AG143" i="8"/>
  <c r="AF143" i="8"/>
  <c r="W38" i="9"/>
  <c r="V38" i="9"/>
  <c r="AE144" i="8"/>
  <c r="AE145" i="8"/>
  <c r="AF144" i="8"/>
  <c r="AF145" i="8"/>
  <c r="Z38" i="9"/>
  <c r="AA38" i="9"/>
  <c r="X143" i="8"/>
  <c r="Y38" i="9"/>
  <c r="AI143" i="8"/>
  <c r="AH144" i="8"/>
  <c r="AH147" i="8" s="1"/>
  <c r="V152" i="8"/>
  <c r="V154" i="8" s="1"/>
  <c r="AJ144" i="8"/>
  <c r="AJ147" i="8" s="1"/>
  <c r="Y131" i="8"/>
  <c r="Y132" i="8" s="1"/>
  <c r="Z131" i="8"/>
  <c r="Z132" i="8" s="1"/>
  <c r="Y20" i="11"/>
  <c r="Y22" i="11" s="1"/>
  <c r="V131" i="8"/>
  <c r="V132" i="8" s="1"/>
  <c r="AH328" i="2"/>
  <c r="AH49" i="8" s="1"/>
  <c r="AH50" i="8" s="1"/>
  <c r="AA131" i="8"/>
  <c r="AA132" i="8" s="1"/>
  <c r="V20" i="11"/>
  <c r="V22" i="11" s="1"/>
  <c r="Z152" i="8"/>
  <c r="Z154" i="8" s="1"/>
  <c r="AJ50" i="8"/>
  <c r="W20" i="11"/>
  <c r="W22" i="11" s="1"/>
  <c r="X131" i="8"/>
  <c r="X132" i="8" s="1"/>
  <c r="X152" i="8"/>
  <c r="X154" i="8" s="1"/>
  <c r="Y152" i="8"/>
  <c r="Y154" i="8" s="1"/>
  <c r="AG144" i="8"/>
  <c r="AA20" i="11"/>
  <c r="AA22" i="11" s="1"/>
  <c r="AI144" i="8"/>
  <c r="AA152" i="8"/>
  <c r="AA154" i="8" s="1"/>
  <c r="W131" i="8"/>
  <c r="W132" i="8" s="1"/>
  <c r="V354" i="2"/>
  <c r="V10" i="9" s="1"/>
  <c r="W152" i="8"/>
  <c r="W154" i="8" s="1"/>
  <c r="Z20" i="11"/>
  <c r="Z22" i="11" s="1"/>
  <c r="AG50" i="8"/>
  <c r="AY21" i="22"/>
  <c r="V25" i="2" s="1"/>
  <c r="V32" i="8" s="1"/>
  <c r="V130" i="2"/>
  <c r="V160" i="8" s="1"/>
  <c r="V86" i="2"/>
  <c r="V328" i="2" s="1"/>
  <c r="V49" i="8" s="1"/>
  <c r="V50" i="8" s="1"/>
  <c r="Y94" i="2"/>
  <c r="Y10" i="10" s="1"/>
  <c r="Z153" i="2"/>
  <c r="Z150" i="2"/>
  <c r="Z25" i="9" s="1"/>
  <c r="W150" i="2"/>
  <c r="W25" i="9" s="1"/>
  <c r="W160" i="2"/>
  <c r="Y150" i="2"/>
  <c r="Y25" i="9" s="1"/>
  <c r="AI25" i="2"/>
  <c r="AI32" i="8" s="1"/>
  <c r="Y72" i="2"/>
  <c r="Y93" i="8" s="1"/>
  <c r="AJ62" i="2"/>
  <c r="AJ21" i="9" s="1"/>
  <c r="AH45" i="2"/>
  <c r="AH11" i="9" s="1"/>
  <c r="AE25" i="2"/>
  <c r="AE32" i="8" s="1"/>
  <c r="BM29" i="22"/>
  <c r="BM30" i="22" s="1"/>
  <c r="AK23" i="22"/>
  <c r="AF18" i="2"/>
  <c r="AF19" i="8" s="1"/>
  <c r="AG18" i="2"/>
  <c r="AG19" i="8" s="1"/>
  <c r="AN112" i="22"/>
  <c r="V108" i="2"/>
  <c r="V35" i="8" s="1"/>
  <c r="V94" i="2"/>
  <c r="V10" i="10" s="1"/>
  <c r="AM59" i="22"/>
  <c r="AN89" i="22"/>
  <c r="AP112" i="22"/>
  <c r="AP29" i="22"/>
  <c r="AL89" i="22"/>
  <c r="AN74" i="22"/>
  <c r="AO59" i="22"/>
  <c r="AP59" i="22"/>
  <c r="AO42" i="22"/>
  <c r="AN138" i="22"/>
  <c r="AK46" i="22"/>
  <c r="AO138" i="22"/>
  <c r="AI45" i="2"/>
  <c r="AI11" i="9" s="1"/>
  <c r="AL46" i="22"/>
  <c r="AK89" i="22"/>
  <c r="AN46" i="22"/>
  <c r="AL42" i="22"/>
  <c r="AK42" i="22"/>
  <c r="AO89" i="22"/>
  <c r="AK29" i="22"/>
  <c r="AP42" i="22"/>
  <c r="AK59" i="22"/>
  <c r="AK138" i="22"/>
  <c r="AO29" i="22"/>
  <c r="AN29" i="22"/>
  <c r="V150" i="2"/>
  <c r="V25" i="9" s="1"/>
  <c r="AM74" i="22"/>
  <c r="W108" i="2"/>
  <c r="W35" i="8" s="1"/>
  <c r="AH7" i="2"/>
  <c r="AH7" i="8" s="1"/>
  <c r="AY123" i="22"/>
  <c r="AY29" i="22" s="1"/>
  <c r="AA94" i="2"/>
  <c r="AA10" i="10" s="1"/>
  <c r="Y108" i="2"/>
  <c r="Y35" i="8" s="1"/>
  <c r="AA160" i="2"/>
  <c r="X108" i="2"/>
  <c r="X35" i="8" s="1"/>
  <c r="Z135" i="2"/>
  <c r="Z41" i="8" s="1"/>
  <c r="Z160" i="2"/>
  <c r="Z94" i="2"/>
  <c r="Z10" i="10" s="1"/>
  <c r="AA108" i="2"/>
  <c r="AA35" i="8" s="1"/>
  <c r="W153" i="2"/>
  <c r="W145" i="8" s="1"/>
  <c r="W94" i="2"/>
  <c r="W10" i="10" s="1"/>
  <c r="Y160" i="2"/>
  <c r="Y153" i="2"/>
  <c r="AA135" i="2"/>
  <c r="AA41" i="8" s="1"/>
  <c r="X160" i="2"/>
  <c r="AA88" i="2"/>
  <c r="AA7" i="10" s="1"/>
  <c r="AH18" i="2"/>
  <c r="AH19" i="8" s="1"/>
  <c r="AE18" i="2"/>
  <c r="AE19" i="8" s="1"/>
  <c r="BQ29" i="22"/>
  <c r="BQ30" i="22" s="1"/>
  <c r="AH62" i="2"/>
  <c r="AH21" i="9" s="1"/>
  <c r="V72" i="2"/>
  <c r="V93" i="8" s="1"/>
  <c r="V88" i="2"/>
  <c r="V7" i="10" s="1"/>
  <c r="AP23" i="22"/>
  <c r="AN22" i="22"/>
  <c r="AL22" i="22"/>
  <c r="BM74" i="22"/>
  <c r="V77" i="2"/>
  <c r="V120" i="8" s="1"/>
  <c r="BQ138" i="22"/>
  <c r="AI142" i="2" s="1"/>
  <c r="AI162" i="8" s="1"/>
  <c r="AF7" i="2"/>
  <c r="AF7" i="8" s="1"/>
  <c r="AG7" i="2"/>
  <c r="AG7" i="8" s="1"/>
  <c r="X150" i="2"/>
  <c r="X25" i="9" s="1"/>
  <c r="AA153" i="2"/>
  <c r="AA145" i="8" s="1"/>
  <c r="AM23" i="22"/>
  <c r="AG25" i="2"/>
  <c r="AG32" i="8" s="1"/>
  <c r="AG133" i="2"/>
  <c r="AG161" i="8" s="1"/>
  <c r="AJ7" i="2"/>
  <c r="AJ7" i="8" s="1"/>
  <c r="W135" i="2"/>
  <c r="W41" i="8" s="1"/>
  <c r="X135" i="2"/>
  <c r="X41" i="8" s="1"/>
  <c r="X153" i="2"/>
  <c r="X145" i="8" s="1"/>
  <c r="X94" i="2"/>
  <c r="X10" i="10" s="1"/>
  <c r="Y135" i="2"/>
  <c r="Y41" i="8" s="1"/>
  <c r="AA150" i="2"/>
  <c r="AA25" i="9" s="1"/>
  <c r="Z108" i="2"/>
  <c r="Z35" i="8" s="1"/>
  <c r="Z72" i="2"/>
  <c r="Z93" i="8" s="1"/>
  <c r="AJ18" i="2"/>
  <c r="AJ19" i="8" s="1"/>
  <c r="AO23" i="22"/>
  <c r="AI18" i="2"/>
  <c r="AI19" i="8" s="1"/>
  <c r="AY44" i="22"/>
  <c r="AY46" i="22" s="1"/>
  <c r="AF25" i="2"/>
  <c r="AF32" i="8" s="1"/>
  <c r="V160" i="2"/>
  <c r="AY58" i="22"/>
  <c r="AY59" i="22" s="1"/>
  <c r="AI7" i="2"/>
  <c r="AI7" i="8" s="1"/>
  <c r="AE7" i="2"/>
  <c r="AE7" i="8" s="1"/>
  <c r="AL138" i="22"/>
  <c r="AP138" i="22"/>
  <c r="AL29" i="22"/>
  <c r="AP74" i="22"/>
  <c r="AM89" i="22"/>
  <c r="AN42" i="22"/>
  <c r="AM138" i="22"/>
  <c r="AL59" i="22"/>
  <c r="AM29" i="22"/>
  <c r="AO74" i="22"/>
  <c r="AK112" i="22"/>
  <c r="V153" i="2"/>
  <c r="V145" i="8" s="1"/>
  <c r="AP46" i="22"/>
  <c r="AN59" i="22"/>
  <c r="AO112" i="22"/>
  <c r="AP89" i="22"/>
  <c r="AK74" i="22"/>
  <c r="AL74" i="22"/>
  <c r="V135" i="2"/>
  <c r="V41" i="8" s="1"/>
  <c r="AL112" i="22"/>
  <c r="AM42" i="22"/>
  <c r="AM113" i="22"/>
  <c r="V32" i="2"/>
  <c r="V66" i="8" s="1"/>
  <c r="AW4" i="22"/>
  <c r="BK4" i="22"/>
  <c r="BQ4" i="22" s="1"/>
  <c r="AI4" i="22"/>
  <c r="AO4" i="22" s="1"/>
  <c r="AV4" i="22"/>
  <c r="BJ4" i="22"/>
  <c r="BP4" i="22" s="1"/>
  <c r="AH4" i="22"/>
  <c r="AN4" i="22" s="1"/>
  <c r="AU4" i="22"/>
  <c r="BI4" i="22"/>
  <c r="BO4" i="22" s="1"/>
  <c r="AG4" i="22"/>
  <c r="AM4" i="22" s="1"/>
  <c r="AS4" i="22"/>
  <c r="BG4" i="22"/>
  <c r="BM4" i="22" s="1"/>
  <c r="AE4" i="22"/>
  <c r="AK4" i="22" s="1"/>
  <c r="BL4" i="22"/>
  <c r="BR4" i="22" s="1"/>
  <c r="AX4" i="22"/>
  <c r="AJ4" i="22"/>
  <c r="AP4" i="22" s="1"/>
  <c r="AT4" i="22"/>
  <c r="BH4" i="22"/>
  <c r="BN4" i="22" s="1"/>
  <c r="AF4" i="22"/>
  <c r="AL4" i="22" s="1"/>
  <c r="AI133" i="2"/>
  <c r="AI161" i="8" s="1"/>
  <c r="V61" i="2"/>
  <c r="V20" i="9" s="1"/>
  <c r="AY86" i="22"/>
  <c r="AY76" i="22"/>
  <c r="BO138" i="22"/>
  <c r="BN22" i="22"/>
  <c r="AE80" i="2"/>
  <c r="AE121" i="8" s="1"/>
  <c r="BO29" i="22"/>
  <c r="AG127" i="2"/>
  <c r="AG67" i="8" s="1"/>
  <c r="V112" i="2"/>
  <c r="V33" i="9" s="1"/>
  <c r="AY3" i="22"/>
  <c r="AE127" i="2"/>
  <c r="AE67" i="8" s="1"/>
  <c r="BQ22" i="22"/>
  <c r="BO22" i="22"/>
  <c r="BM22" i="22"/>
  <c r="BQ110" i="22"/>
  <c r="AI46" i="2"/>
  <c r="AI12" i="9" s="1"/>
  <c r="BP42" i="22"/>
  <c r="BR59" i="22"/>
  <c r="AF48" i="2"/>
  <c r="AF34" i="9" s="1"/>
  <c r="BN46" i="22"/>
  <c r="BQ59" i="22"/>
  <c r="AI62" i="2"/>
  <c r="AI21" i="9" s="1"/>
  <c r="AF45" i="2"/>
  <c r="AF11" i="9" s="1"/>
  <c r="BN42" i="22"/>
  <c r="BR112" i="22"/>
  <c r="AJ115" i="2"/>
  <c r="AJ329" i="2" s="1"/>
  <c r="AJ54" i="8" s="1"/>
  <c r="AI127" i="2"/>
  <c r="AI67" i="8" s="1"/>
  <c r="BP59" i="22"/>
  <c r="BM138" i="22"/>
  <c r="AE133" i="2"/>
  <c r="AE161" i="8" s="1"/>
  <c r="AI90" i="2"/>
  <c r="AI8" i="10" s="1"/>
  <c r="BQ89" i="22"/>
  <c r="BN89" i="22"/>
  <c r="AF90" i="2"/>
  <c r="AF8" i="10" s="1"/>
  <c r="BR89" i="22"/>
  <c r="AJ90" i="2"/>
  <c r="AJ8" i="10" s="1"/>
  <c r="AE45" i="2"/>
  <c r="AE11" i="9" s="1"/>
  <c r="BM42" i="22"/>
  <c r="BQ74" i="22"/>
  <c r="AI80" i="2"/>
  <c r="AI121" i="8" s="1"/>
  <c r="BN138" i="22"/>
  <c r="AF133" i="2"/>
  <c r="AF161" i="8" s="1"/>
  <c r="BN74" i="22"/>
  <c r="AF80" i="2"/>
  <c r="AF121" i="8" s="1"/>
  <c r="AJ133" i="2"/>
  <c r="AJ161" i="8" s="1"/>
  <c r="BR138" i="22"/>
  <c r="AH127" i="2"/>
  <c r="AH67" i="8" s="1"/>
  <c r="BP29" i="22"/>
  <c r="BP89" i="22"/>
  <c r="AH90" i="2"/>
  <c r="AH8" i="10" s="1"/>
  <c r="AH115" i="2"/>
  <c r="AH329" i="2" s="1"/>
  <c r="AH54" i="8" s="1"/>
  <c r="BP112" i="22"/>
  <c r="BR74" i="22"/>
  <c r="AJ80" i="2"/>
  <c r="AJ121" i="8" s="1"/>
  <c r="AG45" i="2"/>
  <c r="AG11" i="9" s="1"/>
  <c r="BO42" i="22"/>
  <c r="AH80" i="2"/>
  <c r="AH121" i="8" s="1"/>
  <c r="BP74" i="22"/>
  <c r="AG90" i="2"/>
  <c r="AG8" i="10" s="1"/>
  <c r="BO89" i="22"/>
  <c r="AG48" i="2"/>
  <c r="AG34" i="9" s="1"/>
  <c r="BO46" i="22"/>
  <c r="BM59" i="22"/>
  <c r="AE62" i="2"/>
  <c r="AE21" i="9" s="1"/>
  <c r="AJ48" i="2"/>
  <c r="AJ34" i="9" s="1"/>
  <c r="BR46" i="22"/>
  <c r="AH133" i="2"/>
  <c r="AH161" i="8" s="1"/>
  <c r="BP138" i="22"/>
  <c r="BO112" i="22"/>
  <c r="AG115" i="2"/>
  <c r="AG329" i="2" s="1"/>
  <c r="AG54" i="8" s="1"/>
  <c r="BO74" i="22"/>
  <c r="AG80" i="2"/>
  <c r="AG121" i="8" s="1"/>
  <c r="AH25" i="2"/>
  <c r="AH32" i="8" s="1"/>
  <c r="BP22" i="22"/>
  <c r="AJ127" i="2"/>
  <c r="AJ67" i="8" s="1"/>
  <c r="BR29" i="22"/>
  <c r="AE115" i="2"/>
  <c r="AE329" i="2" s="1"/>
  <c r="AE54" i="8" s="1"/>
  <c r="BM112" i="22"/>
  <c r="AJ45" i="2"/>
  <c r="AJ11" i="9" s="1"/>
  <c r="BR42" i="22"/>
  <c r="AF115" i="2"/>
  <c r="AF329" i="2" s="1"/>
  <c r="AF54" i="8" s="1"/>
  <c r="BN112" i="22"/>
  <c r="BP46" i="22"/>
  <c r="AH48" i="2"/>
  <c r="AH34" i="9" s="1"/>
  <c r="AG62" i="2"/>
  <c r="AG21" i="9" s="1"/>
  <c r="BO59" i="22"/>
  <c r="BN29" i="22"/>
  <c r="AF127" i="2"/>
  <c r="AF67" i="8" s="1"/>
  <c r="AF62" i="2"/>
  <c r="AF21" i="9" s="1"/>
  <c r="BN59" i="22"/>
  <c r="AI48" i="2"/>
  <c r="AI34" i="9" s="1"/>
  <c r="BQ46" i="22"/>
  <c r="BQ112" i="22"/>
  <c r="AI115" i="2"/>
  <c r="AI329" i="2" s="1"/>
  <c r="AI54" i="8" s="1"/>
  <c r="AJ25" i="2"/>
  <c r="AJ32" i="8" s="1"/>
  <c r="BR22" i="22"/>
  <c r="BM46" i="22"/>
  <c r="AE48" i="2"/>
  <c r="AE34" i="9" s="1"/>
  <c r="BM89" i="22"/>
  <c r="AE90" i="2"/>
  <c r="AE8" i="10" s="1"/>
  <c r="BD86" i="22"/>
  <c r="BB123" i="22"/>
  <c r="Y32" i="2"/>
  <c r="Y66" i="8" s="1"/>
  <c r="BD123" i="22"/>
  <c r="AA32" i="2"/>
  <c r="AA66" i="8" s="1"/>
  <c r="BA111" i="22"/>
  <c r="X86" i="2"/>
  <c r="X328" i="2" s="1"/>
  <c r="X49" i="8" s="1"/>
  <c r="BC129" i="22"/>
  <c r="Z130" i="2"/>
  <c r="Z160" i="8" s="1"/>
  <c r="V45" i="2"/>
  <c r="V11" i="9" s="1"/>
  <c r="AY42" i="22"/>
  <c r="BA58" i="22"/>
  <c r="X61" i="2"/>
  <c r="X20" i="9" s="1"/>
  <c r="AZ111" i="22"/>
  <c r="W86" i="2"/>
  <c r="W328" i="2" s="1"/>
  <c r="W49" i="8" s="1"/>
  <c r="AY112" i="22"/>
  <c r="V115" i="2"/>
  <c r="AZ41" i="22"/>
  <c r="W42" i="2"/>
  <c r="W354" i="2" s="1"/>
  <c r="W10" i="9" s="1"/>
  <c r="X72" i="2"/>
  <c r="X93" i="8" s="1"/>
  <c r="V17" i="2"/>
  <c r="V18" i="8" s="1"/>
  <c r="AY14" i="22"/>
  <c r="BC41" i="22"/>
  <c r="Z42" i="2"/>
  <c r="Z354" i="2" s="1"/>
  <c r="Z10" i="9" s="1"/>
  <c r="AA23" i="2"/>
  <c r="AA28" i="8" s="1"/>
  <c r="Z77" i="2"/>
  <c r="Z120" i="8" s="1"/>
  <c r="BC76" i="22"/>
  <c r="X112" i="2"/>
  <c r="X33" i="9" s="1"/>
  <c r="BA44" i="22"/>
  <c r="BB76" i="22"/>
  <c r="Y77" i="2"/>
  <c r="Y120" i="8" s="1"/>
  <c r="Z107" i="2"/>
  <c r="Z31" i="8" s="1"/>
  <c r="BC21" i="22"/>
  <c r="Z23" i="2"/>
  <c r="Z28" i="8" s="1"/>
  <c r="BC123" i="22"/>
  <c r="Z32" i="2"/>
  <c r="Z66" i="8" s="1"/>
  <c r="AZ123" i="22"/>
  <c r="W32" i="2"/>
  <c r="W66" i="8" s="1"/>
  <c r="BA86" i="22"/>
  <c r="X88" i="2"/>
  <c r="X7" i="10" s="1"/>
  <c r="BB86" i="22"/>
  <c r="Y88" i="2"/>
  <c r="Y7" i="10" s="1"/>
  <c r="BD41" i="22"/>
  <c r="AA42" i="2"/>
  <c r="AA354" i="2" s="1"/>
  <c r="AA10" i="9" s="1"/>
  <c r="BA123" i="22"/>
  <c r="X32" i="2"/>
  <c r="X66" i="8" s="1"/>
  <c r="BA129" i="22"/>
  <c r="X130" i="2"/>
  <c r="X160" i="8" s="1"/>
  <c r="Z61" i="2"/>
  <c r="Z20" i="9" s="1"/>
  <c r="BC58" i="22"/>
  <c r="BD129" i="22"/>
  <c r="AA130" i="2"/>
  <c r="AA160" i="8" s="1"/>
  <c r="BD76" i="22"/>
  <c r="AA77" i="2"/>
  <c r="AA120" i="8" s="1"/>
  <c r="BB129" i="22"/>
  <c r="Y130" i="2"/>
  <c r="Y160" i="8" s="1"/>
  <c r="Z16" i="2"/>
  <c r="Z17" i="8" s="1"/>
  <c r="BC13" i="22"/>
  <c r="BD111" i="22"/>
  <c r="AA86" i="2"/>
  <c r="Z112" i="2"/>
  <c r="Z33" i="9" s="1"/>
  <c r="BC44" i="22"/>
  <c r="AZ86" i="22"/>
  <c r="W88" i="2"/>
  <c r="W7" i="10" s="1"/>
  <c r="BB41" i="22"/>
  <c r="Y42" i="2"/>
  <c r="Y354" i="2" s="1"/>
  <c r="Y10" i="9" s="1"/>
  <c r="AY138" i="22"/>
  <c r="V133" i="2"/>
  <c r="V161" i="8" s="1"/>
  <c r="X16" i="2"/>
  <c r="X17" i="8" s="1"/>
  <c r="BA13" i="22"/>
  <c r="Y23" i="2"/>
  <c r="Y28" i="8" s="1"/>
  <c r="AA72" i="2"/>
  <c r="AA93" i="8" s="1"/>
  <c r="W107" i="2"/>
  <c r="W31" i="8" s="1"/>
  <c r="AZ21" i="22"/>
  <c r="W72" i="2"/>
  <c r="W93" i="8" s="1"/>
  <c r="BB44" i="22"/>
  <c r="Y112" i="2"/>
  <c r="Y33" i="9" s="1"/>
  <c r="AZ76" i="22"/>
  <c r="W77" i="2"/>
  <c r="W120" i="8" s="1"/>
  <c r="BA76" i="22"/>
  <c r="X77" i="2"/>
  <c r="X120" i="8" s="1"/>
  <c r="AZ44" i="22"/>
  <c r="W112" i="2"/>
  <c r="W33" i="9" s="1"/>
  <c r="BC111" i="22"/>
  <c r="Z86" i="2"/>
  <c r="Z328" i="2" s="1"/>
  <c r="Z49" i="8" s="1"/>
  <c r="Y16" i="2"/>
  <c r="Y17" i="8" s="1"/>
  <c r="BB13" i="22"/>
  <c r="AA16" i="2"/>
  <c r="AA17" i="8" s="1"/>
  <c r="BD13" i="22"/>
  <c r="W16" i="2"/>
  <c r="W17" i="8" s="1"/>
  <c r="AZ13" i="22"/>
  <c r="BB111" i="22"/>
  <c r="Y86" i="2"/>
  <c r="Y328" i="2" s="1"/>
  <c r="Y49" i="8" s="1"/>
  <c r="W61" i="2"/>
  <c r="W20" i="9" s="1"/>
  <c r="AZ58" i="22"/>
  <c r="W23" i="2"/>
  <c r="W28" i="8" s="1"/>
  <c r="Y107" i="2"/>
  <c r="Y31" i="8" s="1"/>
  <c r="BB21" i="22"/>
  <c r="X107" i="2"/>
  <c r="X31" i="8" s="1"/>
  <c r="BA21" i="22"/>
  <c r="BB58" i="22"/>
  <c r="Y61" i="2"/>
  <c r="Y20" i="9" s="1"/>
  <c r="BD58" i="22"/>
  <c r="AA61" i="2"/>
  <c r="AA20" i="9" s="1"/>
  <c r="AZ129" i="22"/>
  <c r="W130" i="2"/>
  <c r="W160" i="8" s="1"/>
  <c r="BA41" i="22"/>
  <c r="X42" i="2"/>
  <c r="X354" i="2" s="1"/>
  <c r="X10" i="9" s="1"/>
  <c r="BD44" i="22"/>
  <c r="AA112" i="2"/>
  <c r="AA33" i="9" s="1"/>
  <c r="BC86" i="22"/>
  <c r="Z88" i="2"/>
  <c r="Z7" i="10" s="1"/>
  <c r="AA107" i="2"/>
  <c r="AA31" i="8" s="1"/>
  <c r="BD21" i="22"/>
  <c r="X23" i="2"/>
  <c r="X28" i="8" s="1"/>
  <c r="AF50" i="8"/>
  <c r="AE50" i="8"/>
  <c r="AZ3" i="22"/>
  <c r="BB3" i="22"/>
  <c r="BC3" i="22"/>
  <c r="BD3" i="22"/>
  <c r="BA3" i="22"/>
  <c r="AE147" i="8" l="1"/>
  <c r="AF147" i="8"/>
  <c r="AG147" i="8"/>
  <c r="V329" i="2"/>
  <c r="V54" i="8" s="1"/>
  <c r="AI147" i="8"/>
  <c r="V62" i="2"/>
  <c r="V21" i="9" s="1"/>
  <c r="Y144" i="8"/>
  <c r="Y145" i="8"/>
  <c r="Z143" i="8"/>
  <c r="AA143" i="8"/>
  <c r="Z144" i="8"/>
  <c r="Z145" i="8"/>
  <c r="Y143" i="8"/>
  <c r="V143" i="8"/>
  <c r="W143" i="8"/>
  <c r="V144" i="8"/>
  <c r="X144" i="8"/>
  <c r="X147" i="8" s="1"/>
  <c r="AA144" i="8"/>
  <c r="W50" i="8"/>
  <c r="W144" i="8"/>
  <c r="AA328" i="2"/>
  <c r="AA49" i="8" s="1"/>
  <c r="AA50" i="8" s="1"/>
  <c r="X50" i="8"/>
  <c r="AY22" i="22"/>
  <c r="AY23" i="22" s="1"/>
  <c r="Z50" i="8"/>
  <c r="Y50" i="8"/>
  <c r="AI33" i="2"/>
  <c r="AI68" i="8" s="1"/>
  <c r="V127" i="2"/>
  <c r="V67" i="8" s="1"/>
  <c r="AE33" i="2"/>
  <c r="AE68" i="8" s="1"/>
  <c r="V48" i="2"/>
  <c r="V34" i="9" s="1"/>
  <c r="BQ137" i="22"/>
  <c r="AI141" i="2" s="1"/>
  <c r="AI7" i="11" s="1"/>
  <c r="V18" i="2"/>
  <c r="V19" i="8" s="1"/>
  <c r="AJ50" i="2"/>
  <c r="AJ37" i="9" s="1"/>
  <c r="AJ41" i="9" s="1"/>
  <c r="AH78" i="2"/>
  <c r="Y25" i="2"/>
  <c r="Y32" i="8" s="1"/>
  <c r="AE50" i="2"/>
  <c r="AE37" i="9" s="1"/>
  <c r="AE41" i="9" s="1"/>
  <c r="AJ78" i="2"/>
  <c r="AH93" i="2"/>
  <c r="AF78" i="2"/>
  <c r="AF122" i="8" s="1"/>
  <c r="AI78" i="2"/>
  <c r="AF93" i="2"/>
  <c r="AI63" i="2"/>
  <c r="AH46" i="2"/>
  <c r="AH12" i="9" s="1"/>
  <c r="AG26" i="2"/>
  <c r="AG36" i="8" s="1"/>
  <c r="V90" i="2"/>
  <c r="V8" i="10" s="1"/>
  <c r="AK105" i="22"/>
  <c r="AM110" i="22"/>
  <c r="AO113" i="22"/>
  <c r="AK113" i="22"/>
  <c r="AM30" i="22"/>
  <c r="AM137" i="22"/>
  <c r="AL30" i="22"/>
  <c r="AL137" i="22"/>
  <c r="AO24" i="22"/>
  <c r="AM24" i="22"/>
  <c r="AE78" i="2"/>
  <c r="AE122" i="8" s="1"/>
  <c r="AP24" i="22"/>
  <c r="AO30" i="22"/>
  <c r="AK30" i="22"/>
  <c r="AK110" i="22"/>
  <c r="AO137" i="22"/>
  <c r="AN137" i="22"/>
  <c r="AP30" i="22"/>
  <c r="AN113" i="22"/>
  <c r="AI50" i="2"/>
  <c r="AJ63" i="2"/>
  <c r="V7" i="2"/>
  <c r="V7" i="8" s="1"/>
  <c r="AA90" i="2"/>
  <c r="AA8" i="10" s="1"/>
  <c r="V63" i="2"/>
  <c r="AF63" i="2"/>
  <c r="AG63" i="2"/>
  <c r="AH50" i="2"/>
  <c r="AG93" i="2"/>
  <c r="AI93" i="2"/>
  <c r="AH63" i="2"/>
  <c r="AF50" i="2"/>
  <c r="AI26" i="2"/>
  <c r="AI36" i="8" s="1"/>
  <c r="AF26" i="2"/>
  <c r="AF36" i="8" s="1"/>
  <c r="V80" i="2"/>
  <c r="V121" i="8" s="1"/>
  <c r="AP105" i="22"/>
  <c r="AO105" i="22"/>
  <c r="AL23" i="22"/>
  <c r="W25" i="2"/>
  <c r="W32" i="8" s="1"/>
  <c r="AG50" i="2"/>
  <c r="AE26" i="2"/>
  <c r="AE36" i="8" s="1"/>
  <c r="AM105" i="22"/>
  <c r="V50" i="2"/>
  <c r="V37" i="9" s="1"/>
  <c r="AA25" i="2"/>
  <c r="AA32" i="8" s="1"/>
  <c r="X25" i="2"/>
  <c r="X32" i="8" s="1"/>
  <c r="Z25" i="2"/>
  <c r="Z32" i="8" s="1"/>
  <c r="AE93" i="2"/>
  <c r="AG78" i="2"/>
  <c r="AE63" i="2"/>
  <c r="AJ93" i="2"/>
  <c r="AI114" i="2"/>
  <c r="AG142" i="2"/>
  <c r="AL105" i="22"/>
  <c r="AN105" i="22"/>
  <c r="AM114" i="22"/>
  <c r="AL113" i="22"/>
  <c r="AN110" i="22"/>
  <c r="AP137" i="22"/>
  <c r="AN23" i="22"/>
  <c r="AN30" i="22"/>
  <c r="AK137" i="22"/>
  <c r="AP110" i="22"/>
  <c r="AL110" i="22"/>
  <c r="AO110" i="22"/>
  <c r="AP113" i="22"/>
  <c r="AK24" i="22"/>
  <c r="AI163" i="8"/>
  <c r="BN23" i="22"/>
  <c r="AY89" i="22"/>
  <c r="BO137" i="22"/>
  <c r="AY74" i="22"/>
  <c r="BO23" i="22"/>
  <c r="AG33" i="2"/>
  <c r="AG68" i="8" s="1"/>
  <c r="BO30" i="22"/>
  <c r="AY4" i="22"/>
  <c r="BQ23" i="22"/>
  <c r="BP110" i="22"/>
  <c r="BM23" i="22"/>
  <c r="AF46" i="2"/>
  <c r="AF12" i="9" s="1"/>
  <c r="BN110" i="22"/>
  <c r="BR113" i="22"/>
  <c r="AJ116" i="2"/>
  <c r="AJ330" i="2" s="1"/>
  <c r="AJ55" i="8" s="1"/>
  <c r="BM137" i="22"/>
  <c r="AE142" i="2"/>
  <c r="AE162" i="8" s="1"/>
  <c r="BM110" i="22"/>
  <c r="AE46" i="2"/>
  <c r="AE12" i="9" s="1"/>
  <c r="AF33" i="2"/>
  <c r="AF68" i="8" s="1"/>
  <c r="BN30" i="22"/>
  <c r="BR110" i="22"/>
  <c r="AJ46" i="2"/>
  <c r="AJ12" i="9" s="1"/>
  <c r="AG116" i="2"/>
  <c r="AG330" i="2" s="1"/>
  <c r="AG55" i="8" s="1"/>
  <c r="BO113" i="22"/>
  <c r="AE116" i="2"/>
  <c r="AE330" i="2" s="1"/>
  <c r="AE55" i="8" s="1"/>
  <c r="BM113" i="22"/>
  <c r="AH26" i="2"/>
  <c r="AH36" i="8" s="1"/>
  <c r="BP23" i="22"/>
  <c r="BP113" i="22"/>
  <c r="AH116" i="2"/>
  <c r="AH330" i="2" s="1"/>
  <c r="AH55" i="8" s="1"/>
  <c r="BQ113" i="22"/>
  <c r="AI116" i="2"/>
  <c r="AI330" i="2" s="1"/>
  <c r="AI55" i="8" s="1"/>
  <c r="BQ31" i="22"/>
  <c r="AI34" i="2"/>
  <c r="AI69" i="8" s="1"/>
  <c r="AF8" i="2"/>
  <c r="AF8" i="8" s="1"/>
  <c r="BN105" i="22"/>
  <c r="AJ8" i="2"/>
  <c r="AJ8" i="8" s="1"/>
  <c r="BR105" i="22"/>
  <c r="BN113" i="22"/>
  <c r="AF116" i="2"/>
  <c r="AF330" i="2" s="1"/>
  <c r="AF55" i="8" s="1"/>
  <c r="BM31" i="22"/>
  <c r="AE34" i="2"/>
  <c r="AE69" i="8" s="1"/>
  <c r="BN137" i="22"/>
  <c r="AF142" i="2"/>
  <c r="AF162" i="8" s="1"/>
  <c r="AE8" i="2"/>
  <c r="AE8" i="8" s="1"/>
  <c r="BM105" i="22"/>
  <c r="AG8" i="2"/>
  <c r="AG8" i="8" s="1"/>
  <c r="BO105" i="22"/>
  <c r="AH8" i="2"/>
  <c r="AH8" i="8" s="1"/>
  <c r="BP105" i="22"/>
  <c r="BP137" i="22"/>
  <c r="AH142" i="2"/>
  <c r="BO110" i="22"/>
  <c r="AG46" i="2"/>
  <c r="AG12" i="9" s="1"/>
  <c r="BP30" i="22"/>
  <c r="AH33" i="2"/>
  <c r="AH68" i="8" s="1"/>
  <c r="AJ26" i="2"/>
  <c r="AJ36" i="8" s="1"/>
  <c r="BR23" i="22"/>
  <c r="AI8" i="2"/>
  <c r="AI8" i="8" s="1"/>
  <c r="BQ105" i="22"/>
  <c r="AJ33" i="2"/>
  <c r="AJ68" i="8" s="1"/>
  <c r="BR30" i="22"/>
  <c r="BR137" i="22"/>
  <c r="AJ142" i="2"/>
  <c r="BD89" i="22"/>
  <c r="BA22" i="22"/>
  <c r="AZ22" i="22"/>
  <c r="W7" i="2"/>
  <c r="W7" i="8" s="1"/>
  <c r="AZ4" i="22"/>
  <c r="BB112" i="22"/>
  <c r="Y115" i="2"/>
  <c r="Y329" i="2" s="1"/>
  <c r="Y54" i="8" s="1"/>
  <c r="AA17" i="2"/>
  <c r="AA18" i="8" s="1"/>
  <c r="BD14" i="22"/>
  <c r="BA14" i="22"/>
  <c r="X17" i="2"/>
  <c r="X18" i="8" s="1"/>
  <c r="BB138" i="22"/>
  <c r="Y133" i="2"/>
  <c r="Y161" i="8" s="1"/>
  <c r="BD138" i="22"/>
  <c r="AA133" i="2"/>
  <c r="AA161" i="8" s="1"/>
  <c r="BA138" i="22"/>
  <c r="X133" i="2"/>
  <c r="X161" i="8" s="1"/>
  <c r="BD42" i="22"/>
  <c r="AA45" i="2"/>
  <c r="AA11" i="9" s="1"/>
  <c r="BA89" i="22"/>
  <c r="X90" i="2"/>
  <c r="X8" i="10" s="1"/>
  <c r="BC29" i="22"/>
  <c r="Z127" i="2"/>
  <c r="Z67" i="8" s="1"/>
  <c r="Z45" i="2"/>
  <c r="Z11" i="9" s="1"/>
  <c r="BC42" i="22"/>
  <c r="BA112" i="22"/>
  <c r="X115" i="2"/>
  <c r="X329" i="2" s="1"/>
  <c r="X54" i="8" s="1"/>
  <c r="BA42" i="22"/>
  <c r="X45" i="2"/>
  <c r="X11" i="9" s="1"/>
  <c r="BD59" i="22"/>
  <c r="AA62" i="2"/>
  <c r="AA21" i="9" s="1"/>
  <c r="BC112" i="22"/>
  <c r="Z115" i="2"/>
  <c r="Z329" i="2" s="1"/>
  <c r="Z54" i="8" s="1"/>
  <c r="AZ46" i="22"/>
  <c r="W48" i="2"/>
  <c r="W34" i="9" s="1"/>
  <c r="BA74" i="22"/>
  <c r="X80" i="2"/>
  <c r="X121" i="8" s="1"/>
  <c r="BB46" i="22"/>
  <c r="Y48" i="2"/>
  <c r="Y34" i="9" s="1"/>
  <c r="BD112" i="22"/>
  <c r="AA115" i="2"/>
  <c r="AA329" i="2" s="1"/>
  <c r="AA54" i="8" s="1"/>
  <c r="BC59" i="22"/>
  <c r="Z62" i="2"/>
  <c r="Z21" i="9" s="1"/>
  <c r="AY113" i="22"/>
  <c r="V116" i="2"/>
  <c r="V330" i="2" s="1"/>
  <c r="V55" i="8" s="1"/>
  <c r="AZ112" i="22"/>
  <c r="W115" i="2"/>
  <c r="W329" i="2" s="1"/>
  <c r="W54" i="8" s="1"/>
  <c r="BC138" i="22"/>
  <c r="Z133" i="2"/>
  <c r="Z161" i="8" s="1"/>
  <c r="AA7" i="2"/>
  <c r="AA7" i="8" s="1"/>
  <c r="BD4" i="22"/>
  <c r="Z7" i="2"/>
  <c r="Z7" i="8" s="1"/>
  <c r="BC4" i="22"/>
  <c r="Y7" i="2"/>
  <c r="Y7" i="8" s="1"/>
  <c r="BB4" i="22"/>
  <c r="BD46" i="22"/>
  <c r="AA48" i="2"/>
  <c r="AA34" i="9" s="1"/>
  <c r="W17" i="2"/>
  <c r="W18" i="8" s="1"/>
  <c r="AZ14" i="22"/>
  <c r="BB42" i="22"/>
  <c r="Y45" i="2"/>
  <c r="Y11" i="9" s="1"/>
  <c r="W90" i="2"/>
  <c r="W8" i="10" s="1"/>
  <c r="AZ89" i="22"/>
  <c r="Z48" i="2"/>
  <c r="Z34" i="9" s="1"/>
  <c r="BC46" i="22"/>
  <c r="Z17" i="2"/>
  <c r="Z18" i="8" s="1"/>
  <c r="BC14" i="22"/>
  <c r="BD74" i="22"/>
  <c r="AA80" i="2"/>
  <c r="AA121" i="8" s="1"/>
  <c r="BA29" i="22"/>
  <c r="X127" i="2"/>
  <c r="X67" i="8" s="1"/>
  <c r="BB89" i="22"/>
  <c r="Y90" i="2"/>
  <c r="Y8" i="10" s="1"/>
  <c r="AZ29" i="22"/>
  <c r="W127" i="2"/>
  <c r="W67" i="8" s="1"/>
  <c r="BC22" i="22"/>
  <c r="BB74" i="22"/>
  <c r="Y80" i="2"/>
  <c r="Y121" i="8" s="1"/>
  <c r="BD22" i="22"/>
  <c r="AY110" i="22"/>
  <c r="V46" i="2"/>
  <c r="V12" i="9" s="1"/>
  <c r="BD29" i="22"/>
  <c r="AA127" i="2"/>
  <c r="AA67" i="8" s="1"/>
  <c r="BB29" i="22"/>
  <c r="Y127" i="2"/>
  <c r="Y67" i="8" s="1"/>
  <c r="X7" i="2"/>
  <c r="X7" i="8" s="1"/>
  <c r="BA4" i="22"/>
  <c r="BC89" i="22"/>
  <c r="Z90" i="2"/>
  <c r="Z8" i="10" s="1"/>
  <c r="AY30" i="22"/>
  <c r="V33" i="2"/>
  <c r="V68" i="8" s="1"/>
  <c r="AZ138" i="22"/>
  <c r="W133" i="2"/>
  <c r="W161" i="8" s="1"/>
  <c r="BB59" i="22"/>
  <c r="Y62" i="2"/>
  <c r="Y21" i="9" s="1"/>
  <c r="AZ59" i="22"/>
  <c r="W62" i="2"/>
  <c r="W21" i="9" s="1"/>
  <c r="BB14" i="22"/>
  <c r="Y17" i="2"/>
  <c r="Y18" i="8" s="1"/>
  <c r="W80" i="2"/>
  <c r="W121" i="8" s="1"/>
  <c r="AZ74" i="22"/>
  <c r="BB22" i="22"/>
  <c r="AY137" i="22"/>
  <c r="V142" i="2"/>
  <c r="V162" i="8" s="1"/>
  <c r="BA46" i="22"/>
  <c r="X48" i="2"/>
  <c r="X34" i="9" s="1"/>
  <c r="BC74" i="22"/>
  <c r="Z80" i="2"/>
  <c r="Z121" i="8" s="1"/>
  <c r="AZ42" i="22"/>
  <c r="W45" i="2"/>
  <c r="W11" i="9" s="1"/>
  <c r="BA59" i="22"/>
  <c r="X62" i="2"/>
  <c r="X21" i="9" s="1"/>
  <c r="W147" i="8" l="1"/>
  <c r="AA147" i="8"/>
  <c r="Z147" i="8"/>
  <c r="V147" i="8"/>
  <c r="Y147" i="8"/>
  <c r="V22" i="9"/>
  <c r="V26" i="9" s="1"/>
  <c r="AF9" i="10"/>
  <c r="AF11" i="10" s="1"/>
  <c r="AF30" i="10" s="1"/>
  <c r="AD10" i="1" s="1"/>
  <c r="AJ122" i="8"/>
  <c r="AJ123" i="8" s="1"/>
  <c r="AG162" i="8"/>
  <c r="AG163" i="8" s="1"/>
  <c r="AG122" i="8"/>
  <c r="AG123" i="8" s="1"/>
  <c r="AI9" i="10"/>
  <c r="AI11" i="10" s="1"/>
  <c r="AI30" i="10" s="1"/>
  <c r="AG10" i="1" s="1"/>
  <c r="AF22" i="9"/>
  <c r="AF26" i="9" s="1"/>
  <c r="AI37" i="9"/>
  <c r="AI41" i="9" s="1"/>
  <c r="AI122" i="8"/>
  <c r="AI123" i="8" s="1"/>
  <c r="AH22" i="9"/>
  <c r="AH26" i="9" s="1"/>
  <c r="AI13" i="9"/>
  <c r="AI14" i="9" s="1"/>
  <c r="AE9" i="10"/>
  <c r="AE11" i="10" s="1"/>
  <c r="AE30" i="10" s="1"/>
  <c r="AC10" i="1" s="1"/>
  <c r="AG37" i="9"/>
  <c r="AG41" i="9" s="1"/>
  <c r="AG9" i="10"/>
  <c r="AG11" i="10" s="1"/>
  <c r="AG30" i="10" s="1"/>
  <c r="AE10" i="1" s="1"/>
  <c r="AE22" i="9"/>
  <c r="AE26" i="9" s="1"/>
  <c r="AG22" i="9"/>
  <c r="AG26" i="9" s="1"/>
  <c r="AJ22" i="9"/>
  <c r="AJ26" i="9" s="1"/>
  <c r="V26" i="2"/>
  <c r="V36" i="8" s="1"/>
  <c r="AJ162" i="8"/>
  <c r="AJ163" i="8" s="1"/>
  <c r="AH162" i="8"/>
  <c r="AH163" i="8" s="1"/>
  <c r="AJ9" i="10"/>
  <c r="AJ11" i="10" s="1"/>
  <c r="AJ30" i="10" s="1"/>
  <c r="AH10" i="1" s="1"/>
  <c r="AF37" i="9"/>
  <c r="AF41" i="9" s="1"/>
  <c r="AH37" i="9"/>
  <c r="AH41" i="9" s="1"/>
  <c r="AI22" i="9"/>
  <c r="AI26" i="9" s="1"/>
  <c r="AH9" i="10"/>
  <c r="AH11" i="10" s="1"/>
  <c r="AH30" i="10" s="1"/>
  <c r="AF10" i="1" s="1"/>
  <c r="AH122" i="8"/>
  <c r="AH123" i="8" s="1"/>
  <c r="BQ139" i="22"/>
  <c r="AI143" i="2" s="1"/>
  <c r="V41" i="9"/>
  <c r="AA63" i="2"/>
  <c r="AA18" i="2"/>
  <c r="AA19" i="8" s="1"/>
  <c r="BA23" i="22"/>
  <c r="BA24" i="22" s="1"/>
  <c r="AG114" i="2"/>
  <c r="AJ114" i="2"/>
  <c r="AE114" i="2"/>
  <c r="AF114" i="2"/>
  <c r="BQ24" i="22"/>
  <c r="AG27" i="2"/>
  <c r="AG37" i="8" s="1"/>
  <c r="AP114" i="22"/>
  <c r="AK139" i="22"/>
  <c r="AN24" i="22"/>
  <c r="AM116" i="22"/>
  <c r="AL5" i="22"/>
  <c r="AM5" i="22"/>
  <c r="AO5" i="22"/>
  <c r="AP31" i="22"/>
  <c r="AO139" i="22"/>
  <c r="AK31" i="22"/>
  <c r="AL31" i="22"/>
  <c r="AM31" i="22"/>
  <c r="AO114" i="22"/>
  <c r="AK5" i="22"/>
  <c r="AG141" i="2"/>
  <c r="AG7" i="11" s="1"/>
  <c r="X50" i="2"/>
  <c r="W63" i="2"/>
  <c r="Z93" i="2"/>
  <c r="V114" i="2"/>
  <c r="Y93" i="2"/>
  <c r="AA78" i="2"/>
  <c r="AA50" i="2"/>
  <c r="AA37" i="9" s="1"/>
  <c r="AA41" i="9" s="1"/>
  <c r="Z63" i="2"/>
  <c r="Y50" i="2"/>
  <c r="W50" i="2"/>
  <c r="X93" i="2"/>
  <c r="AY105" i="22"/>
  <c r="AY5" i="22" s="1"/>
  <c r="V93" i="2"/>
  <c r="Y18" i="2"/>
  <c r="Y19" i="8" s="1"/>
  <c r="Y63" i="2"/>
  <c r="X78" i="2"/>
  <c r="X122" i="8" s="1"/>
  <c r="X18" i="2"/>
  <c r="X19" i="8" s="1"/>
  <c r="AZ23" i="22"/>
  <c r="W27" i="2" s="1"/>
  <c r="W37" i="8" s="1"/>
  <c r="AH114" i="2"/>
  <c r="W78" i="2"/>
  <c r="W122" i="8" s="1"/>
  <c r="Y78" i="2"/>
  <c r="Y122" i="8" s="1"/>
  <c r="Z50" i="2"/>
  <c r="Z37" i="9" s="1"/>
  <c r="Z41" i="9" s="1"/>
  <c r="X63" i="2"/>
  <c r="Z78" i="2"/>
  <c r="Z122" i="8" s="1"/>
  <c r="Z18" i="2"/>
  <c r="Z19" i="8" s="1"/>
  <c r="W93" i="2"/>
  <c r="W18" i="2"/>
  <c r="W19" i="8" s="1"/>
  <c r="AA93" i="2"/>
  <c r="V78" i="2"/>
  <c r="V122" i="8" s="1"/>
  <c r="AF27" i="2"/>
  <c r="AF37" i="8" s="1"/>
  <c r="AN31" i="22"/>
  <c r="AP139" i="22"/>
  <c r="AL114" i="22"/>
  <c r="AN5" i="22"/>
  <c r="AL24" i="22"/>
  <c r="AP5" i="22"/>
  <c r="AN114" i="22"/>
  <c r="AN139" i="22"/>
  <c r="AO31" i="22"/>
  <c r="AL139" i="22"/>
  <c r="AM139" i="22"/>
  <c r="AK114" i="22"/>
  <c r="BN24" i="22"/>
  <c r="BO139" i="22"/>
  <c r="AI27" i="2"/>
  <c r="AI37" i="8" s="1"/>
  <c r="BO24" i="22"/>
  <c r="V8" i="2"/>
  <c r="V8" i="8" s="1"/>
  <c r="BO31" i="22"/>
  <c r="AG34" i="2"/>
  <c r="AG69" i="8" s="1"/>
  <c r="BM24" i="22"/>
  <c r="AE27" i="2"/>
  <c r="AE37" i="8" s="1"/>
  <c r="AJ117" i="2"/>
  <c r="AJ331" i="2" s="1"/>
  <c r="AJ56" i="8" s="1"/>
  <c r="BR114" i="22"/>
  <c r="AE141" i="2"/>
  <c r="AE7" i="11" s="1"/>
  <c r="BM139" i="22"/>
  <c r="BQ5" i="22"/>
  <c r="AI109" i="2"/>
  <c r="AI9" i="8" s="1"/>
  <c r="AJ27" i="2"/>
  <c r="AJ37" i="8" s="1"/>
  <c r="BR24" i="22"/>
  <c r="AH109" i="2"/>
  <c r="AH9" i="8" s="1"/>
  <c r="BP5" i="22"/>
  <c r="AE109" i="2"/>
  <c r="AE9" i="8" s="1"/>
  <c r="BM5" i="22"/>
  <c r="BN5" i="22"/>
  <c r="AF109" i="2"/>
  <c r="AF9" i="8" s="1"/>
  <c r="BN114" i="22"/>
  <c r="AF117" i="2"/>
  <c r="AF331" i="2" s="1"/>
  <c r="AF56" i="8" s="1"/>
  <c r="AI117" i="2"/>
  <c r="AI331" i="2" s="1"/>
  <c r="AI56" i="8" s="1"/>
  <c r="BQ114" i="22"/>
  <c r="AJ34" i="2"/>
  <c r="AJ69" i="8" s="1"/>
  <c r="BR31" i="22"/>
  <c r="AG109" i="2"/>
  <c r="AG9" i="8" s="1"/>
  <c r="BO5" i="22"/>
  <c r="AJ109" i="2"/>
  <c r="AJ9" i="8" s="1"/>
  <c r="BR5" i="22"/>
  <c r="BP24" i="22"/>
  <c r="AH27" i="2"/>
  <c r="AH37" i="8" s="1"/>
  <c r="AG117" i="2"/>
  <c r="AG331" i="2" s="1"/>
  <c r="AG56" i="8" s="1"/>
  <c r="BO114" i="22"/>
  <c r="BN31" i="22"/>
  <c r="AF34" i="2"/>
  <c r="AF69" i="8" s="1"/>
  <c r="BM114" i="22"/>
  <c r="AE117" i="2"/>
  <c r="AE331" i="2" s="1"/>
  <c r="AE56" i="8" s="1"/>
  <c r="BM33" i="22"/>
  <c r="AE35" i="2"/>
  <c r="AE70" i="8" s="1"/>
  <c r="BR139" i="22"/>
  <c r="AJ141" i="2"/>
  <c r="AJ7" i="11" s="1"/>
  <c r="BP31" i="22"/>
  <c r="AH34" i="2"/>
  <c r="AH69" i="8" s="1"/>
  <c r="BP139" i="22"/>
  <c r="AH141" i="2"/>
  <c r="AH7" i="11" s="1"/>
  <c r="AF141" i="2"/>
  <c r="AF7" i="11" s="1"/>
  <c r="BN139" i="22"/>
  <c r="BQ33" i="22"/>
  <c r="AI35" i="2"/>
  <c r="AI70" i="8" s="1"/>
  <c r="BP114" i="22"/>
  <c r="AH117" i="2"/>
  <c r="AH331" i="2" s="1"/>
  <c r="AH56" i="8" s="1"/>
  <c r="W26" i="2"/>
  <c r="W36" i="8" s="1"/>
  <c r="X26" i="2"/>
  <c r="X36" i="8" s="1"/>
  <c r="BB30" i="22"/>
  <c r="Y33" i="2"/>
  <c r="Y68" i="8" s="1"/>
  <c r="BC23" i="22"/>
  <c r="Z26" i="2"/>
  <c r="Z36" i="8" s="1"/>
  <c r="BA30" i="22"/>
  <c r="X33" i="2"/>
  <c r="X68" i="8" s="1"/>
  <c r="BC105" i="22"/>
  <c r="Z8" i="2"/>
  <c r="Z8" i="8" s="1"/>
  <c r="BB23" i="22"/>
  <c r="Y26" i="2"/>
  <c r="Y36" i="8" s="1"/>
  <c r="BA105" i="22"/>
  <c r="X8" i="2"/>
  <c r="X8" i="8" s="1"/>
  <c r="BD23" i="22"/>
  <c r="AA26" i="2"/>
  <c r="AA36" i="8" s="1"/>
  <c r="AY114" i="22"/>
  <c r="V117" i="2"/>
  <c r="V331" i="2" s="1"/>
  <c r="V56" i="8" s="1"/>
  <c r="AY24" i="22"/>
  <c r="V27" i="2"/>
  <c r="V37" i="8" s="1"/>
  <c r="BC30" i="22"/>
  <c r="Z33" i="2"/>
  <c r="Z68" i="8" s="1"/>
  <c r="BD110" i="22"/>
  <c r="AA46" i="2"/>
  <c r="AA12" i="9" s="1"/>
  <c r="BB137" i="22"/>
  <c r="Y142" i="2"/>
  <c r="AZ110" i="22"/>
  <c r="W46" i="2"/>
  <c r="W12" i="9" s="1"/>
  <c r="AY139" i="22"/>
  <c r="V141" i="2"/>
  <c r="V7" i="11" s="1"/>
  <c r="BD30" i="22"/>
  <c r="AA33" i="2"/>
  <c r="AA68" i="8" s="1"/>
  <c r="AZ30" i="22"/>
  <c r="W33" i="2"/>
  <c r="W68" i="8" s="1"/>
  <c r="BB110" i="22"/>
  <c r="Y46" i="2"/>
  <c r="Y12" i="9" s="1"/>
  <c r="BB105" i="22"/>
  <c r="Y8" i="2"/>
  <c r="Y8" i="8" s="1"/>
  <c r="BA110" i="22"/>
  <c r="X46" i="2"/>
  <c r="X12" i="9" s="1"/>
  <c r="BC110" i="22"/>
  <c r="Z46" i="2"/>
  <c r="Z12" i="9" s="1"/>
  <c r="BB113" i="22"/>
  <c r="Y116" i="2"/>
  <c r="Y330" i="2" s="1"/>
  <c r="Y55" i="8" s="1"/>
  <c r="AZ105" i="22"/>
  <c r="W8" i="2"/>
  <c r="W8" i="8" s="1"/>
  <c r="AZ137" i="22"/>
  <c r="W142" i="2"/>
  <c r="AY31" i="22"/>
  <c r="V34" i="2"/>
  <c r="V69" i="8" s="1"/>
  <c r="BD105" i="22"/>
  <c r="AA8" i="2"/>
  <c r="AA8" i="8" s="1"/>
  <c r="BC137" i="22"/>
  <c r="Z142" i="2"/>
  <c r="AZ113" i="22"/>
  <c r="W116" i="2"/>
  <c r="W330" i="2" s="1"/>
  <c r="W55" i="8" s="1"/>
  <c r="BD113" i="22"/>
  <c r="AA116" i="2"/>
  <c r="AA330" i="2" s="1"/>
  <c r="AA55" i="8" s="1"/>
  <c r="BC113" i="22"/>
  <c r="Z116" i="2"/>
  <c r="Z330" i="2" s="1"/>
  <c r="Z55" i="8" s="1"/>
  <c r="BA113" i="22"/>
  <c r="X116" i="2"/>
  <c r="X330" i="2" s="1"/>
  <c r="X55" i="8" s="1"/>
  <c r="X142" i="2"/>
  <c r="BA137" i="22"/>
  <c r="BD137" i="22"/>
  <c r="AA142" i="2"/>
  <c r="AE163" i="8"/>
  <c r="AF163" i="8"/>
  <c r="V163" i="8"/>
  <c r="R82" i="2"/>
  <c r="R151" i="8" s="1"/>
  <c r="P110" i="2"/>
  <c r="P30" i="9" s="1"/>
  <c r="O158" i="2"/>
  <c r="N53" i="2"/>
  <c r="N44" i="8" s="1"/>
  <c r="R134" i="2"/>
  <c r="R130" i="8" s="1"/>
  <c r="O110" i="2"/>
  <c r="O30" i="9" s="1"/>
  <c r="M53" i="2"/>
  <c r="M44" i="8" s="1"/>
  <c r="K6" i="2"/>
  <c r="T6" i="2" s="1"/>
  <c r="AC6" i="2" s="1"/>
  <c r="L6" i="2"/>
  <c r="U6" i="2" s="1"/>
  <c r="AD6" i="2" s="1"/>
  <c r="K7" i="2"/>
  <c r="T7" i="2" s="1"/>
  <c r="AC7" i="2" s="1"/>
  <c r="L7" i="2"/>
  <c r="U7" i="2" s="1"/>
  <c r="AD7" i="2" s="1"/>
  <c r="K8" i="2"/>
  <c r="T8" i="2" s="1"/>
  <c r="AC8" i="2" s="1"/>
  <c r="L8" i="2"/>
  <c r="U8" i="2" s="1"/>
  <c r="AD8" i="2" s="1"/>
  <c r="K9" i="2"/>
  <c r="T9" i="2" s="1"/>
  <c r="AC9" i="2" s="1"/>
  <c r="L9" i="2"/>
  <c r="U9" i="2" s="1"/>
  <c r="AD9" i="2" s="1"/>
  <c r="K10" i="2"/>
  <c r="T10" i="2" s="1"/>
  <c r="AC10" i="2" s="1"/>
  <c r="L10" i="2"/>
  <c r="U10" i="2" s="1"/>
  <c r="AD10" i="2" s="1"/>
  <c r="K11" i="2"/>
  <c r="T11" i="2" s="1"/>
  <c r="AC11" i="2" s="1"/>
  <c r="L11" i="2"/>
  <c r="U11" i="2" s="1"/>
  <c r="AD11" i="2" s="1"/>
  <c r="K12" i="2"/>
  <c r="T12" i="2" s="1"/>
  <c r="AC12" i="2" s="1"/>
  <c r="L12" i="2"/>
  <c r="U12" i="2" s="1"/>
  <c r="AD12" i="2" s="1"/>
  <c r="K13" i="2"/>
  <c r="T13" i="2" s="1"/>
  <c r="AC13" i="2" s="1"/>
  <c r="L13" i="2"/>
  <c r="U13" i="2" s="1"/>
  <c r="AD13" i="2" s="1"/>
  <c r="K14" i="2"/>
  <c r="T14" i="2" s="1"/>
  <c r="AC14" i="2" s="1"/>
  <c r="L14" i="2"/>
  <c r="U14" i="2" s="1"/>
  <c r="AD14" i="2" s="1"/>
  <c r="K15" i="2"/>
  <c r="T15" i="2" s="1"/>
  <c r="AC15" i="2" s="1"/>
  <c r="L15" i="2"/>
  <c r="U15" i="2" s="1"/>
  <c r="AD15" i="2" s="1"/>
  <c r="K16" i="2"/>
  <c r="T16" i="2" s="1"/>
  <c r="AC16" i="2" s="1"/>
  <c r="L16" i="2"/>
  <c r="U16" i="2" s="1"/>
  <c r="AD16" i="2" s="1"/>
  <c r="K17" i="2"/>
  <c r="T17" i="2" s="1"/>
  <c r="AC17" i="2" s="1"/>
  <c r="L17" i="2"/>
  <c r="U17" i="2" s="1"/>
  <c r="AD17" i="2" s="1"/>
  <c r="K18" i="2"/>
  <c r="T18" i="2" s="1"/>
  <c r="AC18" i="2" s="1"/>
  <c r="L18" i="2"/>
  <c r="U18" i="2" s="1"/>
  <c r="AD18" i="2" s="1"/>
  <c r="K19" i="2"/>
  <c r="T19" i="2" s="1"/>
  <c r="AC19" i="2" s="1"/>
  <c r="L19" i="2"/>
  <c r="U19" i="2" s="1"/>
  <c r="AD19" i="2" s="1"/>
  <c r="K20" i="2"/>
  <c r="T20" i="2" s="1"/>
  <c r="AC20" i="2" s="1"/>
  <c r="L20" i="2"/>
  <c r="U20" i="2" s="1"/>
  <c r="AD20" i="2" s="1"/>
  <c r="K21" i="2"/>
  <c r="T21" i="2" s="1"/>
  <c r="AC21" i="2" s="1"/>
  <c r="L21" i="2"/>
  <c r="U21" i="2" s="1"/>
  <c r="AD21" i="2" s="1"/>
  <c r="K22" i="2"/>
  <c r="T22" i="2" s="1"/>
  <c r="AC22" i="2" s="1"/>
  <c r="L22" i="2"/>
  <c r="U22" i="2" s="1"/>
  <c r="AD22" i="2" s="1"/>
  <c r="K23" i="2"/>
  <c r="T23" i="2" s="1"/>
  <c r="AC23" i="2" s="1"/>
  <c r="L23" i="2"/>
  <c r="U23" i="2" s="1"/>
  <c r="AD23" i="2" s="1"/>
  <c r="K24" i="2"/>
  <c r="T24" i="2" s="1"/>
  <c r="AC24" i="2" s="1"/>
  <c r="L24" i="2"/>
  <c r="U24" i="2" s="1"/>
  <c r="AD24" i="2" s="1"/>
  <c r="K25" i="2"/>
  <c r="T25" i="2" s="1"/>
  <c r="AC25" i="2" s="1"/>
  <c r="L25" i="2"/>
  <c r="U25" i="2" s="1"/>
  <c r="AD25" i="2" s="1"/>
  <c r="K26" i="2"/>
  <c r="T26" i="2" s="1"/>
  <c r="AC26" i="2" s="1"/>
  <c r="L26" i="2"/>
  <c r="U26" i="2" s="1"/>
  <c r="AD26" i="2" s="1"/>
  <c r="K27" i="2"/>
  <c r="T27" i="2" s="1"/>
  <c r="AC27" i="2" s="1"/>
  <c r="L27" i="2"/>
  <c r="U27" i="2" s="1"/>
  <c r="AD27" i="2" s="1"/>
  <c r="K28" i="2"/>
  <c r="T28" i="2" s="1"/>
  <c r="AC28" i="2" s="1"/>
  <c r="L28" i="2"/>
  <c r="U28" i="2" s="1"/>
  <c r="AD28" i="2" s="1"/>
  <c r="K29" i="2"/>
  <c r="T29" i="2" s="1"/>
  <c r="AC29" i="2" s="1"/>
  <c r="L29" i="2"/>
  <c r="U29" i="2" s="1"/>
  <c r="AD29" i="2" s="1"/>
  <c r="K30" i="2"/>
  <c r="T30" i="2" s="1"/>
  <c r="AC30" i="2" s="1"/>
  <c r="L30" i="2"/>
  <c r="U30" i="2" s="1"/>
  <c r="AD30" i="2" s="1"/>
  <c r="K31" i="2"/>
  <c r="T31" i="2" s="1"/>
  <c r="AC31" i="2" s="1"/>
  <c r="L31" i="2"/>
  <c r="U31" i="2" s="1"/>
  <c r="AD31" i="2" s="1"/>
  <c r="K32" i="2"/>
  <c r="T32" i="2" s="1"/>
  <c r="AC32" i="2" s="1"/>
  <c r="L32" i="2"/>
  <c r="U32" i="2" s="1"/>
  <c r="AD32" i="2" s="1"/>
  <c r="K33" i="2"/>
  <c r="T33" i="2" s="1"/>
  <c r="AC33" i="2" s="1"/>
  <c r="L33" i="2"/>
  <c r="U33" i="2" s="1"/>
  <c r="AD33" i="2" s="1"/>
  <c r="K34" i="2"/>
  <c r="T34" i="2" s="1"/>
  <c r="AC34" i="2" s="1"/>
  <c r="L34" i="2"/>
  <c r="U34" i="2" s="1"/>
  <c r="AD34" i="2" s="1"/>
  <c r="K35" i="2"/>
  <c r="T35" i="2" s="1"/>
  <c r="AC35" i="2" s="1"/>
  <c r="L35" i="2"/>
  <c r="U35" i="2" s="1"/>
  <c r="AD35" i="2" s="1"/>
  <c r="K36" i="2"/>
  <c r="T36" i="2" s="1"/>
  <c r="AC36" i="2" s="1"/>
  <c r="L36" i="2"/>
  <c r="U36" i="2" s="1"/>
  <c r="AD36" i="2" s="1"/>
  <c r="K37" i="2"/>
  <c r="T37" i="2" s="1"/>
  <c r="AC37" i="2" s="1"/>
  <c r="L37" i="2"/>
  <c r="U37" i="2" s="1"/>
  <c r="AD37" i="2" s="1"/>
  <c r="K38" i="2"/>
  <c r="T38" i="2" s="1"/>
  <c r="AC38" i="2" s="1"/>
  <c r="L38" i="2"/>
  <c r="U38" i="2" s="1"/>
  <c r="AD38" i="2" s="1"/>
  <c r="K39" i="2"/>
  <c r="T39" i="2" s="1"/>
  <c r="AC39" i="2" s="1"/>
  <c r="L39" i="2"/>
  <c r="U39" i="2" s="1"/>
  <c r="AD39" i="2" s="1"/>
  <c r="K40" i="2"/>
  <c r="T40" i="2" s="1"/>
  <c r="AC40" i="2" s="1"/>
  <c r="L40" i="2"/>
  <c r="U40" i="2" s="1"/>
  <c r="AD40" i="2" s="1"/>
  <c r="K41" i="2"/>
  <c r="T41" i="2" s="1"/>
  <c r="AC41" i="2" s="1"/>
  <c r="L41" i="2"/>
  <c r="U41" i="2" s="1"/>
  <c r="AD41" i="2" s="1"/>
  <c r="K42" i="2"/>
  <c r="T42" i="2" s="1"/>
  <c r="AC42" i="2" s="1"/>
  <c r="L42" i="2"/>
  <c r="U42" i="2" s="1"/>
  <c r="AD42" i="2" s="1"/>
  <c r="K43" i="2"/>
  <c r="T43" i="2" s="1"/>
  <c r="AC43" i="2" s="1"/>
  <c r="L43" i="2"/>
  <c r="U43" i="2" s="1"/>
  <c r="AD43" i="2" s="1"/>
  <c r="K44" i="2"/>
  <c r="T44" i="2" s="1"/>
  <c r="AC44" i="2" s="1"/>
  <c r="L44" i="2"/>
  <c r="U44" i="2" s="1"/>
  <c r="AD44" i="2" s="1"/>
  <c r="K45" i="2"/>
  <c r="T45" i="2" s="1"/>
  <c r="AC45" i="2" s="1"/>
  <c r="L45" i="2"/>
  <c r="U45" i="2" s="1"/>
  <c r="AD45" i="2" s="1"/>
  <c r="K46" i="2"/>
  <c r="T46" i="2" s="1"/>
  <c r="AC46" i="2" s="1"/>
  <c r="L46" i="2"/>
  <c r="U46" i="2" s="1"/>
  <c r="AD46" i="2" s="1"/>
  <c r="K47" i="2"/>
  <c r="T47" i="2" s="1"/>
  <c r="AC47" i="2" s="1"/>
  <c r="L47" i="2"/>
  <c r="U47" i="2" s="1"/>
  <c r="AD47" i="2" s="1"/>
  <c r="K48" i="2"/>
  <c r="T48" i="2" s="1"/>
  <c r="AC48" i="2" s="1"/>
  <c r="L48" i="2"/>
  <c r="U48" i="2" s="1"/>
  <c r="AD48" i="2" s="1"/>
  <c r="K49" i="2"/>
  <c r="T49" i="2" s="1"/>
  <c r="AC49" i="2" s="1"/>
  <c r="L49" i="2"/>
  <c r="U49" i="2" s="1"/>
  <c r="AD49" i="2" s="1"/>
  <c r="K50" i="2"/>
  <c r="T50" i="2" s="1"/>
  <c r="AC50" i="2" s="1"/>
  <c r="L50" i="2"/>
  <c r="U50" i="2" s="1"/>
  <c r="AD50" i="2" s="1"/>
  <c r="K51" i="2"/>
  <c r="T51" i="2" s="1"/>
  <c r="AC51" i="2" s="1"/>
  <c r="L51" i="2"/>
  <c r="U51" i="2" s="1"/>
  <c r="AD51" i="2" s="1"/>
  <c r="K52" i="2"/>
  <c r="T52" i="2" s="1"/>
  <c r="AC52" i="2" s="1"/>
  <c r="L52" i="2"/>
  <c r="U52" i="2" s="1"/>
  <c r="AD52" i="2" s="1"/>
  <c r="K53" i="2"/>
  <c r="T53" i="2" s="1"/>
  <c r="AC53" i="2" s="1"/>
  <c r="L53" i="2"/>
  <c r="U53" i="2" s="1"/>
  <c r="AD53" i="2" s="1"/>
  <c r="K54" i="2"/>
  <c r="T54" i="2" s="1"/>
  <c r="AC54" i="2" s="1"/>
  <c r="L54" i="2"/>
  <c r="U54" i="2" s="1"/>
  <c r="AD54" i="2" s="1"/>
  <c r="K55" i="2"/>
  <c r="T55" i="2" s="1"/>
  <c r="AC55" i="2" s="1"/>
  <c r="L55" i="2"/>
  <c r="U55" i="2" s="1"/>
  <c r="AD55" i="2" s="1"/>
  <c r="K56" i="2"/>
  <c r="T56" i="2" s="1"/>
  <c r="AC56" i="2" s="1"/>
  <c r="L56" i="2"/>
  <c r="U56" i="2" s="1"/>
  <c r="AD56" i="2" s="1"/>
  <c r="K57" i="2"/>
  <c r="T57" i="2" s="1"/>
  <c r="AC57" i="2" s="1"/>
  <c r="L57" i="2"/>
  <c r="U57" i="2" s="1"/>
  <c r="AD57" i="2" s="1"/>
  <c r="K58" i="2"/>
  <c r="T58" i="2" s="1"/>
  <c r="AC58" i="2" s="1"/>
  <c r="L58" i="2"/>
  <c r="U58" i="2" s="1"/>
  <c r="AD58" i="2" s="1"/>
  <c r="K59" i="2"/>
  <c r="T59" i="2" s="1"/>
  <c r="AC59" i="2" s="1"/>
  <c r="L59" i="2"/>
  <c r="U59" i="2" s="1"/>
  <c r="AD59" i="2" s="1"/>
  <c r="K60" i="2"/>
  <c r="T60" i="2" s="1"/>
  <c r="AC60" i="2" s="1"/>
  <c r="L60" i="2"/>
  <c r="U60" i="2" s="1"/>
  <c r="AD60" i="2" s="1"/>
  <c r="K61" i="2"/>
  <c r="T61" i="2" s="1"/>
  <c r="AC61" i="2" s="1"/>
  <c r="L61" i="2"/>
  <c r="U61" i="2" s="1"/>
  <c r="AD61" i="2" s="1"/>
  <c r="K62" i="2"/>
  <c r="T62" i="2" s="1"/>
  <c r="AC62" i="2" s="1"/>
  <c r="L62" i="2"/>
  <c r="U62" i="2" s="1"/>
  <c r="AD62" i="2" s="1"/>
  <c r="K63" i="2"/>
  <c r="T63" i="2" s="1"/>
  <c r="AC63" i="2" s="1"/>
  <c r="L63" i="2"/>
  <c r="U63" i="2" s="1"/>
  <c r="AD63" i="2" s="1"/>
  <c r="K64" i="2"/>
  <c r="T64" i="2" s="1"/>
  <c r="AC64" i="2" s="1"/>
  <c r="L64" i="2"/>
  <c r="U64" i="2" s="1"/>
  <c r="AD64" i="2" s="1"/>
  <c r="K65" i="2"/>
  <c r="T65" i="2" s="1"/>
  <c r="AC65" i="2" s="1"/>
  <c r="L65" i="2"/>
  <c r="U65" i="2" s="1"/>
  <c r="AD65" i="2" s="1"/>
  <c r="K66" i="2"/>
  <c r="T66" i="2" s="1"/>
  <c r="AC66" i="2" s="1"/>
  <c r="L66" i="2"/>
  <c r="U66" i="2" s="1"/>
  <c r="AD66" i="2" s="1"/>
  <c r="K67" i="2"/>
  <c r="T67" i="2" s="1"/>
  <c r="AC67" i="2" s="1"/>
  <c r="L67" i="2"/>
  <c r="U67" i="2" s="1"/>
  <c r="AD67" i="2" s="1"/>
  <c r="K68" i="2"/>
  <c r="T68" i="2" s="1"/>
  <c r="AC68" i="2" s="1"/>
  <c r="L68" i="2"/>
  <c r="U68" i="2" s="1"/>
  <c r="AD68" i="2" s="1"/>
  <c r="K69" i="2"/>
  <c r="T69" i="2" s="1"/>
  <c r="AC69" i="2" s="1"/>
  <c r="L69" i="2"/>
  <c r="U69" i="2" s="1"/>
  <c r="AD69" i="2" s="1"/>
  <c r="K70" i="2"/>
  <c r="T70" i="2" s="1"/>
  <c r="AC70" i="2" s="1"/>
  <c r="L70" i="2"/>
  <c r="U70" i="2" s="1"/>
  <c r="AD70" i="2" s="1"/>
  <c r="K71" i="2"/>
  <c r="T71" i="2" s="1"/>
  <c r="AC71" i="2" s="1"/>
  <c r="L71" i="2"/>
  <c r="U71" i="2" s="1"/>
  <c r="AD71" i="2" s="1"/>
  <c r="K72" i="2"/>
  <c r="T72" i="2" s="1"/>
  <c r="AC72" i="2" s="1"/>
  <c r="L72" i="2"/>
  <c r="U72" i="2" s="1"/>
  <c r="AD72" i="2" s="1"/>
  <c r="K73" i="2"/>
  <c r="T73" i="2" s="1"/>
  <c r="AC73" i="2" s="1"/>
  <c r="L73" i="2"/>
  <c r="U73" i="2" s="1"/>
  <c r="AD73" i="2" s="1"/>
  <c r="K74" i="2"/>
  <c r="T74" i="2" s="1"/>
  <c r="AC74" i="2" s="1"/>
  <c r="L74" i="2"/>
  <c r="U74" i="2" s="1"/>
  <c r="AD74" i="2" s="1"/>
  <c r="K75" i="2"/>
  <c r="T75" i="2" s="1"/>
  <c r="AC75" i="2" s="1"/>
  <c r="L75" i="2"/>
  <c r="U75" i="2" s="1"/>
  <c r="AD75" i="2" s="1"/>
  <c r="K76" i="2"/>
  <c r="T76" i="2" s="1"/>
  <c r="AC76" i="2" s="1"/>
  <c r="L76" i="2"/>
  <c r="U76" i="2" s="1"/>
  <c r="AD76" i="2" s="1"/>
  <c r="K77" i="2"/>
  <c r="T77" i="2" s="1"/>
  <c r="AC77" i="2" s="1"/>
  <c r="L77" i="2"/>
  <c r="U77" i="2" s="1"/>
  <c r="AD77" i="2" s="1"/>
  <c r="K78" i="2"/>
  <c r="T78" i="2" s="1"/>
  <c r="AC78" i="2" s="1"/>
  <c r="L78" i="2"/>
  <c r="U78" i="2" s="1"/>
  <c r="AD78" i="2" s="1"/>
  <c r="K79" i="2"/>
  <c r="T79" i="2" s="1"/>
  <c r="AC79" i="2" s="1"/>
  <c r="L79" i="2"/>
  <c r="U79" i="2" s="1"/>
  <c r="AD79" i="2" s="1"/>
  <c r="K80" i="2"/>
  <c r="T80" i="2" s="1"/>
  <c r="AC80" i="2" s="1"/>
  <c r="L80" i="2"/>
  <c r="U80" i="2" s="1"/>
  <c r="AD80" i="2" s="1"/>
  <c r="K81" i="2"/>
  <c r="T81" i="2" s="1"/>
  <c r="AC81" i="2" s="1"/>
  <c r="L81" i="2"/>
  <c r="U81" i="2" s="1"/>
  <c r="AD81" i="2" s="1"/>
  <c r="K82" i="2"/>
  <c r="T82" i="2" s="1"/>
  <c r="AC82" i="2" s="1"/>
  <c r="L82" i="2"/>
  <c r="U82" i="2" s="1"/>
  <c r="AD82" i="2" s="1"/>
  <c r="K83" i="2"/>
  <c r="T83" i="2" s="1"/>
  <c r="AC83" i="2" s="1"/>
  <c r="L83" i="2"/>
  <c r="U83" i="2" s="1"/>
  <c r="AD83" i="2" s="1"/>
  <c r="K84" i="2"/>
  <c r="T84" i="2" s="1"/>
  <c r="AC84" i="2" s="1"/>
  <c r="L84" i="2"/>
  <c r="U84" i="2" s="1"/>
  <c r="AD84" i="2" s="1"/>
  <c r="K85" i="2"/>
  <c r="T85" i="2" s="1"/>
  <c r="AC85" i="2" s="1"/>
  <c r="L85" i="2"/>
  <c r="U85" i="2" s="1"/>
  <c r="AD85" i="2" s="1"/>
  <c r="K86" i="2"/>
  <c r="T86" i="2" s="1"/>
  <c r="AC86" i="2" s="1"/>
  <c r="L86" i="2"/>
  <c r="U86" i="2" s="1"/>
  <c r="AD86" i="2" s="1"/>
  <c r="K87" i="2"/>
  <c r="T87" i="2" s="1"/>
  <c r="AC87" i="2" s="1"/>
  <c r="L87" i="2"/>
  <c r="U87" i="2" s="1"/>
  <c r="AD87" i="2" s="1"/>
  <c r="K88" i="2"/>
  <c r="T88" i="2" s="1"/>
  <c r="AC88" i="2" s="1"/>
  <c r="L88" i="2"/>
  <c r="U88" i="2" s="1"/>
  <c r="AD88" i="2" s="1"/>
  <c r="K89" i="2"/>
  <c r="T89" i="2" s="1"/>
  <c r="AC89" i="2" s="1"/>
  <c r="L89" i="2"/>
  <c r="U89" i="2" s="1"/>
  <c r="AD89" i="2" s="1"/>
  <c r="K90" i="2"/>
  <c r="T90" i="2" s="1"/>
  <c r="AC90" i="2" s="1"/>
  <c r="L90" i="2"/>
  <c r="U90" i="2" s="1"/>
  <c r="AD90" i="2" s="1"/>
  <c r="K91" i="2"/>
  <c r="T91" i="2" s="1"/>
  <c r="AC91" i="2" s="1"/>
  <c r="L91" i="2"/>
  <c r="U91" i="2" s="1"/>
  <c r="AD91" i="2" s="1"/>
  <c r="K92" i="2"/>
  <c r="T92" i="2" s="1"/>
  <c r="AC92" i="2" s="1"/>
  <c r="L92" i="2"/>
  <c r="U92" i="2" s="1"/>
  <c r="AD92" i="2" s="1"/>
  <c r="K93" i="2"/>
  <c r="T93" i="2" s="1"/>
  <c r="AC93" i="2" s="1"/>
  <c r="L93" i="2"/>
  <c r="U93" i="2" s="1"/>
  <c r="AD93" i="2" s="1"/>
  <c r="K94" i="2"/>
  <c r="T94" i="2" s="1"/>
  <c r="AC94" i="2" s="1"/>
  <c r="L94" i="2"/>
  <c r="U94" i="2" s="1"/>
  <c r="AD94" i="2" s="1"/>
  <c r="K95" i="2"/>
  <c r="T95" i="2" s="1"/>
  <c r="AC95" i="2" s="1"/>
  <c r="L95" i="2"/>
  <c r="U95" i="2" s="1"/>
  <c r="AD95" i="2" s="1"/>
  <c r="K96" i="2"/>
  <c r="T96" i="2" s="1"/>
  <c r="AC96" i="2" s="1"/>
  <c r="L96" i="2"/>
  <c r="U96" i="2" s="1"/>
  <c r="AD96" i="2" s="1"/>
  <c r="K97" i="2"/>
  <c r="T97" i="2" s="1"/>
  <c r="AC97" i="2" s="1"/>
  <c r="L97" i="2"/>
  <c r="U97" i="2" s="1"/>
  <c r="AD97" i="2" s="1"/>
  <c r="K98" i="2"/>
  <c r="T98" i="2" s="1"/>
  <c r="AC98" i="2" s="1"/>
  <c r="L98" i="2"/>
  <c r="U98" i="2" s="1"/>
  <c r="AD98" i="2" s="1"/>
  <c r="K99" i="2"/>
  <c r="T99" i="2" s="1"/>
  <c r="AC99" i="2" s="1"/>
  <c r="L99" i="2"/>
  <c r="U99" i="2" s="1"/>
  <c r="AD99" i="2" s="1"/>
  <c r="K100" i="2"/>
  <c r="T100" i="2" s="1"/>
  <c r="AC100" i="2" s="1"/>
  <c r="L100" i="2"/>
  <c r="U100" i="2" s="1"/>
  <c r="AD100" i="2" s="1"/>
  <c r="K101" i="2"/>
  <c r="T101" i="2" s="1"/>
  <c r="AC101" i="2" s="1"/>
  <c r="L101" i="2"/>
  <c r="U101" i="2" s="1"/>
  <c r="AD101" i="2" s="1"/>
  <c r="K102" i="2"/>
  <c r="T102" i="2" s="1"/>
  <c r="AC102" i="2" s="1"/>
  <c r="L102" i="2"/>
  <c r="U102" i="2" s="1"/>
  <c r="AD102" i="2" s="1"/>
  <c r="K103" i="2"/>
  <c r="T103" i="2" s="1"/>
  <c r="AC103" i="2" s="1"/>
  <c r="L103" i="2"/>
  <c r="U103" i="2" s="1"/>
  <c r="AD103" i="2" s="1"/>
  <c r="K104" i="2"/>
  <c r="T104" i="2" s="1"/>
  <c r="AC104" i="2" s="1"/>
  <c r="L104" i="2"/>
  <c r="U104" i="2" s="1"/>
  <c r="AD104" i="2" s="1"/>
  <c r="K105" i="2"/>
  <c r="T105" i="2" s="1"/>
  <c r="AC105" i="2" s="1"/>
  <c r="L105" i="2"/>
  <c r="U105" i="2" s="1"/>
  <c r="AD105" i="2" s="1"/>
  <c r="K106" i="2"/>
  <c r="T106" i="2" s="1"/>
  <c r="AC106" i="2" s="1"/>
  <c r="L106" i="2"/>
  <c r="U106" i="2" s="1"/>
  <c r="AD106" i="2" s="1"/>
  <c r="K107" i="2"/>
  <c r="T107" i="2" s="1"/>
  <c r="AC107" i="2" s="1"/>
  <c r="L107" i="2"/>
  <c r="U107" i="2" s="1"/>
  <c r="AD107" i="2" s="1"/>
  <c r="K108" i="2"/>
  <c r="T108" i="2" s="1"/>
  <c r="AC108" i="2" s="1"/>
  <c r="L108" i="2"/>
  <c r="U108" i="2" s="1"/>
  <c r="AD108" i="2" s="1"/>
  <c r="K109" i="2"/>
  <c r="T109" i="2" s="1"/>
  <c r="AC109" i="2" s="1"/>
  <c r="L109" i="2"/>
  <c r="U109" i="2" s="1"/>
  <c r="AD109" i="2" s="1"/>
  <c r="K110" i="2"/>
  <c r="T110" i="2" s="1"/>
  <c r="AC110" i="2" s="1"/>
  <c r="L110" i="2"/>
  <c r="U110" i="2" s="1"/>
  <c r="AD110" i="2" s="1"/>
  <c r="K111" i="2"/>
  <c r="T111" i="2" s="1"/>
  <c r="AC111" i="2" s="1"/>
  <c r="L111" i="2"/>
  <c r="U111" i="2" s="1"/>
  <c r="AD111" i="2" s="1"/>
  <c r="K112" i="2"/>
  <c r="T112" i="2" s="1"/>
  <c r="AC112" i="2" s="1"/>
  <c r="L112" i="2"/>
  <c r="U112" i="2" s="1"/>
  <c r="AD112" i="2" s="1"/>
  <c r="K113" i="2"/>
  <c r="T113" i="2" s="1"/>
  <c r="AC113" i="2" s="1"/>
  <c r="L113" i="2"/>
  <c r="U113" i="2" s="1"/>
  <c r="AD113" i="2" s="1"/>
  <c r="K114" i="2"/>
  <c r="T114" i="2" s="1"/>
  <c r="AC114" i="2" s="1"/>
  <c r="L114" i="2"/>
  <c r="U114" i="2" s="1"/>
  <c r="AD114" i="2" s="1"/>
  <c r="K115" i="2"/>
  <c r="T115" i="2" s="1"/>
  <c r="AC115" i="2" s="1"/>
  <c r="L115" i="2"/>
  <c r="U115" i="2" s="1"/>
  <c r="AD115" i="2" s="1"/>
  <c r="K116" i="2"/>
  <c r="T116" i="2" s="1"/>
  <c r="AC116" i="2" s="1"/>
  <c r="L116" i="2"/>
  <c r="U116" i="2" s="1"/>
  <c r="AD116" i="2" s="1"/>
  <c r="K117" i="2"/>
  <c r="T117" i="2" s="1"/>
  <c r="AC117" i="2" s="1"/>
  <c r="L117" i="2"/>
  <c r="U117" i="2" s="1"/>
  <c r="AD117" i="2" s="1"/>
  <c r="K118" i="2"/>
  <c r="T118" i="2" s="1"/>
  <c r="AC118" i="2" s="1"/>
  <c r="L118" i="2"/>
  <c r="U118" i="2" s="1"/>
  <c r="AD118" i="2" s="1"/>
  <c r="K119" i="2"/>
  <c r="T119" i="2" s="1"/>
  <c r="AC119" i="2" s="1"/>
  <c r="L119" i="2"/>
  <c r="U119" i="2" s="1"/>
  <c r="AD119" i="2" s="1"/>
  <c r="K120" i="2"/>
  <c r="T120" i="2" s="1"/>
  <c r="AC120" i="2" s="1"/>
  <c r="L120" i="2"/>
  <c r="U120" i="2" s="1"/>
  <c r="AD120" i="2" s="1"/>
  <c r="K121" i="2"/>
  <c r="T121" i="2" s="1"/>
  <c r="AC121" i="2" s="1"/>
  <c r="L121" i="2"/>
  <c r="U121" i="2" s="1"/>
  <c r="AD121" i="2" s="1"/>
  <c r="K122" i="2"/>
  <c r="T122" i="2" s="1"/>
  <c r="AC122" i="2" s="1"/>
  <c r="L122" i="2"/>
  <c r="U122" i="2" s="1"/>
  <c r="AD122" i="2" s="1"/>
  <c r="K123" i="2"/>
  <c r="T123" i="2" s="1"/>
  <c r="AC123" i="2" s="1"/>
  <c r="L123" i="2"/>
  <c r="U123" i="2" s="1"/>
  <c r="AD123" i="2" s="1"/>
  <c r="K124" i="2"/>
  <c r="T124" i="2" s="1"/>
  <c r="AC124" i="2" s="1"/>
  <c r="L124" i="2"/>
  <c r="U124" i="2" s="1"/>
  <c r="AD124" i="2" s="1"/>
  <c r="K125" i="2"/>
  <c r="T125" i="2" s="1"/>
  <c r="AC125" i="2" s="1"/>
  <c r="L125" i="2"/>
  <c r="U125" i="2" s="1"/>
  <c r="AD125" i="2" s="1"/>
  <c r="K126" i="2"/>
  <c r="T126" i="2" s="1"/>
  <c r="AC126" i="2" s="1"/>
  <c r="L126" i="2"/>
  <c r="U126" i="2" s="1"/>
  <c r="AD126" i="2" s="1"/>
  <c r="K127" i="2"/>
  <c r="T127" i="2" s="1"/>
  <c r="AC127" i="2" s="1"/>
  <c r="L127" i="2"/>
  <c r="U127" i="2" s="1"/>
  <c r="AD127" i="2" s="1"/>
  <c r="K128" i="2"/>
  <c r="T128" i="2" s="1"/>
  <c r="AC128" i="2" s="1"/>
  <c r="L128" i="2"/>
  <c r="U128" i="2" s="1"/>
  <c r="AD128" i="2" s="1"/>
  <c r="K129" i="2"/>
  <c r="T129" i="2" s="1"/>
  <c r="AC129" i="2" s="1"/>
  <c r="L129" i="2"/>
  <c r="U129" i="2" s="1"/>
  <c r="AD129" i="2" s="1"/>
  <c r="K130" i="2"/>
  <c r="T130" i="2" s="1"/>
  <c r="AC130" i="2" s="1"/>
  <c r="L130" i="2"/>
  <c r="U130" i="2" s="1"/>
  <c r="AD130" i="2" s="1"/>
  <c r="K131" i="2"/>
  <c r="T131" i="2" s="1"/>
  <c r="AC131" i="2" s="1"/>
  <c r="L131" i="2"/>
  <c r="U131" i="2" s="1"/>
  <c r="AD131" i="2" s="1"/>
  <c r="K132" i="2"/>
  <c r="T132" i="2" s="1"/>
  <c r="AC132" i="2" s="1"/>
  <c r="L132" i="2"/>
  <c r="U132" i="2" s="1"/>
  <c r="AD132" i="2" s="1"/>
  <c r="K133" i="2"/>
  <c r="T133" i="2" s="1"/>
  <c r="AC133" i="2" s="1"/>
  <c r="L133" i="2"/>
  <c r="U133" i="2" s="1"/>
  <c r="AD133" i="2" s="1"/>
  <c r="K134" i="2"/>
  <c r="T134" i="2" s="1"/>
  <c r="AC134" i="2" s="1"/>
  <c r="L134" i="2"/>
  <c r="U134" i="2" s="1"/>
  <c r="AD134" i="2" s="1"/>
  <c r="K135" i="2"/>
  <c r="T135" i="2" s="1"/>
  <c r="AC135" i="2" s="1"/>
  <c r="L135" i="2"/>
  <c r="U135" i="2" s="1"/>
  <c r="AD135" i="2" s="1"/>
  <c r="K136" i="2"/>
  <c r="T136" i="2" s="1"/>
  <c r="AC136" i="2" s="1"/>
  <c r="L136" i="2"/>
  <c r="U136" i="2" s="1"/>
  <c r="AD136" i="2" s="1"/>
  <c r="K137" i="2"/>
  <c r="T137" i="2" s="1"/>
  <c r="AC137" i="2" s="1"/>
  <c r="L137" i="2"/>
  <c r="U137" i="2" s="1"/>
  <c r="AD137" i="2" s="1"/>
  <c r="K138" i="2"/>
  <c r="T138" i="2" s="1"/>
  <c r="AC138" i="2" s="1"/>
  <c r="L138" i="2"/>
  <c r="U138" i="2" s="1"/>
  <c r="AD138" i="2" s="1"/>
  <c r="K139" i="2"/>
  <c r="T139" i="2" s="1"/>
  <c r="AC139" i="2" s="1"/>
  <c r="L139" i="2"/>
  <c r="U139" i="2" s="1"/>
  <c r="AD139" i="2" s="1"/>
  <c r="K140" i="2"/>
  <c r="T140" i="2" s="1"/>
  <c r="AC140" i="2" s="1"/>
  <c r="L140" i="2"/>
  <c r="U140" i="2" s="1"/>
  <c r="AD140" i="2" s="1"/>
  <c r="K141" i="2"/>
  <c r="T141" i="2" s="1"/>
  <c r="AC141" i="2" s="1"/>
  <c r="L141" i="2"/>
  <c r="U141" i="2" s="1"/>
  <c r="AD141" i="2" s="1"/>
  <c r="K142" i="2"/>
  <c r="T142" i="2" s="1"/>
  <c r="AC142" i="2" s="1"/>
  <c r="L142" i="2"/>
  <c r="U142" i="2" s="1"/>
  <c r="AD142" i="2" s="1"/>
  <c r="K143" i="2"/>
  <c r="T143" i="2" s="1"/>
  <c r="AC143" i="2" s="1"/>
  <c r="L143" i="2"/>
  <c r="U143" i="2" s="1"/>
  <c r="AD143" i="2" s="1"/>
  <c r="K144" i="2"/>
  <c r="T144" i="2" s="1"/>
  <c r="AC144" i="2" s="1"/>
  <c r="L144" i="2"/>
  <c r="U144" i="2" s="1"/>
  <c r="AD144" i="2" s="1"/>
  <c r="K145" i="2"/>
  <c r="T145" i="2" s="1"/>
  <c r="AC145" i="2" s="1"/>
  <c r="L145" i="2"/>
  <c r="U145" i="2" s="1"/>
  <c r="AD145" i="2" s="1"/>
  <c r="K146" i="2"/>
  <c r="T146" i="2" s="1"/>
  <c r="AC146" i="2" s="1"/>
  <c r="L146" i="2"/>
  <c r="U146" i="2" s="1"/>
  <c r="AD146" i="2" s="1"/>
  <c r="K147" i="2"/>
  <c r="T147" i="2" s="1"/>
  <c r="AC147" i="2" s="1"/>
  <c r="L147" i="2"/>
  <c r="U147" i="2" s="1"/>
  <c r="AD147" i="2" s="1"/>
  <c r="K148" i="2"/>
  <c r="T148" i="2" s="1"/>
  <c r="AC148" i="2" s="1"/>
  <c r="L148" i="2"/>
  <c r="U148" i="2" s="1"/>
  <c r="AD148" i="2" s="1"/>
  <c r="K149" i="2"/>
  <c r="T149" i="2" s="1"/>
  <c r="AC149" i="2" s="1"/>
  <c r="L149" i="2"/>
  <c r="U149" i="2" s="1"/>
  <c r="AD149" i="2" s="1"/>
  <c r="K150" i="2"/>
  <c r="T150" i="2" s="1"/>
  <c r="AC150" i="2" s="1"/>
  <c r="L150" i="2"/>
  <c r="U150" i="2" s="1"/>
  <c r="AD150" i="2" s="1"/>
  <c r="K151" i="2"/>
  <c r="T151" i="2" s="1"/>
  <c r="AC151" i="2" s="1"/>
  <c r="L151" i="2"/>
  <c r="U151" i="2" s="1"/>
  <c r="AD151" i="2" s="1"/>
  <c r="K152" i="2"/>
  <c r="T152" i="2" s="1"/>
  <c r="AC152" i="2" s="1"/>
  <c r="L152" i="2"/>
  <c r="U152" i="2" s="1"/>
  <c r="AD152" i="2" s="1"/>
  <c r="K153" i="2"/>
  <c r="T153" i="2" s="1"/>
  <c r="AC153" i="2" s="1"/>
  <c r="L153" i="2"/>
  <c r="U153" i="2" s="1"/>
  <c r="AD153" i="2" s="1"/>
  <c r="K154" i="2"/>
  <c r="T154" i="2" s="1"/>
  <c r="AC154" i="2" s="1"/>
  <c r="L154" i="2"/>
  <c r="U154" i="2" s="1"/>
  <c r="AD154" i="2" s="1"/>
  <c r="K155" i="2"/>
  <c r="T155" i="2" s="1"/>
  <c r="AC155" i="2" s="1"/>
  <c r="L155" i="2"/>
  <c r="U155" i="2" s="1"/>
  <c r="AD155" i="2" s="1"/>
  <c r="K156" i="2"/>
  <c r="T156" i="2" s="1"/>
  <c r="AC156" i="2" s="1"/>
  <c r="L156" i="2"/>
  <c r="U156" i="2" s="1"/>
  <c r="AD156" i="2" s="1"/>
  <c r="K157" i="2"/>
  <c r="T157" i="2" s="1"/>
  <c r="AC157" i="2" s="1"/>
  <c r="L157" i="2"/>
  <c r="U157" i="2" s="1"/>
  <c r="AD157" i="2" s="1"/>
  <c r="K158" i="2"/>
  <c r="T158" i="2" s="1"/>
  <c r="AC158" i="2" s="1"/>
  <c r="L158" i="2"/>
  <c r="U158" i="2" s="1"/>
  <c r="AD158" i="2" s="1"/>
  <c r="K159" i="2"/>
  <c r="T159" i="2" s="1"/>
  <c r="AC159" i="2" s="1"/>
  <c r="L159" i="2"/>
  <c r="U159" i="2" s="1"/>
  <c r="AD159" i="2" s="1"/>
  <c r="K160" i="2"/>
  <c r="T160" i="2" s="1"/>
  <c r="AC160" i="2" s="1"/>
  <c r="L160" i="2"/>
  <c r="U160" i="2" s="1"/>
  <c r="AD160" i="2" s="1"/>
  <c r="K161" i="2"/>
  <c r="T161" i="2" s="1"/>
  <c r="AC161" i="2" s="1"/>
  <c r="L161" i="2"/>
  <c r="U161" i="2" s="1"/>
  <c r="AD161" i="2" s="1"/>
  <c r="R3" i="11"/>
  <c r="AA3" i="11" s="1"/>
  <c r="AJ3" i="11" s="1"/>
  <c r="Q3" i="11"/>
  <c r="Z3" i="11" s="1"/>
  <c r="AI3" i="11" s="1"/>
  <c r="P3" i="11"/>
  <c r="Y3" i="11" s="1"/>
  <c r="AH3" i="11" s="1"/>
  <c r="O3" i="11"/>
  <c r="X3" i="11" s="1"/>
  <c r="AG3" i="11" s="1"/>
  <c r="N3" i="11"/>
  <c r="W3" i="11" s="1"/>
  <c r="AF3" i="11" s="1"/>
  <c r="M3" i="11"/>
  <c r="V3" i="11" s="1"/>
  <c r="AE3" i="11" s="1"/>
  <c r="R1" i="11"/>
  <c r="AA1" i="11" s="1"/>
  <c r="AJ1" i="11" s="1"/>
  <c r="Q1" i="11"/>
  <c r="Z1" i="11" s="1"/>
  <c r="AI1" i="11" s="1"/>
  <c r="P1" i="11"/>
  <c r="Y1" i="11" s="1"/>
  <c r="AH1" i="11" s="1"/>
  <c r="O1" i="11"/>
  <c r="X1" i="11" s="1"/>
  <c r="AG1" i="11" s="1"/>
  <c r="N1" i="11"/>
  <c r="W1" i="11" s="1"/>
  <c r="AF1" i="11" s="1"/>
  <c r="M1" i="11"/>
  <c r="V1" i="11" s="1"/>
  <c r="AE1" i="11" s="1"/>
  <c r="R3" i="10"/>
  <c r="AA3" i="10" s="1"/>
  <c r="AJ3" i="10" s="1"/>
  <c r="Q3" i="10"/>
  <c r="Z3" i="10" s="1"/>
  <c r="AI3" i="10" s="1"/>
  <c r="P3" i="10"/>
  <c r="Y3" i="10" s="1"/>
  <c r="AH3" i="10" s="1"/>
  <c r="O3" i="10"/>
  <c r="X3" i="10" s="1"/>
  <c r="AG3" i="10" s="1"/>
  <c r="N3" i="10"/>
  <c r="W3" i="10" s="1"/>
  <c r="AF3" i="10" s="1"/>
  <c r="M3" i="10"/>
  <c r="V3" i="10" s="1"/>
  <c r="AE3" i="10" s="1"/>
  <c r="R1" i="10"/>
  <c r="AA1" i="10" s="1"/>
  <c r="AJ1" i="10" s="1"/>
  <c r="Q1" i="10"/>
  <c r="Z1" i="10" s="1"/>
  <c r="AI1" i="10" s="1"/>
  <c r="P1" i="10"/>
  <c r="Y1" i="10" s="1"/>
  <c r="AH1" i="10" s="1"/>
  <c r="O1" i="10"/>
  <c r="X1" i="10" s="1"/>
  <c r="AG1" i="10" s="1"/>
  <c r="N1" i="10"/>
  <c r="W1" i="10" s="1"/>
  <c r="AF1" i="10" s="1"/>
  <c r="M1" i="10"/>
  <c r="V1" i="10" s="1"/>
  <c r="AE1" i="10" s="1"/>
  <c r="M1" i="9"/>
  <c r="V1" i="9" s="1"/>
  <c r="AE1" i="9" s="1"/>
  <c r="N1" i="9"/>
  <c r="W1" i="9" s="1"/>
  <c r="AF1" i="9" s="1"/>
  <c r="O1" i="9"/>
  <c r="X1" i="9" s="1"/>
  <c r="AG1" i="9" s="1"/>
  <c r="P1" i="9"/>
  <c r="Y1" i="9" s="1"/>
  <c r="AH1" i="9" s="1"/>
  <c r="Q1" i="9"/>
  <c r="Z1" i="9" s="1"/>
  <c r="AI1" i="9" s="1"/>
  <c r="R1" i="9"/>
  <c r="AA1" i="9" s="1"/>
  <c r="AJ1" i="9" s="1"/>
  <c r="M3" i="9"/>
  <c r="V3" i="9" s="1"/>
  <c r="AE3" i="9" s="1"/>
  <c r="N3" i="9"/>
  <c r="W3" i="9" s="1"/>
  <c r="AF3" i="9" s="1"/>
  <c r="O3" i="9"/>
  <c r="X3" i="9" s="1"/>
  <c r="AG3" i="9" s="1"/>
  <c r="P3" i="9"/>
  <c r="Y3" i="9" s="1"/>
  <c r="AH3" i="9" s="1"/>
  <c r="Q3" i="9"/>
  <c r="Z3" i="9" s="1"/>
  <c r="AI3" i="9" s="1"/>
  <c r="R3" i="9"/>
  <c r="AA3" i="9" s="1"/>
  <c r="AJ3" i="9" s="1"/>
  <c r="M4" i="2"/>
  <c r="N4" i="2"/>
  <c r="O4" i="2"/>
  <c r="P4" i="2"/>
  <c r="Q4" i="2"/>
  <c r="R4" i="2"/>
  <c r="M5" i="2"/>
  <c r="N5" i="2"/>
  <c r="O5" i="2"/>
  <c r="P5" i="2"/>
  <c r="Q5" i="2"/>
  <c r="R5" i="2"/>
  <c r="N3" i="2"/>
  <c r="O3" i="2"/>
  <c r="P3" i="2"/>
  <c r="Q3" i="2"/>
  <c r="R3" i="2"/>
  <c r="M3" i="2"/>
  <c r="N1" i="8"/>
  <c r="W1" i="8" s="1"/>
  <c r="AF1" i="8" s="1"/>
  <c r="O1" i="8"/>
  <c r="X1" i="8" s="1"/>
  <c r="AG1" i="8" s="1"/>
  <c r="P1" i="8"/>
  <c r="Y1" i="8" s="1"/>
  <c r="AH1" i="8" s="1"/>
  <c r="Q1" i="8"/>
  <c r="Z1" i="8" s="1"/>
  <c r="AI1" i="8" s="1"/>
  <c r="R1" i="8"/>
  <c r="AA1" i="8" s="1"/>
  <c r="AJ1" i="8" s="1"/>
  <c r="N3" i="8"/>
  <c r="W3" i="8" s="1"/>
  <c r="AF3" i="8" s="1"/>
  <c r="O3" i="8"/>
  <c r="X3" i="8" s="1"/>
  <c r="AG3" i="8" s="1"/>
  <c r="P3" i="8"/>
  <c r="Y3" i="8" s="1"/>
  <c r="AH3" i="8" s="1"/>
  <c r="Q3" i="8"/>
  <c r="Z3" i="8" s="1"/>
  <c r="AI3" i="8" s="1"/>
  <c r="R3" i="8"/>
  <c r="AA3" i="8" s="1"/>
  <c r="AJ3" i="8" s="1"/>
  <c r="M3" i="8"/>
  <c r="V3" i="8" s="1"/>
  <c r="AE3" i="8" s="1"/>
  <c r="M1" i="8"/>
  <c r="V1" i="8" s="1"/>
  <c r="AE1" i="8" s="1"/>
  <c r="V109" i="2" l="1"/>
  <c r="V9" i="8" s="1"/>
  <c r="AI60" i="9"/>
  <c r="AG9" i="1" s="1"/>
  <c r="X22" i="9"/>
  <c r="X26" i="9" s="1"/>
  <c r="Y22" i="9"/>
  <c r="Y26" i="9" s="1"/>
  <c r="Z9" i="10"/>
  <c r="Z11" i="10" s="1"/>
  <c r="Z30" i="10" s="1"/>
  <c r="X10" i="1" s="1"/>
  <c r="AF13" i="9"/>
  <c r="AF14" i="9" s="1"/>
  <c r="AF60" i="9" s="1"/>
  <c r="AD9" i="1" s="1"/>
  <c r="W9" i="10"/>
  <c r="W11" i="10" s="1"/>
  <c r="W30" i="10" s="1"/>
  <c r="U10" i="1" s="1"/>
  <c r="W37" i="9"/>
  <c r="W41" i="9" s="1"/>
  <c r="AA122" i="8"/>
  <c r="AA123" i="8" s="1"/>
  <c r="W22" i="9"/>
  <c r="W26" i="9" s="1"/>
  <c r="AE13" i="9"/>
  <c r="AE14" i="9" s="1"/>
  <c r="AE60" i="9" s="1"/>
  <c r="AC9" i="1" s="1"/>
  <c r="X162" i="8"/>
  <c r="X163" i="8" s="1"/>
  <c r="AI8" i="11"/>
  <c r="AI9" i="11" s="1"/>
  <c r="AI26" i="11" s="1"/>
  <c r="AG11" i="1" s="1"/>
  <c r="V9" i="10"/>
  <c r="V11" i="10" s="1"/>
  <c r="V30" i="10" s="1"/>
  <c r="T10" i="1" s="1"/>
  <c r="Y37" i="9"/>
  <c r="Y41" i="9" s="1"/>
  <c r="Y9" i="10"/>
  <c r="Y11" i="10" s="1"/>
  <c r="Y30" i="10" s="1"/>
  <c r="W10" i="1" s="1"/>
  <c r="X37" i="9"/>
  <c r="X41" i="9" s="1"/>
  <c r="AJ13" i="9"/>
  <c r="AJ14" i="9" s="1"/>
  <c r="AJ60" i="9" s="1"/>
  <c r="AH9" i="1" s="1"/>
  <c r="AA22" i="9"/>
  <c r="AA26" i="9" s="1"/>
  <c r="AH13" i="9"/>
  <c r="AH14" i="9" s="1"/>
  <c r="AH60" i="9" s="1"/>
  <c r="AF9" i="1" s="1"/>
  <c r="X9" i="10"/>
  <c r="X11" i="10" s="1"/>
  <c r="X30" i="10" s="1"/>
  <c r="V10" i="1" s="1"/>
  <c r="W162" i="8"/>
  <c r="W163" i="8" s="1"/>
  <c r="AA162" i="8"/>
  <c r="AA163" i="8" s="1"/>
  <c r="Z162" i="8"/>
  <c r="Z163" i="8" s="1"/>
  <c r="Y162" i="8"/>
  <c r="Y163" i="8" s="1"/>
  <c r="AA9" i="10"/>
  <c r="AA11" i="10" s="1"/>
  <c r="AA30" i="10" s="1"/>
  <c r="Y10" i="1" s="1"/>
  <c r="Z22" i="9"/>
  <c r="Z26" i="9" s="1"/>
  <c r="V13" i="9"/>
  <c r="V14" i="9" s="1"/>
  <c r="V60" i="9" s="1"/>
  <c r="AG13" i="9"/>
  <c r="AG14" i="9" s="1"/>
  <c r="AG60" i="9" s="1"/>
  <c r="AE9" i="1" s="1"/>
  <c r="AZ24" i="22"/>
  <c r="X27" i="2"/>
  <c r="X37" i="8" s="1"/>
  <c r="X114" i="2"/>
  <c r="X13" i="9" s="1"/>
  <c r="X14" i="9" s="1"/>
  <c r="Y114" i="2"/>
  <c r="W114" i="2"/>
  <c r="AH28" i="2"/>
  <c r="AO33" i="22"/>
  <c r="AN116" i="22"/>
  <c r="AL116" i="22"/>
  <c r="AN33" i="22"/>
  <c r="P37" i="2" s="1"/>
  <c r="P71" i="8" s="1"/>
  <c r="AO116" i="22"/>
  <c r="AL33" i="22"/>
  <c r="N37" i="2" s="1"/>
  <c r="N71" i="8" s="1"/>
  <c r="AO6" i="22"/>
  <c r="AL6" i="22"/>
  <c r="AP116" i="22"/>
  <c r="AI28" i="2"/>
  <c r="AI38" i="8" s="1"/>
  <c r="AJ28" i="2"/>
  <c r="AF28" i="2"/>
  <c r="AF38" i="8" s="1"/>
  <c r="AA114" i="2"/>
  <c r="V28" i="2"/>
  <c r="V38" i="8" s="1"/>
  <c r="W28" i="2"/>
  <c r="W38" i="8" s="1"/>
  <c r="AE28" i="2"/>
  <c r="AE38" i="8" s="1"/>
  <c r="AF143" i="2"/>
  <c r="AF8" i="11" s="1"/>
  <c r="AF9" i="11" s="1"/>
  <c r="AF26" i="11" s="1"/>
  <c r="AD11" i="1" s="1"/>
  <c r="AI45" i="8"/>
  <c r="X28" i="2"/>
  <c r="X38" i="8" s="1"/>
  <c r="Z114" i="2"/>
  <c r="V143" i="2"/>
  <c r="V8" i="11" s="1"/>
  <c r="V9" i="11" s="1"/>
  <c r="V26" i="11" s="1"/>
  <c r="AH143" i="2"/>
  <c r="AJ143" i="2"/>
  <c r="AE143" i="2"/>
  <c r="AG28" i="2"/>
  <c r="AG143" i="2"/>
  <c r="AK116" i="22"/>
  <c r="AP6" i="22"/>
  <c r="AN6" i="22"/>
  <c r="AK6" i="22"/>
  <c r="AM33" i="22"/>
  <c r="O37" i="2" s="1"/>
  <c r="O71" i="8" s="1"/>
  <c r="AK33" i="22"/>
  <c r="M37" i="2" s="1"/>
  <c r="M71" i="8" s="1"/>
  <c r="AP33" i="22"/>
  <c r="R37" i="2" s="1"/>
  <c r="R71" i="8" s="1"/>
  <c r="AM6" i="22"/>
  <c r="AM117" i="22"/>
  <c r="BO33" i="22"/>
  <c r="AG35" i="2"/>
  <c r="AG70" i="8" s="1"/>
  <c r="BR116" i="22"/>
  <c r="AJ118" i="2"/>
  <c r="AJ332" i="2" s="1"/>
  <c r="AJ57" i="8" s="1"/>
  <c r="BO6" i="22"/>
  <c r="AG9" i="2"/>
  <c r="AG10" i="8" s="1"/>
  <c r="AH118" i="2"/>
  <c r="AH332" i="2" s="1"/>
  <c r="AH57" i="8" s="1"/>
  <c r="BP116" i="22"/>
  <c r="AH35" i="2"/>
  <c r="AH70" i="8" s="1"/>
  <c r="BP33" i="22"/>
  <c r="AE37" i="2"/>
  <c r="AE71" i="8" s="1"/>
  <c r="BM34" i="22"/>
  <c r="BN33" i="22"/>
  <c r="AF35" i="2"/>
  <c r="AF70" i="8" s="1"/>
  <c r="BN116" i="22"/>
  <c r="AF118" i="2"/>
  <c r="AF332" i="2" s="1"/>
  <c r="AF57" i="8" s="1"/>
  <c r="AG118" i="2"/>
  <c r="AG332" i="2" s="1"/>
  <c r="AG57" i="8" s="1"/>
  <c r="BO116" i="22"/>
  <c r="BR6" i="22"/>
  <c r="AJ9" i="2"/>
  <c r="AJ10" i="8" s="1"/>
  <c r="AJ35" i="2"/>
  <c r="AJ70" i="8" s="1"/>
  <c r="BR33" i="22"/>
  <c r="BQ116" i="22"/>
  <c r="AI118" i="2"/>
  <c r="AI332" i="2" s="1"/>
  <c r="AI57" i="8" s="1"/>
  <c r="BP6" i="22"/>
  <c r="AH9" i="2"/>
  <c r="AH10" i="8" s="1"/>
  <c r="BM6" i="22"/>
  <c r="AE9" i="2"/>
  <c r="AE10" i="8" s="1"/>
  <c r="AI37" i="2"/>
  <c r="AI71" i="8" s="1"/>
  <c r="BQ34" i="22"/>
  <c r="BM116" i="22"/>
  <c r="AE118" i="2"/>
  <c r="AE332" i="2" s="1"/>
  <c r="AE57" i="8" s="1"/>
  <c r="AF9" i="2"/>
  <c r="AF10" i="8" s="1"/>
  <c r="BN6" i="22"/>
  <c r="AI9" i="2"/>
  <c r="AI10" i="8" s="1"/>
  <c r="BQ6" i="22"/>
  <c r="BD139" i="22"/>
  <c r="AA141" i="2"/>
  <c r="AA7" i="11" s="1"/>
  <c r="BC31" i="22"/>
  <c r="Z34" i="2"/>
  <c r="Z69" i="8" s="1"/>
  <c r="AY116" i="22"/>
  <c r="V118" i="2"/>
  <c r="V332" i="2" s="1"/>
  <c r="V57" i="8" s="1"/>
  <c r="Z109" i="2"/>
  <c r="Z9" i="8" s="1"/>
  <c r="BC5" i="22"/>
  <c r="BA139" i="22"/>
  <c r="X141" i="2"/>
  <c r="X7" i="11" s="1"/>
  <c r="AZ114" i="22"/>
  <c r="W117" i="2"/>
  <c r="W331" i="2" s="1"/>
  <c r="W56" i="8" s="1"/>
  <c r="AA109" i="2"/>
  <c r="AA9" i="8" s="1"/>
  <c r="BD5" i="22"/>
  <c r="AZ139" i="22"/>
  <c r="W141" i="2"/>
  <c r="W7" i="11" s="1"/>
  <c r="W109" i="2"/>
  <c r="W9" i="8" s="1"/>
  <c r="AZ5" i="22"/>
  <c r="BB5" i="22"/>
  <c r="Y109" i="2"/>
  <c r="Y9" i="8" s="1"/>
  <c r="BD31" i="22"/>
  <c r="AA34" i="2"/>
  <c r="AA69" i="8" s="1"/>
  <c r="BA5" i="22"/>
  <c r="X109" i="2"/>
  <c r="X9" i="8" s="1"/>
  <c r="BD24" i="22"/>
  <c r="AA27" i="2"/>
  <c r="AA37" i="8" s="1"/>
  <c r="BA31" i="22"/>
  <c r="X34" i="2"/>
  <c r="X69" i="8" s="1"/>
  <c r="BC24" i="22"/>
  <c r="Z27" i="2"/>
  <c r="Z37" i="8" s="1"/>
  <c r="BB31" i="22"/>
  <c r="Y34" i="2"/>
  <c r="Y69" i="8" s="1"/>
  <c r="BA114" i="22"/>
  <c r="X117" i="2"/>
  <c r="X331" i="2" s="1"/>
  <c r="X56" i="8" s="1"/>
  <c r="BC114" i="22"/>
  <c r="Z117" i="2"/>
  <c r="Z331" i="2" s="1"/>
  <c r="Z56" i="8" s="1"/>
  <c r="BD114" i="22"/>
  <c r="AA117" i="2"/>
  <c r="AA331" i="2" s="1"/>
  <c r="AA56" i="8" s="1"/>
  <c r="BC139" i="22"/>
  <c r="Z141" i="2"/>
  <c r="Z7" i="11" s="1"/>
  <c r="AY33" i="22"/>
  <c r="V35" i="2"/>
  <c r="V70" i="8" s="1"/>
  <c r="BB114" i="22"/>
  <c r="Y117" i="2"/>
  <c r="Y331" i="2" s="1"/>
  <c r="Y56" i="8" s="1"/>
  <c r="AZ31" i="22"/>
  <c r="W34" i="2"/>
  <c r="W69" i="8" s="1"/>
  <c r="BB139" i="22"/>
  <c r="Y141" i="2"/>
  <c r="Y7" i="11" s="1"/>
  <c r="BB24" i="22"/>
  <c r="Y27" i="2"/>
  <c r="Y37" i="8" s="1"/>
  <c r="AY6" i="22"/>
  <c r="V9" i="2"/>
  <c r="V10" i="8" s="1"/>
  <c r="O78" i="2"/>
  <c r="O122" i="8" s="1"/>
  <c r="M78" i="2"/>
  <c r="M122" i="8" s="1"/>
  <c r="N78" i="2"/>
  <c r="N122" i="8" s="1"/>
  <c r="O93" i="2"/>
  <c r="O9" i="10" s="1"/>
  <c r="P78" i="2"/>
  <c r="P122" i="8" s="1"/>
  <c r="Q93" i="2"/>
  <c r="Q9" i="10" s="1"/>
  <c r="Q78" i="2"/>
  <c r="Q122" i="8" s="1"/>
  <c r="M93" i="2"/>
  <c r="M9" i="10" s="1"/>
  <c r="R78" i="2"/>
  <c r="R122" i="8" s="1"/>
  <c r="P93" i="2"/>
  <c r="P9" i="10" s="1"/>
  <c r="N93" i="2"/>
  <c r="N9" i="10" s="1"/>
  <c r="R93" i="2"/>
  <c r="R9" i="10" s="1"/>
  <c r="Q129" i="2"/>
  <c r="Q131" i="8" s="1"/>
  <c r="O159" i="2"/>
  <c r="O20" i="11" s="1"/>
  <c r="O95" i="2"/>
  <c r="O116" i="8" s="1"/>
  <c r="M135" i="2"/>
  <c r="M41" i="8" s="1"/>
  <c r="R119" i="2"/>
  <c r="R43" i="8" s="1"/>
  <c r="R113" i="2"/>
  <c r="R36" i="9" s="1"/>
  <c r="O119" i="2"/>
  <c r="O43" i="8" s="1"/>
  <c r="Q135" i="2"/>
  <c r="Q41" i="8" s="1"/>
  <c r="M95" i="2"/>
  <c r="M116" i="8" s="1"/>
  <c r="M94" i="2"/>
  <c r="M10" i="10" s="1"/>
  <c r="N101" i="2"/>
  <c r="N95" i="8" s="1"/>
  <c r="P71" i="2"/>
  <c r="P92" i="8" s="1"/>
  <c r="Q25" i="2"/>
  <c r="Q32" i="8" s="1"/>
  <c r="Q94" i="2"/>
  <c r="Q10" i="10" s="1"/>
  <c r="N135" i="2"/>
  <c r="N41" i="8" s="1"/>
  <c r="N111" i="2"/>
  <c r="N32" i="9" s="1"/>
  <c r="M129" i="2"/>
  <c r="M131" i="8" s="1"/>
  <c r="R94" i="2"/>
  <c r="R10" i="10" s="1"/>
  <c r="N160" i="2"/>
  <c r="M25" i="2"/>
  <c r="M32" i="8" s="1"/>
  <c r="P129" i="2"/>
  <c r="P131" i="8" s="1"/>
  <c r="M159" i="2"/>
  <c r="M20" i="11" s="1"/>
  <c r="M161" i="2"/>
  <c r="O135" i="2"/>
  <c r="O41" i="8" s="1"/>
  <c r="N143" i="2"/>
  <c r="N8" i="11" s="1"/>
  <c r="R143" i="2"/>
  <c r="R8" i="11" s="1"/>
  <c r="N95" i="2"/>
  <c r="N116" i="8" s="1"/>
  <c r="R153" i="2"/>
  <c r="Q113" i="2"/>
  <c r="Q36" i="9" s="1"/>
  <c r="N129" i="2"/>
  <c r="N131" i="8" s="1"/>
  <c r="Q159" i="2"/>
  <c r="Q20" i="11" s="1"/>
  <c r="P25" i="2"/>
  <c r="P32" i="8" s="1"/>
  <c r="O94" i="2"/>
  <c r="O10" i="10" s="1"/>
  <c r="O161" i="2"/>
  <c r="P159" i="2"/>
  <c r="P20" i="11" s="1"/>
  <c r="M83" i="2"/>
  <c r="M152" i="8" s="1"/>
  <c r="Q153" i="2"/>
  <c r="M101" i="2"/>
  <c r="M95" i="8" s="1"/>
  <c r="R159" i="2"/>
  <c r="R20" i="11" s="1"/>
  <c r="P161" i="2"/>
  <c r="P119" i="2"/>
  <c r="P43" i="8" s="1"/>
  <c r="P143" i="2"/>
  <c r="P8" i="11" s="1"/>
  <c r="P101" i="2"/>
  <c r="P95" i="8" s="1"/>
  <c r="P160" i="2"/>
  <c r="R101" i="2"/>
  <c r="R95" i="8" s="1"/>
  <c r="O83" i="2"/>
  <c r="O152" i="8" s="1"/>
  <c r="P95" i="2"/>
  <c r="P116" i="8" s="1"/>
  <c r="R23" i="2"/>
  <c r="R28" i="8" s="1"/>
  <c r="Q83" i="2"/>
  <c r="Q152" i="8" s="1"/>
  <c r="O129" i="2"/>
  <c r="O131" i="8" s="1"/>
  <c r="Q119" i="2"/>
  <c r="Q43" i="8" s="1"/>
  <c r="N159" i="2"/>
  <c r="N20" i="11" s="1"/>
  <c r="N161" i="2"/>
  <c r="N153" i="2"/>
  <c r="O143" i="2"/>
  <c r="O8" i="11" s="1"/>
  <c r="O137" i="2"/>
  <c r="O118" i="8" s="1"/>
  <c r="P153" i="2"/>
  <c r="P144" i="8" s="1"/>
  <c r="M143" i="2"/>
  <c r="M8" i="11" s="1"/>
  <c r="N137" i="2"/>
  <c r="N118" i="8" s="1"/>
  <c r="R160" i="2"/>
  <c r="R95" i="2"/>
  <c r="R116" i="8" s="1"/>
  <c r="P137" i="2"/>
  <c r="P118" i="8" s="1"/>
  <c r="N83" i="2"/>
  <c r="N152" i="8" s="1"/>
  <c r="P111" i="2"/>
  <c r="P32" i="9" s="1"/>
  <c r="O23" i="2"/>
  <c r="O28" i="8" s="1"/>
  <c r="O71" i="2"/>
  <c r="O92" i="8" s="1"/>
  <c r="O111" i="2"/>
  <c r="O32" i="9" s="1"/>
  <c r="O101" i="2"/>
  <c r="O95" i="8" s="1"/>
  <c r="N119" i="2"/>
  <c r="N43" i="8" s="1"/>
  <c r="Q101" i="2"/>
  <c r="Q95" i="8" s="1"/>
  <c r="N107" i="2"/>
  <c r="N31" i="8" s="1"/>
  <c r="Q71" i="2"/>
  <c r="Q92" i="8" s="1"/>
  <c r="M23" i="2"/>
  <c r="M28" i="8" s="1"/>
  <c r="Q111" i="2"/>
  <c r="Q32" i="9" s="1"/>
  <c r="M113" i="2"/>
  <c r="M36" i="9" s="1"/>
  <c r="Q137" i="2"/>
  <c r="Q118" i="8" s="1"/>
  <c r="R107" i="2"/>
  <c r="R31" i="8" s="1"/>
  <c r="O25" i="2"/>
  <c r="O32" i="8" s="1"/>
  <c r="P83" i="2"/>
  <c r="P152" i="8" s="1"/>
  <c r="N113" i="2"/>
  <c r="N36" i="9" s="1"/>
  <c r="Q160" i="2"/>
  <c r="R161" i="2"/>
  <c r="M160" i="2"/>
  <c r="N23" i="2"/>
  <c r="N28" i="8" s="1"/>
  <c r="N71" i="2"/>
  <c r="N92" i="8" s="1"/>
  <c r="R137" i="2"/>
  <c r="R118" i="8" s="1"/>
  <c r="Q161" i="2"/>
  <c r="Q23" i="2"/>
  <c r="Q28" i="8" s="1"/>
  <c r="P113" i="2"/>
  <c r="P36" i="9" s="1"/>
  <c r="P23" i="2"/>
  <c r="P28" i="8" s="1"/>
  <c r="Q95" i="2"/>
  <c r="Q116" i="8" s="1"/>
  <c r="Q143" i="2"/>
  <c r="Q8" i="11" s="1"/>
  <c r="P135" i="2"/>
  <c r="P41" i="8" s="1"/>
  <c r="N94" i="2"/>
  <c r="N10" i="10" s="1"/>
  <c r="M137" i="2"/>
  <c r="M118" i="8" s="1"/>
  <c r="M71" i="2"/>
  <c r="M92" i="8" s="1"/>
  <c r="O160" i="2"/>
  <c r="P94" i="2"/>
  <c r="P10" i="10" s="1"/>
  <c r="Q28" i="2"/>
  <c r="Q38" i="8" s="1"/>
  <c r="P28" i="2"/>
  <c r="P38" i="8" s="1"/>
  <c r="M28" i="2"/>
  <c r="M38" i="8" s="1"/>
  <c r="R28" i="2"/>
  <c r="R38" i="8" s="1"/>
  <c r="O28" i="2"/>
  <c r="O38" i="8" s="1"/>
  <c r="N28" i="2"/>
  <c r="N38" i="8" s="1"/>
  <c r="Q46" i="2"/>
  <c r="Q12" i="9" s="1"/>
  <c r="M46" i="2"/>
  <c r="M12" i="9" s="1"/>
  <c r="N46" i="2"/>
  <c r="N12" i="9" s="1"/>
  <c r="R46" i="2"/>
  <c r="R12" i="9" s="1"/>
  <c r="N48" i="2"/>
  <c r="N34" i="9" s="1"/>
  <c r="P46" i="2"/>
  <c r="P12" i="9" s="1"/>
  <c r="O46" i="2"/>
  <c r="O12" i="9" s="1"/>
  <c r="P48" i="2"/>
  <c r="P34" i="9" s="1"/>
  <c r="O48" i="2"/>
  <c r="O34" i="9" s="1"/>
  <c r="Q48" i="2"/>
  <c r="Q34" i="9" s="1"/>
  <c r="R48" i="2"/>
  <c r="R34" i="9" s="1"/>
  <c r="M48" i="2"/>
  <c r="M34" i="9" s="1"/>
  <c r="R63" i="2"/>
  <c r="R22" i="9" s="1"/>
  <c r="N56" i="2"/>
  <c r="N40" i="9" s="1"/>
  <c r="P44" i="2"/>
  <c r="M56" i="2"/>
  <c r="M40" i="9" s="1"/>
  <c r="R56" i="2"/>
  <c r="R40" i="9" s="1"/>
  <c r="P57" i="2"/>
  <c r="Q56" i="2"/>
  <c r="Q40" i="9" s="1"/>
  <c r="O44" i="2"/>
  <c r="N44" i="2"/>
  <c r="Q57" i="2"/>
  <c r="O57" i="2"/>
  <c r="M63" i="2"/>
  <c r="M22" i="9" s="1"/>
  <c r="Q42" i="2"/>
  <c r="M57" i="2"/>
  <c r="M42" i="2"/>
  <c r="P42" i="2"/>
  <c r="R44" i="2"/>
  <c r="O42" i="2"/>
  <c r="N42" i="2"/>
  <c r="N57" i="2"/>
  <c r="O56" i="2"/>
  <c r="O40" i="9" s="1"/>
  <c r="N63" i="2"/>
  <c r="N22" i="9" s="1"/>
  <c r="Q44" i="2"/>
  <c r="M44" i="2"/>
  <c r="R42" i="2"/>
  <c r="P56" i="2"/>
  <c r="P40" i="9" s="1"/>
  <c r="R57" i="2"/>
  <c r="P63" i="2"/>
  <c r="P22" i="9" s="1"/>
  <c r="Q87" i="2"/>
  <c r="O131" i="2"/>
  <c r="O25" i="10" s="1"/>
  <c r="P59" i="2"/>
  <c r="P18" i="9" s="1"/>
  <c r="P125" i="2"/>
  <c r="P39" i="8" s="1"/>
  <c r="M64" i="2"/>
  <c r="M45" i="9" s="1"/>
  <c r="N91" i="2"/>
  <c r="M76" i="2"/>
  <c r="M117" i="8" s="1"/>
  <c r="R83" i="2"/>
  <c r="R152" i="8" s="1"/>
  <c r="N139" i="2"/>
  <c r="N15" i="11" s="1"/>
  <c r="Q96" i="2"/>
  <c r="Q15" i="10" s="1"/>
  <c r="M70" i="2"/>
  <c r="M91" i="8" s="1"/>
  <c r="O66" i="2"/>
  <c r="Q97" i="2"/>
  <c r="Q20" i="10" s="1"/>
  <c r="N155" i="2"/>
  <c r="N145" i="8" s="1"/>
  <c r="P91" i="2"/>
  <c r="Q59" i="2"/>
  <c r="Q18" i="9" s="1"/>
  <c r="O50" i="2"/>
  <c r="O37" i="9" s="1"/>
  <c r="M50" i="2"/>
  <c r="M37" i="9" s="1"/>
  <c r="Q114" i="2"/>
  <c r="Q13" i="9" s="1"/>
  <c r="M114" i="2"/>
  <c r="M13" i="9" s="1"/>
  <c r="N114" i="2"/>
  <c r="N13" i="9" s="1"/>
  <c r="R114" i="2"/>
  <c r="R13" i="9" s="1"/>
  <c r="N50" i="2"/>
  <c r="N37" i="9" s="1"/>
  <c r="P114" i="2"/>
  <c r="P13" i="9" s="1"/>
  <c r="O114" i="2"/>
  <c r="O13" i="9" s="1"/>
  <c r="P50" i="2"/>
  <c r="P37" i="9" s="1"/>
  <c r="Q50" i="2"/>
  <c r="Q37" i="9" s="1"/>
  <c r="R50" i="2"/>
  <c r="R37" i="9" s="1"/>
  <c r="M153" i="2"/>
  <c r="M18" i="2"/>
  <c r="M19" i="8" s="1"/>
  <c r="O18" i="2"/>
  <c r="O19" i="8" s="1"/>
  <c r="R71" i="2"/>
  <c r="R92" i="8" s="1"/>
  <c r="N18" i="2"/>
  <c r="N19" i="8" s="1"/>
  <c r="R18" i="2"/>
  <c r="R19" i="8" s="1"/>
  <c r="M111" i="2"/>
  <c r="M32" i="9" s="1"/>
  <c r="M7" i="2"/>
  <c r="M7" i="8" s="1"/>
  <c r="N145" i="2"/>
  <c r="N127" i="8" s="1"/>
  <c r="R99" i="2"/>
  <c r="R105" i="8" s="1"/>
  <c r="Q64" i="2"/>
  <c r="Q45" i="9" s="1"/>
  <c r="P148" i="2"/>
  <c r="M89" i="2"/>
  <c r="M99" i="2"/>
  <c r="M105" i="8" s="1"/>
  <c r="O145" i="2"/>
  <c r="O127" i="8" s="1"/>
  <c r="N65" i="2"/>
  <c r="Q26" i="2"/>
  <c r="Q36" i="8" s="1"/>
  <c r="P26" i="2"/>
  <c r="P36" i="8" s="1"/>
  <c r="M142" i="2"/>
  <c r="M162" i="8" s="1"/>
  <c r="M26" i="2"/>
  <c r="M36" i="8" s="1"/>
  <c r="R26" i="2"/>
  <c r="R36" i="8" s="1"/>
  <c r="O26" i="2"/>
  <c r="O36" i="8" s="1"/>
  <c r="N26" i="2"/>
  <c r="N36" i="8" s="1"/>
  <c r="M133" i="2"/>
  <c r="M161" i="8" s="1"/>
  <c r="Q45" i="2"/>
  <c r="Q11" i="9" s="1"/>
  <c r="M45" i="2"/>
  <c r="M11" i="9" s="1"/>
  <c r="O109" i="2"/>
  <c r="O9" i="8" s="1"/>
  <c r="O77" i="2"/>
  <c r="O120" i="8" s="1"/>
  <c r="N45" i="2"/>
  <c r="N11" i="9" s="1"/>
  <c r="M77" i="2"/>
  <c r="M120" i="8" s="1"/>
  <c r="P72" i="2"/>
  <c r="P93" i="8" s="1"/>
  <c r="R45" i="2"/>
  <c r="R11" i="9" s="1"/>
  <c r="N112" i="2"/>
  <c r="N33" i="9" s="1"/>
  <c r="P45" i="2"/>
  <c r="P11" i="9" s="1"/>
  <c r="N77" i="2"/>
  <c r="N120" i="8" s="1"/>
  <c r="P18" i="2"/>
  <c r="P19" i="8" s="1"/>
  <c r="Q18" i="2"/>
  <c r="Q19" i="8" s="1"/>
  <c r="O88" i="2"/>
  <c r="O7" i="10" s="1"/>
  <c r="P77" i="2"/>
  <c r="P120" i="8" s="1"/>
  <c r="Q88" i="2"/>
  <c r="Q7" i="10" s="1"/>
  <c r="O45" i="2"/>
  <c r="O11" i="9" s="1"/>
  <c r="M115" i="2"/>
  <c r="P112" i="2"/>
  <c r="P33" i="9" s="1"/>
  <c r="O72" i="2"/>
  <c r="O93" i="8" s="1"/>
  <c r="O112" i="2"/>
  <c r="O33" i="9" s="1"/>
  <c r="Q109" i="2"/>
  <c r="Q9" i="8" s="1"/>
  <c r="N109" i="2"/>
  <c r="N9" i="8" s="1"/>
  <c r="R109" i="2"/>
  <c r="R9" i="8" s="1"/>
  <c r="M109" i="2"/>
  <c r="M9" i="8" s="1"/>
  <c r="O8" i="2"/>
  <c r="O8" i="8" s="1"/>
  <c r="Q77" i="2"/>
  <c r="Q120" i="8" s="1"/>
  <c r="Q112" i="2"/>
  <c r="Q33" i="9" s="1"/>
  <c r="M119" i="2"/>
  <c r="M43" i="8" s="1"/>
  <c r="M88" i="2"/>
  <c r="M7" i="10" s="1"/>
  <c r="R77" i="2"/>
  <c r="R120" i="8" s="1"/>
  <c r="P86" i="2"/>
  <c r="R112" i="2"/>
  <c r="R33" i="9" s="1"/>
  <c r="R72" i="2"/>
  <c r="R93" i="8" s="1"/>
  <c r="P17" i="2"/>
  <c r="P18" i="8" s="1"/>
  <c r="R86" i="2"/>
  <c r="O86" i="2"/>
  <c r="Q17" i="2"/>
  <c r="Q18" i="8" s="1"/>
  <c r="P88" i="2"/>
  <c r="P7" i="10" s="1"/>
  <c r="R128" i="2"/>
  <c r="R27" i="8" s="1"/>
  <c r="Q86" i="2"/>
  <c r="N86" i="2"/>
  <c r="N88" i="2"/>
  <c r="N7" i="10" s="1"/>
  <c r="M72" i="2"/>
  <c r="M93" i="8" s="1"/>
  <c r="M17" i="2"/>
  <c r="M18" i="8" s="1"/>
  <c r="Q72" i="2"/>
  <c r="Q93" i="8" s="1"/>
  <c r="M112" i="2"/>
  <c r="M33" i="9" s="1"/>
  <c r="M98" i="2"/>
  <c r="M159" i="8" s="1"/>
  <c r="M86" i="2"/>
  <c r="R88" i="2"/>
  <c r="R7" i="10" s="1"/>
  <c r="O113" i="2"/>
  <c r="O36" i="9" s="1"/>
  <c r="Q8" i="2"/>
  <c r="Q8" i="8" s="1"/>
  <c r="P109" i="2"/>
  <c r="P9" i="8" s="1"/>
  <c r="N8" i="2"/>
  <c r="N8" i="8" s="1"/>
  <c r="N72" i="2"/>
  <c r="N93" i="8" s="1"/>
  <c r="O17" i="2"/>
  <c r="O18" i="8" s="1"/>
  <c r="R8" i="2"/>
  <c r="R8" i="8" s="1"/>
  <c r="M8" i="2"/>
  <c r="M8" i="8" s="1"/>
  <c r="O7" i="2"/>
  <c r="O7" i="8" s="1"/>
  <c r="Q134" i="2"/>
  <c r="Q130" i="8" s="1"/>
  <c r="O147" i="2"/>
  <c r="O21" i="11" s="1"/>
  <c r="O136" i="2"/>
  <c r="O115" i="8" s="1"/>
  <c r="M125" i="2"/>
  <c r="M39" i="8" s="1"/>
  <c r="M105" i="2"/>
  <c r="M33" i="8" s="1"/>
  <c r="R59" i="2"/>
  <c r="R18" i="9" s="1"/>
  <c r="R156" i="2"/>
  <c r="R36" i="2"/>
  <c r="R55" i="9" s="1"/>
  <c r="R49" i="2"/>
  <c r="R35" i="9" s="1"/>
  <c r="Q103" i="2"/>
  <c r="O156" i="2"/>
  <c r="Q125" i="2"/>
  <c r="Q39" i="8" s="1"/>
  <c r="P97" i="2"/>
  <c r="P20" i="10" s="1"/>
  <c r="Q110" i="2"/>
  <c r="Q30" i="9" s="1"/>
  <c r="Q65" i="2"/>
  <c r="N64" i="2"/>
  <c r="N45" i="9" s="1"/>
  <c r="P131" i="2"/>
  <c r="P25" i="10" s="1"/>
  <c r="M156" i="2"/>
  <c r="M42" i="8" s="1"/>
  <c r="O144" i="2"/>
  <c r="O13" i="11" s="1"/>
  <c r="M136" i="2"/>
  <c r="M115" i="8" s="1"/>
  <c r="M84" i="2"/>
  <c r="M153" i="8" s="1"/>
  <c r="P157" i="2"/>
  <c r="P129" i="8" s="1"/>
  <c r="P103" i="2"/>
  <c r="P155" i="2"/>
  <c r="M91" i="2"/>
  <c r="N100" i="2"/>
  <c r="N94" i="8" s="1"/>
  <c r="R81" i="2"/>
  <c r="R119" i="8" s="1"/>
  <c r="O157" i="2"/>
  <c r="P70" i="2"/>
  <c r="P91" i="8" s="1"/>
  <c r="N55" i="2"/>
  <c r="N39" i="9" s="1"/>
  <c r="Q24" i="2"/>
  <c r="Q29" i="8" s="1"/>
  <c r="R135" i="2"/>
  <c r="R41" i="8" s="1"/>
  <c r="P64" i="2"/>
  <c r="P45" i="9" s="1"/>
  <c r="R139" i="2"/>
  <c r="R15" i="11" s="1"/>
  <c r="Q91" i="2"/>
  <c r="M144" i="2"/>
  <c r="M13" i="11" s="1"/>
  <c r="N125" i="2"/>
  <c r="N39" i="8" s="1"/>
  <c r="N47" i="2"/>
  <c r="N31" i="9" s="1"/>
  <c r="M54" i="2"/>
  <c r="M50" i="9" s="1"/>
  <c r="M134" i="2"/>
  <c r="M130" i="8" s="1"/>
  <c r="Q155" i="2"/>
  <c r="R91" i="2"/>
  <c r="R132" i="2"/>
  <c r="R136" i="8" s="1"/>
  <c r="M145" i="2"/>
  <c r="M127" i="8" s="1"/>
  <c r="P43" i="2"/>
  <c r="P9" i="9" s="1"/>
  <c r="N66" i="2"/>
  <c r="M55" i="2"/>
  <c r="M39" i="9" s="1"/>
  <c r="O36" i="2"/>
  <c r="O55" i="9" s="1"/>
  <c r="M24" i="2"/>
  <c r="M29" i="8" s="1"/>
  <c r="P134" i="2"/>
  <c r="P130" i="8" s="1"/>
  <c r="M147" i="2"/>
  <c r="M21" i="11" s="1"/>
  <c r="M68" i="2"/>
  <c r="O125" i="2"/>
  <c r="O39" i="8" s="1"/>
  <c r="P85" i="2"/>
  <c r="R111" i="2"/>
  <c r="R32" i="9" s="1"/>
  <c r="N140" i="2"/>
  <c r="N158" i="8" s="1"/>
  <c r="R105" i="2"/>
  <c r="R33" i="8" s="1"/>
  <c r="R69" i="2"/>
  <c r="R90" i="8" s="1"/>
  <c r="R140" i="2"/>
  <c r="R158" i="8" s="1"/>
  <c r="M158" i="2"/>
  <c r="N136" i="2"/>
  <c r="N115" i="8" s="1"/>
  <c r="R158" i="2"/>
  <c r="R146" i="8" s="1"/>
  <c r="Q49" i="2"/>
  <c r="Q35" i="9" s="1"/>
  <c r="M154" i="2"/>
  <c r="M14" i="11" s="1"/>
  <c r="O155" i="2"/>
  <c r="P89" i="2"/>
  <c r="N134" i="2"/>
  <c r="N130" i="8" s="1"/>
  <c r="Q147" i="2"/>
  <c r="Q21" i="11" s="1"/>
  <c r="O89" i="2"/>
  <c r="M29" i="2"/>
  <c r="M78" i="8" s="1"/>
  <c r="P16" i="2"/>
  <c r="P17" i="8" s="1"/>
  <c r="N29" i="2"/>
  <c r="N78" i="8" s="1"/>
  <c r="P24" i="2"/>
  <c r="P29" i="8" s="1"/>
  <c r="O65" i="2"/>
  <c r="O99" i="2"/>
  <c r="O105" i="8" s="1"/>
  <c r="O132" i="2"/>
  <c r="O136" i="8" s="1"/>
  <c r="N146" i="2"/>
  <c r="N141" i="8" s="1"/>
  <c r="O91" i="2"/>
  <c r="O68" i="2"/>
  <c r="R85" i="2"/>
  <c r="P147" i="2"/>
  <c r="P21" i="11" s="1"/>
  <c r="P132" i="2"/>
  <c r="P136" i="8" s="1"/>
  <c r="M82" i="2"/>
  <c r="M151" i="8" s="1"/>
  <c r="R148" i="2"/>
  <c r="M81" i="2"/>
  <c r="M119" i="8" s="1"/>
  <c r="N36" i="2"/>
  <c r="N55" i="9" s="1"/>
  <c r="N81" i="2"/>
  <c r="N119" i="8" s="1"/>
  <c r="Q89" i="2"/>
  <c r="O85" i="2"/>
  <c r="P144" i="2"/>
  <c r="P13" i="11" s="1"/>
  <c r="P65" i="2"/>
  <c r="O148" i="2"/>
  <c r="Q81" i="2"/>
  <c r="Q119" i="8" s="1"/>
  <c r="Q158" i="2"/>
  <c r="Q146" i="8" s="1"/>
  <c r="O152" i="2"/>
  <c r="R144" i="2"/>
  <c r="R13" i="11" s="1"/>
  <c r="M132" i="2"/>
  <c r="M136" i="8" s="1"/>
  <c r="M100" i="2"/>
  <c r="M94" i="8" s="1"/>
  <c r="O81" i="2"/>
  <c r="O119" i="8" s="1"/>
  <c r="P149" i="2"/>
  <c r="P110" i="8" s="1"/>
  <c r="R147" i="2"/>
  <c r="R21" i="11" s="1"/>
  <c r="P96" i="2"/>
  <c r="P15" i="10" s="1"/>
  <c r="P68" i="2"/>
  <c r="O149" i="2"/>
  <c r="O110" i="8" s="1"/>
  <c r="R70" i="2"/>
  <c r="R91" i="8" s="1"/>
  <c r="O79" i="2"/>
  <c r="O142" i="8" s="1"/>
  <c r="Q16" i="2"/>
  <c r="Q17" i="8" s="1"/>
  <c r="M87" i="2"/>
  <c r="M131" i="2"/>
  <c r="M25" i="10" s="1"/>
  <c r="P156" i="2"/>
  <c r="P140" i="2"/>
  <c r="P158" i="8" s="1"/>
  <c r="P100" i="2"/>
  <c r="P94" i="8" s="1"/>
  <c r="P84" i="2"/>
  <c r="P153" i="8" s="1"/>
  <c r="N157" i="2"/>
  <c r="N129" i="8" s="1"/>
  <c r="O105" i="2"/>
  <c r="O33" i="8" s="1"/>
  <c r="P66" i="2"/>
  <c r="M30" i="2"/>
  <c r="M64" i="8" s="1"/>
  <c r="P146" i="2"/>
  <c r="P141" i="8" s="1"/>
  <c r="R100" i="2"/>
  <c r="R94" i="8" s="1"/>
  <c r="Q53" i="2"/>
  <c r="Q44" i="8" s="1"/>
  <c r="R55" i="2"/>
  <c r="R39" i="9" s="1"/>
  <c r="N52" i="2"/>
  <c r="N24" i="9" s="1"/>
  <c r="M96" i="2"/>
  <c r="M15" i="10" s="1"/>
  <c r="R149" i="2"/>
  <c r="R110" i="8" s="1"/>
  <c r="O82" i="2"/>
  <c r="O151" i="8" s="1"/>
  <c r="P58" i="2"/>
  <c r="O30" i="2"/>
  <c r="O64" i="8" s="1"/>
  <c r="P87" i="2"/>
  <c r="R64" i="2"/>
  <c r="R45" i="9" s="1"/>
  <c r="Q99" i="2"/>
  <c r="Q105" i="8" s="1"/>
  <c r="P152" i="2"/>
  <c r="P136" i="2"/>
  <c r="P115" i="8" s="1"/>
  <c r="R97" i="2"/>
  <c r="R20" i="10" s="1"/>
  <c r="R21" i="2"/>
  <c r="R26" i="8" s="1"/>
  <c r="Q82" i="2"/>
  <c r="Q151" i="8" s="1"/>
  <c r="O134" i="2"/>
  <c r="O130" i="8" s="1"/>
  <c r="P69" i="2"/>
  <c r="P90" i="8" s="1"/>
  <c r="P154" i="2"/>
  <c r="P14" i="11" s="1"/>
  <c r="Q156" i="2"/>
  <c r="N132" i="2"/>
  <c r="N136" i="8" s="1"/>
  <c r="N17" i="2"/>
  <c r="N18" i="8" s="1"/>
  <c r="N147" i="2"/>
  <c r="N21" i="11" s="1"/>
  <c r="P105" i="2"/>
  <c r="P33" i="8" s="1"/>
  <c r="Q85" i="2"/>
  <c r="P81" i="2"/>
  <c r="P119" i="8" s="1"/>
  <c r="N85" i="2"/>
  <c r="Q55" i="2"/>
  <c r="Q39" i="9" s="1"/>
  <c r="O43" i="2"/>
  <c r="O9" i="9" s="1"/>
  <c r="R52" i="2"/>
  <c r="R24" i="9" s="1"/>
  <c r="M65" i="2"/>
  <c r="N103" i="2"/>
  <c r="N68" i="2"/>
  <c r="N105" i="2"/>
  <c r="N33" i="8" s="1"/>
  <c r="O87" i="2"/>
  <c r="O139" i="2"/>
  <c r="O15" i="11" s="1"/>
  <c r="M148" i="2"/>
  <c r="M128" i="8" s="1"/>
  <c r="R131" i="2"/>
  <c r="R25" i="10" s="1"/>
  <c r="N84" i="2"/>
  <c r="N153" i="8" s="1"/>
  <c r="N43" i="2"/>
  <c r="N9" i="9" s="1"/>
  <c r="O59" i="2"/>
  <c r="O18" i="9" s="1"/>
  <c r="Q58" i="2"/>
  <c r="Q146" i="2"/>
  <c r="Q141" i="8" s="1"/>
  <c r="N149" i="2"/>
  <c r="O58" i="2"/>
  <c r="N158" i="2"/>
  <c r="N146" i="8" s="1"/>
  <c r="M69" i="2"/>
  <c r="M90" i="8" s="1"/>
  <c r="R29" i="2"/>
  <c r="R78" i="8" s="1"/>
  <c r="M16" i="2"/>
  <c r="M17" i="8" s="1"/>
  <c r="R157" i="2"/>
  <c r="M110" i="2"/>
  <c r="M30" i="9" s="1"/>
  <c r="Q131" i="2"/>
  <c r="Q25" i="10" s="1"/>
  <c r="N144" i="2"/>
  <c r="N13" i="11" s="1"/>
  <c r="N99" i="2"/>
  <c r="N105" i="8" s="1"/>
  <c r="O97" i="2"/>
  <c r="O20" i="10" s="1"/>
  <c r="N54" i="2"/>
  <c r="N50" i="9" s="1"/>
  <c r="R65" i="2"/>
  <c r="N87" i="2"/>
  <c r="O146" i="2"/>
  <c r="O141" i="8" s="1"/>
  <c r="M155" i="2"/>
  <c r="O140" i="2"/>
  <c r="O158" i="8" s="1"/>
  <c r="O76" i="2"/>
  <c r="O117" i="8" s="1"/>
  <c r="P145" i="2"/>
  <c r="P127" i="8" s="1"/>
  <c r="P158" i="2"/>
  <c r="R17" i="2"/>
  <c r="R18" i="8" s="1"/>
  <c r="O154" i="2"/>
  <c r="O14" i="11" s="1"/>
  <c r="P99" i="2"/>
  <c r="P105" i="8" s="1"/>
  <c r="R152" i="2"/>
  <c r="M140" i="2"/>
  <c r="M158" i="8" s="1"/>
  <c r="O96" i="2"/>
  <c r="O15" i="10" s="1"/>
  <c r="N76" i="2"/>
  <c r="N117" i="8" s="1"/>
  <c r="Q145" i="2"/>
  <c r="Q127" i="8" s="1"/>
  <c r="Q105" i="2"/>
  <c r="Q33" i="8" s="1"/>
  <c r="Q154" i="2"/>
  <c r="Q14" i="11" s="1"/>
  <c r="P139" i="2"/>
  <c r="P15" i="11" s="1"/>
  <c r="M85" i="2"/>
  <c r="Q69" i="2"/>
  <c r="Q90" i="8" s="1"/>
  <c r="R66" i="2"/>
  <c r="M59" i="2"/>
  <c r="M18" i="9" s="1"/>
  <c r="Q40" i="2"/>
  <c r="Q7" i="9" s="1"/>
  <c r="R154" i="2"/>
  <c r="R14" i="11" s="1"/>
  <c r="R155" i="2"/>
  <c r="R145" i="8" s="1"/>
  <c r="M152" i="2"/>
  <c r="R136" i="2"/>
  <c r="R115" i="8" s="1"/>
  <c r="R96" i="2"/>
  <c r="R15" i="10" s="1"/>
  <c r="P76" i="2"/>
  <c r="P117" i="8" s="1"/>
  <c r="M97" i="2"/>
  <c r="M20" i="10" s="1"/>
  <c r="R103" i="2"/>
  <c r="R84" i="2"/>
  <c r="R153" i="8" s="1"/>
  <c r="N82" i="2"/>
  <c r="N151" i="8" s="1"/>
  <c r="P53" i="2"/>
  <c r="P44" i="8" s="1"/>
  <c r="M58" i="2"/>
  <c r="O52" i="2"/>
  <c r="O24" i="9" s="1"/>
  <c r="M40" i="2"/>
  <c r="M7" i="9" s="1"/>
  <c r="N79" i="2"/>
  <c r="N142" i="8" s="1"/>
  <c r="P47" i="2"/>
  <c r="P31" i="9" s="1"/>
  <c r="O54" i="2"/>
  <c r="O50" i="9" s="1"/>
  <c r="Q148" i="2"/>
  <c r="Q128" i="8" s="1"/>
  <c r="R89" i="2"/>
  <c r="O21" i="2"/>
  <c r="O26" i="8" s="1"/>
  <c r="R146" i="2"/>
  <c r="R141" i="8" s="1"/>
  <c r="N152" i="2"/>
  <c r="R110" i="2"/>
  <c r="R30" i="9" s="1"/>
  <c r="N131" i="2"/>
  <c r="N25" i="10" s="1"/>
  <c r="O49" i="2"/>
  <c r="O35" i="9" s="1"/>
  <c r="O153" i="2"/>
  <c r="O144" i="8" s="1"/>
  <c r="O70" i="2"/>
  <c r="O91" i="8" s="1"/>
  <c r="O47" i="2"/>
  <c r="O31" i="9" s="1"/>
  <c r="Q7" i="2"/>
  <c r="Q7" i="8" s="1"/>
  <c r="N30" i="2"/>
  <c r="N64" i="8" s="1"/>
  <c r="P40" i="2"/>
  <c r="P7" i="9" s="1"/>
  <c r="P8" i="2"/>
  <c r="P8" i="8" s="1"/>
  <c r="N154" i="2"/>
  <c r="N14" i="11" s="1"/>
  <c r="O100" i="2"/>
  <c r="O94" i="8" s="1"/>
  <c r="N7" i="2"/>
  <c r="N7" i="8" s="1"/>
  <c r="P79" i="2"/>
  <c r="P142" i="8" s="1"/>
  <c r="N110" i="2"/>
  <c r="N30" i="9" s="1"/>
  <c r="M146" i="2"/>
  <c r="M141" i="8" s="1"/>
  <c r="O64" i="2"/>
  <c r="O45" i="9" s="1"/>
  <c r="N156" i="2"/>
  <c r="Q100" i="2"/>
  <c r="Q94" i="8" s="1"/>
  <c r="N69" i="2"/>
  <c r="N90" i="8" s="1"/>
  <c r="O53" i="2"/>
  <c r="O44" i="8" s="1"/>
  <c r="N24" i="2"/>
  <c r="N29" i="8" s="1"/>
  <c r="Q29" i="2"/>
  <c r="Q78" i="8" s="1"/>
  <c r="N16" i="2"/>
  <c r="N17" i="8" s="1"/>
  <c r="M139" i="2"/>
  <c r="M15" i="11" s="1"/>
  <c r="Q144" i="2"/>
  <c r="Q13" i="11" s="1"/>
  <c r="O84" i="2"/>
  <c r="O153" i="8" s="1"/>
  <c r="R43" i="2"/>
  <c r="R9" i="9" s="1"/>
  <c r="Q70" i="2"/>
  <c r="Q91" i="8" s="1"/>
  <c r="O40" i="2"/>
  <c r="O7" i="9" s="1"/>
  <c r="M21" i="2"/>
  <c r="M26" i="8" s="1"/>
  <c r="Q47" i="2"/>
  <c r="Q31" i="9" s="1"/>
  <c r="M52" i="2"/>
  <c r="M24" i="9" s="1"/>
  <c r="M49" i="2"/>
  <c r="M35" i="9" s="1"/>
  <c r="R87" i="2"/>
  <c r="Q76" i="2"/>
  <c r="Q117" i="8" s="1"/>
  <c r="P29" i="2"/>
  <c r="P78" i="8" s="1"/>
  <c r="Q54" i="2"/>
  <c r="Q50" i="9" s="1"/>
  <c r="R30" i="2"/>
  <c r="R64" i="8" s="1"/>
  <c r="N40" i="2"/>
  <c r="N7" i="9" s="1"/>
  <c r="O29" i="2"/>
  <c r="O78" i="8" s="1"/>
  <c r="N58" i="2"/>
  <c r="R24" i="2"/>
  <c r="R29" i="8" s="1"/>
  <c r="P7" i="2"/>
  <c r="P7" i="8" s="1"/>
  <c r="O24" i="2"/>
  <c r="O29" i="8" s="1"/>
  <c r="P82" i="2"/>
  <c r="P151" i="8" s="1"/>
  <c r="R47" i="2"/>
  <c r="R31" i="9" s="1"/>
  <c r="Q52" i="2"/>
  <c r="Q24" i="9" s="1"/>
  <c r="P52" i="2"/>
  <c r="P24" i="9" s="1"/>
  <c r="M36" i="2"/>
  <c r="M55" i="9" s="1"/>
  <c r="O16" i="2"/>
  <c r="O17" i="8" s="1"/>
  <c r="N97" i="2"/>
  <c r="N20" i="10" s="1"/>
  <c r="O55" i="2"/>
  <c r="O39" i="9" s="1"/>
  <c r="M103" i="2"/>
  <c r="R54" i="2"/>
  <c r="R50" i="9" s="1"/>
  <c r="O69" i="2"/>
  <c r="O90" i="8" s="1"/>
  <c r="R7" i="2"/>
  <c r="R7" i="8" s="1"/>
  <c r="N49" i="2"/>
  <c r="N35" i="9" s="1"/>
  <c r="Q132" i="2"/>
  <c r="Q136" i="8" s="1"/>
  <c r="Q84" i="2"/>
  <c r="Q153" i="8" s="1"/>
  <c r="Q66" i="2"/>
  <c r="N59" i="2"/>
  <c r="N18" i="9" s="1"/>
  <c r="Q43" i="2"/>
  <c r="Q9" i="9" s="1"/>
  <c r="M79" i="2"/>
  <c r="M142" i="8" s="1"/>
  <c r="P30" i="2"/>
  <c r="P64" i="8" s="1"/>
  <c r="R68" i="2"/>
  <c r="M43" i="2"/>
  <c r="M9" i="9" s="1"/>
  <c r="M47" i="2"/>
  <c r="M31" i="9" s="1"/>
  <c r="Q30" i="2"/>
  <c r="Q64" i="8" s="1"/>
  <c r="Q36" i="2"/>
  <c r="Q55" i="9" s="1"/>
  <c r="N89" i="2"/>
  <c r="M66" i="2"/>
  <c r="N21" i="2"/>
  <c r="N26" i="8" s="1"/>
  <c r="P54" i="2"/>
  <c r="P50" i="9" s="1"/>
  <c r="R40" i="2"/>
  <c r="R7" i="9" s="1"/>
  <c r="R16" i="2"/>
  <c r="R17" i="8" s="1"/>
  <c r="P36" i="2"/>
  <c r="P55" i="9" s="1"/>
  <c r="N70" i="2"/>
  <c r="N91" i="8" s="1"/>
  <c r="N96" i="2"/>
  <c r="N15" i="10" s="1"/>
  <c r="R76" i="2"/>
  <c r="R117" i="8" s="1"/>
  <c r="Q68" i="2"/>
  <c r="Q79" i="2"/>
  <c r="Q142" i="8" s="1"/>
  <c r="M149" i="2"/>
  <c r="M110" i="8" s="1"/>
  <c r="R79" i="2"/>
  <c r="R142" i="8" s="1"/>
  <c r="R145" i="2"/>
  <c r="R127" i="8" s="1"/>
  <c r="R129" i="2"/>
  <c r="R131" i="8" s="1"/>
  <c r="R53" i="2"/>
  <c r="R44" i="8" s="1"/>
  <c r="Q21" i="2"/>
  <c r="Q26" i="8" s="1"/>
  <c r="P49" i="2"/>
  <c r="P35" i="9" s="1"/>
  <c r="Q139" i="2"/>
  <c r="Q15" i="11" s="1"/>
  <c r="M157" i="2"/>
  <c r="M129" i="8" s="1"/>
  <c r="R125" i="2"/>
  <c r="R39" i="8" s="1"/>
  <c r="P21" i="2"/>
  <c r="P26" i="8" s="1"/>
  <c r="Q157" i="2"/>
  <c r="O151" i="2"/>
  <c r="P55" i="2"/>
  <c r="P39" i="9" s="1"/>
  <c r="O103" i="2"/>
  <c r="R58" i="2"/>
  <c r="Q149" i="2"/>
  <c r="Q136" i="2"/>
  <c r="Q115" i="8" s="1"/>
  <c r="Q152" i="2"/>
  <c r="N148" i="2"/>
  <c r="Q140" i="2"/>
  <c r="Q158" i="8" s="1"/>
  <c r="F22" i="8"/>
  <c r="G22" i="8"/>
  <c r="I22" i="8"/>
  <c r="E22" i="8"/>
  <c r="H22" i="8"/>
  <c r="D22" i="8"/>
  <c r="O145" i="8" l="1"/>
  <c r="Q145" i="8"/>
  <c r="P128" i="8"/>
  <c r="P132" i="8" s="1"/>
  <c r="R144" i="8"/>
  <c r="M144" i="8"/>
  <c r="Q144" i="8"/>
  <c r="M146" i="8"/>
  <c r="O129" i="8"/>
  <c r="P145" i="8"/>
  <c r="P42" i="8"/>
  <c r="R129" i="8"/>
  <c r="Q110" i="8"/>
  <c r="Q111" i="8" s="1"/>
  <c r="O128" i="8"/>
  <c r="R128" i="8"/>
  <c r="N128" i="8"/>
  <c r="N132" i="8" s="1"/>
  <c r="Q129" i="8"/>
  <c r="Q132" i="8" s="1"/>
  <c r="N42" i="8"/>
  <c r="P146" i="8"/>
  <c r="M145" i="8"/>
  <c r="N110" i="8"/>
  <c r="N111" i="8" s="1"/>
  <c r="Q42" i="8"/>
  <c r="O38" i="9"/>
  <c r="O41" i="9" s="1"/>
  <c r="O42" i="8"/>
  <c r="R42" i="8"/>
  <c r="N144" i="8"/>
  <c r="O146" i="8"/>
  <c r="M354" i="2"/>
  <c r="M10" i="9" s="1"/>
  <c r="O354" i="2"/>
  <c r="O10" i="9" s="1"/>
  <c r="Q354" i="2"/>
  <c r="Q10" i="9" s="1"/>
  <c r="X60" i="9"/>
  <c r="V9" i="1" s="1"/>
  <c r="P354" i="2"/>
  <c r="P10" i="9" s="1"/>
  <c r="AG38" i="8"/>
  <c r="AG45" i="8" s="1"/>
  <c r="AA13" i="9"/>
  <c r="AA14" i="9" s="1"/>
  <c r="AA60" i="9" s="1"/>
  <c r="Y9" i="1" s="1"/>
  <c r="Y13" i="9"/>
  <c r="Y14" i="9" s="1"/>
  <c r="Y60" i="9" s="1"/>
  <c r="W9" i="1" s="1"/>
  <c r="AE8" i="11"/>
  <c r="AE9" i="11" s="1"/>
  <c r="AE26" i="11" s="1"/>
  <c r="AC11" i="1" s="1"/>
  <c r="Z13" i="9"/>
  <c r="Z14" i="9" s="1"/>
  <c r="Z60" i="9" s="1"/>
  <c r="X9" i="1" s="1"/>
  <c r="AH38" i="8"/>
  <c r="AH45" i="8" s="1"/>
  <c r="AG8" i="11"/>
  <c r="AG9" i="11" s="1"/>
  <c r="AG26" i="11" s="1"/>
  <c r="AE11" i="1" s="1"/>
  <c r="AH8" i="11"/>
  <c r="AH9" i="11" s="1"/>
  <c r="AH26" i="11" s="1"/>
  <c r="AF11" i="1" s="1"/>
  <c r="R354" i="2"/>
  <c r="R10" i="9" s="1"/>
  <c r="N354" i="2"/>
  <c r="N10" i="9" s="1"/>
  <c r="AJ8" i="11"/>
  <c r="AJ9" i="11" s="1"/>
  <c r="AJ26" i="11" s="1"/>
  <c r="AH11" i="1" s="1"/>
  <c r="AJ38" i="8"/>
  <c r="AJ45" i="8" s="1"/>
  <c r="W13" i="9"/>
  <c r="W14" i="9" s="1"/>
  <c r="W60" i="9" s="1"/>
  <c r="U9" i="1" s="1"/>
  <c r="Z28" i="2"/>
  <c r="AA28" i="2"/>
  <c r="AA38" i="8" s="1"/>
  <c r="AA45" i="8" s="1"/>
  <c r="W143" i="2"/>
  <c r="AL7" i="22"/>
  <c r="N11" i="2" s="1"/>
  <c r="N12" i="8" s="1"/>
  <c r="AL34" i="22"/>
  <c r="N38" i="2" s="1"/>
  <c r="N72" i="8" s="1"/>
  <c r="AN34" i="22"/>
  <c r="P38" i="2" s="1"/>
  <c r="P72" i="8" s="1"/>
  <c r="AN117" i="22"/>
  <c r="AM118" i="22"/>
  <c r="AK117" i="22"/>
  <c r="AM7" i="22"/>
  <c r="O11" i="2" s="1"/>
  <c r="O12" i="8" s="1"/>
  <c r="AK34" i="22"/>
  <c r="AK7" i="22"/>
  <c r="M11" i="2" s="1"/>
  <c r="M12" i="8" s="1"/>
  <c r="AP7" i="22"/>
  <c r="Y28" i="2"/>
  <c r="Y38" i="8" s="1"/>
  <c r="Y45" i="8" s="1"/>
  <c r="AP34" i="22"/>
  <c r="R38" i="2" s="1"/>
  <c r="R72" i="8" s="1"/>
  <c r="AM34" i="22"/>
  <c r="O38" i="2" s="1"/>
  <c r="O72" i="8" s="1"/>
  <c r="AN7" i="22"/>
  <c r="P11" i="2" s="1"/>
  <c r="P12" i="8" s="1"/>
  <c r="Y143" i="2"/>
  <c r="Y8" i="11" s="1"/>
  <c r="Y9" i="11" s="1"/>
  <c r="Y26" i="11" s="1"/>
  <c r="W11" i="1" s="1"/>
  <c r="Z143" i="2"/>
  <c r="Z8" i="11" s="1"/>
  <c r="Z9" i="11" s="1"/>
  <c r="Z26" i="11" s="1"/>
  <c r="X11" i="1" s="1"/>
  <c r="X143" i="2"/>
  <c r="AA143" i="2"/>
  <c r="AP117" i="22"/>
  <c r="AO7" i="22"/>
  <c r="Q11" i="2" s="1"/>
  <c r="Q12" i="8" s="1"/>
  <c r="AO117" i="22"/>
  <c r="AL117" i="22"/>
  <c r="AO34" i="22"/>
  <c r="Q38" i="2" s="1"/>
  <c r="Q72" i="8" s="1"/>
  <c r="BO34" i="22"/>
  <c r="AG37" i="2"/>
  <c r="AG71" i="8" s="1"/>
  <c r="BR117" i="22"/>
  <c r="AJ120" i="2"/>
  <c r="AJ333" i="2" s="1"/>
  <c r="AJ58" i="8" s="1"/>
  <c r="AE38" i="2"/>
  <c r="AE72" i="8" s="1"/>
  <c r="BM35" i="22"/>
  <c r="AE120" i="2"/>
  <c r="AE333" i="2" s="1"/>
  <c r="AE58" i="8" s="1"/>
  <c r="BM117" i="22"/>
  <c r="AF10" i="2"/>
  <c r="AF11" i="8" s="1"/>
  <c r="BN7" i="22"/>
  <c r="BQ35" i="22"/>
  <c r="AI38" i="2"/>
  <c r="AI72" i="8" s="1"/>
  <c r="AJ37" i="2"/>
  <c r="AJ71" i="8" s="1"/>
  <c r="BR34" i="22"/>
  <c r="BO117" i="22"/>
  <c r="AG120" i="2"/>
  <c r="AG333" i="2" s="1"/>
  <c r="AG58" i="8" s="1"/>
  <c r="BP34" i="22"/>
  <c r="AH37" i="2"/>
  <c r="AH71" i="8" s="1"/>
  <c r="AI10" i="2"/>
  <c r="AI11" i="8" s="1"/>
  <c r="BQ7" i="22"/>
  <c r="AH120" i="2"/>
  <c r="AH333" i="2" s="1"/>
  <c r="AH58" i="8" s="1"/>
  <c r="BP117" i="22"/>
  <c r="BM7" i="22"/>
  <c r="AE10" i="2"/>
  <c r="AE11" i="8" s="1"/>
  <c r="BQ117" i="22"/>
  <c r="AI120" i="2"/>
  <c r="AI333" i="2" s="1"/>
  <c r="AI58" i="8" s="1"/>
  <c r="BR7" i="22"/>
  <c r="AJ10" i="2"/>
  <c r="AJ11" i="8" s="1"/>
  <c r="AF120" i="2"/>
  <c r="AF333" i="2" s="1"/>
  <c r="AF58" i="8" s="1"/>
  <c r="BN117" i="22"/>
  <c r="BP7" i="22"/>
  <c r="AH10" i="2"/>
  <c r="AH11" i="8" s="1"/>
  <c r="AF37" i="2"/>
  <c r="AF71" i="8" s="1"/>
  <c r="BN34" i="22"/>
  <c r="AG10" i="2"/>
  <c r="AG11" i="8" s="1"/>
  <c r="BO7" i="22"/>
  <c r="R51" i="9"/>
  <c r="P46" i="9"/>
  <c r="P26" i="10"/>
  <c r="P21" i="10"/>
  <c r="Q46" i="9"/>
  <c r="M46" i="9"/>
  <c r="BB116" i="22"/>
  <c r="Y118" i="2"/>
  <c r="Y332" i="2" s="1"/>
  <c r="Y57" i="8" s="1"/>
  <c r="AY34" i="22"/>
  <c r="V37" i="2"/>
  <c r="V71" i="8" s="1"/>
  <c r="BD33" i="22"/>
  <c r="AA35" i="2"/>
  <c r="AA70" i="8" s="1"/>
  <c r="BB6" i="22"/>
  <c r="Y9" i="2"/>
  <c r="Y10" i="8" s="1"/>
  <c r="P51" i="9"/>
  <c r="Q56" i="9"/>
  <c r="M56" i="9"/>
  <c r="R16" i="10"/>
  <c r="P16" i="10"/>
  <c r="N46" i="9"/>
  <c r="AZ6" i="22"/>
  <c r="W9" i="2"/>
  <c r="W10" i="8" s="1"/>
  <c r="P56" i="9"/>
  <c r="N26" i="10"/>
  <c r="N51" i="9"/>
  <c r="R21" i="10"/>
  <c r="R46" i="9"/>
  <c r="M26" i="10"/>
  <c r="N56" i="9"/>
  <c r="M51" i="9"/>
  <c r="AY7" i="22"/>
  <c r="V10" i="2"/>
  <c r="V11" i="8" s="1"/>
  <c r="T9" i="1"/>
  <c r="AZ33" i="22"/>
  <c r="W35" i="2"/>
  <c r="W70" i="8" s="1"/>
  <c r="BD116" i="22"/>
  <c r="AA118" i="2"/>
  <c r="AA332" i="2" s="1"/>
  <c r="AA57" i="8" s="1"/>
  <c r="BA116" i="22"/>
  <c r="X118" i="2"/>
  <c r="X332" i="2" s="1"/>
  <c r="X57" i="8" s="1"/>
  <c r="BA6" i="22"/>
  <c r="X9" i="2"/>
  <c r="X10" i="8" s="1"/>
  <c r="AZ116" i="22"/>
  <c r="W118" i="2"/>
  <c r="W332" i="2" s="1"/>
  <c r="W57" i="8" s="1"/>
  <c r="AY117" i="22"/>
  <c r="V120" i="2"/>
  <c r="V333" i="2" s="1"/>
  <c r="V58" i="8" s="1"/>
  <c r="BC33" i="22"/>
  <c r="Z35" i="2"/>
  <c r="Z70" i="8" s="1"/>
  <c r="N16" i="10"/>
  <c r="O16" i="10"/>
  <c r="M16" i="10"/>
  <c r="Q21" i="10"/>
  <c r="R22" i="11"/>
  <c r="BC116" i="22"/>
  <c r="Z118" i="2"/>
  <c r="Z332" i="2" s="1"/>
  <c r="Z57" i="8" s="1"/>
  <c r="BB33" i="22"/>
  <c r="Y35" i="2"/>
  <c r="Y70" i="8" s="1"/>
  <c r="BA33" i="22"/>
  <c r="X35" i="2"/>
  <c r="X70" i="8" s="1"/>
  <c r="Q51" i="9"/>
  <c r="O51" i="9"/>
  <c r="R26" i="10"/>
  <c r="O56" i="9"/>
  <c r="R56" i="9"/>
  <c r="P22" i="11"/>
  <c r="Q22" i="11"/>
  <c r="N21" i="10"/>
  <c r="O46" i="9"/>
  <c r="M21" i="10"/>
  <c r="O21" i="10"/>
  <c r="Q26" i="10"/>
  <c r="Q16" i="10"/>
  <c r="O26" i="10"/>
  <c r="N22" i="11"/>
  <c r="M22" i="11"/>
  <c r="O22" i="11"/>
  <c r="T11" i="1"/>
  <c r="BD6" i="22"/>
  <c r="AA9" i="2"/>
  <c r="AA10" i="8" s="1"/>
  <c r="BC6" i="22"/>
  <c r="Z9" i="2"/>
  <c r="Z10" i="8" s="1"/>
  <c r="AE123" i="8"/>
  <c r="AF45" i="8"/>
  <c r="Y123" i="8"/>
  <c r="X123" i="8"/>
  <c r="R137" i="8"/>
  <c r="P106" i="8"/>
  <c r="O111" i="8"/>
  <c r="P111" i="8"/>
  <c r="M111" i="8"/>
  <c r="Q137" i="8"/>
  <c r="N106" i="8"/>
  <c r="O137" i="8"/>
  <c r="M106" i="8"/>
  <c r="R106" i="8"/>
  <c r="M137" i="8"/>
  <c r="P137" i="8"/>
  <c r="N137" i="8"/>
  <c r="R111" i="8"/>
  <c r="V45" i="8"/>
  <c r="Q106" i="8"/>
  <c r="O106" i="8"/>
  <c r="Z123" i="8"/>
  <c r="W123" i="8"/>
  <c r="M120" i="2"/>
  <c r="Q118" i="2"/>
  <c r="N118" i="2"/>
  <c r="W45" i="8"/>
  <c r="AF123" i="8"/>
  <c r="V123" i="8"/>
  <c r="Q37" i="2"/>
  <c r="Q71" i="8" s="1"/>
  <c r="X45" i="8"/>
  <c r="AE45" i="8"/>
  <c r="P126" i="2"/>
  <c r="P40" i="8" s="1"/>
  <c r="N115" i="2"/>
  <c r="R115" i="2"/>
  <c r="M107" i="2"/>
  <c r="M31" i="8" s="1"/>
  <c r="M117" i="2"/>
  <c r="P67" i="2"/>
  <c r="P328" i="2" s="1"/>
  <c r="P49" i="8" s="1"/>
  <c r="R25" i="2"/>
  <c r="R32" i="8" s="1"/>
  <c r="M151" i="2"/>
  <c r="O126" i="2"/>
  <c r="O40" i="8" s="1"/>
  <c r="M130" i="2"/>
  <c r="M160" i="8" s="1"/>
  <c r="N116" i="2"/>
  <c r="R116" i="2"/>
  <c r="N117" i="2"/>
  <c r="M118" i="2"/>
  <c r="O67" i="2"/>
  <c r="R126" i="2"/>
  <c r="R40" i="8" s="1"/>
  <c r="M106" i="2"/>
  <c r="M30" i="8" s="1"/>
  <c r="M90" i="2"/>
  <c r="M8" i="10" s="1"/>
  <c r="M116" i="2"/>
  <c r="P80" i="2"/>
  <c r="P121" i="8" s="1"/>
  <c r="R117" i="2"/>
  <c r="M141" i="2"/>
  <c r="M7" i="11" s="1"/>
  <c r="O130" i="2"/>
  <c r="O160" i="8" s="1"/>
  <c r="O142" i="2"/>
  <c r="O162" i="8" s="1"/>
  <c r="O141" i="2"/>
  <c r="O7" i="11" s="1"/>
  <c r="O117" i="2"/>
  <c r="R67" i="2"/>
  <c r="R328" i="2" s="1"/>
  <c r="R49" i="8" s="1"/>
  <c r="P141" i="2"/>
  <c r="P7" i="11" s="1"/>
  <c r="Q67" i="2"/>
  <c r="Q328" i="2" s="1"/>
  <c r="Q49" i="8" s="1"/>
  <c r="P118" i="2"/>
  <c r="P332" i="2" s="1"/>
  <c r="P57" i="8" s="1"/>
  <c r="P128" i="2"/>
  <c r="P27" i="8" s="1"/>
  <c r="Q106" i="2"/>
  <c r="Q30" i="8" s="1"/>
  <c r="M67" i="2"/>
  <c r="M328" i="2" s="1"/>
  <c r="M49" i="8" s="1"/>
  <c r="M128" i="2"/>
  <c r="M27" i="8" s="1"/>
  <c r="O133" i="2"/>
  <c r="O161" i="8" s="1"/>
  <c r="Q115" i="2"/>
  <c r="Q128" i="2"/>
  <c r="Q27" i="8" s="1"/>
  <c r="N128" i="2"/>
  <c r="N27" i="8" s="1"/>
  <c r="P98" i="2"/>
  <c r="P159" i="8" s="1"/>
  <c r="O107" i="2"/>
  <c r="O31" i="8" s="1"/>
  <c r="P107" i="2"/>
  <c r="P31" i="8" s="1"/>
  <c r="N133" i="2"/>
  <c r="N161" i="8" s="1"/>
  <c r="N142" i="2"/>
  <c r="N162" i="8" s="1"/>
  <c r="N25" i="2"/>
  <c r="N32" i="8" s="1"/>
  <c r="O106" i="2"/>
  <c r="O30" i="8" s="1"/>
  <c r="N106" i="2"/>
  <c r="N30" i="8" s="1"/>
  <c r="P115" i="2"/>
  <c r="P116" i="2"/>
  <c r="P117" i="2"/>
  <c r="N141" i="2"/>
  <c r="N7" i="11" s="1"/>
  <c r="R106" i="2"/>
  <c r="R30" i="8" s="1"/>
  <c r="O128" i="2"/>
  <c r="O27" i="8" s="1"/>
  <c r="R90" i="2"/>
  <c r="R8" i="10" s="1"/>
  <c r="N90" i="2"/>
  <c r="N8" i="10" s="1"/>
  <c r="O115" i="2"/>
  <c r="O329" i="2" s="1"/>
  <c r="O54" i="8" s="1"/>
  <c r="Q107" i="2"/>
  <c r="Q31" i="8" s="1"/>
  <c r="Q141" i="2"/>
  <c r="Q7" i="11" s="1"/>
  <c r="O118" i="2"/>
  <c r="N92" i="2"/>
  <c r="Q98" i="2"/>
  <c r="Q159" i="8" s="1"/>
  <c r="P92" i="2"/>
  <c r="O98" i="2"/>
  <c r="O159" i="8" s="1"/>
  <c r="R80" i="2"/>
  <c r="R121" i="8" s="1"/>
  <c r="Q90" i="2"/>
  <c r="Q8" i="10" s="1"/>
  <c r="O116" i="2"/>
  <c r="N151" i="2"/>
  <c r="N143" i="8" s="1"/>
  <c r="R98" i="2"/>
  <c r="R159" i="8" s="1"/>
  <c r="N126" i="2"/>
  <c r="N40" i="8" s="1"/>
  <c r="M126" i="2"/>
  <c r="M40" i="8" s="1"/>
  <c r="Q133" i="2"/>
  <c r="Q161" i="8" s="1"/>
  <c r="R130" i="2"/>
  <c r="R160" i="8" s="1"/>
  <c r="O90" i="2"/>
  <c r="O8" i="10" s="1"/>
  <c r="N80" i="2"/>
  <c r="N121" i="8" s="1"/>
  <c r="Q117" i="2"/>
  <c r="Q151" i="2"/>
  <c r="Q38" i="9" s="1"/>
  <c r="Q41" i="9" s="1"/>
  <c r="O92" i="2"/>
  <c r="R151" i="2"/>
  <c r="N67" i="2"/>
  <c r="N328" i="2" s="1"/>
  <c r="N49" i="8" s="1"/>
  <c r="Q92" i="2"/>
  <c r="M92" i="2"/>
  <c r="P90" i="2"/>
  <c r="P8" i="10" s="1"/>
  <c r="N130" i="2"/>
  <c r="N160" i="8" s="1"/>
  <c r="Q116" i="2"/>
  <c r="P133" i="2"/>
  <c r="P161" i="8" s="1"/>
  <c r="R133" i="2"/>
  <c r="R161" i="8" s="1"/>
  <c r="M80" i="2"/>
  <c r="M121" i="8" s="1"/>
  <c r="P142" i="2"/>
  <c r="P162" i="8" s="1"/>
  <c r="Q130" i="2"/>
  <c r="Q160" i="8" s="1"/>
  <c r="P151" i="2"/>
  <c r="P106" i="2"/>
  <c r="P30" i="8" s="1"/>
  <c r="N98" i="2"/>
  <c r="N159" i="8" s="1"/>
  <c r="R92" i="2"/>
  <c r="Q126" i="2"/>
  <c r="Q40" i="8" s="1"/>
  <c r="P130" i="2"/>
  <c r="P160" i="8" s="1"/>
  <c r="Q80" i="2"/>
  <c r="Q121" i="8" s="1"/>
  <c r="Q142" i="2"/>
  <c r="Q162" i="8" s="1"/>
  <c r="O80" i="2"/>
  <c r="O121" i="8" s="1"/>
  <c r="O27" i="2"/>
  <c r="O37" i="8" s="1"/>
  <c r="R142" i="2"/>
  <c r="R162" i="8" s="1"/>
  <c r="R141" i="2"/>
  <c r="R7" i="11" s="1"/>
  <c r="P51" i="2"/>
  <c r="P23" i="9" s="1"/>
  <c r="P150" i="2"/>
  <c r="P25" i="9" s="1"/>
  <c r="N51" i="2"/>
  <c r="N23" i="9" s="1"/>
  <c r="N150" i="2"/>
  <c r="N25" i="9" s="1"/>
  <c r="Q51" i="2"/>
  <c r="Q23" i="9" s="1"/>
  <c r="Q150" i="2"/>
  <c r="Q25" i="9" s="1"/>
  <c r="M51" i="2"/>
  <c r="M23" i="9" s="1"/>
  <c r="M150" i="2"/>
  <c r="M25" i="9" s="1"/>
  <c r="R51" i="2"/>
  <c r="R23" i="9" s="1"/>
  <c r="R150" i="2"/>
  <c r="R25" i="9" s="1"/>
  <c r="O51" i="2"/>
  <c r="O23" i="9" s="1"/>
  <c r="O150" i="2"/>
  <c r="O25" i="9" s="1"/>
  <c r="N32" i="2"/>
  <c r="N66" i="8" s="1"/>
  <c r="P32" i="2"/>
  <c r="P66" i="8" s="1"/>
  <c r="R32" i="2"/>
  <c r="R66" i="8" s="1"/>
  <c r="Q32" i="2"/>
  <c r="Q66" i="8" s="1"/>
  <c r="O32" i="2"/>
  <c r="O66" i="8" s="1"/>
  <c r="M32" i="2"/>
  <c r="M66" i="8" s="1"/>
  <c r="N22" i="2"/>
  <c r="N34" i="8" s="1"/>
  <c r="N108" i="2"/>
  <c r="N35" i="8" s="1"/>
  <c r="P22" i="2"/>
  <c r="P34" i="8" s="1"/>
  <c r="P108" i="2"/>
  <c r="P35" i="8" s="1"/>
  <c r="Q22" i="2"/>
  <c r="Q34" i="8" s="1"/>
  <c r="Q108" i="2"/>
  <c r="Q35" i="8" s="1"/>
  <c r="O22" i="2"/>
  <c r="O34" i="8" s="1"/>
  <c r="O108" i="2"/>
  <c r="O35" i="8" s="1"/>
  <c r="M22" i="2"/>
  <c r="M34" i="8" s="1"/>
  <c r="M108" i="2"/>
  <c r="M35" i="8" s="1"/>
  <c r="R22" i="2"/>
  <c r="R34" i="8" s="1"/>
  <c r="R108" i="2"/>
  <c r="R35" i="8" s="1"/>
  <c r="O9" i="2"/>
  <c r="O10" i="8" s="1"/>
  <c r="O10" i="2"/>
  <c r="O11" i="8" s="1"/>
  <c r="P31" i="2"/>
  <c r="P65" i="8" s="1"/>
  <c r="N9" i="2"/>
  <c r="N10" i="8" s="1"/>
  <c r="R41" i="2"/>
  <c r="R8" i="9" s="1"/>
  <c r="N10" i="2"/>
  <c r="N11" i="8" s="1"/>
  <c r="N31" i="2"/>
  <c r="N65" i="8" s="1"/>
  <c r="R61" i="2"/>
  <c r="R20" i="9" s="1"/>
  <c r="R62" i="2"/>
  <c r="R21" i="9" s="1"/>
  <c r="O41" i="2"/>
  <c r="O8" i="9" s="1"/>
  <c r="R60" i="2"/>
  <c r="R19" i="9" s="1"/>
  <c r="R31" i="2"/>
  <c r="R65" i="8" s="1"/>
  <c r="P61" i="2"/>
  <c r="P20" i="9" s="1"/>
  <c r="P62" i="2"/>
  <c r="P21" i="9" s="1"/>
  <c r="P60" i="2"/>
  <c r="P19" i="9" s="1"/>
  <c r="M31" i="2"/>
  <c r="M65" i="8" s="1"/>
  <c r="P9" i="2"/>
  <c r="P10" i="8" s="1"/>
  <c r="M62" i="2"/>
  <c r="M21" i="9" s="1"/>
  <c r="P41" i="2"/>
  <c r="P8" i="9" s="1"/>
  <c r="M41" i="2"/>
  <c r="M8" i="9" s="1"/>
  <c r="M60" i="2"/>
  <c r="M19" i="9" s="1"/>
  <c r="O31" i="2"/>
  <c r="O65" i="8" s="1"/>
  <c r="M61" i="2"/>
  <c r="M20" i="9" s="1"/>
  <c r="Q63" i="2"/>
  <c r="Q22" i="9" s="1"/>
  <c r="O63" i="2"/>
  <c r="O22" i="9" s="1"/>
  <c r="Q62" i="2"/>
  <c r="Q21" i="9" s="1"/>
  <c r="Q10" i="2"/>
  <c r="Q11" i="8" s="1"/>
  <c r="N61" i="2"/>
  <c r="N20" i="9" s="1"/>
  <c r="Q9" i="2"/>
  <c r="Q10" i="8" s="1"/>
  <c r="Q61" i="2"/>
  <c r="Q20" i="9" s="1"/>
  <c r="Q41" i="2"/>
  <c r="Q8" i="9" s="1"/>
  <c r="O62" i="2"/>
  <c r="O21" i="9" s="1"/>
  <c r="M10" i="2"/>
  <c r="M11" i="8" s="1"/>
  <c r="M27" i="2"/>
  <c r="M37" i="8" s="1"/>
  <c r="R27" i="2"/>
  <c r="R37" i="8" s="1"/>
  <c r="Q60" i="2"/>
  <c r="Q19" i="9" s="1"/>
  <c r="N60" i="2"/>
  <c r="N19" i="9" s="1"/>
  <c r="N41" i="2"/>
  <c r="N8" i="9" s="1"/>
  <c r="Q31" i="2"/>
  <c r="Q65" i="8" s="1"/>
  <c r="O60" i="2"/>
  <c r="O19" i="9" s="1"/>
  <c r="O61" i="2"/>
  <c r="O20" i="9" s="1"/>
  <c r="N62" i="2"/>
  <c r="N21" i="9" s="1"/>
  <c r="M9" i="2"/>
  <c r="M10" i="8" s="1"/>
  <c r="P10" i="2"/>
  <c r="P11" i="8" s="1"/>
  <c r="R154" i="8"/>
  <c r="R9" i="2"/>
  <c r="R10" i="8" s="1"/>
  <c r="R10" i="2"/>
  <c r="R11" i="8" s="1"/>
  <c r="N27" i="2"/>
  <c r="N37" i="8" s="1"/>
  <c r="P27" i="2"/>
  <c r="P37" i="8" s="1"/>
  <c r="Q27" i="2"/>
  <c r="Q37" i="8" s="1"/>
  <c r="Q16" i="11"/>
  <c r="P154" i="8"/>
  <c r="R16" i="11"/>
  <c r="P16" i="11"/>
  <c r="O16" i="11"/>
  <c r="Q154" i="8"/>
  <c r="M154" i="8"/>
  <c r="O154" i="8"/>
  <c r="N16" i="11"/>
  <c r="M16" i="11"/>
  <c r="N154" i="8"/>
  <c r="M132" i="8"/>
  <c r="R132" i="8" l="1"/>
  <c r="O132" i="8"/>
  <c r="O143" i="8"/>
  <c r="O147" i="8" s="1"/>
  <c r="P143" i="8"/>
  <c r="P147" i="8" s="1"/>
  <c r="R143" i="8"/>
  <c r="R147" i="8" s="1"/>
  <c r="P38" i="9"/>
  <c r="P41" i="9" s="1"/>
  <c r="M143" i="8"/>
  <c r="M147" i="8" s="1"/>
  <c r="R38" i="9"/>
  <c r="R41" i="9" s="1"/>
  <c r="Q143" i="8"/>
  <c r="Q147" i="8" s="1"/>
  <c r="N38" i="9"/>
  <c r="N41" i="9" s="1"/>
  <c r="M38" i="9"/>
  <c r="M41" i="9" s="1"/>
  <c r="O332" i="2"/>
  <c r="O57" i="8" s="1"/>
  <c r="R330" i="2"/>
  <c r="R55" i="8" s="1"/>
  <c r="P330" i="2"/>
  <c r="P55" i="8" s="1"/>
  <c r="Q329" i="2"/>
  <c r="Q54" i="8" s="1"/>
  <c r="Q330" i="2"/>
  <c r="Q55" i="8" s="1"/>
  <c r="Q331" i="2"/>
  <c r="Q56" i="8" s="1"/>
  <c r="O331" i="2"/>
  <c r="O56" i="8" s="1"/>
  <c r="M332" i="2"/>
  <c r="M57" i="8" s="1"/>
  <c r="M333" i="2"/>
  <c r="M58" i="8" s="1"/>
  <c r="P329" i="2"/>
  <c r="P54" i="8" s="1"/>
  <c r="M330" i="2"/>
  <c r="M55" i="8" s="1"/>
  <c r="M329" i="2"/>
  <c r="M54" i="8" s="1"/>
  <c r="N330" i="2"/>
  <c r="N55" i="8" s="1"/>
  <c r="R329" i="2"/>
  <c r="R54" i="8" s="1"/>
  <c r="O328" i="2"/>
  <c r="O49" i="8" s="1"/>
  <c r="W8" i="11"/>
  <c r="W9" i="11" s="1"/>
  <c r="W26" i="11" s="1"/>
  <c r="N329" i="2"/>
  <c r="N54" i="8" s="1"/>
  <c r="N332" i="2"/>
  <c r="N57" i="8" s="1"/>
  <c r="AA8" i="11"/>
  <c r="AA9" i="11" s="1"/>
  <c r="AA26" i="11" s="1"/>
  <c r="Y11" i="1" s="1"/>
  <c r="Z38" i="8"/>
  <c r="Z45" i="8" s="1"/>
  <c r="O330" i="2"/>
  <c r="O55" i="8" s="1"/>
  <c r="P331" i="2"/>
  <c r="P56" i="8" s="1"/>
  <c r="R331" i="2"/>
  <c r="R56" i="8" s="1"/>
  <c r="N331" i="2"/>
  <c r="N56" i="8" s="1"/>
  <c r="M331" i="2"/>
  <c r="M56" i="8" s="1"/>
  <c r="Q332" i="2"/>
  <c r="Q57" i="8" s="1"/>
  <c r="X8" i="11"/>
  <c r="X9" i="11" s="1"/>
  <c r="X26" i="11" s="1"/>
  <c r="V11" i="1" s="1"/>
  <c r="AI39" i="2"/>
  <c r="AI73" i="8" s="1"/>
  <c r="AI74" i="8" s="1"/>
  <c r="AO35" i="22"/>
  <c r="AO118" i="22"/>
  <c r="AP118" i="22"/>
  <c r="AM35" i="22"/>
  <c r="AK8" i="22"/>
  <c r="AM8" i="22"/>
  <c r="AM119" i="22"/>
  <c r="AN35" i="22"/>
  <c r="AL8" i="22"/>
  <c r="AE39" i="2"/>
  <c r="AE73" i="8" s="1"/>
  <c r="AL118" i="22"/>
  <c r="AO8" i="22"/>
  <c r="AN8" i="22"/>
  <c r="AP35" i="22"/>
  <c r="AP8" i="22"/>
  <c r="AK35" i="22"/>
  <c r="AK118" i="22"/>
  <c r="AN118" i="22"/>
  <c r="AL35" i="22"/>
  <c r="AG38" i="2"/>
  <c r="AG72" i="8" s="1"/>
  <c r="BO35" i="22"/>
  <c r="BR118" i="22"/>
  <c r="AJ121" i="2"/>
  <c r="AJ334" i="2" s="1"/>
  <c r="AJ59" i="8" s="1"/>
  <c r="BO8" i="22"/>
  <c r="AG11" i="2"/>
  <c r="AG12" i="8" s="1"/>
  <c r="AI11" i="2"/>
  <c r="AI12" i="8" s="1"/>
  <c r="BQ8" i="22"/>
  <c r="BP8" i="22"/>
  <c r="AH11" i="2"/>
  <c r="AH12" i="8" s="1"/>
  <c r="BM8" i="22"/>
  <c r="AE11" i="2"/>
  <c r="AE12" i="8" s="1"/>
  <c r="BN35" i="22"/>
  <c r="AF38" i="2"/>
  <c r="AF72" i="8" s="1"/>
  <c r="BN118" i="22"/>
  <c r="AF121" i="2"/>
  <c r="AF334" i="2" s="1"/>
  <c r="AF59" i="8" s="1"/>
  <c r="AH121" i="2"/>
  <c r="AH334" i="2" s="1"/>
  <c r="AH59" i="8" s="1"/>
  <c r="BP118" i="22"/>
  <c r="AJ38" i="2"/>
  <c r="AJ72" i="8" s="1"/>
  <c r="BR35" i="22"/>
  <c r="BN8" i="22"/>
  <c r="AF11" i="2"/>
  <c r="AF12" i="8" s="1"/>
  <c r="AE121" i="2"/>
  <c r="AE334" i="2" s="1"/>
  <c r="AE59" i="8" s="1"/>
  <c r="BM118" i="22"/>
  <c r="BR8" i="22"/>
  <c r="AJ11" i="2"/>
  <c r="AJ12" i="8" s="1"/>
  <c r="AG121" i="2"/>
  <c r="AG334" i="2" s="1"/>
  <c r="AG59" i="8" s="1"/>
  <c r="BO118" i="22"/>
  <c r="AI121" i="2"/>
  <c r="AI334" i="2" s="1"/>
  <c r="AI59" i="8" s="1"/>
  <c r="BQ118" i="22"/>
  <c r="BP35" i="22"/>
  <c r="AH38" i="2"/>
  <c r="AH72" i="8" s="1"/>
  <c r="P11" i="10"/>
  <c r="P30" i="10" s="1"/>
  <c r="N10" i="1" s="1"/>
  <c r="E34" i="1" s="1"/>
  <c r="Q9" i="11"/>
  <c r="Q26" i="11" s="1"/>
  <c r="O11" i="1" s="1"/>
  <c r="F35" i="1" s="1"/>
  <c r="R11" i="10"/>
  <c r="R30" i="10" s="1"/>
  <c r="P10" i="1" s="1"/>
  <c r="G34" i="1" s="1"/>
  <c r="O9" i="11"/>
  <c r="O26" i="11" s="1"/>
  <c r="M11" i="1" s="1"/>
  <c r="D35" i="1" s="1"/>
  <c r="BC7" i="22"/>
  <c r="Z10" i="2"/>
  <c r="Z11" i="8" s="1"/>
  <c r="BA34" i="22"/>
  <c r="X37" i="2"/>
  <c r="X71" i="8" s="1"/>
  <c r="BC117" i="22"/>
  <c r="Z120" i="2"/>
  <c r="Z333" i="2" s="1"/>
  <c r="Z58" i="8" s="1"/>
  <c r="BD117" i="22"/>
  <c r="AA120" i="2"/>
  <c r="AA333" i="2" s="1"/>
  <c r="AA58" i="8" s="1"/>
  <c r="BB7" i="22"/>
  <c r="Y10" i="2"/>
  <c r="Y11" i="8" s="1"/>
  <c r="R9" i="11"/>
  <c r="R26" i="11" s="1"/>
  <c r="P11" i="1" s="1"/>
  <c r="G35" i="1" s="1"/>
  <c r="O11" i="10"/>
  <c r="O30" i="10" s="1"/>
  <c r="M10" i="1" s="1"/>
  <c r="D34" i="1" s="1"/>
  <c r="Q11" i="10"/>
  <c r="Q30" i="10" s="1"/>
  <c r="O10" i="1" s="1"/>
  <c r="F34" i="1" s="1"/>
  <c r="P9" i="11"/>
  <c r="P26" i="11" s="1"/>
  <c r="N11" i="1" s="1"/>
  <c r="E35" i="1" s="1"/>
  <c r="AY118" i="22"/>
  <c r="V121" i="2"/>
  <c r="V334" i="2" s="1"/>
  <c r="V59" i="8" s="1"/>
  <c r="AZ117" i="22"/>
  <c r="W120" i="2"/>
  <c r="W333" i="2" s="1"/>
  <c r="W58" i="8" s="1"/>
  <c r="AZ34" i="22"/>
  <c r="W37" i="2"/>
  <c r="W71" i="8" s="1"/>
  <c r="AY8" i="22"/>
  <c r="V11" i="2"/>
  <c r="V12" i="8" s="1"/>
  <c r="AZ7" i="22"/>
  <c r="W10" i="2"/>
  <c r="W11" i="8" s="1"/>
  <c r="BB117" i="22"/>
  <c r="Y120" i="2"/>
  <c r="Y333" i="2" s="1"/>
  <c r="Y58" i="8" s="1"/>
  <c r="BB34" i="22"/>
  <c r="Y37" i="2"/>
  <c r="Y71" i="8" s="1"/>
  <c r="BA117" i="22"/>
  <c r="X120" i="2"/>
  <c r="X333" i="2" s="1"/>
  <c r="X58" i="8" s="1"/>
  <c r="BD34" i="22"/>
  <c r="AA37" i="2"/>
  <c r="AA71" i="8" s="1"/>
  <c r="N11" i="10"/>
  <c r="N9" i="11"/>
  <c r="N26" i="11" s="1"/>
  <c r="L11" i="1" s="1"/>
  <c r="C35" i="1" s="1"/>
  <c r="M9" i="11"/>
  <c r="M11" i="10"/>
  <c r="M30" i="10" s="1"/>
  <c r="BD7" i="22"/>
  <c r="AA10" i="2"/>
  <c r="AA11" i="8" s="1"/>
  <c r="BC34" i="22"/>
  <c r="Z37" i="2"/>
  <c r="Z71" i="8" s="1"/>
  <c r="BA7" i="22"/>
  <c r="X10" i="2"/>
  <c r="X11" i="8" s="1"/>
  <c r="AY35" i="22"/>
  <c r="V38" i="2"/>
  <c r="V72" i="8" s="1"/>
  <c r="N147" i="8"/>
  <c r="P123" i="8"/>
  <c r="R11" i="2"/>
  <c r="R12" i="8" s="1"/>
  <c r="Q123" i="8"/>
  <c r="N123" i="8"/>
  <c r="R123" i="8"/>
  <c r="R118" i="2"/>
  <c r="R332" i="2" s="1"/>
  <c r="R57" i="8" s="1"/>
  <c r="M38" i="2"/>
  <c r="M72" i="8" s="1"/>
  <c r="O123" i="8"/>
  <c r="M123" i="8"/>
  <c r="M163" i="8"/>
  <c r="O163" i="8"/>
  <c r="M50" i="8"/>
  <c r="N163" i="8"/>
  <c r="Q163" i="8"/>
  <c r="P163" i="8"/>
  <c r="N50" i="8"/>
  <c r="R163" i="8"/>
  <c r="M127" i="2"/>
  <c r="M67" i="8" s="1"/>
  <c r="Q127" i="2"/>
  <c r="Q67" i="8" s="1"/>
  <c r="P127" i="2"/>
  <c r="P67" i="8" s="1"/>
  <c r="O127" i="2"/>
  <c r="O67" i="8" s="1"/>
  <c r="R127" i="2"/>
  <c r="R67" i="8" s="1"/>
  <c r="N127" i="2"/>
  <c r="N67" i="8" s="1"/>
  <c r="Q45" i="8"/>
  <c r="O45" i="8"/>
  <c r="P45" i="8"/>
  <c r="M45" i="8"/>
  <c r="N45" i="8"/>
  <c r="R45" i="8"/>
  <c r="R26" i="9"/>
  <c r="R14" i="9"/>
  <c r="M14" i="9"/>
  <c r="O14" i="9"/>
  <c r="N26" i="9"/>
  <c r="O26" i="9"/>
  <c r="M26" i="9"/>
  <c r="P26" i="9"/>
  <c r="N14" i="9"/>
  <c r="P14" i="9"/>
  <c r="Q26" i="9"/>
  <c r="Q14" i="9"/>
  <c r="P114" i="5"/>
  <c r="V114" i="5" s="1"/>
  <c r="O114" i="5"/>
  <c r="U114" i="5" s="1"/>
  <c r="N114" i="5"/>
  <c r="T114" i="5" s="1"/>
  <c r="M114" i="5"/>
  <c r="S114" i="5" s="1"/>
  <c r="L114" i="5"/>
  <c r="R114" i="5" s="1"/>
  <c r="K114" i="5"/>
  <c r="Q114" i="5" s="1"/>
  <c r="P113" i="5"/>
  <c r="V113" i="5" s="1"/>
  <c r="O113" i="5"/>
  <c r="U113" i="5" s="1"/>
  <c r="N113" i="5"/>
  <c r="T113" i="5" s="1"/>
  <c r="M113" i="5"/>
  <c r="S113" i="5" s="1"/>
  <c r="L113" i="5"/>
  <c r="R113" i="5" s="1"/>
  <c r="K113" i="5"/>
  <c r="Q113" i="5" s="1"/>
  <c r="P112" i="5"/>
  <c r="V112" i="5" s="1"/>
  <c r="O112" i="5"/>
  <c r="U112" i="5" s="1"/>
  <c r="N112" i="5"/>
  <c r="T112" i="5" s="1"/>
  <c r="M112" i="5"/>
  <c r="S112" i="5" s="1"/>
  <c r="L112" i="5"/>
  <c r="R112" i="5" s="1"/>
  <c r="K112" i="5"/>
  <c r="Q112" i="5" s="1"/>
  <c r="P111" i="5"/>
  <c r="V111" i="5" s="1"/>
  <c r="O111" i="5"/>
  <c r="U111" i="5" s="1"/>
  <c r="N111" i="5"/>
  <c r="T111" i="5" s="1"/>
  <c r="M111" i="5"/>
  <c r="S111" i="5" s="1"/>
  <c r="L111" i="5"/>
  <c r="R111" i="5" s="1"/>
  <c r="K111" i="5"/>
  <c r="Q111" i="5" s="1"/>
  <c r="P110" i="5"/>
  <c r="V110" i="5" s="1"/>
  <c r="O110" i="5"/>
  <c r="U110" i="5" s="1"/>
  <c r="N110" i="5"/>
  <c r="T110" i="5" s="1"/>
  <c r="M110" i="5"/>
  <c r="S110" i="5" s="1"/>
  <c r="L110" i="5"/>
  <c r="R110" i="5" s="1"/>
  <c r="K110" i="5"/>
  <c r="Q110" i="5" s="1"/>
  <c r="P109" i="5"/>
  <c r="V109" i="5" s="1"/>
  <c r="O109" i="5"/>
  <c r="U109" i="5" s="1"/>
  <c r="N109" i="5"/>
  <c r="T109" i="5" s="1"/>
  <c r="M109" i="5"/>
  <c r="S109" i="5" s="1"/>
  <c r="L109" i="5"/>
  <c r="R109" i="5" s="1"/>
  <c r="K109" i="5"/>
  <c r="Q109" i="5" s="1"/>
  <c r="P108" i="5"/>
  <c r="V108" i="5" s="1"/>
  <c r="O108" i="5"/>
  <c r="U108" i="5" s="1"/>
  <c r="N108" i="5"/>
  <c r="T108" i="5" s="1"/>
  <c r="M108" i="5"/>
  <c r="S108" i="5" s="1"/>
  <c r="L108" i="5"/>
  <c r="R108" i="5" s="1"/>
  <c r="K108" i="5"/>
  <c r="Q108" i="5" s="1"/>
  <c r="P107" i="5"/>
  <c r="V107" i="5" s="1"/>
  <c r="O107" i="5"/>
  <c r="U107" i="5" s="1"/>
  <c r="N107" i="5"/>
  <c r="T107" i="5" s="1"/>
  <c r="M107" i="5"/>
  <c r="S107" i="5" s="1"/>
  <c r="L107" i="5"/>
  <c r="R107" i="5" s="1"/>
  <c r="K107" i="5"/>
  <c r="Q107" i="5" s="1"/>
  <c r="P106" i="5"/>
  <c r="V106" i="5" s="1"/>
  <c r="O106" i="5"/>
  <c r="U106" i="5" s="1"/>
  <c r="N106" i="5"/>
  <c r="T106" i="5" s="1"/>
  <c r="M106" i="5"/>
  <c r="S106" i="5" s="1"/>
  <c r="L106" i="5"/>
  <c r="R106" i="5" s="1"/>
  <c r="K106" i="5"/>
  <c r="Q106" i="5" s="1"/>
  <c r="P105" i="5"/>
  <c r="V105" i="5" s="1"/>
  <c r="O105" i="5"/>
  <c r="U105" i="5" s="1"/>
  <c r="N105" i="5"/>
  <c r="T105" i="5" s="1"/>
  <c r="M105" i="5"/>
  <c r="S105" i="5" s="1"/>
  <c r="L105" i="5"/>
  <c r="R105" i="5" s="1"/>
  <c r="K105" i="5"/>
  <c r="Q105" i="5" s="1"/>
  <c r="P104" i="5"/>
  <c r="V104" i="5" s="1"/>
  <c r="O104" i="5"/>
  <c r="U104" i="5" s="1"/>
  <c r="N104" i="5"/>
  <c r="T104" i="5" s="1"/>
  <c r="M104" i="5"/>
  <c r="S104" i="5" s="1"/>
  <c r="L104" i="5"/>
  <c r="R104" i="5" s="1"/>
  <c r="K104" i="5"/>
  <c r="Q104" i="5" s="1"/>
  <c r="P103" i="5"/>
  <c r="V103" i="5" s="1"/>
  <c r="O103" i="5"/>
  <c r="U103" i="5" s="1"/>
  <c r="N103" i="5"/>
  <c r="T103" i="5" s="1"/>
  <c r="M103" i="5"/>
  <c r="S103" i="5" s="1"/>
  <c r="L103" i="5"/>
  <c r="R103" i="5" s="1"/>
  <c r="K103" i="5"/>
  <c r="Q103" i="5" s="1"/>
  <c r="P102" i="5"/>
  <c r="V102" i="5" s="1"/>
  <c r="O102" i="5"/>
  <c r="U102" i="5" s="1"/>
  <c r="N102" i="5"/>
  <c r="T102" i="5" s="1"/>
  <c r="M102" i="5"/>
  <c r="S102" i="5" s="1"/>
  <c r="L102" i="5"/>
  <c r="R102" i="5" s="1"/>
  <c r="K102" i="5"/>
  <c r="Q102" i="5" s="1"/>
  <c r="P101" i="5"/>
  <c r="V101" i="5" s="1"/>
  <c r="O101" i="5"/>
  <c r="U101" i="5" s="1"/>
  <c r="N101" i="5"/>
  <c r="T101" i="5" s="1"/>
  <c r="M101" i="5"/>
  <c r="S101" i="5" s="1"/>
  <c r="L101" i="5"/>
  <c r="R101" i="5" s="1"/>
  <c r="K101" i="5"/>
  <c r="Q101" i="5" s="1"/>
  <c r="P100" i="5"/>
  <c r="V100" i="5" s="1"/>
  <c r="O100" i="5"/>
  <c r="U100" i="5" s="1"/>
  <c r="N100" i="5"/>
  <c r="T100" i="5" s="1"/>
  <c r="M100" i="5"/>
  <c r="S100" i="5" s="1"/>
  <c r="L100" i="5"/>
  <c r="R100" i="5" s="1"/>
  <c r="K100" i="5"/>
  <c r="Q100" i="5" s="1"/>
  <c r="P99" i="5"/>
  <c r="V99" i="5" s="1"/>
  <c r="O99" i="5"/>
  <c r="U99" i="5" s="1"/>
  <c r="N99" i="5"/>
  <c r="T99" i="5" s="1"/>
  <c r="M99" i="5"/>
  <c r="S99" i="5" s="1"/>
  <c r="L99" i="5"/>
  <c r="R99" i="5" s="1"/>
  <c r="K99" i="5"/>
  <c r="Q99" i="5" s="1"/>
  <c r="P98" i="5"/>
  <c r="V98" i="5" s="1"/>
  <c r="O98" i="5"/>
  <c r="U98" i="5" s="1"/>
  <c r="N98" i="5"/>
  <c r="T98" i="5" s="1"/>
  <c r="M98" i="5"/>
  <c r="S98" i="5" s="1"/>
  <c r="L98" i="5"/>
  <c r="R98" i="5" s="1"/>
  <c r="K98" i="5"/>
  <c r="Q98" i="5" s="1"/>
  <c r="P97" i="5"/>
  <c r="V97" i="5" s="1"/>
  <c r="O97" i="5"/>
  <c r="U97" i="5" s="1"/>
  <c r="N97" i="5"/>
  <c r="T97" i="5" s="1"/>
  <c r="M97" i="5"/>
  <c r="S97" i="5" s="1"/>
  <c r="L97" i="5"/>
  <c r="R97" i="5" s="1"/>
  <c r="K97" i="5"/>
  <c r="Q97" i="5" s="1"/>
  <c r="P96" i="5"/>
  <c r="V96" i="5" s="1"/>
  <c r="O96" i="5"/>
  <c r="U96" i="5" s="1"/>
  <c r="N96" i="5"/>
  <c r="T96" i="5" s="1"/>
  <c r="M96" i="5"/>
  <c r="S96" i="5" s="1"/>
  <c r="L96" i="5"/>
  <c r="R96" i="5" s="1"/>
  <c r="K96" i="5"/>
  <c r="Q96" i="5" s="1"/>
  <c r="P95" i="5"/>
  <c r="V95" i="5" s="1"/>
  <c r="O95" i="5"/>
  <c r="U95" i="5" s="1"/>
  <c r="N95" i="5"/>
  <c r="T95" i="5" s="1"/>
  <c r="M95" i="5"/>
  <c r="S95" i="5" s="1"/>
  <c r="L95" i="5"/>
  <c r="R95" i="5" s="1"/>
  <c r="K95" i="5"/>
  <c r="Q95" i="5" s="1"/>
  <c r="P94" i="5"/>
  <c r="V94" i="5" s="1"/>
  <c r="O94" i="5"/>
  <c r="U94" i="5" s="1"/>
  <c r="N94" i="5"/>
  <c r="T94" i="5" s="1"/>
  <c r="M94" i="5"/>
  <c r="S94" i="5" s="1"/>
  <c r="L94" i="5"/>
  <c r="R94" i="5" s="1"/>
  <c r="K94" i="5"/>
  <c r="Q94" i="5" s="1"/>
  <c r="P93" i="5"/>
  <c r="V93" i="5" s="1"/>
  <c r="O93" i="5"/>
  <c r="U93" i="5" s="1"/>
  <c r="N93" i="5"/>
  <c r="T93" i="5" s="1"/>
  <c r="M93" i="5"/>
  <c r="S93" i="5" s="1"/>
  <c r="L93" i="5"/>
  <c r="R93" i="5" s="1"/>
  <c r="K93" i="5"/>
  <c r="Q93" i="5" s="1"/>
  <c r="P92" i="5"/>
  <c r="V92" i="5" s="1"/>
  <c r="O92" i="5"/>
  <c r="U92" i="5" s="1"/>
  <c r="N92" i="5"/>
  <c r="T92" i="5" s="1"/>
  <c r="M92" i="5"/>
  <c r="S92" i="5" s="1"/>
  <c r="L92" i="5"/>
  <c r="R92" i="5" s="1"/>
  <c r="K92" i="5"/>
  <c r="Q92" i="5" s="1"/>
  <c r="P91" i="5"/>
  <c r="V91" i="5" s="1"/>
  <c r="O91" i="5"/>
  <c r="U91" i="5" s="1"/>
  <c r="N91" i="5"/>
  <c r="T91" i="5" s="1"/>
  <c r="M91" i="5"/>
  <c r="S91" i="5" s="1"/>
  <c r="L91" i="5"/>
  <c r="R91" i="5" s="1"/>
  <c r="K91" i="5"/>
  <c r="Q91" i="5" s="1"/>
  <c r="P90" i="5"/>
  <c r="V90" i="5" s="1"/>
  <c r="O90" i="5"/>
  <c r="U90" i="5" s="1"/>
  <c r="N90" i="5"/>
  <c r="T90" i="5" s="1"/>
  <c r="M90" i="5"/>
  <c r="S90" i="5" s="1"/>
  <c r="L90" i="5"/>
  <c r="R90" i="5" s="1"/>
  <c r="K90" i="5"/>
  <c r="Q90" i="5" s="1"/>
  <c r="P89" i="5"/>
  <c r="V89" i="5" s="1"/>
  <c r="O89" i="5"/>
  <c r="U89" i="5" s="1"/>
  <c r="N89" i="5"/>
  <c r="T89" i="5" s="1"/>
  <c r="M89" i="5"/>
  <c r="S89" i="5" s="1"/>
  <c r="L89" i="5"/>
  <c r="R89" i="5" s="1"/>
  <c r="K89" i="5"/>
  <c r="Q89" i="5" s="1"/>
  <c r="P88" i="5"/>
  <c r="V88" i="5" s="1"/>
  <c r="O88" i="5"/>
  <c r="U88" i="5" s="1"/>
  <c r="N88" i="5"/>
  <c r="T88" i="5" s="1"/>
  <c r="M88" i="5"/>
  <c r="S88" i="5" s="1"/>
  <c r="L88" i="5"/>
  <c r="R88" i="5" s="1"/>
  <c r="K88" i="5"/>
  <c r="Q88" i="5" s="1"/>
  <c r="P87" i="5"/>
  <c r="V87" i="5" s="1"/>
  <c r="O87" i="5"/>
  <c r="U87" i="5" s="1"/>
  <c r="N87" i="5"/>
  <c r="T87" i="5" s="1"/>
  <c r="M87" i="5"/>
  <c r="S87" i="5" s="1"/>
  <c r="L87" i="5"/>
  <c r="R87" i="5" s="1"/>
  <c r="K87" i="5"/>
  <c r="Q87" i="5" s="1"/>
  <c r="P86" i="5"/>
  <c r="V86" i="5" s="1"/>
  <c r="O86" i="5"/>
  <c r="U86" i="5" s="1"/>
  <c r="N86" i="5"/>
  <c r="T86" i="5" s="1"/>
  <c r="M86" i="5"/>
  <c r="S86" i="5" s="1"/>
  <c r="L86" i="5"/>
  <c r="R86" i="5" s="1"/>
  <c r="K86" i="5"/>
  <c r="Q86" i="5" s="1"/>
  <c r="P85" i="5"/>
  <c r="V85" i="5" s="1"/>
  <c r="O85" i="5"/>
  <c r="U85" i="5" s="1"/>
  <c r="N85" i="5"/>
  <c r="T85" i="5" s="1"/>
  <c r="M85" i="5"/>
  <c r="S85" i="5" s="1"/>
  <c r="L85" i="5"/>
  <c r="R85" i="5" s="1"/>
  <c r="K85" i="5"/>
  <c r="Q85" i="5" s="1"/>
  <c r="P84" i="5"/>
  <c r="V84" i="5" s="1"/>
  <c r="O84" i="5"/>
  <c r="U84" i="5" s="1"/>
  <c r="N84" i="5"/>
  <c r="T84" i="5" s="1"/>
  <c r="M84" i="5"/>
  <c r="S84" i="5" s="1"/>
  <c r="L84" i="5"/>
  <c r="R84" i="5" s="1"/>
  <c r="K84" i="5"/>
  <c r="Q84" i="5" s="1"/>
  <c r="P83" i="5"/>
  <c r="V83" i="5" s="1"/>
  <c r="O83" i="5"/>
  <c r="U83" i="5" s="1"/>
  <c r="N83" i="5"/>
  <c r="T83" i="5" s="1"/>
  <c r="M83" i="5"/>
  <c r="S83" i="5" s="1"/>
  <c r="L83" i="5"/>
  <c r="R83" i="5" s="1"/>
  <c r="K83" i="5"/>
  <c r="Q83" i="5" s="1"/>
  <c r="P82" i="5"/>
  <c r="V82" i="5" s="1"/>
  <c r="O82" i="5"/>
  <c r="U82" i="5" s="1"/>
  <c r="N82" i="5"/>
  <c r="T82" i="5" s="1"/>
  <c r="M82" i="5"/>
  <c r="S82" i="5" s="1"/>
  <c r="L82" i="5"/>
  <c r="R82" i="5" s="1"/>
  <c r="K82" i="5"/>
  <c r="Q82" i="5" s="1"/>
  <c r="P81" i="5"/>
  <c r="V81" i="5" s="1"/>
  <c r="O81" i="5"/>
  <c r="U81" i="5" s="1"/>
  <c r="N81" i="5"/>
  <c r="T81" i="5" s="1"/>
  <c r="M81" i="5"/>
  <c r="S81" i="5" s="1"/>
  <c r="L81" i="5"/>
  <c r="R81" i="5" s="1"/>
  <c r="K81" i="5"/>
  <c r="Q81" i="5" s="1"/>
  <c r="P80" i="5"/>
  <c r="V80" i="5" s="1"/>
  <c r="O80" i="5"/>
  <c r="U80" i="5" s="1"/>
  <c r="N80" i="5"/>
  <c r="T80" i="5" s="1"/>
  <c r="M80" i="5"/>
  <c r="S80" i="5" s="1"/>
  <c r="L80" i="5"/>
  <c r="R80" i="5" s="1"/>
  <c r="K80" i="5"/>
  <c r="Q80" i="5" s="1"/>
  <c r="P79" i="5"/>
  <c r="V79" i="5" s="1"/>
  <c r="O79" i="5"/>
  <c r="U79" i="5" s="1"/>
  <c r="N79" i="5"/>
  <c r="T79" i="5" s="1"/>
  <c r="M79" i="5"/>
  <c r="S79" i="5" s="1"/>
  <c r="L79" i="5"/>
  <c r="R79" i="5" s="1"/>
  <c r="K79" i="5"/>
  <c r="Q79" i="5" s="1"/>
  <c r="P78" i="5"/>
  <c r="V78" i="5" s="1"/>
  <c r="O78" i="5"/>
  <c r="U78" i="5" s="1"/>
  <c r="N78" i="5"/>
  <c r="T78" i="5" s="1"/>
  <c r="M78" i="5"/>
  <c r="S78" i="5" s="1"/>
  <c r="L78" i="5"/>
  <c r="R78" i="5" s="1"/>
  <c r="K78" i="5"/>
  <c r="Q78" i="5" s="1"/>
  <c r="P77" i="5"/>
  <c r="V77" i="5" s="1"/>
  <c r="O77" i="5"/>
  <c r="U77" i="5" s="1"/>
  <c r="N77" i="5"/>
  <c r="T77" i="5" s="1"/>
  <c r="M77" i="5"/>
  <c r="S77" i="5" s="1"/>
  <c r="L77" i="5"/>
  <c r="R77" i="5" s="1"/>
  <c r="K77" i="5"/>
  <c r="Q77" i="5" s="1"/>
  <c r="P76" i="5"/>
  <c r="V76" i="5" s="1"/>
  <c r="O76" i="5"/>
  <c r="U76" i="5" s="1"/>
  <c r="N76" i="5"/>
  <c r="T76" i="5" s="1"/>
  <c r="M76" i="5"/>
  <c r="S76" i="5" s="1"/>
  <c r="L76" i="5"/>
  <c r="R76" i="5" s="1"/>
  <c r="K76" i="5"/>
  <c r="Q76" i="5" s="1"/>
  <c r="P75" i="5"/>
  <c r="V75" i="5" s="1"/>
  <c r="O75" i="5"/>
  <c r="U75" i="5" s="1"/>
  <c r="N75" i="5"/>
  <c r="T75" i="5" s="1"/>
  <c r="M75" i="5"/>
  <c r="S75" i="5" s="1"/>
  <c r="L75" i="5"/>
  <c r="R75" i="5" s="1"/>
  <c r="K75" i="5"/>
  <c r="Q75" i="5" s="1"/>
  <c r="P74" i="5"/>
  <c r="V74" i="5" s="1"/>
  <c r="O74" i="5"/>
  <c r="U74" i="5" s="1"/>
  <c r="N74" i="5"/>
  <c r="T74" i="5" s="1"/>
  <c r="M74" i="5"/>
  <c r="S74" i="5" s="1"/>
  <c r="L74" i="5"/>
  <c r="R74" i="5" s="1"/>
  <c r="K74" i="5"/>
  <c r="Q74" i="5" s="1"/>
  <c r="P73" i="5"/>
  <c r="V73" i="5" s="1"/>
  <c r="O73" i="5"/>
  <c r="U73" i="5" s="1"/>
  <c r="N73" i="5"/>
  <c r="T73" i="5" s="1"/>
  <c r="M73" i="5"/>
  <c r="S73" i="5" s="1"/>
  <c r="L73" i="5"/>
  <c r="R73" i="5" s="1"/>
  <c r="K73" i="5"/>
  <c r="Q73" i="5" s="1"/>
  <c r="P72" i="5"/>
  <c r="V72" i="5" s="1"/>
  <c r="O72" i="5"/>
  <c r="U72" i="5" s="1"/>
  <c r="N72" i="5"/>
  <c r="T72" i="5" s="1"/>
  <c r="M72" i="5"/>
  <c r="S72" i="5" s="1"/>
  <c r="L72" i="5"/>
  <c r="R72" i="5" s="1"/>
  <c r="K72" i="5"/>
  <c r="Q72" i="5" s="1"/>
  <c r="P71" i="5"/>
  <c r="V71" i="5" s="1"/>
  <c r="O71" i="5"/>
  <c r="U71" i="5" s="1"/>
  <c r="N71" i="5"/>
  <c r="T71" i="5" s="1"/>
  <c r="M71" i="5"/>
  <c r="S71" i="5" s="1"/>
  <c r="L71" i="5"/>
  <c r="R71" i="5" s="1"/>
  <c r="K71" i="5"/>
  <c r="Q71" i="5" s="1"/>
  <c r="P70" i="5"/>
  <c r="V70" i="5" s="1"/>
  <c r="O70" i="5"/>
  <c r="U70" i="5" s="1"/>
  <c r="N70" i="5"/>
  <c r="T70" i="5" s="1"/>
  <c r="M70" i="5"/>
  <c r="S70" i="5" s="1"/>
  <c r="L70" i="5"/>
  <c r="R70" i="5" s="1"/>
  <c r="K70" i="5"/>
  <c r="Q70" i="5" s="1"/>
  <c r="P69" i="5"/>
  <c r="V69" i="5" s="1"/>
  <c r="O69" i="5"/>
  <c r="U69" i="5" s="1"/>
  <c r="N69" i="5"/>
  <c r="T69" i="5" s="1"/>
  <c r="M69" i="5"/>
  <c r="S69" i="5" s="1"/>
  <c r="L69" i="5"/>
  <c r="R69" i="5" s="1"/>
  <c r="K69" i="5"/>
  <c r="Q69" i="5" s="1"/>
  <c r="P68" i="5"/>
  <c r="V68" i="5" s="1"/>
  <c r="O68" i="5"/>
  <c r="U68" i="5" s="1"/>
  <c r="N68" i="5"/>
  <c r="T68" i="5" s="1"/>
  <c r="M68" i="5"/>
  <c r="S68" i="5" s="1"/>
  <c r="L68" i="5"/>
  <c r="R68" i="5" s="1"/>
  <c r="K68" i="5"/>
  <c r="Q68" i="5" s="1"/>
  <c r="P67" i="5"/>
  <c r="V67" i="5" s="1"/>
  <c r="O67" i="5"/>
  <c r="U67" i="5" s="1"/>
  <c r="N67" i="5"/>
  <c r="T67" i="5" s="1"/>
  <c r="M67" i="5"/>
  <c r="S67" i="5" s="1"/>
  <c r="L67" i="5"/>
  <c r="R67" i="5" s="1"/>
  <c r="K67" i="5"/>
  <c r="Q67" i="5" s="1"/>
  <c r="P66" i="5"/>
  <c r="V66" i="5" s="1"/>
  <c r="O66" i="5"/>
  <c r="U66" i="5" s="1"/>
  <c r="N66" i="5"/>
  <c r="T66" i="5" s="1"/>
  <c r="M66" i="5"/>
  <c r="S66" i="5" s="1"/>
  <c r="L66" i="5"/>
  <c r="R66" i="5" s="1"/>
  <c r="K66" i="5"/>
  <c r="Q66" i="5" s="1"/>
  <c r="P65" i="5"/>
  <c r="V65" i="5" s="1"/>
  <c r="O65" i="5"/>
  <c r="U65" i="5" s="1"/>
  <c r="N65" i="5"/>
  <c r="T65" i="5" s="1"/>
  <c r="M65" i="5"/>
  <c r="S65" i="5" s="1"/>
  <c r="L65" i="5"/>
  <c r="R65" i="5" s="1"/>
  <c r="K65" i="5"/>
  <c r="Q65" i="5" s="1"/>
  <c r="P64" i="5"/>
  <c r="V64" i="5" s="1"/>
  <c r="O64" i="5"/>
  <c r="U64" i="5" s="1"/>
  <c r="N64" i="5"/>
  <c r="T64" i="5" s="1"/>
  <c r="M64" i="5"/>
  <c r="S64" i="5" s="1"/>
  <c r="L64" i="5"/>
  <c r="R64" i="5" s="1"/>
  <c r="K64" i="5"/>
  <c r="Q64" i="5" s="1"/>
  <c r="P63" i="5"/>
  <c r="V63" i="5" s="1"/>
  <c r="O63" i="5"/>
  <c r="U63" i="5" s="1"/>
  <c r="N63" i="5"/>
  <c r="T63" i="5" s="1"/>
  <c r="M63" i="5"/>
  <c r="S63" i="5" s="1"/>
  <c r="L63" i="5"/>
  <c r="R63" i="5" s="1"/>
  <c r="K63" i="5"/>
  <c r="Q63" i="5" s="1"/>
  <c r="P62" i="5"/>
  <c r="V62" i="5" s="1"/>
  <c r="O62" i="5"/>
  <c r="U62" i="5" s="1"/>
  <c r="N62" i="5"/>
  <c r="T62" i="5" s="1"/>
  <c r="M62" i="5"/>
  <c r="S62" i="5" s="1"/>
  <c r="L62" i="5"/>
  <c r="R62" i="5" s="1"/>
  <c r="K62" i="5"/>
  <c r="Q62" i="5" s="1"/>
  <c r="P61" i="5"/>
  <c r="V61" i="5" s="1"/>
  <c r="O61" i="5"/>
  <c r="U61" i="5" s="1"/>
  <c r="N61" i="5"/>
  <c r="T61" i="5" s="1"/>
  <c r="M61" i="5"/>
  <c r="S61" i="5" s="1"/>
  <c r="L61" i="5"/>
  <c r="R61" i="5" s="1"/>
  <c r="K61" i="5"/>
  <c r="Q61" i="5" s="1"/>
  <c r="P60" i="5"/>
  <c r="V60" i="5" s="1"/>
  <c r="O60" i="5"/>
  <c r="U60" i="5" s="1"/>
  <c r="N60" i="5"/>
  <c r="T60" i="5" s="1"/>
  <c r="M60" i="5"/>
  <c r="S60" i="5" s="1"/>
  <c r="L60" i="5"/>
  <c r="R60" i="5" s="1"/>
  <c r="K60" i="5"/>
  <c r="Q60" i="5" s="1"/>
  <c r="P59" i="5"/>
  <c r="V59" i="5" s="1"/>
  <c r="O59" i="5"/>
  <c r="U59" i="5" s="1"/>
  <c r="N59" i="5"/>
  <c r="T59" i="5" s="1"/>
  <c r="M59" i="5"/>
  <c r="S59" i="5" s="1"/>
  <c r="L59" i="5"/>
  <c r="R59" i="5" s="1"/>
  <c r="K59" i="5"/>
  <c r="Q59" i="5" s="1"/>
  <c r="P58" i="5"/>
  <c r="V58" i="5" s="1"/>
  <c r="O58" i="5"/>
  <c r="U58" i="5" s="1"/>
  <c r="N58" i="5"/>
  <c r="T58" i="5" s="1"/>
  <c r="M58" i="5"/>
  <c r="S58" i="5" s="1"/>
  <c r="L58" i="5"/>
  <c r="R58" i="5" s="1"/>
  <c r="K58" i="5"/>
  <c r="Q58" i="5" s="1"/>
  <c r="P57" i="5"/>
  <c r="V57" i="5" s="1"/>
  <c r="O57" i="5"/>
  <c r="U57" i="5" s="1"/>
  <c r="N57" i="5"/>
  <c r="T57" i="5" s="1"/>
  <c r="M57" i="5"/>
  <c r="S57" i="5" s="1"/>
  <c r="L57" i="5"/>
  <c r="R57" i="5" s="1"/>
  <c r="K57" i="5"/>
  <c r="Q57" i="5" s="1"/>
  <c r="P56" i="5"/>
  <c r="V56" i="5" s="1"/>
  <c r="O56" i="5"/>
  <c r="U56" i="5" s="1"/>
  <c r="N56" i="5"/>
  <c r="T56" i="5" s="1"/>
  <c r="M56" i="5"/>
  <c r="S56" i="5" s="1"/>
  <c r="L56" i="5"/>
  <c r="R56" i="5" s="1"/>
  <c r="K56" i="5"/>
  <c r="Q56" i="5" s="1"/>
  <c r="P55" i="5"/>
  <c r="V55" i="5" s="1"/>
  <c r="O55" i="5"/>
  <c r="U55" i="5" s="1"/>
  <c r="N55" i="5"/>
  <c r="T55" i="5" s="1"/>
  <c r="M55" i="5"/>
  <c r="S55" i="5" s="1"/>
  <c r="L55" i="5"/>
  <c r="R55" i="5" s="1"/>
  <c r="K55" i="5"/>
  <c r="Q55" i="5" s="1"/>
  <c r="P54" i="5"/>
  <c r="V54" i="5" s="1"/>
  <c r="O54" i="5"/>
  <c r="U54" i="5" s="1"/>
  <c r="N54" i="5"/>
  <c r="T54" i="5" s="1"/>
  <c r="M54" i="5"/>
  <c r="S54" i="5" s="1"/>
  <c r="L54" i="5"/>
  <c r="R54" i="5" s="1"/>
  <c r="K54" i="5"/>
  <c r="Q54" i="5" s="1"/>
  <c r="P53" i="5"/>
  <c r="V53" i="5" s="1"/>
  <c r="O53" i="5"/>
  <c r="U53" i="5" s="1"/>
  <c r="N53" i="5"/>
  <c r="T53" i="5" s="1"/>
  <c r="M53" i="5"/>
  <c r="S53" i="5" s="1"/>
  <c r="L53" i="5"/>
  <c r="R53" i="5" s="1"/>
  <c r="K53" i="5"/>
  <c r="Q53" i="5" s="1"/>
  <c r="P52" i="5"/>
  <c r="V52" i="5" s="1"/>
  <c r="O52" i="5"/>
  <c r="U52" i="5" s="1"/>
  <c r="N52" i="5"/>
  <c r="T52" i="5" s="1"/>
  <c r="M52" i="5"/>
  <c r="S52" i="5" s="1"/>
  <c r="L52" i="5"/>
  <c r="R52" i="5" s="1"/>
  <c r="K52" i="5"/>
  <c r="Q52" i="5" s="1"/>
  <c r="P51" i="5"/>
  <c r="V51" i="5" s="1"/>
  <c r="O51" i="5"/>
  <c r="U51" i="5" s="1"/>
  <c r="N51" i="5"/>
  <c r="T51" i="5" s="1"/>
  <c r="M51" i="5"/>
  <c r="S51" i="5" s="1"/>
  <c r="L51" i="5"/>
  <c r="R51" i="5" s="1"/>
  <c r="K51" i="5"/>
  <c r="Q51" i="5" s="1"/>
  <c r="P50" i="5"/>
  <c r="V50" i="5" s="1"/>
  <c r="O50" i="5"/>
  <c r="U50" i="5" s="1"/>
  <c r="N50" i="5"/>
  <c r="T50" i="5" s="1"/>
  <c r="M50" i="5"/>
  <c r="S50" i="5" s="1"/>
  <c r="L50" i="5"/>
  <c r="R50" i="5" s="1"/>
  <c r="K50" i="5"/>
  <c r="Q50" i="5" s="1"/>
  <c r="P49" i="5"/>
  <c r="V49" i="5" s="1"/>
  <c r="O49" i="5"/>
  <c r="U49" i="5" s="1"/>
  <c r="N49" i="5"/>
  <c r="T49" i="5" s="1"/>
  <c r="M49" i="5"/>
  <c r="S49" i="5" s="1"/>
  <c r="L49" i="5"/>
  <c r="R49" i="5" s="1"/>
  <c r="K49" i="5"/>
  <c r="Q49" i="5" s="1"/>
  <c r="P48" i="5"/>
  <c r="V48" i="5" s="1"/>
  <c r="O48" i="5"/>
  <c r="U48" i="5" s="1"/>
  <c r="N48" i="5"/>
  <c r="T48" i="5" s="1"/>
  <c r="M48" i="5"/>
  <c r="S48" i="5" s="1"/>
  <c r="L48" i="5"/>
  <c r="R48" i="5" s="1"/>
  <c r="K48" i="5"/>
  <c r="Q48" i="5" s="1"/>
  <c r="P47" i="5"/>
  <c r="V47" i="5" s="1"/>
  <c r="O47" i="5"/>
  <c r="U47" i="5" s="1"/>
  <c r="N47" i="5"/>
  <c r="T47" i="5" s="1"/>
  <c r="M47" i="5"/>
  <c r="S47" i="5" s="1"/>
  <c r="L47" i="5"/>
  <c r="R47" i="5" s="1"/>
  <c r="K47" i="5"/>
  <c r="Q47" i="5" s="1"/>
  <c r="P46" i="5"/>
  <c r="V46" i="5" s="1"/>
  <c r="O46" i="5"/>
  <c r="U46" i="5" s="1"/>
  <c r="N46" i="5"/>
  <c r="T46" i="5" s="1"/>
  <c r="M46" i="5"/>
  <c r="S46" i="5" s="1"/>
  <c r="L46" i="5"/>
  <c r="R46" i="5" s="1"/>
  <c r="K46" i="5"/>
  <c r="Q46" i="5" s="1"/>
  <c r="P45" i="5"/>
  <c r="V45" i="5" s="1"/>
  <c r="O45" i="5"/>
  <c r="U45" i="5" s="1"/>
  <c r="N45" i="5"/>
  <c r="T45" i="5" s="1"/>
  <c r="M45" i="5"/>
  <c r="S45" i="5" s="1"/>
  <c r="L45" i="5"/>
  <c r="R45" i="5" s="1"/>
  <c r="K45" i="5"/>
  <c r="Q45" i="5" s="1"/>
  <c r="P44" i="5"/>
  <c r="V44" i="5" s="1"/>
  <c r="O44" i="5"/>
  <c r="U44" i="5" s="1"/>
  <c r="N44" i="5"/>
  <c r="T44" i="5" s="1"/>
  <c r="M44" i="5"/>
  <c r="S44" i="5" s="1"/>
  <c r="L44" i="5"/>
  <c r="R44" i="5" s="1"/>
  <c r="K44" i="5"/>
  <c r="Q44" i="5" s="1"/>
  <c r="P43" i="5"/>
  <c r="V43" i="5" s="1"/>
  <c r="O43" i="5"/>
  <c r="U43" i="5" s="1"/>
  <c r="N43" i="5"/>
  <c r="T43" i="5" s="1"/>
  <c r="M43" i="5"/>
  <c r="S43" i="5" s="1"/>
  <c r="L43" i="5"/>
  <c r="R43" i="5" s="1"/>
  <c r="K43" i="5"/>
  <c r="Q43" i="5" s="1"/>
  <c r="P42" i="5"/>
  <c r="V42" i="5" s="1"/>
  <c r="O42" i="5"/>
  <c r="U42" i="5" s="1"/>
  <c r="N42" i="5"/>
  <c r="T42" i="5" s="1"/>
  <c r="M42" i="5"/>
  <c r="S42" i="5" s="1"/>
  <c r="L42" i="5"/>
  <c r="R42" i="5" s="1"/>
  <c r="K42" i="5"/>
  <c r="Q42" i="5" s="1"/>
  <c r="P41" i="5"/>
  <c r="V41" i="5" s="1"/>
  <c r="O41" i="5"/>
  <c r="U41" i="5" s="1"/>
  <c r="N41" i="5"/>
  <c r="T41" i="5" s="1"/>
  <c r="M41" i="5"/>
  <c r="S41" i="5" s="1"/>
  <c r="L41" i="5"/>
  <c r="R41" i="5" s="1"/>
  <c r="K41" i="5"/>
  <c r="Q41" i="5" s="1"/>
  <c r="P40" i="5"/>
  <c r="V40" i="5" s="1"/>
  <c r="O40" i="5"/>
  <c r="U40" i="5" s="1"/>
  <c r="N40" i="5"/>
  <c r="T40" i="5" s="1"/>
  <c r="M40" i="5"/>
  <c r="S40" i="5" s="1"/>
  <c r="L40" i="5"/>
  <c r="R40" i="5" s="1"/>
  <c r="K40" i="5"/>
  <c r="Q40" i="5" s="1"/>
  <c r="P39" i="5"/>
  <c r="V39" i="5" s="1"/>
  <c r="O39" i="5"/>
  <c r="U39" i="5" s="1"/>
  <c r="N39" i="5"/>
  <c r="T39" i="5" s="1"/>
  <c r="M39" i="5"/>
  <c r="S39" i="5" s="1"/>
  <c r="L39" i="5"/>
  <c r="R39" i="5" s="1"/>
  <c r="K39" i="5"/>
  <c r="Q39" i="5" s="1"/>
  <c r="P38" i="5"/>
  <c r="V38" i="5" s="1"/>
  <c r="O38" i="5"/>
  <c r="U38" i="5" s="1"/>
  <c r="N38" i="5"/>
  <c r="T38" i="5" s="1"/>
  <c r="M38" i="5"/>
  <c r="S38" i="5" s="1"/>
  <c r="L38" i="5"/>
  <c r="R38" i="5" s="1"/>
  <c r="K38" i="5"/>
  <c r="Q38" i="5" s="1"/>
  <c r="P37" i="5"/>
  <c r="V37" i="5" s="1"/>
  <c r="O37" i="5"/>
  <c r="U37" i="5" s="1"/>
  <c r="N37" i="5"/>
  <c r="T37" i="5" s="1"/>
  <c r="M37" i="5"/>
  <c r="S37" i="5" s="1"/>
  <c r="L37" i="5"/>
  <c r="R37" i="5" s="1"/>
  <c r="K37" i="5"/>
  <c r="Q37" i="5" s="1"/>
  <c r="P36" i="5"/>
  <c r="V36" i="5" s="1"/>
  <c r="O36" i="5"/>
  <c r="U36" i="5" s="1"/>
  <c r="N36" i="5"/>
  <c r="T36" i="5" s="1"/>
  <c r="M36" i="5"/>
  <c r="S36" i="5" s="1"/>
  <c r="L36" i="5"/>
  <c r="R36" i="5" s="1"/>
  <c r="K36" i="5"/>
  <c r="Q36" i="5" s="1"/>
  <c r="P35" i="5"/>
  <c r="V35" i="5" s="1"/>
  <c r="O35" i="5"/>
  <c r="U35" i="5" s="1"/>
  <c r="N35" i="5"/>
  <c r="T35" i="5" s="1"/>
  <c r="M35" i="5"/>
  <c r="S35" i="5" s="1"/>
  <c r="L35" i="5"/>
  <c r="R35" i="5" s="1"/>
  <c r="K35" i="5"/>
  <c r="Q35" i="5" s="1"/>
  <c r="P34" i="5"/>
  <c r="V34" i="5" s="1"/>
  <c r="O34" i="5"/>
  <c r="U34" i="5" s="1"/>
  <c r="N34" i="5"/>
  <c r="T34" i="5" s="1"/>
  <c r="M34" i="5"/>
  <c r="S34" i="5" s="1"/>
  <c r="L34" i="5"/>
  <c r="R34" i="5" s="1"/>
  <c r="K34" i="5"/>
  <c r="Q34" i="5" s="1"/>
  <c r="P33" i="5"/>
  <c r="V33" i="5" s="1"/>
  <c r="O33" i="5"/>
  <c r="U33" i="5" s="1"/>
  <c r="N33" i="5"/>
  <c r="T33" i="5" s="1"/>
  <c r="M33" i="5"/>
  <c r="S33" i="5" s="1"/>
  <c r="L33" i="5"/>
  <c r="R33" i="5" s="1"/>
  <c r="K33" i="5"/>
  <c r="Q33" i="5" s="1"/>
  <c r="P32" i="5"/>
  <c r="V32" i="5" s="1"/>
  <c r="O32" i="5"/>
  <c r="U32" i="5" s="1"/>
  <c r="N32" i="5"/>
  <c r="T32" i="5" s="1"/>
  <c r="M32" i="5"/>
  <c r="S32" i="5" s="1"/>
  <c r="L32" i="5"/>
  <c r="R32" i="5" s="1"/>
  <c r="K32" i="5"/>
  <c r="Q32" i="5" s="1"/>
  <c r="P31" i="5"/>
  <c r="V31" i="5" s="1"/>
  <c r="O31" i="5"/>
  <c r="U31" i="5" s="1"/>
  <c r="N31" i="5"/>
  <c r="T31" i="5" s="1"/>
  <c r="M31" i="5"/>
  <c r="S31" i="5" s="1"/>
  <c r="L31" i="5"/>
  <c r="R31" i="5" s="1"/>
  <c r="K31" i="5"/>
  <c r="Q31" i="5" s="1"/>
  <c r="P30" i="5"/>
  <c r="V30" i="5" s="1"/>
  <c r="O30" i="5"/>
  <c r="U30" i="5" s="1"/>
  <c r="N30" i="5"/>
  <c r="T30" i="5" s="1"/>
  <c r="M30" i="5"/>
  <c r="S30" i="5" s="1"/>
  <c r="L30" i="5"/>
  <c r="R30" i="5" s="1"/>
  <c r="K30" i="5"/>
  <c r="Q30" i="5" s="1"/>
  <c r="P29" i="5"/>
  <c r="V29" i="5" s="1"/>
  <c r="O29" i="5"/>
  <c r="U29" i="5" s="1"/>
  <c r="N29" i="5"/>
  <c r="T29" i="5" s="1"/>
  <c r="M29" i="5"/>
  <c r="S29" i="5" s="1"/>
  <c r="L29" i="5"/>
  <c r="R29" i="5" s="1"/>
  <c r="K29" i="5"/>
  <c r="Q29" i="5" s="1"/>
  <c r="P28" i="5"/>
  <c r="V28" i="5" s="1"/>
  <c r="O28" i="5"/>
  <c r="U28" i="5" s="1"/>
  <c r="N28" i="5"/>
  <c r="T28" i="5" s="1"/>
  <c r="M28" i="5"/>
  <c r="S28" i="5" s="1"/>
  <c r="L28" i="5"/>
  <c r="R28" i="5" s="1"/>
  <c r="K28" i="5"/>
  <c r="Q28" i="5" s="1"/>
  <c r="P27" i="5"/>
  <c r="V27" i="5" s="1"/>
  <c r="O27" i="5"/>
  <c r="U27" i="5" s="1"/>
  <c r="N27" i="5"/>
  <c r="T27" i="5" s="1"/>
  <c r="M27" i="5"/>
  <c r="S27" i="5" s="1"/>
  <c r="L27" i="5"/>
  <c r="R27" i="5" s="1"/>
  <c r="K27" i="5"/>
  <c r="Q27" i="5" s="1"/>
  <c r="P26" i="5"/>
  <c r="V26" i="5" s="1"/>
  <c r="O26" i="5"/>
  <c r="U26" i="5" s="1"/>
  <c r="N26" i="5"/>
  <c r="T26" i="5" s="1"/>
  <c r="M26" i="5"/>
  <c r="S26" i="5" s="1"/>
  <c r="L26" i="5"/>
  <c r="R26" i="5" s="1"/>
  <c r="K26" i="5"/>
  <c r="Q26" i="5" s="1"/>
  <c r="P25" i="5"/>
  <c r="V25" i="5" s="1"/>
  <c r="O25" i="5"/>
  <c r="U25" i="5" s="1"/>
  <c r="N25" i="5"/>
  <c r="T25" i="5" s="1"/>
  <c r="M25" i="5"/>
  <c r="S25" i="5" s="1"/>
  <c r="L25" i="5"/>
  <c r="R25" i="5" s="1"/>
  <c r="K25" i="5"/>
  <c r="Q25" i="5" s="1"/>
  <c r="P24" i="5"/>
  <c r="V24" i="5" s="1"/>
  <c r="O24" i="5"/>
  <c r="U24" i="5" s="1"/>
  <c r="N24" i="5"/>
  <c r="T24" i="5" s="1"/>
  <c r="M24" i="5"/>
  <c r="S24" i="5" s="1"/>
  <c r="L24" i="5"/>
  <c r="R24" i="5" s="1"/>
  <c r="K24" i="5"/>
  <c r="Q24" i="5" s="1"/>
  <c r="P23" i="5"/>
  <c r="V23" i="5" s="1"/>
  <c r="O23" i="5"/>
  <c r="U23" i="5" s="1"/>
  <c r="N23" i="5"/>
  <c r="T23" i="5" s="1"/>
  <c r="M23" i="5"/>
  <c r="S23" i="5" s="1"/>
  <c r="L23" i="5"/>
  <c r="R23" i="5" s="1"/>
  <c r="K23" i="5"/>
  <c r="Q23" i="5" s="1"/>
  <c r="P22" i="5"/>
  <c r="V22" i="5" s="1"/>
  <c r="O22" i="5"/>
  <c r="U22" i="5" s="1"/>
  <c r="N22" i="5"/>
  <c r="T22" i="5" s="1"/>
  <c r="M22" i="5"/>
  <c r="S22" i="5" s="1"/>
  <c r="L22" i="5"/>
  <c r="R22" i="5" s="1"/>
  <c r="K22" i="5"/>
  <c r="Q22" i="5" s="1"/>
  <c r="P21" i="5"/>
  <c r="V21" i="5" s="1"/>
  <c r="O21" i="5"/>
  <c r="U21" i="5" s="1"/>
  <c r="N21" i="5"/>
  <c r="T21" i="5" s="1"/>
  <c r="M21" i="5"/>
  <c r="S21" i="5" s="1"/>
  <c r="L21" i="5"/>
  <c r="R21" i="5" s="1"/>
  <c r="K21" i="5"/>
  <c r="Q21" i="5" s="1"/>
  <c r="P20" i="5"/>
  <c r="V20" i="5" s="1"/>
  <c r="O20" i="5"/>
  <c r="U20" i="5" s="1"/>
  <c r="N20" i="5"/>
  <c r="T20" i="5" s="1"/>
  <c r="M20" i="5"/>
  <c r="S20" i="5" s="1"/>
  <c r="L20" i="5"/>
  <c r="R20" i="5" s="1"/>
  <c r="K20" i="5"/>
  <c r="Q20" i="5" s="1"/>
  <c r="P19" i="5"/>
  <c r="V19" i="5" s="1"/>
  <c r="O19" i="5"/>
  <c r="U19" i="5" s="1"/>
  <c r="N19" i="5"/>
  <c r="T19" i="5" s="1"/>
  <c r="M19" i="5"/>
  <c r="S19" i="5" s="1"/>
  <c r="L19" i="5"/>
  <c r="R19" i="5" s="1"/>
  <c r="K19" i="5"/>
  <c r="Q19" i="5" s="1"/>
  <c r="P18" i="5"/>
  <c r="V18" i="5" s="1"/>
  <c r="O18" i="5"/>
  <c r="U18" i="5" s="1"/>
  <c r="N18" i="5"/>
  <c r="T18" i="5" s="1"/>
  <c r="M18" i="5"/>
  <c r="S18" i="5" s="1"/>
  <c r="L18" i="5"/>
  <c r="R18" i="5" s="1"/>
  <c r="K18" i="5"/>
  <c r="Q18" i="5" s="1"/>
  <c r="P17" i="5"/>
  <c r="V17" i="5" s="1"/>
  <c r="O17" i="5"/>
  <c r="U17" i="5" s="1"/>
  <c r="N17" i="5"/>
  <c r="T17" i="5" s="1"/>
  <c r="M17" i="5"/>
  <c r="S17" i="5" s="1"/>
  <c r="L17" i="5"/>
  <c r="R17" i="5" s="1"/>
  <c r="K17" i="5"/>
  <c r="Q17" i="5" s="1"/>
  <c r="P16" i="5"/>
  <c r="V16" i="5" s="1"/>
  <c r="O16" i="5"/>
  <c r="U16" i="5" s="1"/>
  <c r="N16" i="5"/>
  <c r="T16" i="5" s="1"/>
  <c r="M16" i="5"/>
  <c r="S16" i="5" s="1"/>
  <c r="L16" i="5"/>
  <c r="R16" i="5" s="1"/>
  <c r="K16" i="5"/>
  <c r="Q16" i="5" s="1"/>
  <c r="P15" i="5"/>
  <c r="V15" i="5" s="1"/>
  <c r="O15" i="5"/>
  <c r="U15" i="5" s="1"/>
  <c r="N15" i="5"/>
  <c r="T15" i="5" s="1"/>
  <c r="M15" i="5"/>
  <c r="S15" i="5" s="1"/>
  <c r="L15" i="5"/>
  <c r="R15" i="5" s="1"/>
  <c r="K15" i="5"/>
  <c r="Q15" i="5" s="1"/>
  <c r="P14" i="5"/>
  <c r="V14" i="5" s="1"/>
  <c r="O14" i="5"/>
  <c r="U14" i="5" s="1"/>
  <c r="N14" i="5"/>
  <c r="T14" i="5" s="1"/>
  <c r="M14" i="5"/>
  <c r="S14" i="5" s="1"/>
  <c r="L14" i="5"/>
  <c r="R14" i="5" s="1"/>
  <c r="K14" i="5"/>
  <c r="Q14" i="5" s="1"/>
  <c r="P13" i="5"/>
  <c r="V13" i="5" s="1"/>
  <c r="O13" i="5"/>
  <c r="U13" i="5" s="1"/>
  <c r="N13" i="5"/>
  <c r="T13" i="5" s="1"/>
  <c r="M13" i="5"/>
  <c r="S13" i="5" s="1"/>
  <c r="L13" i="5"/>
  <c r="R13" i="5" s="1"/>
  <c r="K13" i="5"/>
  <c r="Q13" i="5" s="1"/>
  <c r="P12" i="5"/>
  <c r="V12" i="5" s="1"/>
  <c r="O12" i="5"/>
  <c r="U12" i="5" s="1"/>
  <c r="N12" i="5"/>
  <c r="T12" i="5" s="1"/>
  <c r="M12" i="5"/>
  <c r="S12" i="5" s="1"/>
  <c r="L12" i="5"/>
  <c r="R12" i="5" s="1"/>
  <c r="K12" i="5"/>
  <c r="Q12" i="5" s="1"/>
  <c r="P11" i="5"/>
  <c r="V11" i="5" s="1"/>
  <c r="O11" i="5"/>
  <c r="U11" i="5" s="1"/>
  <c r="N11" i="5"/>
  <c r="T11" i="5" s="1"/>
  <c r="M11" i="5"/>
  <c r="S11" i="5" s="1"/>
  <c r="L11" i="5"/>
  <c r="R11" i="5" s="1"/>
  <c r="K11" i="5"/>
  <c r="Q11" i="5" s="1"/>
  <c r="P10" i="5"/>
  <c r="V10" i="5" s="1"/>
  <c r="O10" i="5"/>
  <c r="U10" i="5" s="1"/>
  <c r="N10" i="5"/>
  <c r="T10" i="5" s="1"/>
  <c r="M10" i="5"/>
  <c r="S10" i="5" s="1"/>
  <c r="L10" i="5"/>
  <c r="R10" i="5" s="1"/>
  <c r="K10" i="5"/>
  <c r="Q10" i="5" s="1"/>
  <c r="P9" i="5"/>
  <c r="V9" i="5" s="1"/>
  <c r="O9" i="5"/>
  <c r="U9" i="5" s="1"/>
  <c r="N9" i="5"/>
  <c r="T9" i="5" s="1"/>
  <c r="M9" i="5"/>
  <c r="S9" i="5" s="1"/>
  <c r="L9" i="5"/>
  <c r="R9" i="5" s="1"/>
  <c r="K9" i="5"/>
  <c r="Q9" i="5" s="1"/>
  <c r="P8" i="5"/>
  <c r="O8" i="5"/>
  <c r="U8" i="5" s="1"/>
  <c r="N8" i="5"/>
  <c r="T8" i="5" s="1"/>
  <c r="M8" i="5"/>
  <c r="S8" i="5" s="1"/>
  <c r="L8" i="5"/>
  <c r="R8" i="5" s="1"/>
  <c r="K8" i="5"/>
  <c r="Q8" i="5" s="1"/>
  <c r="AH60" i="8" l="1"/>
  <c r="AG60" i="8"/>
  <c r="AJ60" i="8"/>
  <c r="AI60" i="8"/>
  <c r="V39" i="2"/>
  <c r="V73" i="8" s="1"/>
  <c r="AK119" i="22"/>
  <c r="AP9" i="22"/>
  <c r="AN9" i="22"/>
  <c r="AL119" i="22"/>
  <c r="AL9" i="22"/>
  <c r="AM120" i="22"/>
  <c r="AK9" i="22"/>
  <c r="AP119" i="22"/>
  <c r="AH39" i="2"/>
  <c r="AF39" i="2"/>
  <c r="AF73" i="8" s="1"/>
  <c r="AG39" i="2"/>
  <c r="AJ39" i="2"/>
  <c r="AN119" i="22"/>
  <c r="AO9" i="22"/>
  <c r="AM9" i="22"/>
  <c r="AO119" i="22"/>
  <c r="AJ122" i="2"/>
  <c r="AJ335" i="2" s="1"/>
  <c r="BR119" i="22"/>
  <c r="AE122" i="2"/>
  <c r="AE335" i="2" s="1"/>
  <c r="BM119" i="22"/>
  <c r="AF122" i="2"/>
  <c r="AF335" i="2" s="1"/>
  <c r="BN119" i="22"/>
  <c r="AI122" i="2"/>
  <c r="AI335" i="2" s="1"/>
  <c r="BQ119" i="22"/>
  <c r="AH122" i="2"/>
  <c r="AH335" i="2" s="1"/>
  <c r="BP119" i="22"/>
  <c r="AG122" i="2"/>
  <c r="AG335" i="2" s="1"/>
  <c r="BO119" i="22"/>
  <c r="AI12" i="2"/>
  <c r="AI13" i="8" s="1"/>
  <c r="BQ9" i="22"/>
  <c r="AE12" i="2"/>
  <c r="AE13" i="8" s="1"/>
  <c r="BM9" i="22"/>
  <c r="BR9" i="22"/>
  <c r="AJ12" i="2"/>
  <c r="AJ13" i="8" s="1"/>
  <c r="BN9" i="22"/>
  <c r="AF12" i="2"/>
  <c r="AF13" i="8" s="1"/>
  <c r="AH12" i="2"/>
  <c r="AH13" i="8" s="1"/>
  <c r="BP9" i="22"/>
  <c r="BO9" i="22"/>
  <c r="AG12" i="2"/>
  <c r="AG13" i="8" s="1"/>
  <c r="N30" i="10"/>
  <c r="L10" i="1" s="1"/>
  <c r="C34" i="1" s="1"/>
  <c r="M26" i="11"/>
  <c r="K11" i="1" s="1"/>
  <c r="BC35" i="22"/>
  <c r="Z38" i="2"/>
  <c r="Z72" i="8" s="1"/>
  <c r="BD35" i="22"/>
  <c r="AA38" i="2"/>
  <c r="AA72" i="8" s="1"/>
  <c r="BB118" i="22"/>
  <c r="Y121" i="2"/>
  <c r="Y334" i="2" s="1"/>
  <c r="Y59" i="8" s="1"/>
  <c r="AY119" i="22"/>
  <c r="V122" i="2"/>
  <c r="V335" i="2" s="1"/>
  <c r="BC118" i="22"/>
  <c r="Z121" i="2"/>
  <c r="Z334" i="2" s="1"/>
  <c r="Z59" i="8" s="1"/>
  <c r="BB8" i="22"/>
  <c r="Y11" i="2"/>
  <c r="Y12" i="8" s="1"/>
  <c r="Q50" i="8"/>
  <c r="O50" i="8"/>
  <c r="R50" i="8"/>
  <c r="BD8" i="22"/>
  <c r="AA11" i="2"/>
  <c r="AA12" i="8" s="1"/>
  <c r="BB35" i="22"/>
  <c r="Y38" i="2"/>
  <c r="Y72" i="8" s="1"/>
  <c r="AZ8" i="22"/>
  <c r="W11" i="2"/>
  <c r="W12" i="8" s="1"/>
  <c r="AZ35" i="22"/>
  <c r="W38" i="2"/>
  <c r="W72" i="8" s="1"/>
  <c r="AZ118" i="22"/>
  <c r="W121" i="2"/>
  <c r="W334" i="2" s="1"/>
  <c r="W59" i="8" s="1"/>
  <c r="BA35" i="22"/>
  <c r="X38" i="2"/>
  <c r="X72" i="8" s="1"/>
  <c r="BC8" i="22"/>
  <c r="Z11" i="2"/>
  <c r="Z12" i="8" s="1"/>
  <c r="BA8" i="22"/>
  <c r="X11" i="2"/>
  <c r="X12" i="8" s="1"/>
  <c r="BA118" i="22"/>
  <c r="X121" i="2"/>
  <c r="X334" i="2" s="1"/>
  <c r="X59" i="8" s="1"/>
  <c r="AY9" i="22"/>
  <c r="V12" i="2"/>
  <c r="V13" i="8" s="1"/>
  <c r="U11" i="1"/>
  <c r="P50" i="8"/>
  <c r="BD118" i="22"/>
  <c r="AA121" i="2"/>
  <c r="AA334" i="2" s="1"/>
  <c r="AA59" i="8" s="1"/>
  <c r="N39" i="2"/>
  <c r="N73" i="8" s="1"/>
  <c r="Q120" i="2"/>
  <c r="Q333" i="2" s="1"/>
  <c r="Q58" i="8" s="1"/>
  <c r="O12" i="2"/>
  <c r="O13" i="8" s="1"/>
  <c r="M121" i="2"/>
  <c r="M334" i="2" s="1"/>
  <c r="M59" i="8" s="1"/>
  <c r="R120" i="2"/>
  <c r="R333" i="2" s="1"/>
  <c r="R58" i="8" s="1"/>
  <c r="R39" i="2"/>
  <c r="R73" i="8" s="1"/>
  <c r="P12" i="2"/>
  <c r="P13" i="8" s="1"/>
  <c r="Q12" i="2"/>
  <c r="Q13" i="8" s="1"/>
  <c r="M39" i="2"/>
  <c r="M73" i="8" s="1"/>
  <c r="O39" i="2"/>
  <c r="O73" i="8" s="1"/>
  <c r="P120" i="2"/>
  <c r="P333" i="2" s="1"/>
  <c r="P58" i="8" s="1"/>
  <c r="P39" i="2"/>
  <c r="P73" i="8" s="1"/>
  <c r="R12" i="2"/>
  <c r="R13" i="8" s="1"/>
  <c r="N120" i="2"/>
  <c r="N333" i="2" s="1"/>
  <c r="N58" i="8" s="1"/>
  <c r="O120" i="2"/>
  <c r="O333" i="2" s="1"/>
  <c r="O58" i="8" s="1"/>
  <c r="Q39" i="2"/>
  <c r="Q73" i="8" s="1"/>
  <c r="M12" i="2"/>
  <c r="M13" i="8" s="1"/>
  <c r="N12" i="2"/>
  <c r="N13" i="8" s="1"/>
  <c r="K10" i="1"/>
  <c r="N33" i="2"/>
  <c r="N68" i="8" s="1"/>
  <c r="R33" i="2"/>
  <c r="R68" i="8" s="1"/>
  <c r="Q33" i="2"/>
  <c r="Q68" i="8" s="1"/>
  <c r="P33" i="2"/>
  <c r="P68" i="8" s="1"/>
  <c r="O33" i="2"/>
  <c r="O68" i="8" s="1"/>
  <c r="M33" i="2"/>
  <c r="M68" i="8" s="1"/>
  <c r="R60" i="9"/>
  <c r="P9" i="1" s="1"/>
  <c r="G33" i="1" s="1"/>
  <c r="O60" i="9"/>
  <c r="M9" i="1" s="1"/>
  <c r="D33" i="1" s="1"/>
  <c r="M60" i="9"/>
  <c r="N60" i="9"/>
  <c r="L9" i="1" s="1"/>
  <c r="C33" i="1" s="1"/>
  <c r="P60" i="9"/>
  <c r="N9" i="1" s="1"/>
  <c r="E33" i="1" s="1"/>
  <c r="Q60" i="9"/>
  <c r="O9" i="1" s="1"/>
  <c r="F33" i="1" s="1"/>
  <c r="F20" i="1"/>
  <c r="E20" i="1"/>
  <c r="C20" i="1"/>
  <c r="B20" i="1"/>
  <c r="D20" i="1"/>
  <c r="V8" i="5"/>
  <c r="G29" i="1"/>
  <c r="F29" i="1"/>
  <c r="E29" i="1"/>
  <c r="D29" i="1"/>
  <c r="C29" i="1"/>
  <c r="B29" i="1"/>
  <c r="AG73" i="8" l="1"/>
  <c r="AG74" i="8" s="1"/>
  <c r="AH73" i="8"/>
  <c r="AH74" i="8" s="1"/>
  <c r="AJ73" i="8"/>
  <c r="AJ74" i="8" s="1"/>
  <c r="AA60" i="8"/>
  <c r="AO120" i="22"/>
  <c r="AO10" i="22"/>
  <c r="AP120" i="22"/>
  <c r="AM134" i="22"/>
  <c r="AL120" i="22"/>
  <c r="AP10" i="22"/>
  <c r="Z39" i="2"/>
  <c r="Z73" i="8" s="1"/>
  <c r="Z74" i="8" s="1"/>
  <c r="Y39" i="2"/>
  <c r="X39" i="2"/>
  <c r="W39" i="2"/>
  <c r="W73" i="8" s="1"/>
  <c r="W74" i="8" s="1"/>
  <c r="AM10" i="22"/>
  <c r="AN120" i="22"/>
  <c r="AK10" i="22"/>
  <c r="AL10" i="22"/>
  <c r="AN10" i="22"/>
  <c r="AK120" i="22"/>
  <c r="AA39" i="2"/>
  <c r="AJ123" i="2"/>
  <c r="AJ336" i="2" s="1"/>
  <c r="AJ79" i="8" s="1"/>
  <c r="BR120" i="22"/>
  <c r="AI13" i="2"/>
  <c r="AI14" i="8" s="1"/>
  <c r="BQ10" i="22"/>
  <c r="BN120" i="22"/>
  <c r="AF123" i="2"/>
  <c r="AF336" i="2" s="1"/>
  <c r="AF79" i="8" s="1"/>
  <c r="BM10" i="22"/>
  <c r="AE13" i="2"/>
  <c r="AE14" i="8" s="1"/>
  <c r="BO120" i="22"/>
  <c r="AG123" i="2"/>
  <c r="AG336" i="2" s="1"/>
  <c r="AG79" i="8" s="1"/>
  <c r="BQ120" i="22"/>
  <c r="AI123" i="2"/>
  <c r="AI336" i="2" s="1"/>
  <c r="AI79" i="8" s="1"/>
  <c r="BM120" i="22"/>
  <c r="AE123" i="2"/>
  <c r="AE336" i="2" s="1"/>
  <c r="AE79" i="8" s="1"/>
  <c r="AH13" i="2"/>
  <c r="AH14" i="8" s="1"/>
  <c r="BP10" i="22"/>
  <c r="AH123" i="2"/>
  <c r="AH336" i="2" s="1"/>
  <c r="AH79" i="8" s="1"/>
  <c r="BP120" i="22"/>
  <c r="BR10" i="22"/>
  <c r="AJ13" i="2"/>
  <c r="AJ14" i="8" s="1"/>
  <c r="B34" i="1"/>
  <c r="B35" i="1"/>
  <c r="BO10" i="22"/>
  <c r="AG13" i="2"/>
  <c r="AG14" i="8" s="1"/>
  <c r="AF13" i="2"/>
  <c r="AF14" i="8" s="1"/>
  <c r="BN10" i="22"/>
  <c r="BD119" i="22"/>
  <c r="AA122" i="2"/>
  <c r="AA335" i="2" s="1"/>
  <c r="BD9" i="22"/>
  <c r="AA12" i="2"/>
  <c r="AA13" i="8" s="1"/>
  <c r="BB9" i="22"/>
  <c r="Y12" i="2"/>
  <c r="Y13" i="8" s="1"/>
  <c r="BC119" i="22"/>
  <c r="Z122" i="2"/>
  <c r="Z335" i="2" s="1"/>
  <c r="BB119" i="22"/>
  <c r="Y122" i="2"/>
  <c r="Y335" i="2" s="1"/>
  <c r="M60" i="8"/>
  <c r="BC9" i="22"/>
  <c r="Z12" i="2"/>
  <c r="Z13" i="8" s="1"/>
  <c r="AZ119" i="22"/>
  <c r="W122" i="2"/>
  <c r="W335" i="2" s="1"/>
  <c r="AZ9" i="22"/>
  <c r="W12" i="2"/>
  <c r="W13" i="8" s="1"/>
  <c r="AY120" i="22"/>
  <c r="V123" i="2"/>
  <c r="V336" i="2" s="1"/>
  <c r="V79" i="8" s="1"/>
  <c r="AY10" i="22"/>
  <c r="V13" i="2"/>
  <c r="V14" i="8" s="1"/>
  <c r="BA119" i="22"/>
  <c r="X122" i="2"/>
  <c r="X335" i="2" s="1"/>
  <c r="BA9" i="22"/>
  <c r="X12" i="2"/>
  <c r="X13" i="8" s="1"/>
  <c r="P13" i="2"/>
  <c r="P14" i="8" s="1"/>
  <c r="M122" i="2"/>
  <c r="M335" i="2" s="1"/>
  <c r="Q121" i="2"/>
  <c r="Q334" i="2" s="1"/>
  <c r="Q59" i="8" s="1"/>
  <c r="M13" i="2"/>
  <c r="M14" i="8" s="1"/>
  <c r="N121" i="2"/>
  <c r="N334" i="2" s="1"/>
  <c r="N59" i="8" s="1"/>
  <c r="Q13" i="2"/>
  <c r="Q14" i="8" s="1"/>
  <c r="R121" i="2"/>
  <c r="R334" i="2" s="1"/>
  <c r="R59" i="8" s="1"/>
  <c r="O13" i="2"/>
  <c r="O14" i="8" s="1"/>
  <c r="AE74" i="8"/>
  <c r="P121" i="2"/>
  <c r="P334" i="2" s="1"/>
  <c r="P59" i="8" s="1"/>
  <c r="V74" i="8"/>
  <c r="O121" i="2"/>
  <c r="O334" i="2" s="1"/>
  <c r="O59" i="8" s="1"/>
  <c r="R13" i="2"/>
  <c r="R14" i="8" s="1"/>
  <c r="N13" i="2"/>
  <c r="N14" i="8" s="1"/>
  <c r="AF74" i="8"/>
  <c r="K9" i="1"/>
  <c r="M35" i="2"/>
  <c r="M70" i="8" s="1"/>
  <c r="M34" i="2"/>
  <c r="M69" i="8" s="1"/>
  <c r="P35" i="2"/>
  <c r="P70" i="8" s="1"/>
  <c r="P34" i="2"/>
  <c r="P69" i="8" s="1"/>
  <c r="R35" i="2"/>
  <c r="R70" i="8" s="1"/>
  <c r="R34" i="2"/>
  <c r="R69" i="8" s="1"/>
  <c r="O35" i="2"/>
  <c r="O70" i="8" s="1"/>
  <c r="O34" i="2"/>
  <c r="O69" i="8" s="1"/>
  <c r="Q35" i="2"/>
  <c r="Q70" i="8" s="1"/>
  <c r="Q34" i="2"/>
  <c r="Q69" i="8" s="1"/>
  <c r="N35" i="2"/>
  <c r="N70" i="8" s="1"/>
  <c r="N34" i="2"/>
  <c r="N69" i="8" s="1"/>
  <c r="G17" i="17"/>
  <c r="X73" i="8" l="1"/>
  <c r="X74" i="8" s="1"/>
  <c r="Y73" i="8"/>
  <c r="Y74" i="8" s="1"/>
  <c r="AA73" i="8"/>
  <c r="AA74" i="8" s="1"/>
  <c r="AI80" i="8"/>
  <c r="AH80" i="8"/>
  <c r="P60" i="8"/>
  <c r="Q60" i="8"/>
  <c r="AJ80" i="8"/>
  <c r="AG80" i="8"/>
  <c r="AK134" i="22"/>
  <c r="AL11" i="22"/>
  <c r="AN134" i="22"/>
  <c r="AP11" i="22"/>
  <c r="AO11" i="22"/>
  <c r="AN11" i="22"/>
  <c r="AK11" i="22"/>
  <c r="AM11" i="22"/>
  <c r="AL134" i="22"/>
  <c r="AP134" i="22"/>
  <c r="AO134" i="22"/>
  <c r="BR134" i="22"/>
  <c r="AJ124" i="2"/>
  <c r="AJ337" i="2" s="1"/>
  <c r="AJ84" i="8" s="1"/>
  <c r="BP134" i="22"/>
  <c r="AH124" i="2"/>
  <c r="AH337" i="2" s="1"/>
  <c r="AH84" i="8" s="1"/>
  <c r="AG14" i="2"/>
  <c r="AG15" i="8" s="1"/>
  <c r="BO11" i="22"/>
  <c r="AG124" i="2"/>
  <c r="AG337" i="2" s="1"/>
  <c r="AG84" i="8" s="1"/>
  <c r="BO134" i="22"/>
  <c r="BN11" i="22"/>
  <c r="AF14" i="2"/>
  <c r="AF15" i="8" s="1"/>
  <c r="BP11" i="22"/>
  <c r="AH14" i="2"/>
  <c r="AH15" i="8" s="1"/>
  <c r="AI14" i="2"/>
  <c r="AI15" i="8" s="1"/>
  <c r="BQ11" i="22"/>
  <c r="AE124" i="2"/>
  <c r="AE337" i="2" s="1"/>
  <c r="AE84" i="8" s="1"/>
  <c r="BM134" i="22"/>
  <c r="BN134" i="22"/>
  <c r="AF124" i="2"/>
  <c r="AF337" i="2" s="1"/>
  <c r="AF84" i="8" s="1"/>
  <c r="B33" i="1"/>
  <c r="BR11" i="22"/>
  <c r="AJ14" i="2"/>
  <c r="AJ15" i="8" s="1"/>
  <c r="AI124" i="2"/>
  <c r="AI337" i="2" s="1"/>
  <c r="AI84" i="8" s="1"/>
  <c r="BQ134" i="22"/>
  <c r="AE14" i="2"/>
  <c r="AE15" i="8" s="1"/>
  <c r="BM11" i="22"/>
  <c r="R60" i="8"/>
  <c r="BA120" i="22"/>
  <c r="X123" i="2"/>
  <c r="X336" i="2" s="1"/>
  <c r="X79" i="8" s="1"/>
  <c r="BC120" i="22"/>
  <c r="Z123" i="2"/>
  <c r="Z336" i="2" s="1"/>
  <c r="Z79" i="8" s="1"/>
  <c r="BD10" i="22"/>
  <c r="AA13" i="2"/>
  <c r="AA14" i="8" s="1"/>
  <c r="AZ10" i="22"/>
  <c r="W13" i="2"/>
  <c r="W14" i="8" s="1"/>
  <c r="BC10" i="22"/>
  <c r="Z13" i="2"/>
  <c r="Z14" i="8" s="1"/>
  <c r="BA10" i="22"/>
  <c r="X13" i="2"/>
  <c r="X14" i="8" s="1"/>
  <c r="AY11" i="22"/>
  <c r="V14" i="2"/>
  <c r="V15" i="8" s="1"/>
  <c r="BB120" i="22"/>
  <c r="Y123" i="2"/>
  <c r="Y336" i="2" s="1"/>
  <c r="Y79" i="8" s="1"/>
  <c r="BB10" i="22"/>
  <c r="Y13" i="2"/>
  <c r="Y14" i="8" s="1"/>
  <c r="BD120" i="22"/>
  <c r="AA123" i="2"/>
  <c r="AA336" i="2" s="1"/>
  <c r="AA79" i="8" s="1"/>
  <c r="O60" i="8"/>
  <c r="N60" i="8"/>
  <c r="AY134" i="22"/>
  <c r="V124" i="2"/>
  <c r="V337" i="2" s="1"/>
  <c r="V84" i="8" s="1"/>
  <c r="AZ120" i="22"/>
  <c r="W123" i="2"/>
  <c r="W336" i="2" s="1"/>
  <c r="W79" i="8" s="1"/>
  <c r="P122" i="2"/>
  <c r="P335" i="2" s="1"/>
  <c r="N14" i="2"/>
  <c r="N15" i="8" s="1"/>
  <c r="AF60" i="8"/>
  <c r="Z60" i="8"/>
  <c r="Q14" i="2"/>
  <c r="Q15" i="8" s="1"/>
  <c r="V60" i="8"/>
  <c r="M14" i="2"/>
  <c r="M15" i="8" s="1"/>
  <c r="AE60" i="8"/>
  <c r="Y60" i="8"/>
  <c r="P14" i="2"/>
  <c r="P15" i="8" s="1"/>
  <c r="R14" i="2"/>
  <c r="R15" i="8" s="1"/>
  <c r="W60" i="8"/>
  <c r="R122" i="2"/>
  <c r="R335" i="2" s="1"/>
  <c r="N122" i="2"/>
  <c r="N335" i="2" s="1"/>
  <c r="Q122" i="2"/>
  <c r="Q335" i="2" s="1"/>
  <c r="O122" i="2"/>
  <c r="O335" i="2" s="1"/>
  <c r="X60" i="8"/>
  <c r="O14" i="2"/>
  <c r="O15" i="8" s="1"/>
  <c r="M123" i="2"/>
  <c r="M336" i="2" s="1"/>
  <c r="M79" i="8" s="1"/>
  <c r="R74" i="8"/>
  <c r="M74" i="8"/>
  <c r="O74" i="8"/>
  <c r="P74" i="8"/>
  <c r="N74" i="8"/>
  <c r="Q74" i="8"/>
  <c r="P169" i="5"/>
  <c r="V169" i="5" s="1"/>
  <c r="O169" i="5"/>
  <c r="U169" i="5" s="1"/>
  <c r="N169" i="5"/>
  <c r="T169" i="5" s="1"/>
  <c r="M169" i="5"/>
  <c r="S169" i="5" s="1"/>
  <c r="L169" i="5"/>
  <c r="R169" i="5" s="1"/>
  <c r="K169" i="5"/>
  <c r="Q169" i="5" s="1"/>
  <c r="AA80" i="8" l="1"/>
  <c r="AF138" i="2"/>
  <c r="AF338" i="2" s="1"/>
  <c r="AF85" i="8" s="1"/>
  <c r="AJ138" i="2"/>
  <c r="AJ338" i="2" s="1"/>
  <c r="AJ85" i="8" s="1"/>
  <c r="AM15" i="22"/>
  <c r="AN15" i="22"/>
  <c r="AP15" i="22"/>
  <c r="AL15" i="22"/>
  <c r="AE138" i="2"/>
  <c r="AE338" i="2" s="1"/>
  <c r="AE85" i="8" s="1"/>
  <c r="AG138" i="2"/>
  <c r="AG338" i="2" s="1"/>
  <c r="AG85" i="8" s="1"/>
  <c r="V138" i="2"/>
  <c r="V338" i="2" s="1"/>
  <c r="V85" i="8" s="1"/>
  <c r="AI138" i="2"/>
  <c r="AI338" i="2" s="1"/>
  <c r="AI85" i="8" s="1"/>
  <c r="AH138" i="2"/>
  <c r="AH338" i="2" s="1"/>
  <c r="AH85" i="8" s="1"/>
  <c r="AK15" i="22"/>
  <c r="AO15" i="22"/>
  <c r="AE15" i="2"/>
  <c r="AE16" i="8" s="1"/>
  <c r="BM15" i="22"/>
  <c r="AI15" i="2"/>
  <c r="AI16" i="8" s="1"/>
  <c r="BQ15" i="22"/>
  <c r="BO15" i="22"/>
  <c r="AG15" i="2"/>
  <c r="AG16" i="8" s="1"/>
  <c r="BR15" i="22"/>
  <c r="AJ15" i="2"/>
  <c r="AJ16" i="8" s="1"/>
  <c r="AF15" i="2"/>
  <c r="AF16" i="8" s="1"/>
  <c r="BN15" i="22"/>
  <c r="BP15" i="22"/>
  <c r="AH15" i="2"/>
  <c r="AH16" i="8" s="1"/>
  <c r="M80" i="8"/>
  <c r="W124" i="2"/>
  <c r="W337" i="2" s="1"/>
  <c r="W84" i="8" s="1"/>
  <c r="AZ134" i="22"/>
  <c r="BB11" i="22"/>
  <c r="Y14" i="2"/>
  <c r="Y15" i="8" s="1"/>
  <c r="AY15" i="22"/>
  <c r="V15" i="2"/>
  <c r="V16" i="8" s="1"/>
  <c r="BC11" i="22"/>
  <c r="Z14" i="2"/>
  <c r="Z15" i="8" s="1"/>
  <c r="BD11" i="22"/>
  <c r="AA14" i="2"/>
  <c r="AA15" i="8" s="1"/>
  <c r="X124" i="2"/>
  <c r="X337" i="2" s="1"/>
  <c r="X84" i="8" s="1"/>
  <c r="BA134" i="22"/>
  <c r="AA124" i="2"/>
  <c r="AA337" i="2" s="1"/>
  <c r="AA84" i="8" s="1"/>
  <c r="BD134" i="22"/>
  <c r="Y124" i="2"/>
  <c r="Y337" i="2" s="1"/>
  <c r="Y84" i="8" s="1"/>
  <c r="BB134" i="22"/>
  <c r="BA11" i="22"/>
  <c r="X14" i="2"/>
  <c r="X15" i="8" s="1"/>
  <c r="AZ11" i="22"/>
  <c r="W14" i="2"/>
  <c r="W15" i="8" s="1"/>
  <c r="Z124" i="2"/>
  <c r="Z337" i="2" s="1"/>
  <c r="Z84" i="8" s="1"/>
  <c r="BC134" i="22"/>
  <c r="M124" i="2"/>
  <c r="M337" i="2" s="1"/>
  <c r="M84" i="8" s="1"/>
  <c r="R123" i="2"/>
  <c r="R336" i="2" s="1"/>
  <c r="R79" i="8" s="1"/>
  <c r="P15" i="2"/>
  <c r="P16" i="8" s="1"/>
  <c r="N15" i="2"/>
  <c r="N16" i="8" s="1"/>
  <c r="O123" i="2"/>
  <c r="O336" i="2" s="1"/>
  <c r="O79" i="8" s="1"/>
  <c r="N123" i="2"/>
  <c r="N336" i="2" s="1"/>
  <c r="N79" i="8" s="1"/>
  <c r="M15" i="2"/>
  <c r="M16" i="8" s="1"/>
  <c r="Q123" i="2"/>
  <c r="Q336" i="2" s="1"/>
  <c r="Q79" i="8" s="1"/>
  <c r="Q15" i="2"/>
  <c r="Q16" i="8" s="1"/>
  <c r="O15" i="2"/>
  <c r="O16" i="8" s="1"/>
  <c r="R15" i="2"/>
  <c r="R16" i="8" s="1"/>
  <c r="P123" i="2"/>
  <c r="P336" i="2" s="1"/>
  <c r="P79" i="8" s="1"/>
  <c r="AI86" i="8" l="1"/>
  <c r="AJ86" i="8"/>
  <c r="P80" i="8"/>
  <c r="AG86" i="8"/>
  <c r="O80" i="8"/>
  <c r="AH86" i="8"/>
  <c r="Z138" i="2"/>
  <c r="Z338" i="2" s="1"/>
  <c r="Z85" i="8" s="1"/>
  <c r="AA138" i="2"/>
  <c r="AA338" i="2" s="1"/>
  <c r="AA85" i="8" s="1"/>
  <c r="W138" i="2"/>
  <c r="W338" i="2" s="1"/>
  <c r="W85" i="8" s="1"/>
  <c r="AK16" i="22"/>
  <c r="AL16" i="22"/>
  <c r="AN16" i="22"/>
  <c r="Y138" i="2"/>
  <c r="Y338" i="2" s="1"/>
  <c r="Y85" i="8" s="1"/>
  <c r="X138" i="2"/>
  <c r="X338" i="2" s="1"/>
  <c r="X85" i="8" s="1"/>
  <c r="AO16" i="22"/>
  <c r="AP16" i="22"/>
  <c r="AM16" i="22"/>
  <c r="AI19" i="2"/>
  <c r="AI20" i="8" s="1"/>
  <c r="BQ16" i="22"/>
  <c r="AH19" i="2"/>
  <c r="AH20" i="8" s="1"/>
  <c r="BP16" i="22"/>
  <c r="AJ19" i="2"/>
  <c r="AJ20" i="8" s="1"/>
  <c r="BR16" i="22"/>
  <c r="AF19" i="2"/>
  <c r="AF20" i="8" s="1"/>
  <c r="BN16" i="22"/>
  <c r="BM16" i="22"/>
  <c r="AE19" i="2"/>
  <c r="AE20" i="8" s="1"/>
  <c r="AG19" i="2"/>
  <c r="AG20" i="8" s="1"/>
  <c r="BO16" i="22"/>
  <c r="BD15" i="22"/>
  <c r="AA15" i="2"/>
  <c r="AA16" i="8" s="1"/>
  <c r="AY16" i="22"/>
  <c r="V19" i="2"/>
  <c r="V20" i="8" s="1"/>
  <c r="R80" i="8"/>
  <c r="AZ15" i="22"/>
  <c r="W15" i="2"/>
  <c r="W16" i="8" s="1"/>
  <c r="BC15" i="22"/>
  <c r="Z15" i="2"/>
  <c r="Z16" i="8" s="1"/>
  <c r="BB15" i="22"/>
  <c r="Y15" i="2"/>
  <c r="Y16" i="8" s="1"/>
  <c r="N80" i="8"/>
  <c r="X15" i="2"/>
  <c r="X16" i="8" s="1"/>
  <c r="BA15" i="22"/>
  <c r="Q124" i="2"/>
  <c r="Q337" i="2" s="1"/>
  <c r="Q84" i="8" s="1"/>
  <c r="M19" i="2"/>
  <c r="M20" i="8" s="1"/>
  <c r="M138" i="2"/>
  <c r="M338" i="2" s="1"/>
  <c r="M85" i="8" s="1"/>
  <c r="X80" i="8"/>
  <c r="R19" i="2"/>
  <c r="R20" i="8" s="1"/>
  <c r="V80" i="8"/>
  <c r="P19" i="2"/>
  <c r="P20" i="8" s="1"/>
  <c r="R124" i="2"/>
  <c r="R337" i="2" s="1"/>
  <c r="R84" i="8" s="1"/>
  <c r="O124" i="2"/>
  <c r="O337" i="2" s="1"/>
  <c r="O84" i="8" s="1"/>
  <c r="Q19" i="2"/>
  <c r="Q20" i="8" s="1"/>
  <c r="AF80" i="8"/>
  <c r="Z80" i="8"/>
  <c r="P124" i="2"/>
  <c r="P337" i="2" s="1"/>
  <c r="P84" i="8" s="1"/>
  <c r="O19" i="2"/>
  <c r="O20" i="8" s="1"/>
  <c r="AE80" i="8"/>
  <c r="Y80" i="8"/>
  <c r="N124" i="2"/>
  <c r="N337" i="2" s="1"/>
  <c r="N84" i="8" s="1"/>
  <c r="W80" i="8"/>
  <c r="N19" i="2"/>
  <c r="N20" i="8" s="1"/>
  <c r="AA86" i="8" l="1"/>
  <c r="AJ20" i="2"/>
  <c r="AI20" i="2"/>
  <c r="AE20" i="2"/>
  <c r="AE21" i="8" s="1"/>
  <c r="AG20" i="2"/>
  <c r="AF20" i="2"/>
  <c r="AF21" i="8" s="1"/>
  <c r="AH20" i="2"/>
  <c r="V20" i="2"/>
  <c r="V21" i="8" s="1"/>
  <c r="Q80" i="8"/>
  <c r="BB16" i="22"/>
  <c r="Y19" i="2"/>
  <c r="Y20" i="8" s="1"/>
  <c r="AZ16" i="22"/>
  <c r="W19" i="2"/>
  <c r="W20" i="8" s="1"/>
  <c r="M86" i="8"/>
  <c r="BC16" i="22"/>
  <c r="Z19" i="2"/>
  <c r="Z20" i="8" s="1"/>
  <c r="BA16" i="22"/>
  <c r="X19" i="2"/>
  <c r="X20" i="8" s="1"/>
  <c r="BD16" i="22"/>
  <c r="AA19" i="2"/>
  <c r="AA20" i="8" s="1"/>
  <c r="M20" i="2"/>
  <c r="N20" i="2"/>
  <c r="N138" i="2"/>
  <c r="N338" i="2" s="1"/>
  <c r="N85" i="8" s="1"/>
  <c r="R138" i="2"/>
  <c r="R338" i="2" s="1"/>
  <c r="R85" i="8" s="1"/>
  <c r="P20" i="2"/>
  <c r="Q20" i="2"/>
  <c r="O138" i="2"/>
  <c r="O338" i="2" s="1"/>
  <c r="O85" i="8" s="1"/>
  <c r="Q138" i="2"/>
  <c r="Q338" i="2" s="1"/>
  <c r="Q85" i="8" s="1"/>
  <c r="O20" i="2"/>
  <c r="P138" i="2"/>
  <c r="P338" i="2" s="1"/>
  <c r="P85" i="8" s="1"/>
  <c r="R20" i="2"/>
  <c r="P168" i="5"/>
  <c r="V168" i="5" s="1"/>
  <c r="O168" i="5"/>
  <c r="U168" i="5" s="1"/>
  <c r="N168" i="5"/>
  <c r="T168" i="5" s="1"/>
  <c r="M168" i="5"/>
  <c r="S168" i="5" s="1"/>
  <c r="L168" i="5"/>
  <c r="R168" i="5" s="1"/>
  <c r="K168" i="5"/>
  <c r="Q168" i="5" s="1"/>
  <c r="P167" i="5"/>
  <c r="V167" i="5" s="1"/>
  <c r="O167" i="5"/>
  <c r="U167" i="5" s="1"/>
  <c r="N167" i="5"/>
  <c r="T167" i="5" s="1"/>
  <c r="M167" i="5"/>
  <c r="S167" i="5" s="1"/>
  <c r="L167" i="5"/>
  <c r="R167" i="5" s="1"/>
  <c r="K167" i="5"/>
  <c r="Q167" i="5" s="1"/>
  <c r="P166" i="5"/>
  <c r="V166" i="5" s="1"/>
  <c r="O166" i="5"/>
  <c r="U166" i="5" s="1"/>
  <c r="N166" i="5"/>
  <c r="T166" i="5" s="1"/>
  <c r="M166" i="5"/>
  <c r="S166" i="5" s="1"/>
  <c r="L166" i="5"/>
  <c r="R166" i="5" s="1"/>
  <c r="K166" i="5"/>
  <c r="Q166" i="5" s="1"/>
  <c r="P165" i="5"/>
  <c r="V165" i="5" s="1"/>
  <c r="O165" i="5"/>
  <c r="U165" i="5" s="1"/>
  <c r="N165" i="5"/>
  <c r="T165" i="5" s="1"/>
  <c r="M165" i="5"/>
  <c r="S165" i="5" s="1"/>
  <c r="L165" i="5"/>
  <c r="R165" i="5" s="1"/>
  <c r="K165" i="5"/>
  <c r="Q165" i="5" s="1"/>
  <c r="P164" i="5"/>
  <c r="V164" i="5" s="1"/>
  <c r="O164" i="5"/>
  <c r="U164" i="5" s="1"/>
  <c r="N164" i="5"/>
  <c r="T164" i="5" s="1"/>
  <c r="M164" i="5"/>
  <c r="S164" i="5" s="1"/>
  <c r="L164" i="5"/>
  <c r="R164" i="5" s="1"/>
  <c r="K164" i="5"/>
  <c r="Q164" i="5" s="1"/>
  <c r="P163" i="5"/>
  <c r="V163" i="5" s="1"/>
  <c r="O163" i="5"/>
  <c r="U163" i="5" s="1"/>
  <c r="N163" i="5"/>
  <c r="T163" i="5" s="1"/>
  <c r="M163" i="5"/>
  <c r="S163" i="5" s="1"/>
  <c r="L163" i="5"/>
  <c r="R163" i="5" s="1"/>
  <c r="K163" i="5"/>
  <c r="Q163" i="5" s="1"/>
  <c r="P162" i="5"/>
  <c r="V162" i="5" s="1"/>
  <c r="O162" i="5"/>
  <c r="U162" i="5" s="1"/>
  <c r="N162" i="5"/>
  <c r="T162" i="5" s="1"/>
  <c r="M162" i="5"/>
  <c r="S162" i="5" s="1"/>
  <c r="L162" i="5"/>
  <c r="R162" i="5" s="1"/>
  <c r="K162" i="5"/>
  <c r="Q162" i="5" s="1"/>
  <c r="P161" i="5"/>
  <c r="V161" i="5" s="1"/>
  <c r="O161" i="5"/>
  <c r="U161" i="5" s="1"/>
  <c r="N161" i="5"/>
  <c r="T161" i="5" s="1"/>
  <c r="M161" i="5"/>
  <c r="S161" i="5" s="1"/>
  <c r="L161" i="5"/>
  <c r="R161" i="5" s="1"/>
  <c r="K161" i="5"/>
  <c r="Q161" i="5" s="1"/>
  <c r="AI159" i="5"/>
  <c r="AH159" i="5"/>
  <c r="AG159" i="5"/>
  <c r="AF159" i="5"/>
  <c r="AE159" i="5"/>
  <c r="AD159" i="5"/>
  <c r="P159" i="5"/>
  <c r="V159" i="5" s="1"/>
  <c r="O159" i="5"/>
  <c r="U159" i="5" s="1"/>
  <c r="N159" i="5"/>
  <c r="T159" i="5" s="1"/>
  <c r="M159" i="5"/>
  <c r="S159" i="5" s="1"/>
  <c r="L159" i="5"/>
  <c r="R159" i="5" s="1"/>
  <c r="K159" i="5"/>
  <c r="Q159" i="5" s="1"/>
  <c r="AI158" i="5"/>
  <c r="AH158" i="5"/>
  <c r="AG158" i="5"/>
  <c r="AF158" i="5"/>
  <c r="AE158" i="5"/>
  <c r="AD158" i="5"/>
  <c r="P158" i="5"/>
  <c r="V158" i="5" s="1"/>
  <c r="O158" i="5"/>
  <c r="U158" i="5" s="1"/>
  <c r="N158" i="5"/>
  <c r="T158" i="5" s="1"/>
  <c r="M158" i="5"/>
  <c r="S158" i="5" s="1"/>
  <c r="L158" i="5"/>
  <c r="R158" i="5" s="1"/>
  <c r="K158" i="5"/>
  <c r="Q158" i="5" s="1"/>
  <c r="AI157" i="5"/>
  <c r="AH157" i="5"/>
  <c r="AG157" i="5"/>
  <c r="AF157" i="5"/>
  <c r="AE157" i="5"/>
  <c r="AD157" i="5"/>
  <c r="P157" i="5"/>
  <c r="V157" i="5" s="1"/>
  <c r="O157" i="5"/>
  <c r="U157" i="5" s="1"/>
  <c r="N157" i="5"/>
  <c r="T157" i="5" s="1"/>
  <c r="M157" i="5"/>
  <c r="S157" i="5" s="1"/>
  <c r="L157" i="5"/>
  <c r="R157" i="5" s="1"/>
  <c r="K157" i="5"/>
  <c r="Q157" i="5" s="1"/>
  <c r="AI156" i="5"/>
  <c r="AH156" i="5"/>
  <c r="AG156" i="5"/>
  <c r="AF156" i="5"/>
  <c r="AE156" i="5"/>
  <c r="AD156" i="5"/>
  <c r="P156" i="5"/>
  <c r="V156" i="5" s="1"/>
  <c r="O156" i="5"/>
  <c r="U156" i="5" s="1"/>
  <c r="N156" i="5"/>
  <c r="T156" i="5" s="1"/>
  <c r="M156" i="5"/>
  <c r="S156" i="5" s="1"/>
  <c r="L156" i="5"/>
  <c r="R156" i="5" s="1"/>
  <c r="K156" i="5"/>
  <c r="Q156" i="5" s="1"/>
  <c r="AI155" i="5"/>
  <c r="AH155" i="5"/>
  <c r="AG155" i="5"/>
  <c r="AF155" i="5"/>
  <c r="AE155" i="5"/>
  <c r="AD155" i="5"/>
  <c r="P155" i="5"/>
  <c r="V155" i="5" s="1"/>
  <c r="O155" i="5"/>
  <c r="U155" i="5" s="1"/>
  <c r="N155" i="5"/>
  <c r="T155" i="5" s="1"/>
  <c r="M155" i="5"/>
  <c r="S155" i="5" s="1"/>
  <c r="L155" i="5"/>
  <c r="R155" i="5" s="1"/>
  <c r="K155" i="5"/>
  <c r="Q155" i="5" s="1"/>
  <c r="AI154" i="5"/>
  <c r="AH154" i="5"/>
  <c r="AG154" i="5"/>
  <c r="AF154" i="5"/>
  <c r="AE154" i="5"/>
  <c r="AD154" i="5"/>
  <c r="P154" i="5"/>
  <c r="V154" i="5" s="1"/>
  <c r="O154" i="5"/>
  <c r="U154" i="5" s="1"/>
  <c r="N154" i="5"/>
  <c r="T154" i="5" s="1"/>
  <c r="M154" i="5"/>
  <c r="S154" i="5" s="1"/>
  <c r="L154" i="5"/>
  <c r="R154" i="5" s="1"/>
  <c r="K154" i="5"/>
  <c r="Q154" i="5" s="1"/>
  <c r="AI153" i="5"/>
  <c r="AH153" i="5"/>
  <c r="AG153" i="5"/>
  <c r="AF153" i="5"/>
  <c r="AE153" i="5"/>
  <c r="AD153" i="5"/>
  <c r="P153" i="5"/>
  <c r="V153" i="5" s="1"/>
  <c r="O153" i="5"/>
  <c r="U153" i="5" s="1"/>
  <c r="N153" i="5"/>
  <c r="T153" i="5" s="1"/>
  <c r="M153" i="5"/>
  <c r="S153" i="5" s="1"/>
  <c r="L153" i="5"/>
  <c r="R153" i="5" s="1"/>
  <c r="K153" i="5"/>
  <c r="Q153" i="5" s="1"/>
  <c r="AI152" i="5"/>
  <c r="AH152" i="5"/>
  <c r="AG152" i="5"/>
  <c r="AF152" i="5"/>
  <c r="AE152" i="5"/>
  <c r="AD152" i="5"/>
  <c r="P152" i="5"/>
  <c r="V152" i="5" s="1"/>
  <c r="O152" i="5"/>
  <c r="U152" i="5" s="1"/>
  <c r="N152" i="5"/>
  <c r="T152" i="5" s="1"/>
  <c r="M152" i="5"/>
  <c r="S152" i="5" s="1"/>
  <c r="L152" i="5"/>
  <c r="R152" i="5" s="1"/>
  <c r="K152" i="5"/>
  <c r="Q152" i="5" s="1"/>
  <c r="AI151" i="5"/>
  <c r="AH151" i="5"/>
  <c r="AG151" i="5"/>
  <c r="AF151" i="5"/>
  <c r="AE151" i="5"/>
  <c r="AD151" i="5"/>
  <c r="P151" i="5"/>
  <c r="V151" i="5" s="1"/>
  <c r="O151" i="5"/>
  <c r="U151" i="5" s="1"/>
  <c r="N151" i="5"/>
  <c r="T151" i="5" s="1"/>
  <c r="M151" i="5"/>
  <c r="S151" i="5" s="1"/>
  <c r="L151" i="5"/>
  <c r="R151" i="5" s="1"/>
  <c r="K151" i="5"/>
  <c r="Q151" i="5" s="1"/>
  <c r="AI150" i="5"/>
  <c r="AH150" i="5"/>
  <c r="AG150" i="5"/>
  <c r="AF150" i="5"/>
  <c r="AE150" i="5"/>
  <c r="AD150" i="5"/>
  <c r="P150" i="5"/>
  <c r="V150" i="5" s="1"/>
  <c r="O150" i="5"/>
  <c r="U150" i="5" s="1"/>
  <c r="N150" i="5"/>
  <c r="T150" i="5" s="1"/>
  <c r="M150" i="5"/>
  <c r="S150" i="5" s="1"/>
  <c r="L150" i="5"/>
  <c r="R150" i="5" s="1"/>
  <c r="K150" i="5"/>
  <c r="Q150" i="5" s="1"/>
  <c r="AI149" i="5"/>
  <c r="AH149" i="5"/>
  <c r="AG149" i="5"/>
  <c r="AF149" i="5"/>
  <c r="AE149" i="5"/>
  <c r="AD149" i="5"/>
  <c r="P149" i="5"/>
  <c r="V149" i="5" s="1"/>
  <c r="O149" i="5"/>
  <c r="U149" i="5" s="1"/>
  <c r="N149" i="5"/>
  <c r="T149" i="5" s="1"/>
  <c r="M149" i="5"/>
  <c r="S149" i="5" s="1"/>
  <c r="L149" i="5"/>
  <c r="R149" i="5" s="1"/>
  <c r="K149" i="5"/>
  <c r="Q149" i="5" s="1"/>
  <c r="AI148" i="5"/>
  <c r="AH148" i="5"/>
  <c r="AG148" i="5"/>
  <c r="AF148" i="5"/>
  <c r="AE148" i="5"/>
  <c r="AD148" i="5"/>
  <c r="P148" i="5"/>
  <c r="V148" i="5" s="1"/>
  <c r="O148" i="5"/>
  <c r="U148" i="5" s="1"/>
  <c r="N148" i="5"/>
  <c r="T148" i="5" s="1"/>
  <c r="M148" i="5"/>
  <c r="S148" i="5" s="1"/>
  <c r="L148" i="5"/>
  <c r="R148" i="5" s="1"/>
  <c r="K148" i="5"/>
  <c r="Q148" i="5" s="1"/>
  <c r="AI147" i="5"/>
  <c r="AH147" i="5"/>
  <c r="AG147" i="5"/>
  <c r="AF147" i="5"/>
  <c r="AE147" i="5"/>
  <c r="AD147" i="5"/>
  <c r="P147" i="5"/>
  <c r="V147" i="5" s="1"/>
  <c r="O147" i="5"/>
  <c r="U147" i="5" s="1"/>
  <c r="N147" i="5"/>
  <c r="T147" i="5" s="1"/>
  <c r="M147" i="5"/>
  <c r="S147" i="5" s="1"/>
  <c r="L147" i="5"/>
  <c r="R147" i="5" s="1"/>
  <c r="K147" i="5"/>
  <c r="Q147" i="5" s="1"/>
  <c r="AI145" i="5"/>
  <c r="AH145" i="5"/>
  <c r="AG145" i="5"/>
  <c r="AF145" i="5"/>
  <c r="AE145" i="5"/>
  <c r="AD145" i="5"/>
  <c r="P145" i="5"/>
  <c r="V145" i="5" s="1"/>
  <c r="O145" i="5"/>
  <c r="U145" i="5" s="1"/>
  <c r="N145" i="5"/>
  <c r="T145" i="5" s="1"/>
  <c r="M145" i="5"/>
  <c r="S145" i="5" s="1"/>
  <c r="L145" i="5"/>
  <c r="R145" i="5" s="1"/>
  <c r="K145" i="5"/>
  <c r="Q145" i="5" s="1"/>
  <c r="AI144" i="5"/>
  <c r="AH144" i="5"/>
  <c r="AG144" i="5"/>
  <c r="AF144" i="5"/>
  <c r="AE144" i="5"/>
  <c r="AD144" i="5"/>
  <c r="P144" i="5"/>
  <c r="V144" i="5" s="1"/>
  <c r="O144" i="5"/>
  <c r="U144" i="5" s="1"/>
  <c r="N144" i="5"/>
  <c r="T144" i="5" s="1"/>
  <c r="M144" i="5"/>
  <c r="S144" i="5" s="1"/>
  <c r="L144" i="5"/>
  <c r="R144" i="5" s="1"/>
  <c r="K144" i="5"/>
  <c r="Q144" i="5" s="1"/>
  <c r="AI143" i="5"/>
  <c r="AH143" i="5"/>
  <c r="AG143" i="5"/>
  <c r="AF143" i="5"/>
  <c r="AE143" i="5"/>
  <c r="AD143" i="5"/>
  <c r="P143" i="5"/>
  <c r="V143" i="5" s="1"/>
  <c r="O143" i="5"/>
  <c r="U143" i="5" s="1"/>
  <c r="N143" i="5"/>
  <c r="T143" i="5" s="1"/>
  <c r="M143" i="5"/>
  <c r="S143" i="5" s="1"/>
  <c r="L143" i="5"/>
  <c r="R143" i="5" s="1"/>
  <c r="K143" i="5"/>
  <c r="Q143" i="5" s="1"/>
  <c r="AI142" i="5"/>
  <c r="AH142" i="5"/>
  <c r="AG142" i="5"/>
  <c r="AF142" i="5"/>
  <c r="AE142" i="5"/>
  <c r="AD142" i="5"/>
  <c r="P142" i="5"/>
  <c r="V142" i="5" s="1"/>
  <c r="O142" i="5"/>
  <c r="U142" i="5" s="1"/>
  <c r="N142" i="5"/>
  <c r="T142" i="5" s="1"/>
  <c r="M142" i="5"/>
  <c r="S142" i="5" s="1"/>
  <c r="L142" i="5"/>
  <c r="R142" i="5" s="1"/>
  <c r="K142" i="5"/>
  <c r="Q142" i="5" s="1"/>
  <c r="AI141" i="5"/>
  <c r="AH141" i="5"/>
  <c r="AG141" i="5"/>
  <c r="AF141" i="5"/>
  <c r="AE141" i="5"/>
  <c r="AD141" i="5"/>
  <c r="P141" i="5"/>
  <c r="V141" i="5" s="1"/>
  <c r="O141" i="5"/>
  <c r="U141" i="5" s="1"/>
  <c r="N141" i="5"/>
  <c r="T141" i="5" s="1"/>
  <c r="M141" i="5"/>
  <c r="S141" i="5" s="1"/>
  <c r="L141" i="5"/>
  <c r="R141" i="5" s="1"/>
  <c r="K141" i="5"/>
  <c r="Q141" i="5" s="1"/>
  <c r="AI140" i="5"/>
  <c r="AH140" i="5"/>
  <c r="AG140" i="5"/>
  <c r="AF140" i="5"/>
  <c r="AE140" i="5"/>
  <c r="AD140" i="5"/>
  <c r="P140" i="5"/>
  <c r="V140" i="5" s="1"/>
  <c r="O140" i="5"/>
  <c r="U140" i="5" s="1"/>
  <c r="N140" i="5"/>
  <c r="T140" i="5" s="1"/>
  <c r="M140" i="5"/>
  <c r="S140" i="5" s="1"/>
  <c r="L140" i="5"/>
  <c r="R140" i="5" s="1"/>
  <c r="K140" i="5"/>
  <c r="Q140" i="5" s="1"/>
  <c r="AI139" i="5"/>
  <c r="AH139" i="5"/>
  <c r="AG139" i="5"/>
  <c r="AF139" i="5"/>
  <c r="AE139" i="5"/>
  <c r="AD139" i="5"/>
  <c r="P139" i="5"/>
  <c r="V139" i="5" s="1"/>
  <c r="O139" i="5"/>
  <c r="U139" i="5" s="1"/>
  <c r="N139" i="5"/>
  <c r="T139" i="5" s="1"/>
  <c r="M139" i="5"/>
  <c r="S139" i="5" s="1"/>
  <c r="L139" i="5"/>
  <c r="R139" i="5" s="1"/>
  <c r="K139" i="5"/>
  <c r="Q139" i="5" s="1"/>
  <c r="AI138" i="5"/>
  <c r="AH138" i="5"/>
  <c r="AG138" i="5"/>
  <c r="AF138" i="5"/>
  <c r="AE138" i="5"/>
  <c r="AD138" i="5"/>
  <c r="P138" i="5"/>
  <c r="V138" i="5" s="1"/>
  <c r="O138" i="5"/>
  <c r="U138" i="5" s="1"/>
  <c r="N138" i="5"/>
  <c r="T138" i="5" s="1"/>
  <c r="M138" i="5"/>
  <c r="S138" i="5" s="1"/>
  <c r="L138" i="5"/>
  <c r="R138" i="5" s="1"/>
  <c r="K138" i="5"/>
  <c r="Q138" i="5" s="1"/>
  <c r="AI137" i="5"/>
  <c r="AH137" i="5"/>
  <c r="AG137" i="5"/>
  <c r="AF137" i="5"/>
  <c r="AE137" i="5"/>
  <c r="AD137" i="5"/>
  <c r="P137" i="5"/>
  <c r="V137" i="5" s="1"/>
  <c r="O137" i="5"/>
  <c r="U137" i="5" s="1"/>
  <c r="N137" i="5"/>
  <c r="T137" i="5" s="1"/>
  <c r="M137" i="5"/>
  <c r="S137" i="5" s="1"/>
  <c r="L137" i="5"/>
  <c r="R137" i="5" s="1"/>
  <c r="K137" i="5"/>
  <c r="Q137" i="5" s="1"/>
  <c r="AI136" i="5"/>
  <c r="AH136" i="5"/>
  <c r="AG136" i="5"/>
  <c r="AF136" i="5"/>
  <c r="AE136" i="5"/>
  <c r="AD136" i="5"/>
  <c r="P136" i="5"/>
  <c r="V136" i="5" s="1"/>
  <c r="O136" i="5"/>
  <c r="U136" i="5" s="1"/>
  <c r="N136" i="5"/>
  <c r="T136" i="5" s="1"/>
  <c r="M136" i="5"/>
  <c r="S136" i="5" s="1"/>
  <c r="L136" i="5"/>
  <c r="R136" i="5" s="1"/>
  <c r="K136" i="5"/>
  <c r="Q136" i="5" s="1"/>
  <c r="AI135" i="5"/>
  <c r="AH135" i="5"/>
  <c r="AG135" i="5"/>
  <c r="AF135" i="5"/>
  <c r="AE135" i="5"/>
  <c r="AD135" i="5"/>
  <c r="P135" i="5"/>
  <c r="V135" i="5" s="1"/>
  <c r="O135" i="5"/>
  <c r="U135" i="5" s="1"/>
  <c r="N135" i="5"/>
  <c r="T135" i="5" s="1"/>
  <c r="M135" i="5"/>
  <c r="S135" i="5" s="1"/>
  <c r="L135" i="5"/>
  <c r="R135" i="5" s="1"/>
  <c r="K135" i="5"/>
  <c r="Q135" i="5" s="1"/>
  <c r="AI134" i="5"/>
  <c r="AH134" i="5"/>
  <c r="AG134" i="5"/>
  <c r="AF134" i="5"/>
  <c r="AE134" i="5"/>
  <c r="AD134" i="5"/>
  <c r="P134" i="5"/>
  <c r="V134" i="5" s="1"/>
  <c r="O134" i="5"/>
  <c r="U134" i="5" s="1"/>
  <c r="N134" i="5"/>
  <c r="T134" i="5" s="1"/>
  <c r="M134" i="5"/>
  <c r="S134" i="5" s="1"/>
  <c r="L134" i="5"/>
  <c r="R134" i="5" s="1"/>
  <c r="K134" i="5"/>
  <c r="Q134" i="5" s="1"/>
  <c r="AI133" i="5"/>
  <c r="AH133" i="5"/>
  <c r="AG133" i="5"/>
  <c r="AF133" i="5"/>
  <c r="AE133" i="5"/>
  <c r="AD133" i="5"/>
  <c r="P133" i="5"/>
  <c r="V133" i="5" s="1"/>
  <c r="O133" i="5"/>
  <c r="U133" i="5" s="1"/>
  <c r="N133" i="5"/>
  <c r="T133" i="5" s="1"/>
  <c r="M133" i="5"/>
  <c r="S133" i="5" s="1"/>
  <c r="L133" i="5"/>
  <c r="R133" i="5" s="1"/>
  <c r="K133" i="5"/>
  <c r="Q133" i="5" s="1"/>
  <c r="AI132" i="5"/>
  <c r="AH132" i="5"/>
  <c r="AG132" i="5"/>
  <c r="AF132" i="5"/>
  <c r="AE132" i="5"/>
  <c r="AD132" i="5"/>
  <c r="P132" i="5"/>
  <c r="V132" i="5" s="1"/>
  <c r="O132" i="5"/>
  <c r="U132" i="5" s="1"/>
  <c r="N132" i="5"/>
  <c r="T132" i="5" s="1"/>
  <c r="M132" i="5"/>
  <c r="S132" i="5" s="1"/>
  <c r="L132" i="5"/>
  <c r="R132" i="5" s="1"/>
  <c r="K132" i="5"/>
  <c r="Q132" i="5" s="1"/>
  <c r="AI131" i="5"/>
  <c r="AH131" i="5"/>
  <c r="AG131" i="5"/>
  <c r="AF131" i="5"/>
  <c r="AE131" i="5"/>
  <c r="AD131" i="5"/>
  <c r="P131" i="5"/>
  <c r="V131" i="5" s="1"/>
  <c r="O131" i="5"/>
  <c r="U131" i="5" s="1"/>
  <c r="N131" i="5"/>
  <c r="T131" i="5" s="1"/>
  <c r="M131" i="5"/>
  <c r="S131" i="5" s="1"/>
  <c r="L131" i="5"/>
  <c r="R131" i="5" s="1"/>
  <c r="K131" i="5"/>
  <c r="Q131" i="5" s="1"/>
  <c r="AI130" i="5"/>
  <c r="AH130" i="5"/>
  <c r="AG130" i="5"/>
  <c r="AF130" i="5"/>
  <c r="AE130" i="5"/>
  <c r="AD130" i="5"/>
  <c r="P130" i="5"/>
  <c r="V130" i="5" s="1"/>
  <c r="O130" i="5"/>
  <c r="U130" i="5" s="1"/>
  <c r="N130" i="5"/>
  <c r="T130" i="5" s="1"/>
  <c r="M130" i="5"/>
  <c r="S130" i="5" s="1"/>
  <c r="L130" i="5"/>
  <c r="R130" i="5" s="1"/>
  <c r="K130" i="5"/>
  <c r="Q130" i="5" s="1"/>
  <c r="AI129" i="5"/>
  <c r="AH129" i="5"/>
  <c r="AG129" i="5"/>
  <c r="AF129" i="5"/>
  <c r="AE129" i="5"/>
  <c r="AD129" i="5"/>
  <c r="P129" i="5"/>
  <c r="V129" i="5" s="1"/>
  <c r="O129" i="5"/>
  <c r="U129" i="5" s="1"/>
  <c r="N129" i="5"/>
  <c r="T129" i="5" s="1"/>
  <c r="M129" i="5"/>
  <c r="S129" i="5" s="1"/>
  <c r="L129" i="5"/>
  <c r="R129" i="5" s="1"/>
  <c r="K129" i="5"/>
  <c r="Q129" i="5" s="1"/>
  <c r="AI128" i="5"/>
  <c r="AH128" i="5"/>
  <c r="AG128" i="5"/>
  <c r="AF128" i="5"/>
  <c r="AE128" i="5"/>
  <c r="AD128" i="5"/>
  <c r="P128" i="5"/>
  <c r="V128" i="5" s="1"/>
  <c r="O128" i="5"/>
  <c r="U128" i="5" s="1"/>
  <c r="N128" i="5"/>
  <c r="T128" i="5" s="1"/>
  <c r="M128" i="5"/>
  <c r="S128" i="5" s="1"/>
  <c r="L128" i="5"/>
  <c r="R128" i="5" s="1"/>
  <c r="K128" i="5"/>
  <c r="Q128" i="5" s="1"/>
  <c r="AI127" i="5"/>
  <c r="AH127" i="5"/>
  <c r="AG127" i="5"/>
  <c r="AF127" i="5"/>
  <c r="AE127" i="5"/>
  <c r="AD127" i="5"/>
  <c r="P127" i="5"/>
  <c r="V127" i="5" s="1"/>
  <c r="O127" i="5"/>
  <c r="U127" i="5" s="1"/>
  <c r="N127" i="5"/>
  <c r="T127" i="5" s="1"/>
  <c r="M127" i="5"/>
  <c r="S127" i="5" s="1"/>
  <c r="L127" i="5"/>
  <c r="R127" i="5" s="1"/>
  <c r="K127" i="5"/>
  <c r="Q127" i="5" s="1"/>
  <c r="AI126" i="5"/>
  <c r="AH126" i="5"/>
  <c r="AG126" i="5"/>
  <c r="AF126" i="5"/>
  <c r="AE126" i="5"/>
  <c r="AD126" i="5"/>
  <c r="P126" i="5"/>
  <c r="V126" i="5" s="1"/>
  <c r="O126" i="5"/>
  <c r="U126" i="5" s="1"/>
  <c r="N126" i="5"/>
  <c r="T126" i="5" s="1"/>
  <c r="M126" i="5"/>
  <c r="S126" i="5" s="1"/>
  <c r="L126" i="5"/>
  <c r="R126" i="5" s="1"/>
  <c r="K126" i="5"/>
  <c r="Q126" i="5" s="1"/>
  <c r="AI125" i="5"/>
  <c r="AH125" i="5"/>
  <c r="AG125" i="5"/>
  <c r="AF125" i="5"/>
  <c r="AE125" i="5"/>
  <c r="AD125" i="5"/>
  <c r="P125" i="5"/>
  <c r="V125" i="5" s="1"/>
  <c r="O125" i="5"/>
  <c r="U125" i="5" s="1"/>
  <c r="N125" i="5"/>
  <c r="T125" i="5" s="1"/>
  <c r="M125" i="5"/>
  <c r="S125" i="5" s="1"/>
  <c r="L125" i="5"/>
  <c r="R125" i="5" s="1"/>
  <c r="K125" i="5"/>
  <c r="Q125" i="5" s="1"/>
  <c r="AI124" i="5"/>
  <c r="AH124" i="5"/>
  <c r="AG124" i="5"/>
  <c r="AF124" i="5"/>
  <c r="AE124" i="5"/>
  <c r="AD124" i="5"/>
  <c r="P124" i="5"/>
  <c r="V124" i="5" s="1"/>
  <c r="O124" i="5"/>
  <c r="U124" i="5" s="1"/>
  <c r="N124" i="5"/>
  <c r="T124" i="5" s="1"/>
  <c r="M124" i="5"/>
  <c r="S124" i="5" s="1"/>
  <c r="L124" i="5"/>
  <c r="R124" i="5" s="1"/>
  <c r="K124" i="5"/>
  <c r="Q124" i="5" s="1"/>
  <c r="AI123" i="5"/>
  <c r="AH123" i="5"/>
  <c r="AG123" i="5"/>
  <c r="AF123" i="5"/>
  <c r="AE123" i="5"/>
  <c r="AD123" i="5"/>
  <c r="P123" i="5"/>
  <c r="V123" i="5" s="1"/>
  <c r="O123" i="5"/>
  <c r="U123" i="5" s="1"/>
  <c r="N123" i="5"/>
  <c r="T123" i="5" s="1"/>
  <c r="M123" i="5"/>
  <c r="S123" i="5" s="1"/>
  <c r="L123" i="5"/>
  <c r="R123" i="5" s="1"/>
  <c r="K123" i="5"/>
  <c r="Q123" i="5" s="1"/>
  <c r="AI122" i="5"/>
  <c r="AH122" i="5"/>
  <c r="AG122" i="5"/>
  <c r="AF122" i="5"/>
  <c r="AE122" i="5"/>
  <c r="AD122" i="5"/>
  <c r="P122" i="5"/>
  <c r="V122" i="5" s="1"/>
  <c r="O122" i="5"/>
  <c r="U122" i="5" s="1"/>
  <c r="N122" i="5"/>
  <c r="T122" i="5" s="1"/>
  <c r="M122" i="5"/>
  <c r="S122" i="5" s="1"/>
  <c r="L122" i="5"/>
  <c r="R122" i="5" s="1"/>
  <c r="K122" i="5"/>
  <c r="Q122" i="5" s="1"/>
  <c r="AI121" i="5"/>
  <c r="AH121" i="5"/>
  <c r="AG121" i="5"/>
  <c r="AF121" i="5"/>
  <c r="AE121" i="5"/>
  <c r="AD121" i="5"/>
  <c r="P121" i="5"/>
  <c r="V121" i="5" s="1"/>
  <c r="O121" i="5"/>
  <c r="U121" i="5" s="1"/>
  <c r="N121" i="5"/>
  <c r="T121" i="5" s="1"/>
  <c r="M121" i="5"/>
  <c r="S121" i="5" s="1"/>
  <c r="L121" i="5"/>
  <c r="R121" i="5" s="1"/>
  <c r="K121" i="5"/>
  <c r="Q121" i="5" s="1"/>
  <c r="AI120" i="5"/>
  <c r="AH120" i="5"/>
  <c r="AG120" i="5"/>
  <c r="AF120" i="5"/>
  <c r="AE120" i="5"/>
  <c r="AD120" i="5"/>
  <c r="P120" i="5"/>
  <c r="V120" i="5" s="1"/>
  <c r="O120" i="5"/>
  <c r="U120" i="5" s="1"/>
  <c r="N120" i="5"/>
  <c r="T120" i="5" s="1"/>
  <c r="M120" i="5"/>
  <c r="S120" i="5" s="1"/>
  <c r="L120" i="5"/>
  <c r="R120" i="5" s="1"/>
  <c r="K120" i="5"/>
  <c r="Q120" i="5" s="1"/>
  <c r="AI119" i="5"/>
  <c r="AH119" i="5"/>
  <c r="AG119" i="5"/>
  <c r="AF119" i="5"/>
  <c r="AE119" i="5"/>
  <c r="AD119" i="5"/>
  <c r="P119" i="5"/>
  <c r="V119" i="5" s="1"/>
  <c r="O119" i="5"/>
  <c r="U119" i="5" s="1"/>
  <c r="N119" i="5"/>
  <c r="T119" i="5" s="1"/>
  <c r="M119" i="5"/>
  <c r="S119" i="5" s="1"/>
  <c r="L119" i="5"/>
  <c r="R119" i="5" s="1"/>
  <c r="K119" i="5"/>
  <c r="Q119" i="5" s="1"/>
  <c r="AI118" i="5"/>
  <c r="AH118" i="5"/>
  <c r="AG118" i="5"/>
  <c r="AF118" i="5"/>
  <c r="AE118" i="5"/>
  <c r="AD118" i="5"/>
  <c r="P118" i="5"/>
  <c r="V118" i="5" s="1"/>
  <c r="O118" i="5"/>
  <c r="U118" i="5" s="1"/>
  <c r="N118" i="5"/>
  <c r="T118" i="5" s="1"/>
  <c r="M118" i="5"/>
  <c r="S118" i="5" s="1"/>
  <c r="L118" i="5"/>
  <c r="R118" i="5" s="1"/>
  <c r="K118" i="5"/>
  <c r="Q118" i="5" s="1"/>
  <c r="AI117" i="5"/>
  <c r="AH117" i="5"/>
  <c r="AG117" i="5"/>
  <c r="AF117" i="5"/>
  <c r="AE117" i="5"/>
  <c r="AD117" i="5"/>
  <c r="P117" i="5"/>
  <c r="V117" i="5" s="1"/>
  <c r="O117" i="5"/>
  <c r="U117" i="5" s="1"/>
  <c r="N117" i="5"/>
  <c r="T117" i="5" s="1"/>
  <c r="M117" i="5"/>
  <c r="S117" i="5" s="1"/>
  <c r="L117" i="5"/>
  <c r="R117" i="5" s="1"/>
  <c r="K117" i="5"/>
  <c r="Q117" i="5" s="1"/>
  <c r="AI116" i="5"/>
  <c r="AH116" i="5"/>
  <c r="AG116" i="5"/>
  <c r="AF116" i="5"/>
  <c r="AE116" i="5"/>
  <c r="AD116" i="5"/>
  <c r="P116" i="5"/>
  <c r="V116" i="5" s="1"/>
  <c r="O116" i="5"/>
  <c r="U116" i="5" s="1"/>
  <c r="N116" i="5"/>
  <c r="T116" i="5" s="1"/>
  <c r="M116" i="5"/>
  <c r="S116" i="5" s="1"/>
  <c r="L116" i="5"/>
  <c r="R116" i="5" s="1"/>
  <c r="K116" i="5"/>
  <c r="Q116" i="5" s="1"/>
  <c r="Q5" i="5"/>
  <c r="K5" i="5"/>
  <c r="R3" i="5"/>
  <c r="R5" i="5" s="1"/>
  <c r="L3" i="5"/>
  <c r="M3" i="5" s="1"/>
  <c r="I26" i="10"/>
  <c r="H26" i="10"/>
  <c r="G26" i="10"/>
  <c r="F26" i="10"/>
  <c r="E26" i="10"/>
  <c r="D26" i="10"/>
  <c r="I21" i="10"/>
  <c r="H21" i="10"/>
  <c r="G21" i="10"/>
  <c r="F21" i="10"/>
  <c r="E21" i="10"/>
  <c r="D21" i="10"/>
  <c r="I16" i="10"/>
  <c r="H16" i="10"/>
  <c r="G16" i="10"/>
  <c r="F16" i="10"/>
  <c r="E16" i="10"/>
  <c r="D16" i="10"/>
  <c r="I56" i="9"/>
  <c r="H56" i="9"/>
  <c r="G56" i="9"/>
  <c r="F56" i="9"/>
  <c r="E56" i="9"/>
  <c r="D56" i="9"/>
  <c r="I51" i="9"/>
  <c r="H51" i="9"/>
  <c r="G51" i="9"/>
  <c r="F51" i="9"/>
  <c r="E51" i="9"/>
  <c r="D51" i="9"/>
  <c r="I46" i="9"/>
  <c r="H46" i="9"/>
  <c r="G46" i="9"/>
  <c r="F46" i="9"/>
  <c r="E46" i="9"/>
  <c r="D46" i="9"/>
  <c r="I137" i="8"/>
  <c r="H137" i="8"/>
  <c r="G137" i="8"/>
  <c r="F137" i="8"/>
  <c r="E137" i="8"/>
  <c r="D137" i="8"/>
  <c r="I111" i="8"/>
  <c r="H111" i="8"/>
  <c r="G111" i="8"/>
  <c r="F111" i="8"/>
  <c r="E111" i="8"/>
  <c r="D111" i="8"/>
  <c r="I106" i="8"/>
  <c r="H106" i="8"/>
  <c r="G106" i="8"/>
  <c r="F106" i="8"/>
  <c r="E106" i="8"/>
  <c r="D106" i="8"/>
  <c r="I86" i="8"/>
  <c r="H86" i="8"/>
  <c r="G86" i="8"/>
  <c r="F86" i="8"/>
  <c r="E86" i="8"/>
  <c r="D86" i="8"/>
  <c r="I80" i="8"/>
  <c r="H80" i="8"/>
  <c r="G80" i="8"/>
  <c r="F80" i="8"/>
  <c r="E80" i="8"/>
  <c r="D80" i="8"/>
  <c r="I60" i="8"/>
  <c r="H60" i="8"/>
  <c r="G60" i="8"/>
  <c r="F60" i="8"/>
  <c r="E60" i="8"/>
  <c r="D60" i="8"/>
  <c r="I50" i="8"/>
  <c r="H50" i="8"/>
  <c r="G50" i="8"/>
  <c r="F50" i="8"/>
  <c r="E50" i="8"/>
  <c r="D50" i="8"/>
  <c r="A1" i="4"/>
  <c r="C4" i="4" s="1"/>
  <c r="D5" i="2"/>
  <c r="E3" i="2"/>
  <c r="E5" i="2" s="1"/>
  <c r="J14" i="11" l="1"/>
  <c r="J25" i="10"/>
  <c r="J27" i="10" s="1"/>
  <c r="J9" i="10"/>
  <c r="J55" i="9"/>
  <c r="J57" i="9" s="1"/>
  <c r="J39" i="9"/>
  <c r="J35" i="9"/>
  <c r="J31" i="9"/>
  <c r="J23" i="9"/>
  <c r="J19" i="9"/>
  <c r="J11" i="9"/>
  <c r="J7" i="9"/>
  <c r="J159" i="8"/>
  <c r="J151" i="8"/>
  <c r="J143" i="8"/>
  <c r="J131" i="8"/>
  <c r="J127" i="8"/>
  <c r="J119" i="8"/>
  <c r="J115" i="8"/>
  <c r="J99" i="8"/>
  <c r="J95" i="8"/>
  <c r="J91" i="8"/>
  <c r="J79" i="8"/>
  <c r="J71" i="8"/>
  <c r="J67" i="8"/>
  <c r="J59" i="8"/>
  <c r="J55" i="8"/>
  <c r="J28" i="8"/>
  <c r="J32" i="8"/>
  <c r="J36" i="8"/>
  <c r="J40" i="8"/>
  <c r="J44" i="8"/>
  <c r="J10" i="8"/>
  <c r="J14" i="8"/>
  <c r="J18" i="8"/>
  <c r="J7" i="8"/>
  <c r="J8" i="11"/>
  <c r="J141" i="8"/>
  <c r="J121" i="8"/>
  <c r="J97" i="8"/>
  <c r="J85" i="8"/>
  <c r="J69" i="8"/>
  <c r="J57" i="8"/>
  <c r="J30" i="8"/>
  <c r="J38" i="8"/>
  <c r="J8" i="8"/>
  <c r="J16" i="8"/>
  <c r="J7" i="11"/>
  <c r="J100" i="8"/>
  <c r="J84" i="8"/>
  <c r="J68" i="8"/>
  <c r="J56" i="8"/>
  <c r="J31" i="8"/>
  <c r="J39" i="8"/>
  <c r="J9" i="8"/>
  <c r="J17" i="8"/>
  <c r="J21" i="11"/>
  <c r="J13" i="11"/>
  <c r="J20" i="10"/>
  <c r="J22" i="10" s="1"/>
  <c r="J10" i="10"/>
  <c r="J50" i="9"/>
  <c r="J52" i="9" s="1"/>
  <c r="J38" i="9"/>
  <c r="J34" i="9"/>
  <c r="J30" i="9"/>
  <c r="J22" i="9"/>
  <c r="J18" i="9"/>
  <c r="J10" i="9"/>
  <c r="J162" i="8"/>
  <c r="J158" i="8"/>
  <c r="J146" i="8"/>
  <c r="J142" i="8"/>
  <c r="J130" i="8"/>
  <c r="J122" i="8"/>
  <c r="J118" i="8"/>
  <c r="J110" i="8"/>
  <c r="J112" i="8" s="1"/>
  <c r="J98" i="8"/>
  <c r="J94" i="8"/>
  <c r="J90" i="8"/>
  <c r="J78" i="8"/>
  <c r="J81" i="8" s="1"/>
  <c r="J70" i="8"/>
  <c r="J66" i="8"/>
  <c r="J58" i="8"/>
  <c r="J54" i="8"/>
  <c r="J29" i="8"/>
  <c r="J33" i="8"/>
  <c r="J37" i="8"/>
  <c r="J41" i="8"/>
  <c r="J26" i="8"/>
  <c r="J11" i="8"/>
  <c r="J15" i="8"/>
  <c r="J19" i="8"/>
  <c r="J20" i="11"/>
  <c r="J15" i="10"/>
  <c r="J17" i="10" s="1"/>
  <c r="J7" i="10"/>
  <c r="J45" i="9"/>
  <c r="J47" i="9" s="1"/>
  <c r="J37" i="9"/>
  <c r="J33" i="9"/>
  <c r="J25" i="9"/>
  <c r="J21" i="9"/>
  <c r="J13" i="9"/>
  <c r="J9" i="9"/>
  <c r="J161" i="8"/>
  <c r="J153" i="8"/>
  <c r="J145" i="8"/>
  <c r="J129" i="8"/>
  <c r="J117" i="8"/>
  <c r="J105" i="8"/>
  <c r="J107" i="8" s="1"/>
  <c r="J93" i="8"/>
  <c r="J73" i="8"/>
  <c r="J65" i="8"/>
  <c r="J49" i="8"/>
  <c r="J51" i="8" s="1"/>
  <c r="J34" i="8"/>
  <c r="J42" i="8"/>
  <c r="J12" i="8"/>
  <c r="J20" i="8"/>
  <c r="J15" i="11"/>
  <c r="J8" i="10"/>
  <c r="J40" i="9"/>
  <c r="J36" i="9"/>
  <c r="J32" i="9"/>
  <c r="J24" i="9"/>
  <c r="J20" i="9"/>
  <c r="J12" i="9"/>
  <c r="J8" i="9"/>
  <c r="J160" i="8"/>
  <c r="J152" i="8"/>
  <c r="J144" i="8"/>
  <c r="J136" i="8"/>
  <c r="J138" i="8" s="1"/>
  <c r="J128" i="8"/>
  <c r="J120" i="8"/>
  <c r="J116" i="8"/>
  <c r="J96" i="8"/>
  <c r="J92" i="8"/>
  <c r="J72" i="8"/>
  <c r="J64" i="8"/>
  <c r="J27" i="8"/>
  <c r="J35" i="8"/>
  <c r="J43" i="8"/>
  <c r="J13" i="8"/>
  <c r="J21" i="8"/>
  <c r="AH21" i="8"/>
  <c r="AH22" i="8" s="1"/>
  <c r="AI21" i="8"/>
  <c r="AI22" i="8" s="1"/>
  <c r="Q21" i="8"/>
  <c r="Q22" i="8" s="1"/>
  <c r="N21" i="8"/>
  <c r="N22" i="8" s="1"/>
  <c r="AJ21" i="8"/>
  <c r="AJ22" i="8" s="1"/>
  <c r="R21" i="8"/>
  <c r="R22" i="8" s="1"/>
  <c r="O21" i="8"/>
  <c r="O22" i="8" s="1"/>
  <c r="P21" i="8"/>
  <c r="P22" i="8" s="1"/>
  <c r="M21" i="8"/>
  <c r="M22" i="8" s="1"/>
  <c r="AG21" i="8"/>
  <c r="AG22" i="8" s="1"/>
  <c r="N86" i="8"/>
  <c r="E21" i="1"/>
  <c r="X20" i="2"/>
  <c r="Y20" i="2"/>
  <c r="W20" i="2"/>
  <c r="AA20" i="2"/>
  <c r="Z20" i="2"/>
  <c r="Z21" i="8" s="1"/>
  <c r="Z22" i="8" s="1"/>
  <c r="E4" i="4"/>
  <c r="Q86" i="8"/>
  <c r="O86" i="8"/>
  <c r="P86" i="8"/>
  <c r="R86" i="8"/>
  <c r="AE86" i="8"/>
  <c r="Y86" i="8"/>
  <c r="AE22" i="8"/>
  <c r="V22" i="8"/>
  <c r="AF86" i="8"/>
  <c r="Z86" i="8"/>
  <c r="AF22" i="8"/>
  <c r="X86" i="8"/>
  <c r="W86" i="8"/>
  <c r="V86" i="8"/>
  <c r="S3" i="5"/>
  <c r="T3" i="5" s="1"/>
  <c r="T5" i="5" s="1"/>
  <c r="F21" i="1"/>
  <c r="B23" i="1"/>
  <c r="F3" i="2"/>
  <c r="F5" i="2" s="1"/>
  <c r="C23" i="1"/>
  <c r="D23" i="1"/>
  <c r="E23" i="1"/>
  <c r="B21" i="1"/>
  <c r="B22" i="1"/>
  <c r="F23" i="1"/>
  <c r="C21" i="1"/>
  <c r="C22" i="1"/>
  <c r="E22" i="1"/>
  <c r="F22" i="1"/>
  <c r="D21" i="1"/>
  <c r="D22" i="1"/>
  <c r="U3" i="5"/>
  <c r="M5" i="5"/>
  <c r="N3" i="5"/>
  <c r="S5" i="5"/>
  <c r="L5" i="5"/>
  <c r="G3" i="2"/>
  <c r="H132" i="8"/>
  <c r="H147" i="8"/>
  <c r="F154" i="8"/>
  <c r="G147" i="8"/>
  <c r="E163" i="8"/>
  <c r="I14" i="9"/>
  <c r="G26" i="9"/>
  <c r="I41" i="9"/>
  <c r="D74" i="8"/>
  <c r="H14" i="9"/>
  <c r="E9" i="11"/>
  <c r="D9" i="11"/>
  <c r="I154" i="8"/>
  <c r="I163" i="8"/>
  <c r="G163" i="8"/>
  <c r="F45" i="8"/>
  <c r="H154" i="8"/>
  <c r="F9" i="11"/>
  <c r="D11" i="10"/>
  <c r="G9" i="11"/>
  <c r="E14" i="9"/>
  <c r="E41" i="9"/>
  <c r="D16" i="11"/>
  <c r="I132" i="8"/>
  <c r="F163" i="8"/>
  <c r="D41" i="9"/>
  <c r="E132" i="8"/>
  <c r="F14" i="9"/>
  <c r="E16" i="11"/>
  <c r="H45" i="8"/>
  <c r="I147" i="8"/>
  <c r="H26" i="9"/>
  <c r="I45" i="8"/>
  <c r="H163" i="8"/>
  <c r="D123" i="8"/>
  <c r="F132" i="8"/>
  <c r="F147" i="8"/>
  <c r="G14" i="9"/>
  <c r="I26" i="9"/>
  <c r="D154" i="8"/>
  <c r="G11" i="10"/>
  <c r="G30" i="10" s="1"/>
  <c r="E10" i="1" s="1"/>
  <c r="F74" i="8"/>
  <c r="E123" i="8"/>
  <c r="G132" i="8"/>
  <c r="F123" i="8"/>
  <c r="F11" i="10"/>
  <c r="F30" i="10" s="1"/>
  <c r="D10" i="1" s="1"/>
  <c r="F16" i="11"/>
  <c r="H123" i="8"/>
  <c r="E154" i="8"/>
  <c r="D26" i="9"/>
  <c r="F41" i="9"/>
  <c r="H11" i="10"/>
  <c r="H30" i="10" s="1"/>
  <c r="F10" i="1" s="1"/>
  <c r="G16" i="11"/>
  <c r="E45" i="8"/>
  <c r="H9" i="11"/>
  <c r="G123" i="8"/>
  <c r="I123" i="8"/>
  <c r="D147" i="8"/>
  <c r="E26" i="9"/>
  <c r="G41" i="9"/>
  <c r="I11" i="10"/>
  <c r="I30" i="10" s="1"/>
  <c r="G10" i="1" s="1"/>
  <c r="H16" i="11"/>
  <c r="G45" i="8"/>
  <c r="E74" i="8"/>
  <c r="E11" i="10"/>
  <c r="E30" i="10" s="1"/>
  <c r="C10" i="1" s="1"/>
  <c r="I9" i="11"/>
  <c r="D45" i="8"/>
  <c r="D132" i="8"/>
  <c r="E147" i="8"/>
  <c r="G154" i="8"/>
  <c r="D163" i="8"/>
  <c r="D14" i="9"/>
  <c r="F26" i="9"/>
  <c r="H41" i="9"/>
  <c r="I16" i="11"/>
  <c r="G74" i="8"/>
  <c r="H74" i="8"/>
  <c r="I74" i="8"/>
  <c r="J164" i="8" l="1"/>
  <c r="J46" i="8"/>
  <c r="J42" i="9"/>
  <c r="J10" i="11"/>
  <c r="J23" i="8"/>
  <c r="J15" i="9"/>
  <c r="J75" i="8"/>
  <c r="J61" i="8"/>
  <c r="J124" i="8"/>
  <c r="J133" i="8"/>
  <c r="J23" i="11"/>
  <c r="J12" i="10"/>
  <c r="J31" i="10" s="1"/>
  <c r="J102" i="8"/>
  <c r="J27" i="9"/>
  <c r="J17" i="11"/>
  <c r="J87" i="8"/>
  <c r="J148" i="8"/>
  <c r="J155" i="8"/>
  <c r="X21" i="8"/>
  <c r="X22" i="8" s="1"/>
  <c r="AA21" i="8"/>
  <c r="AA22" i="8" s="1"/>
  <c r="Y21" i="8"/>
  <c r="Y22" i="8" s="1"/>
  <c r="W21" i="8"/>
  <c r="W22" i="8" s="1"/>
  <c r="B1" i="1"/>
  <c r="B4" i="1" s="1"/>
  <c r="D2" i="11" s="1"/>
  <c r="M2" i="11" s="1"/>
  <c r="V2" i="11" s="1"/>
  <c r="AE2" i="11" s="1"/>
  <c r="D30" i="10"/>
  <c r="D26" i="11"/>
  <c r="N5" i="5"/>
  <c r="O3" i="5"/>
  <c r="U5" i="5"/>
  <c r="V3" i="5"/>
  <c r="V5" i="5" s="1"/>
  <c r="H26" i="11"/>
  <c r="F11" i="1" s="1"/>
  <c r="G5" i="2"/>
  <c r="H3" i="2"/>
  <c r="E26" i="11"/>
  <c r="C11" i="1" s="1"/>
  <c r="H60" i="9"/>
  <c r="F9" i="1" s="1"/>
  <c r="G60" i="9"/>
  <c r="E9" i="1" s="1"/>
  <c r="F26" i="11"/>
  <c r="D11" i="1" s="1"/>
  <c r="I60" i="9"/>
  <c r="G9" i="1" s="1"/>
  <c r="I26" i="11"/>
  <c r="G11" i="1" s="1"/>
  <c r="D60" i="9"/>
  <c r="F60" i="9"/>
  <c r="D9" i="1" s="1"/>
  <c r="E60" i="9"/>
  <c r="C9" i="1" s="1"/>
  <c r="G26" i="11"/>
  <c r="E11" i="1" s="1"/>
  <c r="C10" i="4" l="1"/>
  <c r="J27" i="11"/>
  <c r="J61" i="9"/>
  <c r="J168" i="8"/>
  <c r="D2" i="9"/>
  <c r="M2" i="9" s="1"/>
  <c r="V2" i="9" s="1"/>
  <c r="AE2" i="9" s="1"/>
  <c r="D2" i="10"/>
  <c r="M2" i="10" s="1"/>
  <c r="V2" i="10" s="1"/>
  <c r="AE2" i="10" s="1"/>
  <c r="B16" i="1"/>
  <c r="B18" i="1" s="1"/>
  <c r="D2" i="8"/>
  <c r="M2" i="8" s="1"/>
  <c r="V2" i="8" s="1"/>
  <c r="AE2" i="8" s="1"/>
  <c r="B28" i="1"/>
  <c r="AC4" i="1"/>
  <c r="K4" i="1"/>
  <c r="B6" i="1"/>
  <c r="C4" i="1"/>
  <c r="T4" i="1"/>
  <c r="B10" i="1"/>
  <c r="B9" i="1"/>
  <c r="B11" i="1"/>
  <c r="P3" i="5"/>
  <c r="P5" i="5" s="1"/>
  <c r="O5" i="5"/>
  <c r="H5" i="2"/>
  <c r="I3" i="2"/>
  <c r="I5" i="2" s="1"/>
  <c r="C16" i="1" l="1"/>
  <c r="C18" i="1" s="1"/>
  <c r="C11" i="4"/>
  <c r="C9" i="4"/>
  <c r="C8" i="4"/>
  <c r="D4" i="10"/>
  <c r="M4" i="10" s="1"/>
  <c r="V4" i="10" s="1"/>
  <c r="AE4" i="10" s="1"/>
  <c r="D4" i="11"/>
  <c r="M4" i="11" s="1"/>
  <c r="V4" i="11" s="1"/>
  <c r="AE4" i="11" s="1"/>
  <c r="E2" i="10"/>
  <c r="N2" i="10" s="1"/>
  <c r="W2" i="10" s="1"/>
  <c r="AF2" i="10" s="1"/>
  <c r="E2" i="11"/>
  <c r="N2" i="11" s="1"/>
  <c r="W2" i="11" s="1"/>
  <c r="AF2" i="11" s="1"/>
  <c r="E2" i="8"/>
  <c r="N2" i="8" s="1"/>
  <c r="W2" i="8" s="1"/>
  <c r="AF2" i="8" s="1"/>
  <c r="E2" i="9"/>
  <c r="N2" i="9" s="1"/>
  <c r="W2" i="9" s="1"/>
  <c r="AF2" i="9" s="1"/>
  <c r="D4" i="8"/>
  <c r="M4" i="8" s="1"/>
  <c r="V4" i="8" s="1"/>
  <c r="AE4" i="8" s="1"/>
  <c r="D4" i="9"/>
  <c r="M4" i="9" s="1"/>
  <c r="V4" i="9" s="1"/>
  <c r="AE4" i="9" s="1"/>
  <c r="D16" i="1"/>
  <c r="E16" i="1" s="1"/>
  <c r="L4" i="1"/>
  <c r="U4" i="1"/>
  <c r="C28" i="1"/>
  <c r="D4" i="1"/>
  <c r="AD4" i="1"/>
  <c r="C6" i="1"/>
  <c r="B30" i="1"/>
  <c r="K6" i="1"/>
  <c r="AC6" i="1"/>
  <c r="T6" i="1"/>
  <c r="B7" i="1"/>
  <c r="D18" i="1" l="1"/>
  <c r="E4" i="10"/>
  <c r="N4" i="10" s="1"/>
  <c r="W4" i="10" s="1"/>
  <c r="AF4" i="10" s="1"/>
  <c r="E4" i="11"/>
  <c r="N4" i="11" s="1"/>
  <c r="W4" i="11" s="1"/>
  <c r="AF4" i="11" s="1"/>
  <c r="F2" i="10"/>
  <c r="O2" i="10" s="1"/>
  <c r="X2" i="10" s="1"/>
  <c r="AG2" i="10" s="1"/>
  <c r="F2" i="11"/>
  <c r="O2" i="11" s="1"/>
  <c r="X2" i="11" s="1"/>
  <c r="AG2" i="11" s="1"/>
  <c r="E4" i="8"/>
  <c r="N4" i="8" s="1"/>
  <c r="W4" i="8" s="1"/>
  <c r="AF4" i="8" s="1"/>
  <c r="E4" i="9"/>
  <c r="N4" i="9" s="1"/>
  <c r="W4" i="9" s="1"/>
  <c r="AF4" i="9" s="1"/>
  <c r="F2" i="8"/>
  <c r="O2" i="8" s="1"/>
  <c r="X2" i="8" s="1"/>
  <c r="AG2" i="8" s="1"/>
  <c r="F2" i="9"/>
  <c r="O2" i="9" s="1"/>
  <c r="X2" i="9" s="1"/>
  <c r="AG2" i="9" s="1"/>
  <c r="E4" i="1"/>
  <c r="D28" i="1"/>
  <c r="M4" i="1"/>
  <c r="V4" i="1"/>
  <c r="D6" i="1"/>
  <c r="AE4" i="1"/>
  <c r="AD6" i="1"/>
  <c r="C30" i="1"/>
  <c r="U6" i="1"/>
  <c r="C7" i="1"/>
  <c r="L6" i="1"/>
  <c r="B31" i="1"/>
  <c r="AC7" i="1"/>
  <c r="B19" i="1"/>
  <c r="K7" i="1"/>
  <c r="T7" i="1"/>
  <c r="F16" i="1"/>
  <c r="E18" i="1"/>
  <c r="F4" i="10" l="1"/>
  <c r="O4" i="10" s="1"/>
  <c r="X4" i="10" s="1"/>
  <c r="AG4" i="10" s="1"/>
  <c r="F4" i="11"/>
  <c r="O4" i="11" s="1"/>
  <c r="X4" i="11" s="1"/>
  <c r="AG4" i="11" s="1"/>
  <c r="G2" i="10"/>
  <c r="P2" i="10" s="1"/>
  <c r="Y2" i="10" s="1"/>
  <c r="AH2" i="10" s="1"/>
  <c r="G2" i="11"/>
  <c r="P2" i="11" s="1"/>
  <c r="Y2" i="11" s="1"/>
  <c r="AH2" i="11" s="1"/>
  <c r="F4" i="8"/>
  <c r="O4" i="8" s="1"/>
  <c r="X4" i="8" s="1"/>
  <c r="AG4" i="8" s="1"/>
  <c r="F4" i="9"/>
  <c r="O4" i="9" s="1"/>
  <c r="X4" i="9" s="1"/>
  <c r="AG4" i="9" s="1"/>
  <c r="G2" i="8"/>
  <c r="P2" i="8" s="1"/>
  <c r="Y2" i="8" s="1"/>
  <c r="AH2" i="8" s="1"/>
  <c r="G2" i="9"/>
  <c r="P2" i="9" s="1"/>
  <c r="Y2" i="9" s="1"/>
  <c r="AH2" i="9" s="1"/>
  <c r="AD7" i="1"/>
  <c r="C31" i="1"/>
  <c r="L7" i="1"/>
  <c r="C19" i="1"/>
  <c r="U7" i="1"/>
  <c r="V6" i="1"/>
  <c r="D30" i="1"/>
  <c r="M6" i="1"/>
  <c r="AE6" i="1"/>
  <c r="D7" i="1"/>
  <c r="E6" i="1"/>
  <c r="E28" i="1"/>
  <c r="N4" i="1"/>
  <c r="F4" i="1"/>
  <c r="AF4" i="1"/>
  <c r="W4" i="1"/>
  <c r="G16" i="1"/>
  <c r="F18" i="1"/>
  <c r="G4" i="10" l="1"/>
  <c r="P4" i="10" s="1"/>
  <c r="Y4" i="10" s="1"/>
  <c r="AH4" i="10" s="1"/>
  <c r="G4" i="11"/>
  <c r="P4" i="11" s="1"/>
  <c r="Y4" i="11" s="1"/>
  <c r="AH4" i="11" s="1"/>
  <c r="H2" i="10"/>
  <c r="Q2" i="10" s="1"/>
  <c r="Z2" i="10" s="1"/>
  <c r="AI2" i="10" s="1"/>
  <c r="H2" i="11"/>
  <c r="Q2" i="11" s="1"/>
  <c r="Z2" i="11" s="1"/>
  <c r="AI2" i="11" s="1"/>
  <c r="G4" i="8"/>
  <c r="P4" i="8" s="1"/>
  <c r="Y4" i="8" s="1"/>
  <c r="AH4" i="8" s="1"/>
  <c r="G4" i="9"/>
  <c r="P4" i="9" s="1"/>
  <c r="Y4" i="9" s="1"/>
  <c r="AH4" i="9" s="1"/>
  <c r="H2" i="8"/>
  <c r="Q2" i="8" s="1"/>
  <c r="Z2" i="8" s="1"/>
  <c r="AI2" i="8" s="1"/>
  <c r="H2" i="9"/>
  <c r="Q2" i="9" s="1"/>
  <c r="Z2" i="9" s="1"/>
  <c r="AI2" i="9" s="1"/>
  <c r="W6" i="1"/>
  <c r="N6" i="1"/>
  <c r="AF6" i="1"/>
  <c r="E7" i="1"/>
  <c r="E30" i="1"/>
  <c r="X4" i="1"/>
  <c r="F6" i="1"/>
  <c r="O4" i="1"/>
  <c r="G4" i="1"/>
  <c r="F28" i="1"/>
  <c r="AG4" i="1"/>
  <c r="D19" i="1"/>
  <c r="D31" i="1"/>
  <c r="AE7" i="1"/>
  <c r="V7" i="1"/>
  <c r="M7" i="1"/>
  <c r="G23" i="1"/>
  <c r="G22" i="1"/>
  <c r="G20" i="1"/>
  <c r="G21" i="1"/>
  <c r="G18" i="1"/>
  <c r="H4" i="10" l="1"/>
  <c r="Q4" i="10" s="1"/>
  <c r="Z4" i="10" s="1"/>
  <c r="AI4" i="10" s="1"/>
  <c r="H4" i="11"/>
  <c r="Q4" i="11" s="1"/>
  <c r="Z4" i="11" s="1"/>
  <c r="AI4" i="11" s="1"/>
  <c r="I2" i="10"/>
  <c r="R2" i="10" s="1"/>
  <c r="AA2" i="10" s="1"/>
  <c r="AJ2" i="10" s="1"/>
  <c r="I2" i="11"/>
  <c r="R2" i="11" s="1"/>
  <c r="AA2" i="11" s="1"/>
  <c r="AJ2" i="11" s="1"/>
  <c r="H4" i="8"/>
  <c r="Q4" i="8" s="1"/>
  <c r="Z4" i="8" s="1"/>
  <c r="AI4" i="8" s="1"/>
  <c r="H4" i="9"/>
  <c r="Q4" i="9" s="1"/>
  <c r="Z4" i="9" s="1"/>
  <c r="AI4" i="9" s="1"/>
  <c r="I2" i="8"/>
  <c r="R2" i="8" s="1"/>
  <c r="AA2" i="8" s="1"/>
  <c r="AJ2" i="8" s="1"/>
  <c r="I2" i="9"/>
  <c r="R2" i="9" s="1"/>
  <c r="AA2" i="9" s="1"/>
  <c r="AJ2" i="9" s="1"/>
  <c r="F7" i="1"/>
  <c r="X6" i="1"/>
  <c r="F30" i="1"/>
  <c r="O6" i="1"/>
  <c r="AG6" i="1"/>
  <c r="N7" i="1"/>
  <c r="W7" i="1"/>
  <c r="AF7" i="1"/>
  <c r="E31" i="1"/>
  <c r="E19" i="1"/>
  <c r="G7" i="1"/>
  <c r="G6" i="1"/>
  <c r="AH4" i="1"/>
  <c r="G28" i="1"/>
  <c r="Y4" i="1"/>
  <c r="P4" i="1"/>
  <c r="J35" i="1" l="1"/>
  <c r="I35" i="1" s="1"/>
  <c r="J33" i="1"/>
  <c r="I33" i="1" s="1"/>
  <c r="J34" i="1"/>
  <c r="I34" i="1" s="1"/>
  <c r="I4" i="10"/>
  <c r="R4" i="10" s="1"/>
  <c r="AA4" i="10" s="1"/>
  <c r="AJ4" i="10" s="1"/>
  <c r="I4" i="11"/>
  <c r="R4" i="11" s="1"/>
  <c r="AA4" i="11" s="1"/>
  <c r="AJ4" i="11" s="1"/>
  <c r="I4" i="8"/>
  <c r="R4" i="8" s="1"/>
  <c r="AA4" i="8" s="1"/>
  <c r="AJ4" i="8" s="1"/>
  <c r="I4" i="9"/>
  <c r="R4" i="9" s="1"/>
  <c r="AA4" i="9" s="1"/>
  <c r="AJ4" i="9" s="1"/>
  <c r="AB123" i="8"/>
  <c r="J10" i="1"/>
  <c r="Y7" i="1"/>
  <c r="G19" i="1"/>
  <c r="P7" i="1"/>
  <c r="G31" i="1"/>
  <c r="AH7" i="1"/>
  <c r="AK106" i="8"/>
  <c r="AK21" i="10"/>
  <c r="J56" i="9"/>
  <c r="AB132" i="8"/>
  <c r="AK46" i="9"/>
  <c r="AB26" i="9"/>
  <c r="AB41" i="9"/>
  <c r="AK51" i="9"/>
  <c r="AB74" i="8"/>
  <c r="J16" i="10"/>
  <c r="J14" i="9"/>
  <c r="J22" i="8"/>
  <c r="AB163" i="8"/>
  <c r="AB137" i="8"/>
  <c r="J51" i="9"/>
  <c r="AB60" i="9"/>
  <c r="J21" i="10"/>
  <c r="J45" i="8"/>
  <c r="S86" i="8"/>
  <c r="S50" i="8"/>
  <c r="AK137" i="8"/>
  <c r="J16" i="11"/>
  <c r="S74" i="8"/>
  <c r="J26" i="9"/>
  <c r="S22" i="8"/>
  <c r="AB22" i="11"/>
  <c r="AK154" i="8"/>
  <c r="AK16" i="11"/>
  <c r="J154" i="8"/>
  <c r="J22" i="11"/>
  <c r="AB147" i="8"/>
  <c r="S137" i="8"/>
  <c r="J147" i="8"/>
  <c r="AB106" i="8"/>
  <c r="S41" i="9"/>
  <c r="J9" i="1"/>
  <c r="S123" i="8"/>
  <c r="AB86" i="8"/>
  <c r="S56" i="9"/>
  <c r="J26" i="11"/>
  <c r="AB111" i="8"/>
  <c r="AK41" i="9"/>
  <c r="AK111" i="8"/>
  <c r="AK26" i="11"/>
  <c r="AB50" i="8"/>
  <c r="AK9" i="11"/>
  <c r="AK11" i="10"/>
  <c r="S11" i="10"/>
  <c r="AB26" i="10"/>
  <c r="J106" i="8"/>
  <c r="S80" i="8"/>
  <c r="S16" i="10"/>
  <c r="AK132" i="8"/>
  <c r="S132" i="8"/>
  <c r="J26" i="10"/>
  <c r="AB16" i="10"/>
  <c r="AB30" i="10"/>
  <c r="S30" i="10"/>
  <c r="J137" i="8"/>
  <c r="S45" i="8"/>
  <c r="S154" i="8"/>
  <c r="J50" i="8"/>
  <c r="S26" i="9"/>
  <c r="AB14" i="9"/>
  <c r="AK74" i="8"/>
  <c r="AK50" i="8"/>
  <c r="S147" i="8"/>
  <c r="AK60" i="9"/>
  <c r="J11" i="10"/>
  <c r="J60" i="9"/>
  <c r="AK30" i="10"/>
  <c r="J41" i="9"/>
  <c r="AK147" i="8"/>
  <c r="J132" i="8"/>
  <c r="AK26" i="9"/>
  <c r="AK123" i="8"/>
  <c r="X7" i="1"/>
  <c r="O7" i="1"/>
  <c r="F31" i="1"/>
  <c r="AG7" i="1"/>
  <c r="F19" i="1"/>
  <c r="AB60" i="8"/>
  <c r="S26" i="10"/>
  <c r="AK56" i="9"/>
  <c r="AK16" i="10"/>
  <c r="AB16" i="11"/>
  <c r="AB46" i="9"/>
  <c r="AK60" i="8"/>
  <c r="J46" i="9"/>
  <c r="AK163" i="8"/>
  <c r="AB11" i="10"/>
  <c r="AB80" i="8"/>
  <c r="S9" i="11"/>
  <c r="AB51" i="9"/>
  <c r="AB9" i="11"/>
  <c r="S60" i="8"/>
  <c r="AB21" i="10"/>
  <c r="S51" i="9"/>
  <c r="S16" i="11"/>
  <c r="S14" i="9"/>
  <c r="G30" i="1"/>
  <c r="AH6" i="1"/>
  <c r="P6" i="1"/>
  <c r="Y6" i="1"/>
  <c r="S106" i="8"/>
  <c r="S111" i="8"/>
  <c r="AK26" i="10"/>
  <c r="J123" i="8"/>
  <c r="S22" i="11"/>
  <c r="AK14" i="9"/>
  <c r="S21" i="10"/>
  <c r="J163" i="8"/>
  <c r="AB154" i="8"/>
  <c r="AK45" i="8"/>
  <c r="AB26" i="11"/>
  <c r="AK86" i="8"/>
  <c r="AK80" i="8"/>
  <c r="S163" i="8"/>
  <c r="J9" i="11"/>
  <c r="S60" i="9"/>
  <c r="J60" i="8"/>
  <c r="J30" i="10"/>
  <c r="J74" i="8"/>
  <c r="S26" i="11"/>
  <c r="AB56" i="9"/>
  <c r="AB22" i="8"/>
  <c r="S46" i="9"/>
  <c r="J11" i="1"/>
  <c r="AB45" i="8"/>
  <c r="J111" i="8"/>
  <c r="AK22" i="8"/>
  <c r="J80" i="8"/>
  <c r="J86" i="8"/>
  <c r="AK22" i="11"/>
  <c r="I11" i="1" l="1"/>
  <c r="B11" i="4" s="1"/>
  <c r="I10" i="1"/>
  <c r="B10" i="4" s="1"/>
  <c r="I9" i="1"/>
  <c r="B9" i="4" s="1"/>
  <c r="AB9" i="1"/>
  <c r="AB10" i="1"/>
  <c r="S9" i="1"/>
  <c r="S11" i="1"/>
  <c r="S10" i="1"/>
  <c r="AK10" i="1"/>
  <c r="AK11" i="1"/>
  <c r="AK9" i="1"/>
  <c r="AB11" i="1"/>
  <c r="AJ11" i="1" l="1"/>
  <c r="D19" i="4" s="1"/>
  <c r="AJ10" i="1"/>
  <c r="D18" i="4" s="1"/>
  <c r="AJ9" i="1"/>
  <c r="D17" i="4" s="1"/>
  <c r="AA10" i="1"/>
  <c r="C18" i="4" s="1"/>
  <c r="AA11" i="1"/>
  <c r="C19" i="4" s="1"/>
  <c r="AA9" i="1"/>
  <c r="C17" i="4" s="1"/>
  <c r="R11" i="1"/>
  <c r="B19" i="4" s="1"/>
  <c r="R9" i="1"/>
  <c r="B17" i="4" s="1"/>
  <c r="R10" i="1"/>
  <c r="B18" i="4" s="1"/>
  <c r="R100" i="22" l="1"/>
  <c r="E346" i="2"/>
  <c r="U100" i="22"/>
  <c r="H346" i="2"/>
  <c r="T100" i="22"/>
  <c r="G346" i="2"/>
  <c r="V100" i="22"/>
  <c r="I346" i="2"/>
  <c r="D346" i="2"/>
  <c r="Q100" i="22"/>
  <c r="F346" i="2"/>
  <c r="S100" i="22"/>
  <c r="U70" i="22"/>
  <c r="AA70" i="22" s="1"/>
  <c r="D348" i="2"/>
  <c r="D353" i="2" s="1"/>
  <c r="K98" i="22"/>
  <c r="W98" i="22" s="1"/>
  <c r="BG98" i="22" s="1"/>
  <c r="BM98" i="22" s="1"/>
  <c r="AE102" i="2" s="1"/>
  <c r="V70" i="22"/>
  <c r="AB70" i="22" s="1"/>
  <c r="AX70" i="22" s="1"/>
  <c r="N100" i="22"/>
  <c r="Z100" i="22" s="1"/>
  <c r="AV100" i="22" s="1"/>
  <c r="H344" i="2"/>
  <c r="H345" i="2" s="1"/>
  <c r="O69" i="22"/>
  <c r="AA69" i="22" s="1"/>
  <c r="AI69" i="22" s="1"/>
  <c r="AO69" i="22" s="1"/>
  <c r="Q73" i="2" s="1"/>
  <c r="Q344" i="2" s="1"/>
  <c r="Q345" i="2" s="1"/>
  <c r="H347" i="2"/>
  <c r="O100" i="22"/>
  <c r="I347" i="2"/>
  <c r="P100" i="22"/>
  <c r="AB100" i="22" s="1"/>
  <c r="R70" i="22"/>
  <c r="X70" i="22" s="1"/>
  <c r="S70" i="22"/>
  <c r="Y70" i="22" s="1"/>
  <c r="I344" i="2"/>
  <c r="I345" i="2" s="1"/>
  <c r="P69" i="22"/>
  <c r="AB69" i="22" s="1"/>
  <c r="G344" i="2"/>
  <c r="G345" i="2" s="1"/>
  <c r="N69" i="22"/>
  <c r="Z69" i="22" s="1"/>
  <c r="AV69" i="22" s="1"/>
  <c r="BB69" i="22" s="1"/>
  <c r="Y73" i="2" s="1"/>
  <c r="Y344" i="2" s="1"/>
  <c r="Y345" i="2" s="1"/>
  <c r="K100" i="22"/>
  <c r="W100" i="22" s="1"/>
  <c r="AS100" i="22" s="1"/>
  <c r="H348" i="2"/>
  <c r="H353" i="2" s="1"/>
  <c r="O98" i="22"/>
  <c r="AA98" i="22" s="1"/>
  <c r="F347" i="2"/>
  <c r="M100" i="22"/>
  <c r="F348" i="2"/>
  <c r="F353" i="2" s="1"/>
  <c r="M98" i="22"/>
  <c r="Y98" i="22" s="1"/>
  <c r="AG98" i="22" s="1"/>
  <c r="AM98" i="22" s="1"/>
  <c r="O102" i="2" s="1"/>
  <c r="G347" i="2"/>
  <c r="T70" i="22"/>
  <c r="Z70" i="22" s="1"/>
  <c r="L100" i="22"/>
  <c r="E347" i="2"/>
  <c r="D347" i="2"/>
  <c r="Q70" i="22"/>
  <c r="W70" i="22" s="1"/>
  <c r="AS70" i="22" s="1"/>
  <c r="E348" i="2"/>
  <c r="E353" i="2" s="1"/>
  <c r="L98" i="22"/>
  <c r="X98" i="22" s="1"/>
  <c r="F344" i="2"/>
  <c r="F345" i="2" s="1"/>
  <c r="M69" i="22"/>
  <c r="Y69" i="22" s="1"/>
  <c r="E344" i="2"/>
  <c r="E345" i="2" s="1"/>
  <c r="L69" i="22"/>
  <c r="X69" i="22" s="1"/>
  <c r="I348" i="2"/>
  <c r="I353" i="2" s="1"/>
  <c r="P98" i="22"/>
  <c r="AB98" i="22" s="1"/>
  <c r="D344" i="2"/>
  <c r="D345" i="2" s="1"/>
  <c r="K69" i="22"/>
  <c r="W69" i="22" s="1"/>
  <c r="G348" i="2"/>
  <c r="G353" i="2" s="1"/>
  <c r="N98" i="22"/>
  <c r="Z98" i="22" s="1"/>
  <c r="X100" i="22" l="1"/>
  <c r="BH100" i="22" s="1"/>
  <c r="E349" i="2"/>
  <c r="E350" i="2" s="1"/>
  <c r="E341" i="2" s="1"/>
  <c r="E98" i="8" s="1"/>
  <c r="Y100" i="22"/>
  <c r="AU100" i="22" s="1"/>
  <c r="AA100" i="22"/>
  <c r="AI100" i="22" s="1"/>
  <c r="BL70" i="22"/>
  <c r="BH69" i="22"/>
  <c r="BN69" i="22" s="1"/>
  <c r="AF73" i="2" s="1"/>
  <c r="AF344" i="2" s="1"/>
  <c r="AF345" i="2" s="1"/>
  <c r="AF69" i="22"/>
  <c r="AL69" i="22" s="1"/>
  <c r="N73" i="2" s="1"/>
  <c r="N344" i="2" s="1"/>
  <c r="N345" i="2" s="1"/>
  <c r="AW69" i="22"/>
  <c r="BC69" i="22" s="1"/>
  <c r="Z73" i="2" s="1"/>
  <c r="Z344" i="2" s="1"/>
  <c r="Z345" i="2" s="1"/>
  <c r="AS98" i="22"/>
  <c r="AY98" i="22" s="1"/>
  <c r="V102" i="2" s="1"/>
  <c r="V346" i="2" s="1"/>
  <c r="BJ69" i="22"/>
  <c r="BP69" i="22" s="1"/>
  <c r="AH73" i="2" s="1"/>
  <c r="AH344" i="2" s="1"/>
  <c r="AH345" i="2" s="1"/>
  <c r="AG69" i="22"/>
  <c r="AM69" i="22" s="1"/>
  <c r="O73" i="2" s="1"/>
  <c r="O344" i="2" s="1"/>
  <c r="O345" i="2" s="1"/>
  <c r="AU69" i="22"/>
  <c r="BA69" i="22" s="1"/>
  <c r="X73" i="2" s="1"/>
  <c r="X344" i="2" s="1"/>
  <c r="X345" i="2" s="1"/>
  <c r="BI69" i="22"/>
  <c r="BO69" i="22" s="1"/>
  <c r="AG73" i="2" s="1"/>
  <c r="AG344" i="2" s="1"/>
  <c r="AG345" i="2" s="1"/>
  <c r="BH98" i="22"/>
  <c r="BN98" i="22" s="1"/>
  <c r="AF102" i="2" s="1"/>
  <c r="AF98" i="22"/>
  <c r="AL98" i="22" s="1"/>
  <c r="N102" i="2" s="1"/>
  <c r="AT98" i="22"/>
  <c r="AZ98" i="22" s="1"/>
  <c r="O346" i="2"/>
  <c r="O348" i="2"/>
  <c r="O353" i="2" s="1"/>
  <c r="AE348" i="2"/>
  <c r="AE353" i="2" s="1"/>
  <c r="AE346" i="2"/>
  <c r="AJ100" i="22"/>
  <c r="AX100" i="22"/>
  <c r="BI98" i="22"/>
  <c r="BO98" i="22" s="1"/>
  <c r="AG102" i="2" s="1"/>
  <c r="AU98" i="22"/>
  <c r="BA98" i="22" s="1"/>
  <c r="X102" i="2" s="1"/>
  <c r="AW98" i="22"/>
  <c r="BC98" i="22" s="1"/>
  <c r="Z102" i="2" s="1"/>
  <c r="AI98" i="22"/>
  <c r="AO98" i="22" s="1"/>
  <c r="Q102" i="2" s="1"/>
  <c r="BK98" i="22"/>
  <c r="BQ98" i="22" s="1"/>
  <c r="AI102" i="2" s="1"/>
  <c r="BH70" i="22"/>
  <c r="AT70" i="22"/>
  <c r="AH69" i="22"/>
  <c r="AN69" i="22" s="1"/>
  <c r="P73" i="2" s="1"/>
  <c r="P344" i="2" s="1"/>
  <c r="P345" i="2" s="1"/>
  <c r="BJ100" i="22"/>
  <c r="AH100" i="22"/>
  <c r="G349" i="2"/>
  <c r="G350" i="2" s="1"/>
  <c r="AW70" i="22"/>
  <c r="BK70" i="22"/>
  <c r="AI70" i="22"/>
  <c r="BJ98" i="22"/>
  <c r="BP98" i="22" s="1"/>
  <c r="AH102" i="2" s="1"/>
  <c r="AV98" i="22"/>
  <c r="BB98" i="22" s="1"/>
  <c r="Y102" i="2" s="1"/>
  <c r="AH98" i="22"/>
  <c r="AN98" i="22" s="1"/>
  <c r="P102" i="2" s="1"/>
  <c r="F349" i="2"/>
  <c r="F350" i="2" s="1"/>
  <c r="I349" i="2"/>
  <c r="I350" i="2" s="1"/>
  <c r="BG69" i="22"/>
  <c r="BM69" i="22" s="1"/>
  <c r="AE73" i="2" s="1"/>
  <c r="AE344" i="2" s="1"/>
  <c r="AE345" i="2" s="1"/>
  <c r="AE69" i="22"/>
  <c r="AK69" i="22" s="1"/>
  <c r="M73" i="2" s="1"/>
  <c r="M344" i="2" s="1"/>
  <c r="M345" i="2" s="1"/>
  <c r="AH70" i="22"/>
  <c r="BJ70" i="22"/>
  <c r="AV70" i="22"/>
  <c r="BL98" i="22"/>
  <c r="BR98" i="22" s="1"/>
  <c r="AJ102" i="2" s="1"/>
  <c r="AX98" i="22"/>
  <c r="BD98" i="22" s="1"/>
  <c r="AA102" i="2" s="1"/>
  <c r="AJ98" i="22"/>
  <c r="AP98" i="22" s="1"/>
  <c r="R102" i="2" s="1"/>
  <c r="AX69" i="22"/>
  <c r="BD69" i="22" s="1"/>
  <c r="AA73" i="2" s="1"/>
  <c r="AA344" i="2" s="1"/>
  <c r="AA345" i="2" s="1"/>
  <c r="AJ69" i="22"/>
  <c r="AP69" i="22" s="1"/>
  <c r="R73" i="2" s="1"/>
  <c r="R344" i="2" s="1"/>
  <c r="R345" i="2" s="1"/>
  <c r="D349" i="2"/>
  <c r="D350" i="2" s="1"/>
  <c r="AE100" i="22"/>
  <c r="BG100" i="22"/>
  <c r="BM100" i="22" s="1"/>
  <c r="AE104" i="2" s="1"/>
  <c r="AE347" i="2" s="1"/>
  <c r="AS69" i="22"/>
  <c r="AY69" i="22" s="1"/>
  <c r="V73" i="2" s="1"/>
  <c r="V344" i="2" s="1"/>
  <c r="V345" i="2" s="1"/>
  <c r="BG70" i="22"/>
  <c r="AE70" i="22"/>
  <c r="AG70" i="22"/>
  <c r="BI70" i="22"/>
  <c r="AU70" i="22"/>
  <c r="BL100" i="22"/>
  <c r="H349" i="2"/>
  <c r="H350" i="2" s="1"/>
  <c r="AF70" i="22"/>
  <c r="BL69" i="22"/>
  <c r="BR69" i="22" s="1"/>
  <c r="AJ73" i="2" s="1"/>
  <c r="AJ344" i="2" s="1"/>
  <c r="AJ345" i="2" s="1"/>
  <c r="BK69" i="22"/>
  <c r="BQ69" i="22" s="1"/>
  <c r="AI73" i="2" s="1"/>
  <c r="AI344" i="2" s="1"/>
  <c r="AI345" i="2" s="1"/>
  <c r="AT69" i="22"/>
  <c r="AZ69" i="22" s="1"/>
  <c r="W73" i="2" s="1"/>
  <c r="W344" i="2" s="1"/>
  <c r="W345" i="2" s="1"/>
  <c r="AE98" i="22"/>
  <c r="AK98" i="22" s="1"/>
  <c r="M102" i="2" s="1"/>
  <c r="AJ70" i="22"/>
  <c r="E351" i="2" l="1"/>
  <c r="E352" i="2" s="1"/>
  <c r="E339" i="2" s="1"/>
  <c r="E96" i="8" s="1"/>
  <c r="AF100" i="22"/>
  <c r="AL100" i="22" s="1"/>
  <c r="N104" i="2" s="1"/>
  <c r="N347" i="2" s="1"/>
  <c r="AT100" i="22"/>
  <c r="AZ100" i="22" s="1"/>
  <c r="W104" i="2" s="1"/>
  <c r="W347" i="2" s="1"/>
  <c r="V348" i="2"/>
  <c r="V353" i="2" s="1"/>
  <c r="BI100" i="22"/>
  <c r="BO100" i="22" s="1"/>
  <c r="AG104" i="2" s="1"/>
  <c r="AG347" i="2" s="1"/>
  <c r="AW100" i="22"/>
  <c r="BC100" i="22" s="1"/>
  <c r="Z104" i="2" s="1"/>
  <c r="Z347" i="2" s="1"/>
  <c r="BB100" i="22"/>
  <c r="Y104" i="2" s="1"/>
  <c r="Y347" i="2" s="1"/>
  <c r="BA100" i="22"/>
  <c r="X104" i="2" s="1"/>
  <c r="X347" i="2" s="1"/>
  <c r="AG100" i="22"/>
  <c r="AM100" i="22" s="1"/>
  <c r="O104" i="2" s="1"/>
  <c r="O347" i="2" s="1"/>
  <c r="O349" i="2" s="1"/>
  <c r="O350" i="2" s="1"/>
  <c r="BR100" i="22"/>
  <c r="AJ104" i="2" s="1"/>
  <c r="AJ347" i="2" s="1"/>
  <c r="BN100" i="22"/>
  <c r="AF104" i="2" s="1"/>
  <c r="AF347" i="2" s="1"/>
  <c r="BK100" i="22"/>
  <c r="BQ100" i="22" s="1"/>
  <c r="AI104" i="2" s="1"/>
  <c r="AI347" i="2" s="1"/>
  <c r="AO100" i="22"/>
  <c r="Q104" i="2" s="1"/>
  <c r="Q347" i="2" s="1"/>
  <c r="BM70" i="22"/>
  <c r="AE74" i="2" s="1"/>
  <c r="AY100" i="22"/>
  <c r="AK100" i="22"/>
  <c r="M104" i="2" s="1"/>
  <c r="M347" i="2" s="1"/>
  <c r="BP100" i="22"/>
  <c r="AH104" i="2" s="1"/>
  <c r="AH347" i="2" s="1"/>
  <c r="I351" i="2"/>
  <c r="I341" i="2"/>
  <c r="I98" i="8" s="1"/>
  <c r="Y348" i="2"/>
  <c r="Y353" i="2" s="1"/>
  <c r="Y346" i="2"/>
  <c r="Z346" i="2"/>
  <c r="Z348" i="2"/>
  <c r="Z353" i="2" s="1"/>
  <c r="W102" i="2"/>
  <c r="M346" i="2"/>
  <c r="M348" i="2"/>
  <c r="M353" i="2" s="1"/>
  <c r="H341" i="2"/>
  <c r="H351" i="2"/>
  <c r="R346" i="2"/>
  <c r="R348" i="2"/>
  <c r="R353" i="2" s="1"/>
  <c r="AH346" i="2"/>
  <c r="AH348" i="2"/>
  <c r="AH353" i="2" s="1"/>
  <c r="G341" i="2"/>
  <c r="G351" i="2"/>
  <c r="AN100" i="22"/>
  <c r="P104" i="2" s="1"/>
  <c r="P347" i="2" s="1"/>
  <c r="X346" i="2"/>
  <c r="X348" i="2"/>
  <c r="X353" i="2" s="1"/>
  <c r="BD100" i="22"/>
  <c r="N346" i="2"/>
  <c r="N348" i="2"/>
  <c r="N353" i="2" s="1"/>
  <c r="AA346" i="2"/>
  <c r="AA348" i="2"/>
  <c r="AA353" i="2" s="1"/>
  <c r="F351" i="2"/>
  <c r="F341" i="2"/>
  <c r="AI346" i="2"/>
  <c r="AI348" i="2"/>
  <c r="AI353" i="2" s="1"/>
  <c r="AG346" i="2"/>
  <c r="AG348" i="2"/>
  <c r="AG353" i="2" s="1"/>
  <c r="AP100" i="22"/>
  <c r="R104" i="2" s="1"/>
  <c r="R347" i="2" s="1"/>
  <c r="AF346" i="2"/>
  <c r="AF348" i="2"/>
  <c r="AF353" i="2" s="1"/>
  <c r="D351" i="2"/>
  <c r="D341" i="2"/>
  <c r="D98" i="8" s="1"/>
  <c r="AJ346" i="2"/>
  <c r="AJ348" i="2"/>
  <c r="AJ353" i="2" s="1"/>
  <c r="AE349" i="2"/>
  <c r="AE350" i="2" s="1"/>
  <c r="P346" i="2"/>
  <c r="P348" i="2"/>
  <c r="P353" i="2" s="1"/>
  <c r="Q346" i="2"/>
  <c r="Q348" i="2"/>
  <c r="Q353" i="2" s="1"/>
  <c r="E340" i="2"/>
  <c r="E343" i="2" l="1"/>
  <c r="E100" i="8" s="1"/>
  <c r="BR70" i="22"/>
  <c r="AJ74" i="2" s="1"/>
  <c r="BB70" i="22"/>
  <c r="BB71" i="22" s="1"/>
  <c r="Y75" i="2" s="1"/>
  <c r="BQ70" i="22"/>
  <c r="AI74" i="2" s="1"/>
  <c r="BA70" i="22"/>
  <c r="AL70" i="22"/>
  <c r="AL71" i="22" s="1"/>
  <c r="N75" i="2" s="1"/>
  <c r="BN70" i="22"/>
  <c r="AF74" i="2" s="1"/>
  <c r="AM70" i="22"/>
  <c r="O74" i="2" s="1"/>
  <c r="BO70" i="22"/>
  <c r="AG74" i="2" s="1"/>
  <c r="AN70" i="22"/>
  <c r="P74" i="2" s="1"/>
  <c r="AK70" i="22"/>
  <c r="AK71" i="22" s="1"/>
  <c r="M75" i="2" s="1"/>
  <c r="AO70" i="22"/>
  <c r="Q74" i="2" s="1"/>
  <c r="BM71" i="22"/>
  <c r="AE75" i="2" s="1"/>
  <c r="I340" i="2"/>
  <c r="I342" i="2" s="1"/>
  <c r="I99" i="8" s="1"/>
  <c r="AG349" i="2"/>
  <c r="AG350" i="2" s="1"/>
  <c r="AG341" i="2" s="1"/>
  <c r="AG98" i="8" s="1"/>
  <c r="Q349" i="2"/>
  <c r="Q350" i="2" s="1"/>
  <c r="Q341" i="2" s="1"/>
  <c r="Q98" i="8" s="1"/>
  <c r="V104" i="2"/>
  <c r="V347" i="2" s="1"/>
  <c r="V349" i="2" s="1"/>
  <c r="V350" i="2" s="1"/>
  <c r="AY70" i="22"/>
  <c r="BP70" i="22"/>
  <c r="R349" i="2"/>
  <c r="R350" i="2" s="1"/>
  <c r="R351" i="2" s="1"/>
  <c r="Z349" i="2"/>
  <c r="Z350" i="2" s="1"/>
  <c r="Z341" i="2" s="1"/>
  <c r="Z98" i="8" s="1"/>
  <c r="AI349" i="2"/>
  <c r="AI350" i="2" s="1"/>
  <c r="AI351" i="2" s="1"/>
  <c r="P349" i="2"/>
  <c r="P350" i="2" s="1"/>
  <c r="P351" i="2" s="1"/>
  <c r="AJ349" i="2"/>
  <c r="AJ350" i="2" s="1"/>
  <c r="AJ341" i="2" s="1"/>
  <c r="AP70" i="22"/>
  <c r="AP71" i="22" s="1"/>
  <c r="R75" i="2" s="1"/>
  <c r="Y349" i="2"/>
  <c r="Y350" i="2" s="1"/>
  <c r="Y351" i="2" s="1"/>
  <c r="Y74" i="2"/>
  <c r="H343" i="2"/>
  <c r="H100" i="8" s="1"/>
  <c r="H352" i="2"/>
  <c r="H339" i="2" s="1"/>
  <c r="H96" i="8" s="1"/>
  <c r="AF349" i="2"/>
  <c r="AF350" i="2" s="1"/>
  <c r="F98" i="8"/>
  <c r="F340" i="2"/>
  <c r="N349" i="2"/>
  <c r="N350" i="2" s="1"/>
  <c r="G98" i="8"/>
  <c r="G340" i="2"/>
  <c r="H98" i="8"/>
  <c r="H340" i="2"/>
  <c r="W346" i="2"/>
  <c r="W348" i="2"/>
  <c r="W353" i="2" s="1"/>
  <c r="AZ70" i="22"/>
  <c r="AE351" i="2"/>
  <c r="AE352" i="2" s="1"/>
  <c r="AE339" i="2" s="1"/>
  <c r="AE96" i="8" s="1"/>
  <c r="AE341" i="2"/>
  <c r="AE98" i="8" s="1"/>
  <c r="E97" i="8"/>
  <c r="E342" i="2"/>
  <c r="E99" i="8" s="1"/>
  <c r="D352" i="2"/>
  <c r="D339" i="2" s="1"/>
  <c r="D96" i="8" s="1"/>
  <c r="D343" i="2"/>
  <c r="D100" i="8" s="1"/>
  <c r="G343" i="2"/>
  <c r="G100" i="8" s="1"/>
  <c r="G352" i="2"/>
  <c r="G339" i="2" s="1"/>
  <c r="G96" i="8" s="1"/>
  <c r="O351" i="2"/>
  <c r="O341" i="2"/>
  <c r="O98" i="8" s="1"/>
  <c r="F352" i="2"/>
  <c r="F339" i="2" s="1"/>
  <c r="F96" i="8" s="1"/>
  <c r="F343" i="2"/>
  <c r="F100" i="8" s="1"/>
  <c r="X349" i="2"/>
  <c r="X350" i="2" s="1"/>
  <c r="M349" i="2"/>
  <c r="M350" i="2" s="1"/>
  <c r="AA104" i="2"/>
  <c r="AA347" i="2" s="1"/>
  <c r="AA349" i="2" s="1"/>
  <c r="AA350" i="2" s="1"/>
  <c r="BD70" i="22"/>
  <c r="AH349" i="2"/>
  <c r="AH350" i="2" s="1"/>
  <c r="BC70" i="22"/>
  <c r="I352" i="2"/>
  <c r="I339" i="2" s="1"/>
  <c r="I96" i="8" s="1"/>
  <c r="I343" i="2"/>
  <c r="I100" i="8" s="1"/>
  <c r="D340" i="2"/>
  <c r="BR71" i="22" l="1"/>
  <c r="AJ75" i="2" s="1"/>
  <c r="BQ71" i="22"/>
  <c r="AI75" i="2" s="1"/>
  <c r="AI343" i="2" s="1"/>
  <c r="AI100" i="8" s="1"/>
  <c r="I97" i="8"/>
  <c r="I101" i="8" s="1"/>
  <c r="I167" i="8" s="1"/>
  <c r="G8" i="1" s="1"/>
  <c r="AM71" i="22"/>
  <c r="O75" i="2" s="1"/>
  <c r="AJ351" i="2"/>
  <c r="N74" i="2"/>
  <c r="BN71" i="22"/>
  <c r="AF75" i="2" s="1"/>
  <c r="AN71" i="22"/>
  <c r="P75" i="2" s="1"/>
  <c r="AG351" i="2"/>
  <c r="AG352" i="2" s="1"/>
  <c r="AG339" i="2" s="1"/>
  <c r="AG96" i="8" s="1"/>
  <c r="P341" i="2"/>
  <c r="P98" i="8" s="1"/>
  <c r="BA71" i="22"/>
  <c r="X75" i="2" s="1"/>
  <c r="X74" i="2"/>
  <c r="Z351" i="2"/>
  <c r="M74" i="2"/>
  <c r="BO71" i="22"/>
  <c r="AG75" i="2" s="1"/>
  <c r="AO71" i="22"/>
  <c r="Q75" i="2" s="1"/>
  <c r="AG340" i="2"/>
  <c r="AG342" i="2" s="1"/>
  <c r="AG99" i="8" s="1"/>
  <c r="R74" i="2"/>
  <c r="R352" i="2" s="1"/>
  <c r="R339" i="2" s="1"/>
  <c r="R96" i="8" s="1"/>
  <c r="AE340" i="2"/>
  <c r="AE97" i="8" s="1"/>
  <c r="Q340" i="2"/>
  <c r="Q97" i="8" s="1"/>
  <c r="AJ352" i="2"/>
  <c r="AJ339" i="2" s="1"/>
  <c r="AJ96" i="8" s="1"/>
  <c r="R341" i="2"/>
  <c r="R98" i="8" s="1"/>
  <c r="Q351" i="2"/>
  <c r="R343" i="2"/>
  <c r="R100" i="8" s="1"/>
  <c r="Y341" i="2"/>
  <c r="Y98" i="8" s="1"/>
  <c r="Z340" i="2"/>
  <c r="Z342" i="2" s="1"/>
  <c r="Z99" i="8" s="1"/>
  <c r="AE343" i="2"/>
  <c r="AE100" i="8" s="1"/>
  <c r="P343" i="2"/>
  <c r="P100" i="8" s="1"/>
  <c r="P352" i="2"/>
  <c r="P339" i="2" s="1"/>
  <c r="P96" i="8" s="1"/>
  <c r="AI341" i="2"/>
  <c r="AH74" i="2"/>
  <c r="BP71" i="22"/>
  <c r="AH75" i="2" s="1"/>
  <c r="AI352" i="2"/>
  <c r="AI339" i="2" s="1"/>
  <c r="AI96" i="8" s="1"/>
  <c r="V74" i="2"/>
  <c r="AY71" i="22"/>
  <c r="V75" i="2" s="1"/>
  <c r="V341" i="2"/>
  <c r="V351" i="2"/>
  <c r="AJ98" i="8"/>
  <c r="AJ340" i="2"/>
  <c r="AJ97" i="8" s="1"/>
  <c r="O343" i="2"/>
  <c r="O100" i="8" s="1"/>
  <c r="O352" i="2"/>
  <c r="O339" i="2" s="1"/>
  <c r="O96" i="8" s="1"/>
  <c r="O340" i="2"/>
  <c r="W349" i="2"/>
  <c r="W350" i="2" s="1"/>
  <c r="N351" i="2"/>
  <c r="N341" i="2"/>
  <c r="AF351" i="2"/>
  <c r="AF352" i="2" s="1"/>
  <c r="AF339" i="2" s="1"/>
  <c r="AF96" i="8" s="1"/>
  <c r="AF341" i="2"/>
  <c r="AF98" i="8" s="1"/>
  <c r="Y343" i="2"/>
  <c r="Y100" i="8" s="1"/>
  <c r="AH351" i="2"/>
  <c r="AH341" i="2"/>
  <c r="AH98" i="8" s="1"/>
  <c r="E101" i="8"/>
  <c r="E167" i="8" s="1"/>
  <c r="C8" i="1" s="1"/>
  <c r="H342" i="2"/>
  <c r="H99" i="8" s="1"/>
  <c r="H97" i="8"/>
  <c r="Y352" i="2"/>
  <c r="Y339" i="2" s="1"/>
  <c r="Y96" i="8" s="1"/>
  <c r="X341" i="2"/>
  <c r="X98" i="8" s="1"/>
  <c r="X351" i="2"/>
  <c r="AA74" i="2"/>
  <c r="BD71" i="22"/>
  <c r="AA75" i="2" s="1"/>
  <c r="D342" i="2"/>
  <c r="D99" i="8" s="1"/>
  <c r="D97" i="8"/>
  <c r="Z74" i="2"/>
  <c r="BC71" i="22"/>
  <c r="Z75" i="2" s="1"/>
  <c r="AA351" i="2"/>
  <c r="AA341" i="2"/>
  <c r="M351" i="2"/>
  <c r="M341" i="2"/>
  <c r="M98" i="8" s="1"/>
  <c r="W74" i="2"/>
  <c r="AZ71" i="22"/>
  <c r="W75" i="2" s="1"/>
  <c r="G97" i="8"/>
  <c r="G342" i="2"/>
  <c r="G99" i="8" s="1"/>
  <c r="F97" i="8"/>
  <c r="F342" i="2"/>
  <c r="F99" i="8" s="1"/>
  <c r="AJ343" i="2" l="1"/>
  <c r="AJ100" i="8" s="1"/>
  <c r="AG97" i="8"/>
  <c r="P340" i="2"/>
  <c r="P342" i="2" s="1"/>
  <c r="P99" i="8" s="1"/>
  <c r="M352" i="2"/>
  <c r="M339" i="2" s="1"/>
  <c r="M96" i="8" s="1"/>
  <c r="Z343" i="2"/>
  <c r="Z100" i="8" s="1"/>
  <c r="AG343" i="2"/>
  <c r="AG100" i="8" s="1"/>
  <c r="AG101" i="8" s="1"/>
  <c r="AG167" i="8" s="1"/>
  <c r="AE8" i="1" s="1"/>
  <c r="Z97" i="8"/>
  <c r="AF343" i="2"/>
  <c r="AF100" i="8" s="1"/>
  <c r="Q342" i="2"/>
  <c r="Q99" i="8" s="1"/>
  <c r="Q343" i="2"/>
  <c r="Q100" i="8" s="1"/>
  <c r="AH340" i="2"/>
  <c r="AH342" i="2" s="1"/>
  <c r="AH99" i="8" s="1"/>
  <c r="Z352" i="2"/>
  <c r="Z339" i="2" s="1"/>
  <c r="Z96" i="8" s="1"/>
  <c r="AE342" i="2"/>
  <c r="AE99" i="8" s="1"/>
  <c r="AE101" i="8" s="1"/>
  <c r="AE167" i="8" s="1"/>
  <c r="AJ342" i="2"/>
  <c r="AJ99" i="8" s="1"/>
  <c r="V343" i="2"/>
  <c r="V100" i="8" s="1"/>
  <c r="R340" i="2"/>
  <c r="R342" i="2" s="1"/>
  <c r="R99" i="8" s="1"/>
  <c r="Q352" i="2"/>
  <c r="Q339" i="2" s="1"/>
  <c r="Q96" i="8" s="1"/>
  <c r="Y340" i="2"/>
  <c r="D101" i="8"/>
  <c r="D167" i="8" s="1"/>
  <c r="AI98" i="8"/>
  <c r="AI340" i="2"/>
  <c r="M343" i="2"/>
  <c r="M100" i="8" s="1"/>
  <c r="AF340" i="2"/>
  <c r="AF342" i="2" s="1"/>
  <c r="AF99" i="8" s="1"/>
  <c r="V352" i="2"/>
  <c r="V339" i="2" s="1"/>
  <c r="V96" i="8" s="1"/>
  <c r="V98" i="8"/>
  <c r="V340" i="2"/>
  <c r="F101" i="8"/>
  <c r="F167" i="8" s="1"/>
  <c r="D8" i="1" s="1"/>
  <c r="G101" i="8"/>
  <c r="G167" i="8" s="1"/>
  <c r="E8" i="1" s="1"/>
  <c r="H101" i="8"/>
  <c r="H167" i="8" s="1"/>
  <c r="F8" i="1" s="1"/>
  <c r="AA343" i="2"/>
  <c r="AA100" i="8" s="1"/>
  <c r="N98" i="8"/>
  <c r="N340" i="2"/>
  <c r="X343" i="2"/>
  <c r="X100" i="8" s="1"/>
  <c r="X352" i="2"/>
  <c r="X339" i="2" s="1"/>
  <c r="X96" i="8" s="1"/>
  <c r="AA352" i="2"/>
  <c r="AA339" i="2" s="1"/>
  <c r="AA96" i="8" s="1"/>
  <c r="N343" i="2"/>
  <c r="N100" i="8" s="1"/>
  <c r="N352" i="2"/>
  <c r="N339" i="2" s="1"/>
  <c r="N96" i="8" s="1"/>
  <c r="O97" i="8"/>
  <c r="O342" i="2"/>
  <c r="O99" i="8" s="1"/>
  <c r="X340" i="2"/>
  <c r="M340" i="2"/>
  <c r="AA98" i="8"/>
  <c r="AA340" i="2"/>
  <c r="AH352" i="2"/>
  <c r="AH339" i="2" s="1"/>
  <c r="AH96" i="8" s="1"/>
  <c r="AH343" i="2"/>
  <c r="AH100" i="8" s="1"/>
  <c r="W341" i="2"/>
  <c r="W351" i="2"/>
  <c r="W352" i="2" s="1"/>
  <c r="W339" i="2" s="1"/>
  <c r="W96" i="8" s="1"/>
  <c r="AJ101" i="8" l="1"/>
  <c r="AJ167" i="8" s="1"/>
  <c r="AH8" i="1" s="1"/>
  <c r="P97" i="8"/>
  <c r="P101" i="8" s="1"/>
  <c r="P167" i="8" s="1"/>
  <c r="N8" i="1" s="1"/>
  <c r="E32" i="1" s="1"/>
  <c r="R97" i="8"/>
  <c r="R101" i="8" s="1"/>
  <c r="R167" i="8" s="1"/>
  <c r="P8" i="1" s="1"/>
  <c r="G32" i="1" s="1"/>
  <c r="AH97" i="8"/>
  <c r="AH101" i="8" s="1"/>
  <c r="AH167" i="8" s="1"/>
  <c r="AF8" i="1" s="1"/>
  <c r="Z101" i="8"/>
  <c r="Z167" i="8" s="1"/>
  <c r="X8" i="1" s="1"/>
  <c r="Q101" i="8"/>
  <c r="Q167" i="8" s="1"/>
  <c r="O8" i="1" s="1"/>
  <c r="F32" i="1" s="1"/>
  <c r="AF97" i="8"/>
  <c r="AF101" i="8" s="1"/>
  <c r="AF167" i="8" s="1"/>
  <c r="AD8" i="1" s="1"/>
  <c r="Y97" i="8"/>
  <c r="Y342" i="2"/>
  <c r="Y99" i="8" s="1"/>
  <c r="AI97" i="8"/>
  <c r="AI342" i="2"/>
  <c r="AI99" i="8" s="1"/>
  <c r="V97" i="8"/>
  <c r="V342" i="2"/>
  <c r="V99" i="8" s="1"/>
  <c r="O101" i="8"/>
  <c r="O167" i="8" s="1"/>
  <c r="M8" i="1" s="1"/>
  <c r="D32" i="1" s="1"/>
  <c r="J101" i="8"/>
  <c r="AA97" i="8"/>
  <c r="AA342" i="2"/>
  <c r="AA99" i="8" s="1"/>
  <c r="W343" i="2"/>
  <c r="W100" i="8" s="1"/>
  <c r="AC8" i="1"/>
  <c r="W98" i="8"/>
  <c r="W340" i="2"/>
  <c r="M342" i="2"/>
  <c r="M99" i="8" s="1"/>
  <c r="M97" i="8"/>
  <c r="X97" i="8"/>
  <c r="X342" i="2"/>
  <c r="X99" i="8" s="1"/>
  <c r="N342" i="2"/>
  <c r="N99" i="8" s="1"/>
  <c r="N97" i="8"/>
  <c r="B8" i="1"/>
  <c r="J8" i="1" s="1"/>
  <c r="J167" i="8"/>
  <c r="I8" i="1" l="1"/>
  <c r="B8" i="4" s="1"/>
  <c r="Y101" i="8"/>
  <c r="Y167" i="8" s="1"/>
  <c r="W8" i="1" s="1"/>
  <c r="AI101" i="8"/>
  <c r="AI167" i="8" s="1"/>
  <c r="AG8" i="1" s="1"/>
  <c r="AK8" i="1" s="1"/>
  <c r="V101" i="8"/>
  <c r="V167" i="8" s="1"/>
  <c r="T8" i="1" s="1"/>
  <c r="X101" i="8"/>
  <c r="X167" i="8" s="1"/>
  <c r="V8" i="1" s="1"/>
  <c r="AA101" i="8"/>
  <c r="AA167" i="8" s="1"/>
  <c r="Y8" i="1" s="1"/>
  <c r="N101" i="8"/>
  <c r="N167" i="8" s="1"/>
  <c r="L8" i="1" s="1"/>
  <c r="C32" i="1" s="1"/>
  <c r="M101" i="8"/>
  <c r="M167" i="8" s="1"/>
  <c r="W97" i="8"/>
  <c r="W342" i="2"/>
  <c r="W99" i="8" s="1"/>
  <c r="AJ8" i="1" l="1"/>
  <c r="D16" i="4" s="1"/>
  <c r="AK167" i="8"/>
  <c r="AK101" i="8"/>
  <c r="W101" i="8"/>
  <c r="W167" i="8" s="1"/>
  <c r="S101" i="8"/>
  <c r="K8" i="1"/>
  <c r="S167" i="8"/>
  <c r="AB101" i="8" l="1"/>
  <c r="S8" i="1"/>
  <c r="B32" i="1"/>
  <c r="J32" i="1" s="1"/>
  <c r="I32" i="1" s="1"/>
  <c r="U8" i="1"/>
  <c r="AB8" i="1" s="1"/>
  <c r="AB167" i="8"/>
  <c r="AA8" i="1" l="1"/>
  <c r="C16" i="4" s="1"/>
  <c r="R8" i="1"/>
  <c r="B16" i="4" s="1"/>
</calcChain>
</file>

<file path=xl/sharedStrings.xml><?xml version="1.0" encoding="utf-8"?>
<sst xmlns="http://schemas.openxmlformats.org/spreadsheetml/2006/main" count="2771" uniqueCount="701">
  <si>
    <t>TABELA 1.</t>
  </si>
  <si>
    <t>ENERGIAS NATURAIS AFLUENTES PREVISTAS POR SUBSISTEMA (MWmed)</t>
  </si>
  <si>
    <t>REVISÃO DA</t>
  </si>
  <si>
    <t>SEMANA 4</t>
  </si>
  <si>
    <t>Revisão da</t>
  </si>
  <si>
    <t>Previsão</t>
  </si>
  <si>
    <t>a</t>
  </si>
  <si>
    <t>Previsão Mensal</t>
  </si>
  <si>
    <t>Mensal Inicial</t>
  </si>
  <si>
    <t>REGIÕES</t>
  </si>
  <si>
    <t>Incluindo Verificado</t>
  </si>
  <si>
    <t>DEZEMBRO/2013</t>
  </si>
  <si>
    <t>(Mwmed)</t>
  </si>
  <si>
    <t>% MLT</t>
  </si>
  <si>
    <t>MLT%</t>
  </si>
  <si>
    <t>SUDESTE</t>
  </si>
  <si>
    <t>SUL</t>
  </si>
  <si>
    <t>NORDESTE</t>
  </si>
  <si>
    <t>NORTE</t>
  </si>
  <si>
    <t>TABELA 2.</t>
  </si>
  <si>
    <t>ENERGIAS NATURAIS AFLUENTES PREVISTAS POR BACIA (MWmed)</t>
  </si>
  <si>
    <t>B A C I A S</t>
  </si>
  <si>
    <t>Grande</t>
  </si>
  <si>
    <t>Paranaíba</t>
  </si>
  <si>
    <t>Tietê</t>
  </si>
  <si>
    <t>Paranapanema (SE)</t>
  </si>
  <si>
    <t>Paranapanema (S)</t>
  </si>
  <si>
    <t>Paranapanema total</t>
  </si>
  <si>
    <t>Alto Paraná</t>
  </si>
  <si>
    <t>Baixo Paraná</t>
  </si>
  <si>
    <t>Alto Tietê</t>
  </si>
  <si>
    <t>Paraíba do Sul</t>
  </si>
  <si>
    <t>Itabapoana</t>
  </si>
  <si>
    <t>Mucuri</t>
  </si>
  <si>
    <t>Doce</t>
  </si>
  <si>
    <t>Paraguai</t>
  </si>
  <si>
    <t>Iguaçu</t>
  </si>
  <si>
    <t>Jacuí</t>
  </si>
  <si>
    <t>Uruguai</t>
  </si>
  <si>
    <t>Capivari</t>
  </si>
  <si>
    <t>Itajaí-Açu</t>
  </si>
  <si>
    <t>São Francisco (SE)</t>
  </si>
  <si>
    <t>São Francisco (NE)</t>
  </si>
  <si>
    <t>São Francisco total</t>
  </si>
  <si>
    <t>Parnaíba</t>
  </si>
  <si>
    <t>Paraguaçu</t>
  </si>
  <si>
    <t>Jequitinhonha (SE)</t>
  </si>
  <si>
    <t>Jequitinhonha (NE)</t>
  </si>
  <si>
    <t>Jequitinhonha total</t>
  </si>
  <si>
    <t>Tocantins (SE)</t>
  </si>
  <si>
    <t>Tocantins (N)</t>
  </si>
  <si>
    <t>Tocantins total</t>
  </si>
  <si>
    <t>Amazonas (SE)</t>
  </si>
  <si>
    <t>Amazonas (N)</t>
  </si>
  <si>
    <t>Amazonas total</t>
  </si>
  <si>
    <t>TABELA 3.</t>
  </si>
  <si>
    <t>ENERGIAS NATURAIS AFLUENTES PREVISTAS POR USINA (MWmed)</t>
  </si>
  <si>
    <t>U S I N A S</t>
  </si>
  <si>
    <t>FURNAS</t>
  </si>
  <si>
    <t>EMBORCACAO</t>
  </si>
  <si>
    <t>NOVA PONTE</t>
  </si>
  <si>
    <t>FOZ DO AREIA</t>
  </si>
  <si>
    <t xml:space="preserve">PASSO REAL  </t>
  </si>
  <si>
    <t>ITÁ</t>
  </si>
  <si>
    <t xml:space="preserve">SOBRADINHO  </t>
  </si>
  <si>
    <t xml:space="preserve">TUCURUI     </t>
  </si>
  <si>
    <t>PREVS</t>
  </si>
  <si>
    <t>Posto</t>
  </si>
  <si>
    <t>Projeção - ONS</t>
  </si>
  <si>
    <t>Semana-1</t>
  </si>
  <si>
    <t>Semana-2</t>
  </si>
  <si>
    <t>Semana-3</t>
  </si>
  <si>
    <t>Semana-4</t>
  </si>
  <si>
    <t>Semana-5</t>
  </si>
  <si>
    <t>Semana-6</t>
  </si>
  <si>
    <t>Cód.</t>
  </si>
  <si>
    <t>Aproveitamento</t>
  </si>
  <si>
    <t>BACIA DO RIO GRANDE</t>
  </si>
  <si>
    <t>CAMARGOS</t>
  </si>
  <si>
    <t>ITUTINGA</t>
  </si>
  <si>
    <t>FUNIL-GRANDE</t>
  </si>
  <si>
    <t>MASC. DE MORAES</t>
  </si>
  <si>
    <t>ESTREITO</t>
  </si>
  <si>
    <t>JAGUARA</t>
  </si>
  <si>
    <t>IGARAPAVA</t>
  </si>
  <si>
    <t>VOLTA GRANDE</t>
  </si>
  <si>
    <t>P COLOMBIA</t>
  </si>
  <si>
    <t>CACONDE</t>
  </si>
  <si>
    <t>EUC DA CUNHA</t>
  </si>
  <si>
    <t>LIMOEIRO</t>
  </si>
  <si>
    <t>MARIMBONDO</t>
  </si>
  <si>
    <t>AGUA VERMELHA</t>
  </si>
  <si>
    <t>TOTAL</t>
  </si>
  <si>
    <t>BACIA DO RIO PARANAÍBA</t>
  </si>
  <si>
    <t>BACIA DO RIO</t>
  </si>
  <si>
    <t>PARANAÍBA</t>
  </si>
  <si>
    <t>BATALHA</t>
  </si>
  <si>
    <t>SERRA FACAO</t>
  </si>
  <si>
    <t>MIRANDA</t>
  </si>
  <si>
    <t>CAPIM BRANCO 1</t>
  </si>
  <si>
    <t>CAPIM BRANCO 2</t>
  </si>
  <si>
    <t>CORUMBA IV</t>
  </si>
  <si>
    <t>CORUMBA III</t>
  </si>
  <si>
    <t>CORUMBA I</t>
  </si>
  <si>
    <t>ITUMBIARA</t>
  </si>
  <si>
    <t>CACH DOURADA</t>
  </si>
  <si>
    <t>SAO SIMAO</t>
  </si>
  <si>
    <t>CACU</t>
  </si>
  <si>
    <t>B. COQUEIROS</t>
  </si>
  <si>
    <t>FOZ DO RIO CLARO</t>
  </si>
  <si>
    <t>SALTO</t>
  </si>
  <si>
    <t>SLT VERDINHO</t>
  </si>
  <si>
    <t>ESPORA</t>
  </si>
  <si>
    <t>BACIA DO ALTO TIETE</t>
  </si>
  <si>
    <t>ALTO TIETÊ</t>
  </si>
  <si>
    <t>H.BORDEN</t>
  </si>
  <si>
    <t>BACIA DO RIO TIETE</t>
  </si>
  <si>
    <t>TIETÊ</t>
  </si>
  <si>
    <t>BARRA BONITA</t>
  </si>
  <si>
    <t>BARIRI</t>
  </si>
  <si>
    <t>IBITINGA</t>
  </si>
  <si>
    <t>PROMISSAO</t>
  </si>
  <si>
    <t>N.AVANHANDAVA</t>
  </si>
  <si>
    <t>TRES IRMAOS</t>
  </si>
  <si>
    <t>BACIA DO PARANAPANEMA</t>
  </si>
  <si>
    <t>PARANAPANEMA (SE)</t>
  </si>
  <si>
    <t>JURUMIRIM</t>
  </si>
  <si>
    <t>PIRAJU</t>
  </si>
  <si>
    <t>CHAVANTES</t>
  </si>
  <si>
    <t>OURINHOS</t>
  </si>
  <si>
    <t>LUCAS GARCEZ</t>
  </si>
  <si>
    <t>CANOAS 2</t>
  </si>
  <si>
    <t>CANOAS 1</t>
  </si>
  <si>
    <t>CAPIVARA</t>
  </si>
  <si>
    <t>TAQUARUCU</t>
  </si>
  <si>
    <t>ROSANA</t>
  </si>
  <si>
    <t>BACIA DO ALTO PARANÁ</t>
  </si>
  <si>
    <t>ALTO PARANÁ</t>
  </si>
  <si>
    <t>ILHA SOLTEIRA</t>
  </si>
  <si>
    <t>JUPIA</t>
  </si>
  <si>
    <t>BACIA DO BAIXO PARANÁ</t>
  </si>
  <si>
    <t>BAIXO PARANÁ</t>
  </si>
  <si>
    <t>P.PRIMAVERA</t>
  </si>
  <si>
    <t>ITAIPU</t>
  </si>
  <si>
    <t>BACIA DO RIO PARAÍBA DO SUL</t>
  </si>
  <si>
    <t>ITABAPOANA</t>
  </si>
  <si>
    <t>JAGUARI</t>
  </si>
  <si>
    <t>PARAIBUNA</t>
  </si>
  <si>
    <t>SANTA BRANCA</t>
  </si>
  <si>
    <t>FUNIL</t>
  </si>
  <si>
    <t>PICADA</t>
  </si>
  <si>
    <t>SOBRAGI</t>
  </si>
  <si>
    <t>SIMPLÍCIO ART.</t>
  </si>
  <si>
    <t>FONTES</t>
  </si>
  <si>
    <t>NILO PEÇANHA</t>
  </si>
  <si>
    <t>PEREIRA PASSOS</t>
  </si>
  <si>
    <t>ILHA POMBOS</t>
  </si>
  <si>
    <t>BACIA DO RIO ITABAPOANA</t>
  </si>
  <si>
    <t>ROSAL</t>
  </si>
  <si>
    <t>BACIA DO RIO MUCURÍ</t>
  </si>
  <si>
    <t>MUCURI</t>
  </si>
  <si>
    <t>SANTA CLARA - MG</t>
  </si>
  <si>
    <t>BACIA DO RIO DOCE</t>
  </si>
  <si>
    <t>DOCE</t>
  </si>
  <si>
    <t>GUILMAN</t>
  </si>
  <si>
    <t>A. DIAS + SÁ CARVALHO</t>
  </si>
  <si>
    <t>SALTO GRANDE</t>
  </si>
  <si>
    <t>PORTO ESTRELA</t>
  </si>
  <si>
    <t>CANDONGA</t>
  </si>
  <si>
    <t>BAGUARI</t>
  </si>
  <si>
    <t>AIMORÉS</t>
  </si>
  <si>
    <t>MASCARENHAS</t>
  </si>
  <si>
    <t>BACIA DO RIO PARAGUAI</t>
  </si>
  <si>
    <t>PARAGUAI</t>
  </si>
  <si>
    <t>MANSO</t>
  </si>
  <si>
    <t>P.PEDRA</t>
  </si>
  <si>
    <t>JAURU</t>
  </si>
  <si>
    <t>ITIQUIRA I</t>
  </si>
  <si>
    <t>ITIQUIRA II</t>
  </si>
  <si>
    <t>BACIA DO JEQUITINHONHA</t>
  </si>
  <si>
    <t>JEQUITINHONHA (SE)</t>
  </si>
  <si>
    <t>IRAPÉ</t>
  </si>
  <si>
    <t>BACIA DO RIO AMAZONAS</t>
  </si>
  <si>
    <t>AMAZONAS (SE)</t>
  </si>
  <si>
    <t>SAMUEL</t>
  </si>
  <si>
    <t>RONDON II</t>
  </si>
  <si>
    <t>JIRAU</t>
  </si>
  <si>
    <t>SANTO ANTONIO</t>
  </si>
  <si>
    <t>DARDANELOS</t>
  </si>
  <si>
    <t>GUAPORÉ</t>
  </si>
  <si>
    <t>BACIA DO SÃO FRANCISCO</t>
  </si>
  <si>
    <t>SÃO FRANCISCO (SE)</t>
  </si>
  <si>
    <t>RETIRO BAIXO</t>
  </si>
  <si>
    <t>TRES MARIAS</t>
  </si>
  <si>
    <t>QUEIMADO</t>
  </si>
  <si>
    <t>BACIA DO RIO TOCANTINS</t>
  </si>
  <si>
    <t>TOCANTINS (SE)</t>
  </si>
  <si>
    <t>SERRA DA MESA</t>
  </si>
  <si>
    <t>CANA BRAVA</t>
  </si>
  <si>
    <t>SÃO SALVADOR</t>
  </si>
  <si>
    <t>PEIXE ANGICAL</t>
  </si>
  <si>
    <t>LAJEADO</t>
  </si>
  <si>
    <t>SUBSISTEMA SUDESTE</t>
  </si>
  <si>
    <t>SUBSISTEMA</t>
  </si>
  <si>
    <t>APROVEITAMENTO / RESERVATÓRIO</t>
  </si>
  <si>
    <t>Bacia do Rio Iguaçu</t>
  </si>
  <si>
    <t>IGUAÇU</t>
  </si>
  <si>
    <t>STA CLARA PR</t>
  </si>
  <si>
    <t>FUNDÃO</t>
  </si>
  <si>
    <t>SEGREDO</t>
  </si>
  <si>
    <t>SLT SANTIAGO</t>
  </si>
  <si>
    <t>SALTO OSORIO</t>
  </si>
  <si>
    <t>SALTO CAXIAS</t>
  </si>
  <si>
    <t>Bacia do Rio Jacuí</t>
  </si>
  <si>
    <t>JACUÍ</t>
  </si>
  <si>
    <t>ERNESTINA</t>
  </si>
  <si>
    <t xml:space="preserve">JACUI       </t>
  </si>
  <si>
    <t xml:space="preserve">ITAUBA      </t>
  </si>
  <si>
    <t>D.FRANCISCA</t>
  </si>
  <si>
    <t>MONTE CLARO</t>
  </si>
  <si>
    <t>CASTRO ALVES</t>
  </si>
  <si>
    <t>14 DE JULHO</t>
  </si>
  <si>
    <t>Bacia do Uruguai</t>
  </si>
  <si>
    <t>URUGUAI</t>
  </si>
  <si>
    <t>BARRA GRANDE</t>
  </si>
  <si>
    <t>GARIBALDI</t>
  </si>
  <si>
    <t>CAMPOS NOVOS</t>
  </si>
  <si>
    <t>MACHADINHO</t>
  </si>
  <si>
    <t xml:space="preserve">PASSO FUNDO </t>
  </si>
  <si>
    <t>MONJOLINHO</t>
  </si>
  <si>
    <t>FOZ CHAPECO</t>
  </si>
  <si>
    <t>QUEBRA-QUEIXO</t>
  </si>
  <si>
    <t>SÃO JOSÉ</t>
  </si>
  <si>
    <t>PASSO SÃO JOÃO</t>
  </si>
  <si>
    <t>Bacia do Rio Capivari</t>
  </si>
  <si>
    <t>CAPIVARI</t>
  </si>
  <si>
    <t xml:space="preserve">CAP.CACH.   </t>
  </si>
  <si>
    <t>Bacia do Itajaí-Açu</t>
  </si>
  <si>
    <t>ITAJAÍ-AÇU</t>
  </si>
  <si>
    <t>SALTO PILAO</t>
  </si>
  <si>
    <t>Bacia do Rio Paranapanema</t>
  </si>
  <si>
    <t>PARANAPANEMA (S)</t>
  </si>
  <si>
    <t>MAUÁ</t>
  </si>
  <si>
    <t>Subsistema Sul</t>
  </si>
  <si>
    <t xml:space="preserve">Bacia do Rio São Francisco </t>
  </si>
  <si>
    <t>ITAPARICA</t>
  </si>
  <si>
    <t>COMPLEXO</t>
  </si>
  <si>
    <t>XINGÓ</t>
  </si>
  <si>
    <t>Bacia do Rio Jequitinhonha</t>
  </si>
  <si>
    <t>JEQUITINHONHA (NE)</t>
  </si>
  <si>
    <t>ITAPEBI</t>
  </si>
  <si>
    <t>Bacia do Parnaíba</t>
  </si>
  <si>
    <t>PARNAÍBA</t>
  </si>
  <si>
    <t>B. ESPERANCA</t>
  </si>
  <si>
    <t>Bacia do Rio Paraguaçu</t>
  </si>
  <si>
    <t>PARAGUAÇU</t>
  </si>
  <si>
    <t>PEDRA DO CAVALO</t>
  </si>
  <si>
    <t>Subsistema Nordeste</t>
  </si>
  <si>
    <t>Bacia do Rio Tocantins</t>
  </si>
  <si>
    <t>ESTREITO TOC</t>
  </si>
  <si>
    <t>Bacia do Rio Amazonas</t>
  </si>
  <si>
    <t xml:space="preserve">CURUA-UNA   </t>
  </si>
  <si>
    <t>BALBINA</t>
  </si>
  <si>
    <t>Subsistema Norte</t>
  </si>
  <si>
    <t>Som_Prod_65% (MW/(m3/s))</t>
  </si>
  <si>
    <t>vaz_incre(m3/s)</t>
  </si>
  <si>
    <t>IRAPE</t>
  </si>
  <si>
    <t>PEIXE ANGIC</t>
  </si>
  <si>
    <t>TOCOS</t>
  </si>
  <si>
    <t>GUARAPIRANGA</t>
  </si>
  <si>
    <t>BILLINGS</t>
  </si>
  <si>
    <t>SAO SALVADOR</t>
  </si>
  <si>
    <t>PASSO REAL</t>
  </si>
  <si>
    <t xml:space="preserve">JACUI </t>
  </si>
  <si>
    <t>ITAUBA</t>
  </si>
  <si>
    <t>JORDAO</t>
  </si>
  <si>
    <t>FUNDAO</t>
  </si>
  <si>
    <t xml:space="preserve">MAUA </t>
  </si>
  <si>
    <t xml:space="preserve"> SALTO OSORIO</t>
  </si>
  <si>
    <t>PASSO FUNDO</t>
  </si>
  <si>
    <t>ITA</t>
  </si>
  <si>
    <t xml:space="preserve"> CASTRO ALVES</t>
  </si>
  <si>
    <t xml:space="preserve"> MONTE CLARO</t>
  </si>
  <si>
    <t xml:space="preserve"> 14 DE JULHO</t>
  </si>
  <si>
    <t xml:space="preserve"> FOZ CHAPECO</t>
  </si>
  <si>
    <t>QUEBRA QUEIX</t>
  </si>
  <si>
    <t xml:space="preserve">SALTO PILAO </t>
  </si>
  <si>
    <t xml:space="preserve">SAO JOSE </t>
  </si>
  <si>
    <t>PASSO S JOAO</t>
  </si>
  <si>
    <t xml:space="preserve">SOBRADINHO </t>
  </si>
  <si>
    <t>MOXOTO</t>
  </si>
  <si>
    <t xml:space="preserve"> XINGO </t>
  </si>
  <si>
    <t>SERRA MESA</t>
  </si>
  <si>
    <t>TUCURUI</t>
  </si>
  <si>
    <t>CURUA-UNA</t>
  </si>
  <si>
    <t>Usina</t>
  </si>
  <si>
    <t xml:space="preserve">P. AFONSO 4  </t>
  </si>
  <si>
    <t xml:space="preserve"> P.AFONSO 123</t>
  </si>
  <si>
    <t xml:space="preserve"> B. ESPERANCA</t>
  </si>
  <si>
    <t xml:space="preserve"> P. CAVALO   </t>
  </si>
  <si>
    <t>Contribuição (Mwmed)</t>
  </si>
  <si>
    <t>CENÁRIO PROJETADO</t>
  </si>
  <si>
    <t>D. FRANCISCA</t>
  </si>
  <si>
    <t>G.B. MUNHOZ</t>
  </si>
  <si>
    <t>G.P. SOUZA</t>
  </si>
  <si>
    <t>SLT.SANTIAGO</t>
  </si>
  <si>
    <t>ENA ACOPLAMENTO - PROJETADO</t>
  </si>
  <si>
    <t>Codigo do Posto</t>
  </si>
  <si>
    <t>Bacia</t>
  </si>
  <si>
    <t>Submercado</t>
  </si>
  <si>
    <t>Produtibilidade</t>
  </si>
  <si>
    <t>GRANDE</t>
  </si>
  <si>
    <t>PARAÍBA DO SUL</t>
  </si>
  <si>
    <t>SÃO FRANCISCO (NE)</t>
  </si>
  <si>
    <t>AMAZONAS (N)</t>
  </si>
  <si>
    <t>TOCANTINS (N)</t>
  </si>
  <si>
    <t>SANTO ANT JARI</t>
  </si>
  <si>
    <t>COARACY NUNES</t>
  </si>
  <si>
    <t>Usina Montante</t>
  </si>
  <si>
    <t>MLT</t>
  </si>
  <si>
    <t>Sudeste</t>
  </si>
  <si>
    <t>Sul</t>
  </si>
  <si>
    <t>Nordeste</t>
  </si>
  <si>
    <t>Norte</t>
  </si>
  <si>
    <t>SANTANA</t>
  </si>
  <si>
    <t>VIGÁRIO</t>
  </si>
  <si>
    <t>ANTA</t>
  </si>
  <si>
    <t>LAJES</t>
  </si>
  <si>
    <t>CAPIM BRANC1</t>
  </si>
  <si>
    <t>CAPIM BRANC2</t>
  </si>
  <si>
    <t xml:space="preserve"> TRES MARIAS</t>
  </si>
  <si>
    <t>AIMORES</t>
  </si>
  <si>
    <t>GUILMAN-AMOR</t>
  </si>
  <si>
    <t>SA CARVALHO</t>
  </si>
  <si>
    <t>NAVANHANDAVA</t>
  </si>
  <si>
    <t xml:space="preserve">TAQUARUCU </t>
  </si>
  <si>
    <t xml:space="preserve">ROSANA </t>
  </si>
  <si>
    <t>CANOAS I</t>
  </si>
  <si>
    <t>CANOAS II</t>
  </si>
  <si>
    <t xml:space="preserve">CAPIVARA </t>
  </si>
  <si>
    <t xml:space="preserve"> PARAIBUNA </t>
  </si>
  <si>
    <t xml:space="preserve">ESTREITO </t>
  </si>
  <si>
    <t xml:space="preserve">SERRA MESA </t>
  </si>
  <si>
    <t>SIMPLICIO</t>
  </si>
  <si>
    <t>STO ANTONIO</t>
  </si>
  <si>
    <t xml:space="preserve"> SANTA BRANCA</t>
  </si>
  <si>
    <t xml:space="preserve">LAJES </t>
  </si>
  <si>
    <t xml:space="preserve">STA CECILIA </t>
  </si>
  <si>
    <t xml:space="preserve"> SANTANA</t>
  </si>
  <si>
    <t>EDGARD SOUZA</t>
  </si>
  <si>
    <t xml:space="preserve"> MASCARENHAS</t>
  </si>
  <si>
    <t xml:space="preserve"> MAUA</t>
  </si>
  <si>
    <t>PONTE PEDRA</t>
  </si>
  <si>
    <t xml:space="preserve">SOBRAGI  </t>
  </si>
  <si>
    <t>STA CLARA MG</t>
  </si>
  <si>
    <t xml:space="preserve">LAJEADO </t>
  </si>
  <si>
    <t xml:space="preserve">PIRAJU </t>
  </si>
  <si>
    <t xml:space="preserve">OURINHOS </t>
  </si>
  <si>
    <t xml:space="preserve">ITIQUIRA I </t>
  </si>
  <si>
    <t xml:space="preserve">JAURU </t>
  </si>
  <si>
    <t>GUAPORE</t>
  </si>
  <si>
    <t xml:space="preserve">CORUMBA III </t>
  </si>
  <si>
    <t xml:space="preserve"> CORUMBA IV</t>
  </si>
  <si>
    <t xml:space="preserve">DARDANELOS </t>
  </si>
  <si>
    <t xml:space="preserve"> SERRA FACAO </t>
  </si>
  <si>
    <t xml:space="preserve">RONDON II </t>
  </si>
  <si>
    <t xml:space="preserve">JIRAU </t>
  </si>
  <si>
    <t xml:space="preserve"> NILO PECANHA</t>
  </si>
  <si>
    <t xml:space="preserve"> VIGARIO    </t>
  </si>
  <si>
    <t xml:space="preserve">FONTES A    </t>
  </si>
  <si>
    <t xml:space="preserve">FONTES BC </t>
  </si>
  <si>
    <t xml:space="preserve"> TRAICAO  </t>
  </si>
  <si>
    <t xml:space="preserve">PEDREIRA </t>
  </si>
  <si>
    <t xml:space="preserve"> HENRY BORDEN</t>
  </si>
  <si>
    <t xml:space="preserve">ITIQUIRA II </t>
  </si>
  <si>
    <t>A. VERMELHA</t>
  </si>
  <si>
    <t>E. DA CUNHA</t>
  </si>
  <si>
    <t>A.S.OLIVEIRA</t>
  </si>
  <si>
    <t>A.S. LIMA</t>
  </si>
  <si>
    <t>A.A. LAYDNER</t>
  </si>
  <si>
    <t>L.N. GARCEZ</t>
  </si>
  <si>
    <t>I. SOLT. EQV</t>
  </si>
  <si>
    <t>P. PRIMAVERA</t>
  </si>
  <si>
    <t>M. DE MORAES</t>
  </si>
  <si>
    <t xml:space="preserve"> P. COLOMBIA </t>
  </si>
  <si>
    <t>CACH.DOURADA</t>
  </si>
  <si>
    <t>P. ESTRELA</t>
  </si>
  <si>
    <t>FOZ R. CLARO</t>
  </si>
  <si>
    <t xml:space="preserve">P. PASSOS   </t>
  </si>
  <si>
    <t>Diretório de Saída</t>
  </si>
  <si>
    <t>% (mlt)</t>
  </si>
  <si>
    <t>Deck Entrada</t>
  </si>
  <si>
    <t>FERREIRA GOMES</t>
  </si>
  <si>
    <t>COARACY</t>
  </si>
  <si>
    <t>SANTO ANT. JARI</t>
  </si>
  <si>
    <t>VI</t>
  </si>
  <si>
    <t>QI</t>
  </si>
  <si>
    <t>CENÁRIO DE COMPARAÇÃO</t>
  </si>
  <si>
    <t>rv0</t>
  </si>
  <si>
    <t>rv1</t>
  </si>
  <si>
    <t>rv2</t>
  </si>
  <si>
    <t>rv3</t>
  </si>
  <si>
    <t>rv4</t>
  </si>
  <si>
    <t>ENA (%MLT)</t>
  </si>
  <si>
    <t>ENA BASE (%MLT)</t>
  </si>
  <si>
    <t>META</t>
  </si>
  <si>
    <t>CENÁRIO 1</t>
  </si>
  <si>
    <t>CENÁRIO 2</t>
  </si>
  <si>
    <t>CENÁRIO 3</t>
  </si>
  <si>
    <t>COD</t>
  </si>
  <si>
    <t>NOME</t>
  </si>
  <si>
    <t>BACIA</t>
  </si>
  <si>
    <t>RIO</t>
  </si>
  <si>
    <t>SITUAÇÃO</t>
  </si>
  <si>
    <t>TIPO DE SÉRIE</t>
  </si>
  <si>
    <t>FÓRMULA</t>
  </si>
  <si>
    <t>OBSERVAÇÃO</t>
  </si>
  <si>
    <t>Operação</t>
  </si>
  <si>
    <t>Natural</t>
  </si>
  <si>
    <t>MASCARENHAS DE MORAES</t>
  </si>
  <si>
    <t>PORTO COLOMBIA</t>
  </si>
  <si>
    <t>Pardo</t>
  </si>
  <si>
    <t>São Marcos</t>
  </si>
  <si>
    <t>Corumbá</t>
  </si>
  <si>
    <t>Araguari</t>
  </si>
  <si>
    <t>CACHOEIRA DOURADA</t>
  </si>
  <si>
    <t>Paraná</t>
  </si>
  <si>
    <t>Artificial</t>
  </si>
  <si>
    <t>= vaz(237) – 0,1 x [vaz(161) – vaz(117) – vaz(118)] – vaz(117) – vaz(118)</t>
  </si>
  <si>
    <t>Considera bombeamento para H.Borden</t>
  </si>
  <si>
    <t>= vaz(238) – 0,1 x [vaz(161) – vaz(117) – vaz(118)] – vaz(117) – vaz(118)</t>
  </si>
  <si>
    <t>= vaz(239) – 0,1 x [vaz(161) – vaz(117) – vaz(118)] – vaz(117) – vaz(118)</t>
  </si>
  <si>
    <t>= vaz(240) – 0,1 x [vaz(161) – vaz(117) – vaz(118)] – vaz(117) – vaz(118)</t>
  </si>
  <si>
    <t>NOVA AVANHANDAVA</t>
  </si>
  <si>
    <t>= vaz(242) – 0,1 x [vaz(161) – vaz(117) – vaz(118)] – vaz(117) – vaz(118)</t>
  </si>
  <si>
    <t>= vaz(243) – 0,1 x [vaz(161) – vaz(117) – vaz(118)] – vaz(117) – vaz(118)</t>
  </si>
  <si>
    <t>ILHA SOLTEIRA EQUIVALENTE</t>
  </si>
  <si>
    <t>Tietê e Paraná</t>
  </si>
  <si>
    <t>= vaz(244) – 0,1 x [vaz(161) – vaz(117) – vaz(118)] – vaz(117) – vaz(118)</t>
  </si>
  <si>
    <t>= vaz(245) – 0,1 x [vaz(161) – vaz(117) – vaz(118)] – vaz(117) – vaz(118)</t>
  </si>
  <si>
    <t>PORTO PRIMAVERA</t>
  </si>
  <si>
    <t>= vaz(246) – 0,1 x [vaz(161) – vaz(117) – vaz(118)] – vaz(117) – vaz(118)</t>
  </si>
  <si>
    <t>Paranapanema</t>
  </si>
  <si>
    <t>Tibagi</t>
  </si>
  <si>
    <t>= vaz(266) – 0,1 x [vaz(161) – vaz(117) – vaz(118)] – vaz(117) – vaz(118)</t>
  </si>
  <si>
    <t>JORDÃO</t>
  </si>
  <si>
    <t>Jordão e Iguaçu</t>
  </si>
  <si>
    <t>= vaz(73) – min(vaz(73) – 10 m³/s; 173,5 m³/s)</t>
  </si>
  <si>
    <t>Reduzida da vazão desviada para o rio Iguaçu a montante de Segredo</t>
  </si>
  <si>
    <t>SANTA CLARA PR</t>
  </si>
  <si>
    <t>Jordão</t>
  </si>
  <si>
    <t>Jordão/Iratim</t>
  </si>
  <si>
    <t>SEGREDO + DESVIO</t>
  </si>
  <si>
    <t>= vaz(76) + min(vaz(73) – 10 m³/s ; 173,5 m³/s)</t>
  </si>
  <si>
    <t>Acréscimo do Desvio Jordão a montante</t>
  </si>
  <si>
    <t>SALTO SANTIAGO</t>
  </si>
  <si>
    <t>BAIXO IGUAÇU</t>
  </si>
  <si>
    <t>Expansão</t>
  </si>
  <si>
    <t>SÃO ROQUE</t>
  </si>
  <si>
    <t>Canoas</t>
  </si>
  <si>
    <t>Passo Fundo</t>
  </si>
  <si>
    <t>FOZ CHAPECÓ</t>
  </si>
  <si>
    <t>Taquari-Antas</t>
  </si>
  <si>
    <t>Corrente</t>
  </si>
  <si>
    <t>Atlântico Sudeste</t>
  </si>
  <si>
    <t>Ijuí</t>
  </si>
  <si>
    <t>TRAIÇÃO</t>
  </si>
  <si>
    <t>Pinheiros</t>
  </si>
  <si>
    <t>= vaz(117) + vaz(118)</t>
  </si>
  <si>
    <t>PEDREIRA</t>
  </si>
  <si>
    <t>= vaz(118)</t>
  </si>
  <si>
    <t>JACUI</t>
  </si>
  <si>
    <t>DONA FRANCISCA</t>
  </si>
  <si>
    <t>CAPIVARI CACHOEIRA</t>
  </si>
  <si>
    <t>Capivari-Cachoeira</t>
  </si>
  <si>
    <t>PEDRAS</t>
  </si>
  <si>
    <t>Cubatão</t>
  </si>
  <si>
    <t>Rio das Pedras</t>
  </si>
  <si>
    <t>= vaz(119) – vaz(118)</t>
  </si>
  <si>
    <t>Guarapiranga</t>
  </si>
  <si>
    <t>BILLINGS + PEDRAS</t>
  </si>
  <si>
    <t>Tietê/Cubatão</t>
  </si>
  <si>
    <t>Pinheiros/Pedras</t>
  </si>
  <si>
    <t>= (vaz(118) – 0,185) / 0,8103</t>
  </si>
  <si>
    <t>Vazão natural formada pelo reservatório Billings considerando a contribuição do reservatório de Pedras</t>
  </si>
  <si>
    <t>Jaguari</t>
  </si>
  <si>
    <t>Paraibuna-Paraitinga</t>
  </si>
  <si>
    <t>SANTA CECILIA</t>
  </si>
  <si>
    <t>Se vaz(127) ≤ 430 m³/s então = max (0 ; vaz(127) – 90 m³/s)      Se vaz(127) ≥ 430 m³/s então = 340 m³/s</t>
  </si>
  <si>
    <t>Limitação de vazão máxima pelo túnel de desvio de vazão mínima na bacia.</t>
  </si>
  <si>
    <t>= vaz(129) – vaz(298) – vaz(203) + vaz(304)</t>
  </si>
  <si>
    <t>Desconto do bombeamento em Santa Cecília e acréscimo de vertimento de Santana</t>
  </si>
  <si>
    <t>NILO PECANHA</t>
  </si>
  <si>
    <t>Não definido</t>
  </si>
  <si>
    <t>= min(vaz(316) ; 144 m³/s)</t>
  </si>
  <si>
    <t>Limitado à máxima vazão defluente do reservatório de Vigário</t>
  </si>
  <si>
    <t>Ribeirão das Lajes</t>
  </si>
  <si>
    <t>= vaz(202) + min(vaz(201) ; 25 m³/s)</t>
  </si>
  <si>
    <t>Com acréscimo do Desvio em Tocos limitado em, no máximo, 25 m³/s</t>
  </si>
  <si>
    <t>Amazonas</t>
  </si>
  <si>
    <t>Comemoração</t>
  </si>
  <si>
    <t>São Francisco</t>
  </si>
  <si>
    <t>Paraopeba</t>
  </si>
  <si>
    <t>Preto</t>
  </si>
  <si>
    <t>PONTE NOVA</t>
  </si>
  <si>
    <t>EDGARD DE SOUZA COM TRIBUTÁRIOS</t>
  </si>
  <si>
    <t>EDGARD DE SOUZA SEM TRIBUTÁRIOS</t>
  </si>
  <si>
    <t>= vaz(161) – vaz(117) – vaz(118)</t>
  </si>
  <si>
    <t>Vazões de Edgard de Souza sem a contribuição do canal Pinheiros</t>
  </si>
  <si>
    <t>SOBRADINHO INCREMENTAL</t>
  </si>
  <si>
    <t>Vazões incrementais entre Três Marias e Sobradinho</t>
  </si>
  <si>
    <t>SOBRADINHO</t>
  </si>
  <si>
    <t>ITAPARICA INCREMENTAL</t>
  </si>
  <si>
    <t>Vazões incrementais entre Sobradinho e Itaparica</t>
  </si>
  <si>
    <t>= vaz(172)</t>
  </si>
  <si>
    <t>PAULO AFONSO</t>
  </si>
  <si>
    <t>COMPLEXO PAULO AFONSO –MOXOTÓ</t>
  </si>
  <si>
    <t>= vaz(173)</t>
  </si>
  <si>
    <t>ANTÔNIO DIAS+SÁ CARVALHO</t>
  </si>
  <si>
    <t>Piracicaba e Severo</t>
  </si>
  <si>
    <t>Jequitinhonha</t>
  </si>
  <si>
    <t>BOA ESPERANÇA</t>
  </si>
  <si>
    <t>Tocantins</t>
  </si>
  <si>
    <t>Peixe</t>
  </si>
  <si>
    <t>Paraibuna</t>
  </si>
  <si>
    <t>ITAOCARA</t>
  </si>
  <si>
    <t>Piraí</t>
  </si>
  <si>
    <t>LAJES / PEREIRA PASSOS / FONTES</t>
  </si>
  <si>
    <t>CACHOEIRA CALDEIRÃO</t>
  </si>
  <si>
    <t>CORUMBÁ 4</t>
  </si>
  <si>
    <t>CORUMBA 1</t>
  </si>
  <si>
    <t>Pelotas</t>
  </si>
  <si>
    <t>SALTO APIACÁS</t>
  </si>
  <si>
    <t>Apiacás</t>
  </si>
  <si>
    <t>SINOP</t>
  </si>
  <si>
    <t>Teles Pires</t>
  </si>
  <si>
    <t>COLIDER</t>
  </si>
  <si>
    <t>TELES PIRES</t>
  </si>
  <si>
    <t>SÃO MANOEL</t>
  </si>
  <si>
    <t>SALTO VERDINHO</t>
  </si>
  <si>
    <t>Verde</t>
  </si>
  <si>
    <t>= vaz(34) + vaz(243)</t>
  </si>
  <si>
    <t>CAÇU</t>
  </si>
  <si>
    <t>Claro</t>
  </si>
  <si>
    <t>BARRA DOS COQUEIROS</t>
  </si>
  <si>
    <t>Atlântico Leste</t>
  </si>
  <si>
    <t>MURTA</t>
  </si>
  <si>
    <t>ITIQUIRA I E II</t>
  </si>
  <si>
    <t>Itiquira</t>
  </si>
  <si>
    <t>GUILMAN-AMORIM</t>
  </si>
  <si>
    <t>Piracicaba</t>
  </si>
  <si>
    <t>Santo Antônio</t>
  </si>
  <si>
    <t>Uatumã</t>
  </si>
  <si>
    <t>ESTREITO TOCANTINS</t>
  </si>
  <si>
    <t>CURUA-UMA</t>
  </si>
  <si>
    <t>Curuá-Una</t>
  </si>
  <si>
    <t>Manso</t>
  </si>
  <si>
    <t>Jamari</t>
  </si>
  <si>
    <t>PONTE DE PEDRA</t>
  </si>
  <si>
    <t>Correntes</t>
  </si>
  <si>
    <t>SANTA CLARA MG</t>
  </si>
  <si>
    <t>Antas</t>
  </si>
  <si>
    <t>Madeira</t>
  </si>
  <si>
    <t>QUEBRA QUEIXO</t>
  </si>
  <si>
    <t>Chapecó</t>
  </si>
  <si>
    <t>BELO MONTE</t>
  </si>
  <si>
    <t>Xingu</t>
  </si>
  <si>
    <t>SANTO ANTONIO DO JARI</t>
  </si>
  <si>
    <t>Jari</t>
  </si>
  <si>
    <t>Aripuanã</t>
  </si>
  <si>
    <t>BELO MONTE  PRINCIPAL</t>
  </si>
  <si>
    <t>Série gerada a partir da diferença entre a série de vazão natural (posto 288) e alternância dos hidrogramas ecológicos começando pelo hidrograma B e os valores negativos obtidos substituídos por zero.</t>
  </si>
  <si>
    <t>BELO MONTE JUSANTE</t>
  </si>
  <si>
    <t>Série gerada a partir da soma entre 7% da vazão natural (posto 288) e alternância dos hidrogramas ecológicos começando pelo hidrograma B e acrescidos os valores negativos encontrados no posto 292.</t>
  </si>
  <si>
    <t>Jauru</t>
  </si>
  <si>
    <t>Guaporé</t>
  </si>
  <si>
    <t>SANTA CECÍLIA BOMBEAMENTO</t>
  </si>
  <si>
    <t>Se vaz(125) ≤ 190 m³/s então = [vaz(125) x 119 m³/s] / 190 m³/s       Se 190 m³/s ≤ vaz(125) ≤ 209 m³/s então = 119 m³/s     Se 209 m³/s ≤ vaz(125) ≤ 250 m³/s então = vaz(125) – 90 m³/s     Se vaz(125) ³ 250 m³/s</t>
  </si>
  <si>
    <t>Bombeamento em Santa Cecília</t>
  </si>
  <si>
    <t>ILHA DOS POMBOS</t>
  </si>
  <si>
    <t>= vaz(130) – vaz(298) – vaz(203) + vaz(304)</t>
  </si>
  <si>
    <t>POSTO NULO</t>
  </si>
  <si>
    <t>Série nula para postos onde originalmente não existia vazão</t>
  </si>
  <si>
    <t>BELO MONTE COMPLEMENTAR</t>
  </si>
  <si>
    <t>Série gerada a partir da soma dos vertimentos da casa de força principal e alternância dos hidrogramas ecológicos começando pelo hidrograma B e acrescidos os valores negativos encontrados no posto 292.</t>
  </si>
  <si>
    <t>= vaz(132) + min(vaz(316) – vaz(131) ; 51 m³/s])</t>
  </si>
  <si>
    <t>SANTANA vertimento</t>
  </si>
  <si>
    <t>= vaz(315) – vaz(316)</t>
  </si>
  <si>
    <t>= vaz(303) + vaz(131)</t>
  </si>
  <si>
    <t>Acréscimo de Nilo Peçanha</t>
  </si>
  <si>
    <t>= vaz(199) – vaz(298) – vaz(203) + vaz(304)</t>
  </si>
  <si>
    <t>= (vaz(203) – vaz(201)) + vaz(317) + vaz(298)</t>
  </si>
  <si>
    <t>= min(vaz(315); 190 m³/s)</t>
  </si>
  <si>
    <t>TOCOS vertimento</t>
  </si>
  <si>
    <t>= max[ 0; (vaz(201) – 25 m³/s)]</t>
  </si>
  <si>
    <t>Vazão restante no rio Piraí após desvio para Lajes</t>
  </si>
  <si>
    <t>HENRY BORDEN</t>
  </si>
  <si>
    <t>= vaz(116) + vaz(117) + vaz(118) + 0,1 x [vaz(161) – vaz(117) – vaz(118)]</t>
  </si>
  <si>
    <t>Vazão disponível em H.Borden contabilizando o possível de ser bombeado no Tietê e as retiradas para abastecimento nos reservatórios de Guarapiranga e Billings</t>
  </si>
  <si>
    <t>= vaz(117) + vaz(118) + 0,1 x [vaz(161) – vaz(117) – vaz(118)]</t>
  </si>
  <si>
    <t>Vazão desviada para H.Borden contabilizando o possível de ser bombeado no Tietê e as retiradas para abastecimento nos reservatórios de Guarapiranga e Billings</t>
  </si>
  <si>
    <t>USINA</t>
  </si>
  <si>
    <t>POSTO</t>
  </si>
  <si>
    <t>JORDÃO NAT.</t>
  </si>
  <si>
    <t>SEGREDO NAT.</t>
  </si>
  <si>
    <t>CAP.CACH.</t>
  </si>
  <si>
    <t>STA. CECILIA</t>
  </si>
  <si>
    <t>ANTA NAT.</t>
  </si>
  <si>
    <t>ILHA POMBOS NAT.</t>
  </si>
  <si>
    <t>E. DE SOUZA</t>
  </si>
  <si>
    <t>INCR.3M/SBD</t>
  </si>
  <si>
    <t>ITAPARICA DA SERRA</t>
  </si>
  <si>
    <t>LAJES NAT.</t>
  </si>
  <si>
    <t>SANTANA NAT.</t>
  </si>
  <si>
    <t>BARRA BONITA NAT.</t>
  </si>
  <si>
    <t>BARIRI NAT.</t>
  </si>
  <si>
    <t>IBITINGA NAT.</t>
  </si>
  <si>
    <t>PROMISSAO NAT.</t>
  </si>
  <si>
    <t>N.AVANHANDAVA NAT.</t>
  </si>
  <si>
    <t>TRES IRMAOS NAT.</t>
  </si>
  <si>
    <t>ILHA SOLTEIRA EQUIVALENTE NAT.</t>
  </si>
  <si>
    <t>JUPIA NAT.</t>
  </si>
  <si>
    <t>P.PRIMAVERA NAT.</t>
  </si>
  <si>
    <t>ITAIPU NAT.</t>
  </si>
  <si>
    <t>CURUÁ-UNA</t>
  </si>
  <si>
    <t>BILLINGS_ANTIGA</t>
  </si>
  <si>
    <t>ITAIPU ART.</t>
  </si>
  <si>
    <t>Constraint</t>
  </si>
  <si>
    <t xml:space="preserve">Bacia </t>
  </si>
  <si>
    <t>Rio</t>
  </si>
  <si>
    <t>119-118</t>
  </si>
  <si>
    <t>34+243</t>
  </si>
  <si>
    <t>169-156 ~~</t>
  </si>
  <si>
    <t>117+118</t>
  </si>
  <si>
    <t>(118-,185)/0,8103</t>
  </si>
  <si>
    <t>sIS</t>
  </si>
  <si>
    <t>M0</t>
  </si>
  <si>
    <t>M1</t>
  </si>
  <si>
    <t>M2</t>
  </si>
  <si>
    <t>M3</t>
  </si>
  <si>
    <t>M4</t>
  </si>
  <si>
    <t>Q1</t>
  </si>
  <si>
    <t>Q2</t>
  </si>
  <si>
    <t>Q3</t>
  </si>
  <si>
    <t>Q4</t>
  </si>
  <si>
    <t>Q6</t>
  </si>
  <si>
    <t>Q5</t>
  </si>
  <si>
    <t>QM1</t>
  </si>
  <si>
    <t>QM2</t>
  </si>
  <si>
    <t>QM3</t>
  </si>
  <si>
    <t>QM4</t>
  </si>
  <si>
    <t>QM5</t>
  </si>
  <si>
    <t>QM6</t>
  </si>
  <si>
    <t>AjusteSis</t>
  </si>
  <si>
    <t>AjusteBac</t>
  </si>
  <si>
    <t>bacia</t>
  </si>
  <si>
    <t>ajuste</t>
  </si>
  <si>
    <t>sistema</t>
  </si>
  <si>
    <t>QI1_1</t>
  </si>
  <si>
    <t>QI1_2</t>
  </si>
  <si>
    <t>QI1_3</t>
  </si>
  <si>
    <t>QI1_4</t>
  </si>
  <si>
    <t>QI1_5</t>
  </si>
  <si>
    <t>QI1_6</t>
  </si>
  <si>
    <t>QI_1</t>
  </si>
  <si>
    <t>QI_2</t>
  </si>
  <si>
    <t>QI_3</t>
  </si>
  <si>
    <t>QI_4</t>
  </si>
  <si>
    <t>QI_5</t>
  </si>
  <si>
    <t>QI_6</t>
  </si>
  <si>
    <t>Q1_1</t>
  </si>
  <si>
    <t>Q1_2</t>
  </si>
  <si>
    <t>Q1_3</t>
  </si>
  <si>
    <t>Q1_4</t>
  </si>
  <si>
    <t>Q1_5</t>
  </si>
  <si>
    <t>Q1_6</t>
  </si>
  <si>
    <t>S</t>
  </si>
  <si>
    <t>NE</t>
  </si>
  <si>
    <t>N</t>
  </si>
  <si>
    <t>SE/CO</t>
  </si>
  <si>
    <t>Bacia do Rio Araguari</t>
  </si>
  <si>
    <t>MLT (MWmes)</t>
  </si>
  <si>
    <t>v - 2015-05-21 11:05</t>
  </si>
  <si>
    <t>Mes Estudo</t>
  </si>
  <si>
    <t>Ano Estudo</t>
  </si>
  <si>
    <t>REV</t>
  </si>
  <si>
    <t>Base</t>
  </si>
  <si>
    <t>Seco</t>
  </si>
  <si>
    <t>Umido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</si>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</sst>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&quot;Sem &quot;0"/>
    <numFmt numFmtId="165" formatCode="0.0"/>
    <numFmt numFmtId="166" formatCode="000"/>
    <numFmt numFmtId="167" formatCode="0.0000"/>
    <numFmt numFmtId="168" formatCode="0.00000"/>
    <numFmt numFmtId="169" formatCode="0.0%"/>
    <numFmt numFmtId="170" formatCode="0.000"/>
    <numFmt numFmtId="171" formatCode="0.00000000"/>
    <numFmt numFmtId="172" formatCode="_(* #,##0.00_);_(* \(#,##0.00\);_(* &quot;-&quot;??_);_(@_)"/>
    <numFmt numFmtId="173" formatCode="_(* #,##0_);_(* \(#,##0\);_(* &quot;-&quot;??_);_(@_)"/>
    <numFmt numFmtId="174" formatCode="_-* #,##0_-;\-* #,##0_-;_-* &quot;-&quot;??_-;_-@_-"/>
  </numFmts>
  <fonts count="4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sz val="12"/>
      <color theme="0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b/>
      <sz val="20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3" tint="0.59999389629810485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1" tint="0.249977111117893"/>
      <name val="Arial"/>
      <family val="2"/>
    </font>
    <font>
      <sz val="8"/>
      <name val="Arial"/>
      <family val="2"/>
    </font>
    <font>
      <b/>
      <sz val="9"/>
      <color theme="1" tint="0.249977111117893"/>
      <name val="Arial"/>
      <family val="2"/>
    </font>
    <font>
      <sz val="8"/>
      <color theme="1" tint="0.249977111117893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9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6"/>
      <color theme="2" tint="-0.49998474074526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b/>
      <sz val="12"/>
      <color theme="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 style="medium">
        <color theme="2" tint="-0.499984740745262"/>
      </left>
      <right style="thin">
        <color theme="0"/>
      </right>
      <top style="medium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2" tint="-0.499984740745262"/>
      </top>
      <bottom style="thin">
        <color theme="0"/>
      </bottom>
      <diagonal/>
    </border>
    <border>
      <left style="medium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2" tint="-0.499984740745262"/>
      </left>
      <right style="thin">
        <color theme="0"/>
      </right>
      <top style="thin">
        <color theme="0"/>
      </top>
      <bottom style="medium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2" tint="-0.499984740745262"/>
      </bottom>
      <diagonal/>
    </border>
    <border>
      <left style="thin">
        <color theme="0"/>
      </left>
      <right/>
      <top style="medium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medium">
        <color theme="2" tint="-0.499984740745262"/>
      </top>
      <bottom style="thin">
        <color theme="0"/>
      </bottom>
      <diagonal/>
    </border>
    <border>
      <left style="thin">
        <color theme="0"/>
      </left>
      <right style="medium">
        <color theme="2" tint="-0.499984740745262"/>
      </right>
      <top style="medium">
        <color theme="2" tint="-0.499984740745262"/>
      </top>
      <bottom style="thin">
        <color theme="0"/>
      </bottom>
      <diagonal/>
    </border>
    <border>
      <left style="thin">
        <color theme="0"/>
      </left>
      <right style="medium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medium">
        <color theme="2" tint="-0.499984740745262"/>
      </bottom>
      <diagonal/>
    </border>
    <border>
      <left style="thin">
        <color theme="0"/>
      </left>
      <right style="medium">
        <color theme="2" tint="-0.499984740745262"/>
      </right>
      <top style="thin">
        <color theme="0"/>
      </top>
      <bottom style="medium">
        <color theme="2" tint="-0.499984740745262"/>
      </bottom>
      <diagonal/>
    </border>
    <border>
      <left/>
      <right style="thin">
        <color theme="0"/>
      </right>
      <top style="medium">
        <color theme="2" tint="-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0"/>
      </bottom>
      <diagonal/>
    </border>
    <border>
      <left/>
      <right/>
      <top style="thin">
        <color theme="2" tint="-0.499984740745262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/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/>
      <diagonal/>
    </border>
    <border>
      <left style="thin">
        <color theme="0"/>
      </left>
      <right/>
      <top style="thin">
        <color theme="2" tint="-0.499984740745262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medium">
        <color theme="2" tint="-0.499984740745262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1" tint="0.499984740745262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medium">
        <color theme="2" tint="-0.499984740745262"/>
      </right>
      <top style="thin">
        <color theme="0"/>
      </top>
      <bottom style="thin">
        <color theme="1" tint="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0"/>
      </bottom>
      <diagonal/>
    </border>
    <border>
      <left style="thin">
        <color theme="1" tint="0.34998626667073579"/>
      </left>
      <right style="thin">
        <color theme="0"/>
      </right>
      <top style="thin">
        <color theme="1" tint="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34998626667073579"/>
      </top>
      <bottom style="thin">
        <color theme="0"/>
      </bottom>
      <diagonal/>
    </border>
    <border>
      <left style="thin">
        <color theme="0"/>
      </left>
      <right style="thin">
        <color theme="1" tint="0.34998626667073579"/>
      </right>
      <top style="thin">
        <color theme="1" tint="0.34998626667073579"/>
      </top>
      <bottom style="thin">
        <color theme="0"/>
      </bottom>
      <diagonal/>
    </border>
    <border>
      <left style="thin">
        <color theme="1" tint="0.3499862666707357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34998626667073579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1" tint="0.34998626667073579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1" tint="0.34998626667073579"/>
      </bottom>
      <diagonal/>
    </border>
    <border>
      <left style="thin">
        <color indexed="64"/>
      </left>
      <right style="thin">
        <color theme="0"/>
      </right>
      <top style="thin">
        <color theme="1" tint="0.34998626667073579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1" tint="0.34998626667073579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72" fontId="29" fillId="0" borderId="0" applyFont="0" applyFill="0" applyBorder="0" applyAlignment="0" applyProtection="0"/>
  </cellStyleXfs>
  <cellXfs count="530">
    <xf numFmtId="0" fontId="0" fillId="0" borderId="0" xfId="0"/>
    <xf numFmtId="0" fontId="0" fillId="2" borderId="0" xfId="0" applyFill="1"/>
    <xf numFmtId="0" fontId="2" fillId="0" borderId="0" xfId="1" applyFont="1"/>
    <xf numFmtId="0" fontId="3" fillId="0" borderId="0" xfId="1" applyFont="1"/>
    <xf numFmtId="1" fontId="1" fillId="0" borderId="0" xfId="1" applyNumberFormat="1" applyAlignment="1">
      <alignment horizontal="left"/>
    </xf>
    <xf numFmtId="0" fontId="1" fillId="0" borderId="0" xfId="1"/>
    <xf numFmtId="0" fontId="4" fillId="0" borderId="0" xfId="1" applyFont="1"/>
    <xf numFmtId="0" fontId="1" fillId="0" borderId="0" xfId="1" applyFont="1"/>
    <xf numFmtId="0" fontId="5" fillId="0" borderId="1" xfId="1" applyFont="1" applyBorder="1" applyAlignment="1">
      <alignment horizontal="left"/>
    </xf>
    <xf numFmtId="0" fontId="5" fillId="0" borderId="0" xfId="1" applyFont="1" applyBorder="1" applyAlignment="1">
      <alignment horizontal="left"/>
    </xf>
    <xf numFmtId="0" fontId="6" fillId="0" borderId="0" xfId="1" quotePrefix="1" applyFont="1" applyBorder="1" applyAlignment="1">
      <alignment horizontal="center"/>
    </xf>
    <xf numFmtId="0" fontId="6" fillId="0" borderId="0" xfId="1" applyFont="1" applyBorder="1" applyAlignment="1">
      <alignment horizontal="left"/>
    </xf>
    <xf numFmtId="0" fontId="6" fillId="0" borderId="0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left" vertical="center"/>
    </xf>
    <xf numFmtId="3" fontId="6" fillId="0" borderId="1" xfId="1" applyNumberFormat="1" applyFont="1" applyBorder="1" applyAlignment="1">
      <alignment horizontal="center" vertical="center"/>
    </xf>
    <xf numFmtId="3" fontId="3" fillId="3" borderId="1" xfId="1" applyNumberFormat="1" applyFont="1" applyFill="1" applyBorder="1" applyAlignment="1">
      <alignment horizontal="center" vertical="center"/>
    </xf>
    <xf numFmtId="3" fontId="3" fillId="3" borderId="1" xfId="2" applyNumberFormat="1" applyFont="1" applyFill="1" applyBorder="1" applyAlignment="1">
      <alignment horizontal="center" vertical="center"/>
    </xf>
    <xf numFmtId="0" fontId="6" fillId="0" borderId="0" xfId="1" applyFont="1" applyBorder="1" applyAlignment="1">
      <alignment horizontal="left" vertical="center"/>
    </xf>
    <xf numFmtId="3" fontId="6" fillId="0" borderId="0" xfId="1" applyNumberFormat="1" applyFont="1" applyBorder="1" applyAlignment="1">
      <alignment horizontal="center" vertical="center"/>
    </xf>
    <xf numFmtId="3" fontId="3" fillId="3" borderId="0" xfId="1" applyNumberFormat="1" applyFont="1" applyFill="1" applyBorder="1" applyAlignment="1">
      <alignment horizontal="center" vertical="center"/>
    </xf>
    <xf numFmtId="3" fontId="3" fillId="3" borderId="0" xfId="2" applyNumberFormat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left" vertical="center"/>
    </xf>
    <xf numFmtId="3" fontId="6" fillId="0" borderId="2" xfId="1" applyNumberFormat="1" applyFont="1" applyBorder="1" applyAlignment="1">
      <alignment horizontal="center" vertical="center"/>
    </xf>
    <xf numFmtId="3" fontId="3" fillId="3" borderId="2" xfId="1" applyNumberFormat="1" applyFont="1" applyFill="1" applyBorder="1" applyAlignment="1">
      <alignment horizontal="center" vertical="center"/>
    </xf>
    <xf numFmtId="3" fontId="3" fillId="3" borderId="2" xfId="2" applyNumberFormat="1" applyFont="1" applyFill="1" applyBorder="1" applyAlignment="1">
      <alignment horizontal="center" vertical="center"/>
    </xf>
    <xf numFmtId="1" fontId="1" fillId="0" borderId="0" xfId="1" applyNumberFormat="1" applyAlignment="1"/>
    <xf numFmtId="1" fontId="4" fillId="0" borderId="0" xfId="1" applyNumberFormat="1" applyFont="1" applyAlignment="1"/>
    <xf numFmtId="0" fontId="2" fillId="0" borderId="0" xfId="1" applyFont="1" applyAlignment="1">
      <alignment horizontal="right"/>
    </xf>
    <xf numFmtId="0" fontId="7" fillId="0" borderId="0" xfId="1" applyFont="1"/>
    <xf numFmtId="0" fontId="2" fillId="0" borderId="0" xfId="1" applyFont="1" applyAlignment="1">
      <alignment horizontal="left"/>
    </xf>
    <xf numFmtId="0" fontId="8" fillId="0" borderId="0" xfId="1" applyFont="1"/>
    <xf numFmtId="0" fontId="9" fillId="0" borderId="1" xfId="1" applyFont="1" applyBorder="1" applyAlignment="1">
      <alignment horizontal="left" vertical="center"/>
    </xf>
    <xf numFmtId="0" fontId="9" fillId="0" borderId="0" xfId="1" applyFont="1" applyBorder="1" applyAlignment="1">
      <alignment horizontal="left" vertical="center"/>
    </xf>
    <xf numFmtId="0" fontId="9" fillId="0" borderId="0" xfId="1" applyFont="1" applyBorder="1" applyAlignment="1">
      <alignment horizontal="center" vertical="center"/>
    </xf>
    <xf numFmtId="3" fontId="6" fillId="0" borderId="1" xfId="1" applyNumberFormat="1" applyFont="1" applyFill="1" applyBorder="1" applyAlignment="1">
      <alignment horizontal="center" vertical="center"/>
    </xf>
    <xf numFmtId="1" fontId="3" fillId="3" borderId="1" xfId="2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/>
    </xf>
    <xf numFmtId="1" fontId="3" fillId="3" borderId="0" xfId="2" applyNumberFormat="1" applyFont="1" applyFill="1" applyBorder="1" applyAlignment="1">
      <alignment horizontal="center" vertical="center"/>
    </xf>
    <xf numFmtId="0" fontId="9" fillId="0" borderId="0" xfId="1" quotePrefix="1" applyFont="1" applyBorder="1" applyAlignment="1">
      <alignment horizontal="left" vertical="center"/>
    </xf>
    <xf numFmtId="0" fontId="9" fillId="0" borderId="2" xfId="1" applyFont="1" applyBorder="1" applyAlignment="1">
      <alignment horizontal="left" vertical="center"/>
    </xf>
    <xf numFmtId="3" fontId="6" fillId="0" borderId="2" xfId="1" applyNumberFormat="1" applyFont="1" applyFill="1" applyBorder="1" applyAlignment="1">
      <alignment horizontal="center" vertical="center"/>
    </xf>
    <xf numFmtId="1" fontId="3" fillId="3" borderId="2" xfId="2" applyNumberFormat="1" applyFont="1" applyFill="1" applyBorder="1" applyAlignment="1">
      <alignment horizontal="center" vertical="center"/>
    </xf>
    <xf numFmtId="0" fontId="1" fillId="0" borderId="0" xfId="1" applyAlignment="1">
      <alignment horizontal="left"/>
    </xf>
    <xf numFmtId="0" fontId="9" fillId="0" borderId="1" xfId="1" quotePrefix="1" applyFont="1" applyBorder="1" applyAlignment="1">
      <alignment horizontal="left" vertical="center"/>
    </xf>
    <xf numFmtId="0" fontId="9" fillId="0" borderId="0" xfId="1" quotePrefix="1" applyFont="1" applyBorder="1" applyAlignment="1">
      <alignment horizontal="center" vertical="center"/>
    </xf>
    <xf numFmtId="0" fontId="1" fillId="2" borderId="0" xfId="1" applyFill="1" applyAlignment="1">
      <alignment horizontal="left"/>
    </xf>
    <xf numFmtId="0" fontId="1" fillId="2" borderId="0" xfId="1" applyFill="1"/>
    <xf numFmtId="0" fontId="4" fillId="2" borderId="0" xfId="1" applyFont="1" applyFill="1"/>
    <xf numFmtId="0" fontId="1" fillId="2" borderId="0" xfId="1" applyFont="1" applyFill="1"/>
    <xf numFmtId="0" fontId="0" fillId="2" borderId="0" xfId="0" applyFill="1" applyAlignment="1">
      <alignment horizontal="center"/>
    </xf>
    <xf numFmtId="1" fontId="11" fillId="5" borderId="4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4" fontId="14" fillId="6" borderId="4" xfId="0" applyNumberFormat="1" applyFont="1" applyFill="1" applyBorder="1" applyAlignment="1">
      <alignment horizontal="center" vertical="center"/>
    </xf>
    <xf numFmtId="164" fontId="10" fillId="6" borderId="4" xfId="0" applyNumberFormat="1" applyFont="1" applyFill="1" applyBorder="1" applyAlignment="1">
      <alignment horizontal="center" vertical="center" wrapText="1"/>
    </xf>
    <xf numFmtId="14" fontId="18" fillId="6" borderId="4" xfId="0" applyNumberFormat="1" applyFont="1" applyFill="1" applyBorder="1" applyAlignment="1">
      <alignment horizontal="center" vertical="center"/>
    </xf>
    <xf numFmtId="3" fontId="19" fillId="7" borderId="4" xfId="1" applyNumberFormat="1" applyFont="1" applyFill="1" applyBorder="1" applyAlignment="1">
      <alignment horizontal="center"/>
    </xf>
    <xf numFmtId="3" fontId="21" fillId="7" borderId="4" xfId="1" applyNumberFormat="1" applyFont="1" applyFill="1" applyBorder="1" applyAlignment="1">
      <alignment horizontal="center"/>
    </xf>
    <xf numFmtId="166" fontId="3" fillId="0" borderId="0" xfId="1" applyNumberFormat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16" fontId="3" fillId="0" borderId="0" xfId="1" applyNumberFormat="1" applyFont="1" applyBorder="1" applyAlignment="1">
      <alignment horizontal="center"/>
    </xf>
    <xf numFmtId="1" fontId="3" fillId="0" borderId="0" xfId="1" applyNumberFormat="1" applyFont="1" applyBorder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166" fontId="23" fillId="0" borderId="0" xfId="1" applyNumberFormat="1" applyFont="1" applyBorder="1" applyAlignment="1">
      <alignment horizontal="center"/>
    </xf>
    <xf numFmtId="0" fontId="23" fillId="0" borderId="0" xfId="1" applyFont="1" applyBorder="1" applyAlignment="1">
      <alignment horizontal="center"/>
    </xf>
    <xf numFmtId="16" fontId="23" fillId="0" borderId="0" xfId="1" applyNumberFormat="1" applyFont="1" applyBorder="1" applyAlignment="1">
      <alignment horizontal="center"/>
    </xf>
    <xf numFmtId="1" fontId="23" fillId="0" borderId="0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5" fillId="2" borderId="0" xfId="0" applyFont="1" applyFill="1" applyAlignment="1">
      <alignment vertical="center"/>
    </xf>
    <xf numFmtId="164" fontId="10" fillId="6" borderId="7" xfId="0" applyNumberFormat="1" applyFont="1" applyFill="1" applyBorder="1" applyAlignment="1">
      <alignment horizontal="center" vertical="center" wrapText="1"/>
    </xf>
    <xf numFmtId="164" fontId="10" fillId="6" borderId="8" xfId="0" applyNumberFormat="1" applyFont="1" applyFill="1" applyBorder="1" applyAlignment="1">
      <alignment horizontal="center" vertical="center" wrapText="1"/>
    </xf>
    <xf numFmtId="164" fontId="10" fillId="6" borderId="9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26" fillId="5" borderId="17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23" xfId="0" applyFont="1" applyFill="1" applyBorder="1" applyAlignment="1">
      <alignment horizontal="center" vertical="center"/>
    </xf>
    <xf numFmtId="0" fontId="26" fillId="5" borderId="24" xfId="0" applyFont="1" applyFill="1" applyBorder="1" applyAlignment="1">
      <alignment horizontal="center" vertical="center"/>
    </xf>
    <xf numFmtId="0" fontId="26" fillId="5" borderId="29" xfId="0" applyFont="1" applyFill="1" applyBorder="1" applyAlignment="1">
      <alignment horizontal="center" vertical="center"/>
    </xf>
    <xf numFmtId="0" fontId="26" fillId="5" borderId="19" xfId="0" applyFont="1" applyFill="1" applyBorder="1" applyAlignment="1">
      <alignment horizontal="center" vertical="center"/>
    </xf>
    <xf numFmtId="0" fontId="26" fillId="5" borderId="4" xfId="0" applyFont="1" applyFill="1" applyBorder="1" applyAlignment="1">
      <alignment horizontal="center" vertical="center"/>
    </xf>
    <xf numFmtId="168" fontId="26" fillId="5" borderId="5" xfId="0" applyNumberFormat="1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25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26" fillId="5" borderId="20" xfId="0" applyFont="1" applyFill="1" applyBorder="1" applyAlignment="1">
      <alignment horizontal="center" vertical="center"/>
    </xf>
    <xf numFmtId="0" fontId="26" fillId="5" borderId="27" xfId="0" applyFont="1" applyFill="1" applyBorder="1" applyAlignment="1">
      <alignment horizontal="center" vertical="center"/>
    </xf>
    <xf numFmtId="0" fontId="26" fillId="5" borderId="21" xfId="0" applyFont="1" applyFill="1" applyBorder="1" applyAlignment="1">
      <alignment horizontal="center" vertical="center"/>
    </xf>
    <xf numFmtId="0" fontId="26" fillId="5" borderId="28" xfId="0" applyFont="1" applyFill="1" applyBorder="1" applyAlignment="1">
      <alignment horizontal="center" vertical="center"/>
    </xf>
    <xf numFmtId="0" fontId="26" fillId="5" borderId="30" xfId="0" applyFont="1" applyFill="1" applyBorder="1" applyAlignment="1">
      <alignment horizontal="center" vertical="center"/>
    </xf>
    <xf numFmtId="0" fontId="26" fillId="5" borderId="22" xfId="0" applyFont="1" applyFill="1" applyBorder="1" applyAlignment="1">
      <alignment horizontal="center" vertical="center"/>
    </xf>
    <xf numFmtId="0" fontId="26" fillId="5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26" fillId="5" borderId="26" xfId="0" applyFont="1" applyFill="1" applyBorder="1" applyAlignment="1">
      <alignment horizontal="center" vertical="center"/>
    </xf>
    <xf numFmtId="165" fontId="26" fillId="5" borderId="6" xfId="0" applyNumberFormat="1" applyFont="1" applyFill="1" applyBorder="1" applyAlignment="1">
      <alignment horizontal="center" vertical="center"/>
    </xf>
    <xf numFmtId="165" fontId="26" fillId="5" borderId="4" xfId="0" applyNumberFormat="1" applyFont="1" applyFill="1" applyBorder="1" applyAlignment="1">
      <alignment horizontal="center" vertical="center"/>
    </xf>
    <xf numFmtId="3" fontId="19" fillId="7" borderId="10" xfId="1" applyNumberFormat="1" applyFont="1" applyFill="1" applyBorder="1" applyAlignment="1">
      <alignment horizontal="center"/>
    </xf>
    <xf numFmtId="3" fontId="19" fillId="7" borderId="11" xfId="1" applyNumberFormat="1" applyFont="1" applyFill="1" applyBorder="1" applyAlignment="1">
      <alignment horizontal="center"/>
    </xf>
    <xf numFmtId="3" fontId="19" fillId="7" borderId="12" xfId="1" applyNumberFormat="1" applyFont="1" applyFill="1" applyBorder="1" applyAlignment="1">
      <alignment horizontal="center"/>
    </xf>
    <xf numFmtId="3" fontId="19" fillId="7" borderId="13" xfId="1" applyNumberFormat="1" applyFont="1" applyFill="1" applyBorder="1" applyAlignment="1">
      <alignment horizontal="center"/>
    </xf>
    <xf numFmtId="3" fontId="19" fillId="7" borderId="14" xfId="1" applyNumberFormat="1" applyFont="1" applyFill="1" applyBorder="1" applyAlignment="1">
      <alignment horizontal="center"/>
    </xf>
    <xf numFmtId="166" fontId="17" fillId="4" borderId="10" xfId="1" applyNumberFormat="1" applyFont="1" applyFill="1" applyBorder="1" applyAlignment="1">
      <alignment horizontal="center"/>
    </xf>
    <xf numFmtId="0" fontId="17" fillId="4" borderId="11" xfId="1" applyFont="1" applyFill="1" applyBorder="1" applyAlignment="1">
      <alignment horizontal="center"/>
    </xf>
    <xf numFmtId="166" fontId="19" fillId="5" borderId="10" xfId="1" applyNumberFormat="1" applyFont="1" applyFill="1" applyBorder="1" applyAlignment="1">
      <alignment horizontal="center"/>
    </xf>
    <xf numFmtId="0" fontId="19" fillId="5" borderId="11" xfId="1" applyFont="1" applyFill="1" applyBorder="1" applyAlignment="1">
      <alignment horizontal="center"/>
    </xf>
    <xf numFmtId="166" fontId="23" fillId="7" borderId="10" xfId="1" applyNumberFormat="1" applyFont="1" applyFill="1" applyBorder="1" applyAlignment="1">
      <alignment horizontal="center"/>
    </xf>
    <xf numFmtId="0" fontId="19" fillId="7" borderId="11" xfId="1" applyFont="1" applyFill="1" applyBorder="1" applyAlignment="1">
      <alignment horizontal="center"/>
    </xf>
    <xf numFmtId="166" fontId="23" fillId="7" borderId="12" xfId="1" applyNumberFormat="1" applyFont="1" applyFill="1" applyBorder="1" applyAlignment="1">
      <alignment horizontal="center"/>
    </xf>
    <xf numFmtId="0" fontId="19" fillId="7" borderId="14" xfId="1" applyFont="1" applyFill="1" applyBorder="1" applyAlignment="1">
      <alignment horizontal="center"/>
    </xf>
    <xf numFmtId="166" fontId="17" fillId="4" borderId="7" xfId="1" applyNumberFormat="1" applyFont="1" applyFill="1" applyBorder="1" applyAlignment="1">
      <alignment horizontal="center"/>
    </xf>
    <xf numFmtId="0" fontId="17" fillId="4" borderId="9" xfId="1" applyFont="1" applyFill="1" applyBorder="1" applyAlignment="1">
      <alignment horizontal="center"/>
    </xf>
    <xf numFmtId="3" fontId="26" fillId="5" borderId="4" xfId="0" applyNumberFormat="1" applyFont="1" applyFill="1" applyBorder="1" applyAlignment="1">
      <alignment horizontal="center" vertical="center"/>
    </xf>
    <xf numFmtId="2" fontId="0" fillId="2" borderId="0" xfId="0" applyNumberFormat="1" applyFill="1"/>
    <xf numFmtId="0" fontId="12" fillId="2" borderId="0" xfId="0" applyFont="1" applyFill="1" applyAlignment="1">
      <alignment horizontal="center"/>
    </xf>
    <xf numFmtId="14" fontId="15" fillId="2" borderId="0" xfId="0" applyNumberFormat="1" applyFont="1" applyFill="1" applyAlignment="1">
      <alignment horizontal="center"/>
    </xf>
    <xf numFmtId="0" fontId="0" fillId="2" borderId="4" xfId="0" applyFill="1" applyBorder="1" applyAlignment="1">
      <alignment vertical="center"/>
    </xf>
    <xf numFmtId="0" fontId="30" fillId="4" borderId="4" xfId="3" applyNumberFormat="1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3" fontId="28" fillId="5" borderId="4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33" fillId="2" borderId="49" xfId="0" applyFont="1" applyFill="1" applyBorder="1" applyAlignment="1">
      <alignment horizontal="center" vertical="center"/>
    </xf>
    <xf numFmtId="0" fontId="33" fillId="2" borderId="50" xfId="0" applyFont="1" applyFill="1" applyBorder="1" applyAlignment="1">
      <alignment horizontal="center" vertical="center"/>
    </xf>
    <xf numFmtId="0" fontId="33" fillId="2" borderId="51" xfId="0" applyFont="1" applyFill="1" applyBorder="1" applyAlignment="1">
      <alignment horizontal="center" vertical="center"/>
    </xf>
    <xf numFmtId="14" fontId="34" fillId="6" borderId="41" xfId="0" applyNumberFormat="1" applyFont="1" applyFill="1" applyBorder="1" applyAlignment="1">
      <alignment horizontal="center" vertical="center"/>
    </xf>
    <xf numFmtId="14" fontId="34" fillId="6" borderId="42" xfId="0" applyNumberFormat="1" applyFont="1" applyFill="1" applyBorder="1" applyAlignment="1">
      <alignment horizontal="center" vertical="center"/>
    </xf>
    <xf numFmtId="14" fontId="34" fillId="6" borderId="43" xfId="0" applyNumberFormat="1" applyFont="1" applyFill="1" applyBorder="1" applyAlignment="1">
      <alignment horizontal="center" vertical="center"/>
    </xf>
    <xf numFmtId="14" fontId="34" fillId="6" borderId="44" xfId="0" applyNumberFormat="1" applyFont="1" applyFill="1" applyBorder="1" applyAlignment="1">
      <alignment horizontal="center" vertical="center"/>
    </xf>
    <xf numFmtId="14" fontId="34" fillId="6" borderId="4" xfId="0" applyNumberFormat="1" applyFont="1" applyFill="1" applyBorder="1" applyAlignment="1">
      <alignment horizontal="center" vertical="center"/>
    </xf>
    <xf numFmtId="14" fontId="34" fillId="6" borderId="45" xfId="0" applyNumberFormat="1" applyFont="1" applyFill="1" applyBorder="1" applyAlignment="1">
      <alignment horizontal="center" vertical="center"/>
    </xf>
    <xf numFmtId="164" fontId="34" fillId="6" borderId="46" xfId="0" applyNumberFormat="1" applyFont="1" applyFill="1" applyBorder="1" applyAlignment="1">
      <alignment horizontal="center" vertical="center" wrapText="1"/>
    </xf>
    <xf numFmtId="164" fontId="34" fillId="6" borderId="47" xfId="0" applyNumberFormat="1" applyFont="1" applyFill="1" applyBorder="1" applyAlignment="1">
      <alignment horizontal="center" vertical="center" wrapText="1"/>
    </xf>
    <xf numFmtId="164" fontId="34" fillId="6" borderId="48" xfId="0" applyNumberFormat="1" applyFont="1" applyFill="1" applyBorder="1" applyAlignment="1">
      <alignment horizontal="center" vertical="center" wrapText="1"/>
    </xf>
    <xf numFmtId="164" fontId="10" fillId="6" borderId="38" xfId="0" applyNumberFormat="1" applyFont="1" applyFill="1" applyBorder="1" applyAlignment="1">
      <alignment horizontal="center" vertical="center" wrapText="1"/>
    </xf>
    <xf numFmtId="164" fontId="10" fillId="6" borderId="52" xfId="0" applyNumberFormat="1" applyFont="1" applyFill="1" applyBorder="1" applyAlignment="1">
      <alignment horizontal="center" vertical="center" wrapText="1"/>
    </xf>
    <xf numFmtId="164" fontId="10" fillId="6" borderId="53" xfId="0" applyNumberFormat="1" applyFont="1" applyFill="1" applyBorder="1" applyAlignment="1">
      <alignment horizontal="center" vertical="center" wrapText="1"/>
    </xf>
    <xf numFmtId="164" fontId="10" fillId="6" borderId="39" xfId="0" applyNumberFormat="1" applyFont="1" applyFill="1" applyBorder="1" applyAlignment="1">
      <alignment horizontal="center" vertical="center" wrapText="1"/>
    </xf>
    <xf numFmtId="164" fontId="10" fillId="6" borderId="54" xfId="0" applyNumberFormat="1" applyFont="1" applyFill="1" applyBorder="1" applyAlignment="1">
      <alignment horizontal="center" vertical="center" wrapText="1"/>
    </xf>
    <xf numFmtId="164" fontId="10" fillId="6" borderId="37" xfId="0" applyNumberFormat="1" applyFont="1" applyFill="1" applyBorder="1" applyAlignment="1">
      <alignment horizontal="center" vertical="center" wrapText="1"/>
    </xf>
    <xf numFmtId="0" fontId="26" fillId="5" borderId="55" xfId="0" applyFont="1" applyFill="1" applyBorder="1" applyAlignment="1">
      <alignment horizontal="center" vertical="center"/>
    </xf>
    <xf numFmtId="0" fontId="26" fillId="5" borderId="56" xfId="0" applyFont="1" applyFill="1" applyBorder="1" applyAlignment="1">
      <alignment horizontal="center" vertical="center"/>
    </xf>
    <xf numFmtId="0" fontId="26" fillId="5" borderId="57" xfId="0" applyFont="1" applyFill="1" applyBorder="1" applyAlignment="1">
      <alignment horizontal="center" vertical="center"/>
    </xf>
    <xf numFmtId="168" fontId="26" fillId="5" borderId="57" xfId="0" applyNumberFormat="1" applyFont="1" applyFill="1" applyBorder="1" applyAlignment="1">
      <alignment horizontal="center" vertical="center"/>
    </xf>
    <xf numFmtId="0" fontId="26" fillId="5" borderId="58" xfId="0" applyFont="1" applyFill="1" applyBorder="1" applyAlignment="1">
      <alignment horizontal="center" vertical="center"/>
    </xf>
    <xf numFmtId="0" fontId="26" fillId="5" borderId="59" xfId="0" applyFont="1" applyFill="1" applyBorder="1" applyAlignment="1">
      <alignment horizontal="center" vertical="center"/>
    </xf>
    <xf numFmtId="165" fontId="26" fillId="5" borderId="60" xfId="0" applyNumberFormat="1" applyFont="1" applyFill="1" applyBorder="1" applyAlignment="1">
      <alignment horizontal="center" vertical="center"/>
    </xf>
    <xf numFmtId="165" fontId="26" fillId="5" borderId="56" xfId="0" applyNumberFormat="1" applyFont="1" applyFill="1" applyBorder="1" applyAlignment="1">
      <alignment horizontal="center" vertical="center"/>
    </xf>
    <xf numFmtId="165" fontId="26" fillId="5" borderId="61" xfId="0" applyNumberFormat="1" applyFont="1" applyFill="1" applyBorder="1" applyAlignment="1">
      <alignment horizontal="center" vertical="center"/>
    </xf>
    <xf numFmtId="0" fontId="26" fillId="5" borderId="62" xfId="0" applyFont="1" applyFill="1" applyBorder="1" applyAlignment="1">
      <alignment horizontal="center" vertical="center"/>
    </xf>
    <xf numFmtId="165" fontId="26" fillId="5" borderId="63" xfId="0" applyNumberFormat="1" applyFont="1" applyFill="1" applyBorder="1" applyAlignment="1">
      <alignment horizontal="center" vertical="center"/>
    </xf>
    <xf numFmtId="0" fontId="26" fillId="5" borderId="64" xfId="0" applyFont="1" applyFill="1" applyBorder="1" applyAlignment="1">
      <alignment horizontal="center" vertical="center"/>
    </xf>
    <xf numFmtId="0" fontId="26" fillId="5" borderId="65" xfId="0" applyFont="1" applyFill="1" applyBorder="1" applyAlignment="1">
      <alignment horizontal="center" vertical="center"/>
    </xf>
    <xf numFmtId="0" fontId="26" fillId="5" borderId="66" xfId="0" applyFont="1" applyFill="1" applyBorder="1" applyAlignment="1">
      <alignment horizontal="center" vertical="center"/>
    </xf>
    <xf numFmtId="168" fontId="26" fillId="5" borderId="66" xfId="0" applyNumberFormat="1" applyFont="1" applyFill="1" applyBorder="1" applyAlignment="1">
      <alignment horizontal="center" vertical="center"/>
    </xf>
    <xf numFmtId="0" fontId="26" fillId="5" borderId="67" xfId="0" applyFont="1" applyFill="1" applyBorder="1" applyAlignment="1">
      <alignment horizontal="center" vertical="center"/>
    </xf>
    <xf numFmtId="0" fontId="26" fillId="5" borderId="68" xfId="0" applyFont="1" applyFill="1" applyBorder="1" applyAlignment="1">
      <alignment horizontal="center" vertical="center"/>
    </xf>
    <xf numFmtId="165" fontId="26" fillId="5" borderId="65" xfId="0" applyNumberFormat="1" applyFont="1" applyFill="1" applyBorder="1" applyAlignment="1">
      <alignment horizontal="center" vertical="center"/>
    </xf>
    <xf numFmtId="165" fontId="26" fillId="5" borderId="70" xfId="0" applyNumberFormat="1" applyFont="1" applyFill="1" applyBorder="1" applyAlignment="1">
      <alignment horizontal="center" vertical="center"/>
    </xf>
    <xf numFmtId="166" fontId="19" fillId="5" borderId="62" xfId="1" applyNumberFormat="1" applyFont="1" applyFill="1" applyBorder="1" applyAlignment="1">
      <alignment horizontal="center"/>
    </xf>
    <xf numFmtId="0" fontId="19" fillId="5" borderId="63" xfId="1" applyFont="1" applyFill="1" applyBorder="1" applyAlignment="1">
      <alignment horizontal="center"/>
    </xf>
    <xf numFmtId="166" fontId="6" fillId="7" borderId="62" xfId="1" applyNumberFormat="1" applyFont="1" applyFill="1" applyBorder="1" applyAlignment="1">
      <alignment horizontal="center"/>
    </xf>
    <xf numFmtId="0" fontId="19" fillId="7" borderId="63" xfId="1" applyFont="1" applyFill="1" applyBorder="1" applyAlignment="1">
      <alignment horizontal="center"/>
    </xf>
    <xf numFmtId="166" fontId="6" fillId="7" borderId="64" xfId="1" applyNumberFormat="1" applyFont="1" applyFill="1" applyBorder="1" applyAlignment="1">
      <alignment horizontal="center"/>
    </xf>
    <xf numFmtId="0" fontId="19" fillId="7" borderId="70" xfId="1" applyFont="1" applyFill="1" applyBorder="1" applyAlignment="1">
      <alignment horizontal="center"/>
    </xf>
    <xf numFmtId="14" fontId="18" fillId="8" borderId="4" xfId="0" applyNumberFormat="1" applyFont="1" applyFill="1" applyBorder="1" applyAlignment="1">
      <alignment horizontal="center" vertical="center"/>
    </xf>
    <xf numFmtId="166" fontId="16" fillId="4" borderId="55" xfId="1" applyNumberFormat="1" applyFont="1" applyFill="1" applyBorder="1" applyAlignment="1">
      <alignment horizontal="center"/>
    </xf>
    <xf numFmtId="0" fontId="16" fillId="4" borderId="61" xfId="1" applyFont="1" applyFill="1" applyBorder="1" applyAlignment="1">
      <alignment horizontal="center"/>
    </xf>
    <xf numFmtId="166" fontId="21" fillId="7" borderId="62" xfId="1" applyNumberFormat="1" applyFont="1" applyFill="1" applyBorder="1" applyAlignment="1">
      <alignment horizontal="center"/>
    </xf>
    <xf numFmtId="0" fontId="21" fillId="7" borderId="63" xfId="1" applyFont="1" applyFill="1" applyBorder="1" applyAlignment="1">
      <alignment horizontal="center"/>
    </xf>
    <xf numFmtId="166" fontId="21" fillId="7" borderId="64" xfId="1" applyNumberFormat="1" applyFont="1" applyFill="1" applyBorder="1" applyAlignment="1">
      <alignment horizontal="center"/>
    </xf>
    <xf numFmtId="0" fontId="21" fillId="7" borderId="70" xfId="1" applyFont="1" applyFill="1" applyBorder="1" applyAlignment="1">
      <alignment horizontal="center"/>
    </xf>
    <xf numFmtId="3" fontId="21" fillId="7" borderId="62" xfId="1" applyNumberFormat="1" applyFont="1" applyFill="1" applyBorder="1" applyAlignment="1">
      <alignment horizontal="center"/>
    </xf>
    <xf numFmtId="3" fontId="21" fillId="7" borderId="63" xfId="1" applyNumberFormat="1" applyFont="1" applyFill="1" applyBorder="1" applyAlignment="1">
      <alignment horizontal="center"/>
    </xf>
    <xf numFmtId="3" fontId="21" fillId="7" borderId="64" xfId="1" applyNumberFormat="1" applyFont="1" applyFill="1" applyBorder="1" applyAlignment="1">
      <alignment horizontal="center"/>
    </xf>
    <xf numFmtId="3" fontId="21" fillId="7" borderId="65" xfId="1" applyNumberFormat="1" applyFont="1" applyFill="1" applyBorder="1" applyAlignment="1">
      <alignment horizontal="center"/>
    </xf>
    <xf numFmtId="3" fontId="21" fillId="7" borderId="70" xfId="1" applyNumberFormat="1" applyFont="1" applyFill="1" applyBorder="1" applyAlignment="1">
      <alignment horizontal="center"/>
    </xf>
    <xf numFmtId="1" fontId="26" fillId="7" borderId="4" xfId="0" applyNumberFormat="1" applyFont="1" applyFill="1" applyBorder="1" applyAlignment="1">
      <alignment horizontal="center" vertical="center"/>
    </xf>
    <xf numFmtId="3" fontId="28" fillId="5" borderId="74" xfId="0" applyNumberFormat="1" applyFont="1" applyFill="1" applyBorder="1" applyAlignment="1">
      <alignment horizontal="center" vertical="center"/>
    </xf>
    <xf numFmtId="14" fontId="14" fillId="6" borderId="73" xfId="0" applyNumberFormat="1" applyFont="1" applyFill="1" applyBorder="1" applyAlignment="1">
      <alignment horizontal="center" vertical="center"/>
    </xf>
    <xf numFmtId="14" fontId="14" fillId="6" borderId="74" xfId="0" applyNumberFormat="1" applyFont="1" applyFill="1" applyBorder="1" applyAlignment="1">
      <alignment horizontal="center" vertical="center"/>
    </xf>
    <xf numFmtId="14" fontId="14" fillId="6" borderId="75" xfId="0" applyNumberFormat="1" applyFont="1" applyFill="1" applyBorder="1" applyAlignment="1">
      <alignment horizontal="center" vertical="center"/>
    </xf>
    <xf numFmtId="14" fontId="14" fillId="6" borderId="76" xfId="0" applyNumberFormat="1" applyFont="1" applyFill="1" applyBorder="1" applyAlignment="1">
      <alignment horizontal="center" vertical="center"/>
    </xf>
    <xf numFmtId="14" fontId="14" fillId="6" borderId="77" xfId="0" applyNumberFormat="1" applyFont="1" applyFill="1" applyBorder="1" applyAlignment="1">
      <alignment horizontal="center" vertical="center"/>
    </xf>
    <xf numFmtId="14" fontId="30" fillId="6" borderId="79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167" fontId="0" fillId="5" borderId="4" xfId="0" applyNumberFormat="1" applyFill="1" applyBorder="1" applyAlignment="1">
      <alignment horizontal="center"/>
    </xf>
    <xf numFmtId="164" fontId="10" fillId="9" borderId="4" xfId="0" applyNumberFormat="1" applyFont="1" applyFill="1" applyBorder="1" applyAlignment="1">
      <alignment horizontal="center" vertical="center" wrapText="1"/>
    </xf>
    <xf numFmtId="14" fontId="14" fillId="6" borderId="71" xfId="0" applyNumberFormat="1" applyFont="1" applyFill="1" applyBorder="1" applyAlignment="1">
      <alignment horizontal="center" vertical="center"/>
    </xf>
    <xf numFmtId="14" fontId="35" fillId="2" borderId="0" xfId="0" applyNumberFormat="1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14" fontId="35" fillId="2" borderId="0" xfId="0" applyNumberFormat="1" applyFont="1" applyFill="1" applyAlignment="1">
      <alignment horizontal="center" vertical="center"/>
    </xf>
    <xf numFmtId="164" fontId="18" fillId="6" borderId="4" xfId="0" applyNumberFormat="1" applyFont="1" applyFill="1" applyBorder="1" applyAlignment="1">
      <alignment horizontal="center" vertical="center" wrapText="1"/>
    </xf>
    <xf numFmtId="166" fontId="17" fillId="4" borderId="84" xfId="1" applyNumberFormat="1" applyFont="1" applyFill="1" applyBorder="1" applyAlignment="1">
      <alignment horizontal="center"/>
    </xf>
    <xf numFmtId="0" fontId="17" fillId="4" borderId="85" xfId="1" applyFont="1" applyFill="1" applyBorder="1" applyAlignment="1">
      <alignment horizontal="center"/>
    </xf>
    <xf numFmtId="166" fontId="19" fillId="5" borderId="84" xfId="1" applyNumberFormat="1" applyFont="1" applyFill="1" applyBorder="1" applyAlignment="1">
      <alignment horizontal="center"/>
    </xf>
    <xf numFmtId="0" fontId="19" fillId="5" borderId="85" xfId="1" applyFont="1" applyFill="1" applyBorder="1" applyAlignment="1">
      <alignment horizontal="center"/>
    </xf>
    <xf numFmtId="166" fontId="23" fillId="7" borderId="84" xfId="1" applyNumberFormat="1" applyFont="1" applyFill="1" applyBorder="1" applyAlignment="1">
      <alignment horizontal="center"/>
    </xf>
    <xf numFmtId="0" fontId="19" fillId="7" borderId="85" xfId="1" applyFont="1" applyFill="1" applyBorder="1" applyAlignment="1">
      <alignment horizontal="center"/>
    </xf>
    <xf numFmtId="166" fontId="23" fillId="7" borderId="86" xfId="1" applyNumberFormat="1" applyFont="1" applyFill="1" applyBorder="1" applyAlignment="1">
      <alignment horizontal="center"/>
    </xf>
    <xf numFmtId="0" fontId="19" fillId="7" borderId="87" xfId="1" applyFont="1" applyFill="1" applyBorder="1" applyAlignment="1">
      <alignment horizontal="center"/>
    </xf>
    <xf numFmtId="3" fontId="19" fillId="7" borderId="84" xfId="1" applyNumberFormat="1" applyFont="1" applyFill="1" applyBorder="1" applyAlignment="1">
      <alignment horizontal="center"/>
    </xf>
    <xf numFmtId="3" fontId="19" fillId="7" borderId="85" xfId="1" applyNumberFormat="1" applyFont="1" applyFill="1" applyBorder="1" applyAlignment="1">
      <alignment horizontal="center"/>
    </xf>
    <xf numFmtId="3" fontId="19" fillId="7" borderId="86" xfId="1" applyNumberFormat="1" applyFont="1" applyFill="1" applyBorder="1" applyAlignment="1">
      <alignment horizontal="center"/>
    </xf>
    <xf numFmtId="3" fontId="19" fillId="7" borderId="89" xfId="1" applyNumberFormat="1" applyFont="1" applyFill="1" applyBorder="1" applyAlignment="1">
      <alignment horizontal="center"/>
    </xf>
    <xf numFmtId="3" fontId="19" fillId="7" borderId="87" xfId="1" applyNumberFormat="1" applyFont="1" applyFill="1" applyBorder="1" applyAlignment="1">
      <alignment horizontal="center"/>
    </xf>
    <xf numFmtId="166" fontId="17" fillId="4" borderId="82" xfId="1" applyNumberFormat="1" applyFont="1" applyFill="1" applyBorder="1" applyAlignment="1">
      <alignment horizontal="center"/>
    </xf>
    <xf numFmtId="0" fontId="17" fillId="4" borderId="83" xfId="1" applyFont="1" applyFill="1" applyBorder="1" applyAlignment="1">
      <alignment horizontal="center"/>
    </xf>
    <xf numFmtId="0" fontId="17" fillId="8" borderId="82" xfId="1" quotePrefix="1" applyFont="1" applyFill="1" applyBorder="1" applyAlignment="1">
      <alignment horizontal="center"/>
    </xf>
    <xf numFmtId="0" fontId="17" fillId="8" borderId="88" xfId="1" quotePrefix="1" applyFont="1" applyFill="1" applyBorder="1" applyAlignment="1">
      <alignment horizontal="center"/>
    </xf>
    <xf numFmtId="0" fontId="17" fillId="8" borderId="83" xfId="1" quotePrefix="1" applyFont="1" applyFill="1" applyBorder="1" applyAlignment="1">
      <alignment horizontal="center"/>
    </xf>
    <xf numFmtId="14" fontId="18" fillId="8" borderId="84" xfId="0" applyNumberFormat="1" applyFont="1" applyFill="1" applyBorder="1" applyAlignment="1">
      <alignment horizontal="center" vertical="center"/>
    </xf>
    <xf numFmtId="14" fontId="18" fillId="8" borderId="85" xfId="0" applyNumberFormat="1" applyFont="1" applyFill="1" applyBorder="1" applyAlignment="1">
      <alignment horizontal="center" vertical="center"/>
    </xf>
    <xf numFmtId="3" fontId="21" fillId="7" borderId="86" xfId="1" applyNumberFormat="1" applyFont="1" applyFill="1" applyBorder="1" applyAlignment="1">
      <alignment horizontal="center"/>
    </xf>
    <xf numFmtId="3" fontId="21" fillId="7" borderId="89" xfId="1" applyNumberFormat="1" applyFont="1" applyFill="1" applyBorder="1" applyAlignment="1">
      <alignment horizontal="center"/>
    </xf>
    <xf numFmtId="3" fontId="21" fillId="7" borderId="87" xfId="1" applyNumberFormat="1" applyFont="1" applyFill="1" applyBorder="1" applyAlignment="1">
      <alignment horizontal="center"/>
    </xf>
    <xf numFmtId="166" fontId="16" fillId="4" borderId="82" xfId="1" applyNumberFormat="1" applyFont="1" applyFill="1" applyBorder="1" applyAlignment="1">
      <alignment horizontal="center"/>
    </xf>
    <xf numFmtId="0" fontId="16" fillId="4" borderId="83" xfId="1" applyFont="1" applyFill="1" applyBorder="1" applyAlignment="1">
      <alignment horizontal="center"/>
    </xf>
    <xf numFmtId="166" fontId="21" fillId="7" borderId="84" xfId="1" applyNumberFormat="1" applyFont="1" applyFill="1" applyBorder="1" applyAlignment="1">
      <alignment horizontal="center"/>
    </xf>
    <xf numFmtId="0" fontId="21" fillId="7" borderId="85" xfId="1" applyFont="1" applyFill="1" applyBorder="1" applyAlignment="1">
      <alignment horizontal="center"/>
    </xf>
    <xf numFmtId="166" fontId="21" fillId="7" borderId="86" xfId="1" applyNumberFormat="1" applyFont="1" applyFill="1" applyBorder="1" applyAlignment="1">
      <alignment horizontal="center"/>
    </xf>
    <xf numFmtId="0" fontId="21" fillId="7" borderId="87" xfId="1" applyFont="1" applyFill="1" applyBorder="1" applyAlignment="1">
      <alignment horizontal="center"/>
    </xf>
    <xf numFmtId="3" fontId="21" fillId="7" borderId="84" xfId="1" applyNumberFormat="1" applyFont="1" applyFill="1" applyBorder="1" applyAlignment="1">
      <alignment horizontal="center"/>
    </xf>
    <xf numFmtId="3" fontId="21" fillId="7" borderId="85" xfId="1" applyNumberFormat="1" applyFont="1" applyFill="1" applyBorder="1" applyAlignment="1">
      <alignment horizontal="center"/>
    </xf>
    <xf numFmtId="14" fontId="35" fillId="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" fontId="14" fillId="6" borderId="78" xfId="0" applyNumberFormat="1" applyFont="1" applyFill="1" applyBorder="1" applyAlignment="1">
      <alignment horizontal="center" vertical="center"/>
    </xf>
    <xf numFmtId="14" fontId="14" fillId="6" borderId="82" xfId="0" applyNumberFormat="1" applyFont="1" applyFill="1" applyBorder="1" applyAlignment="1">
      <alignment horizontal="center" vertical="center"/>
    </xf>
    <xf numFmtId="14" fontId="14" fillId="6" borderId="88" xfId="0" applyNumberFormat="1" applyFont="1" applyFill="1" applyBorder="1" applyAlignment="1">
      <alignment horizontal="center" vertical="center"/>
    </xf>
    <xf numFmtId="14" fontId="14" fillId="6" borderId="83" xfId="0" applyNumberFormat="1" applyFont="1" applyFill="1" applyBorder="1" applyAlignment="1">
      <alignment horizontal="center" vertical="center"/>
    </xf>
    <xf numFmtId="14" fontId="14" fillId="6" borderId="84" xfId="0" applyNumberFormat="1" applyFont="1" applyFill="1" applyBorder="1" applyAlignment="1">
      <alignment horizontal="center" vertical="center"/>
    </xf>
    <xf numFmtId="14" fontId="14" fillId="6" borderId="85" xfId="0" applyNumberFormat="1" applyFont="1" applyFill="1" applyBorder="1" applyAlignment="1">
      <alignment horizontal="center" vertical="center"/>
    </xf>
    <xf numFmtId="1" fontId="14" fillId="6" borderId="90" xfId="0" applyNumberFormat="1" applyFont="1" applyFill="1" applyBorder="1" applyAlignment="1">
      <alignment horizontal="center" vertical="center"/>
    </xf>
    <xf numFmtId="1" fontId="14" fillId="6" borderId="91" xfId="0" applyNumberFormat="1" applyFont="1" applyFill="1" applyBorder="1" applyAlignment="1">
      <alignment horizontal="center" vertical="center"/>
    </xf>
    <xf numFmtId="3" fontId="28" fillId="5" borderId="93" xfId="0" applyNumberFormat="1" applyFont="1" applyFill="1" applyBorder="1" applyAlignment="1">
      <alignment horizontal="center" vertical="center"/>
    </xf>
    <xf numFmtId="3" fontId="28" fillId="5" borderId="84" xfId="0" applyNumberFormat="1" applyFont="1" applyFill="1" applyBorder="1" applyAlignment="1">
      <alignment horizontal="center" vertical="center"/>
    </xf>
    <xf numFmtId="3" fontId="28" fillId="5" borderId="85" xfId="0" applyNumberFormat="1" applyFont="1" applyFill="1" applyBorder="1" applyAlignment="1">
      <alignment horizontal="center" vertical="center"/>
    </xf>
    <xf numFmtId="3" fontId="28" fillId="5" borderId="86" xfId="0" applyNumberFormat="1" applyFont="1" applyFill="1" applyBorder="1" applyAlignment="1">
      <alignment horizontal="center" vertical="center"/>
    </xf>
    <xf numFmtId="3" fontId="28" fillId="5" borderId="89" xfId="0" applyNumberFormat="1" applyFont="1" applyFill="1" applyBorder="1" applyAlignment="1">
      <alignment horizontal="center" vertical="center"/>
    </xf>
    <xf numFmtId="3" fontId="28" fillId="5" borderId="87" xfId="0" applyNumberFormat="1" applyFont="1" applyFill="1" applyBorder="1" applyAlignment="1">
      <alignment horizontal="center" vertical="center"/>
    </xf>
    <xf numFmtId="0" fontId="15" fillId="2" borderId="0" xfId="0" applyNumberFormat="1" applyFont="1" applyFill="1" applyAlignment="1">
      <alignment horizontal="center"/>
    </xf>
    <xf numFmtId="0" fontId="0" fillId="2" borderId="0" xfId="0" applyNumberFormat="1" applyFill="1"/>
    <xf numFmtId="9" fontId="28" fillId="5" borderId="72" xfId="4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170" fontId="26" fillId="5" borderId="60" xfId="0" applyNumberFormat="1" applyFont="1" applyFill="1" applyBorder="1" applyAlignment="1">
      <alignment horizontal="center" vertical="center"/>
    </xf>
    <xf numFmtId="170" fontId="26" fillId="5" borderId="6" xfId="0" applyNumberFormat="1" applyFont="1" applyFill="1" applyBorder="1" applyAlignment="1">
      <alignment horizontal="center" vertical="center"/>
    </xf>
    <xf numFmtId="170" fontId="26" fillId="5" borderId="69" xfId="0" applyNumberFormat="1" applyFont="1" applyFill="1" applyBorder="1" applyAlignment="1">
      <alignment horizontal="center" vertical="center"/>
    </xf>
    <xf numFmtId="1" fontId="26" fillId="7" borderId="58" xfId="0" applyNumberFormat="1" applyFont="1" applyFill="1" applyBorder="1" applyAlignment="1">
      <alignment horizontal="center" vertical="center"/>
    </xf>
    <xf numFmtId="1" fontId="26" fillId="7" borderId="56" xfId="0" applyNumberFormat="1" applyFont="1" applyFill="1" applyBorder="1" applyAlignment="1">
      <alignment horizontal="center" vertical="center"/>
    </xf>
    <xf numFmtId="1" fontId="26" fillId="7" borderId="59" xfId="0" applyNumberFormat="1" applyFont="1" applyFill="1" applyBorder="1" applyAlignment="1">
      <alignment horizontal="center" vertical="center"/>
    </xf>
    <xf numFmtId="1" fontId="26" fillId="7" borderId="10" xfId="0" applyNumberFormat="1" applyFont="1" applyFill="1" applyBorder="1" applyAlignment="1">
      <alignment horizontal="center" vertical="center"/>
    </xf>
    <xf numFmtId="1" fontId="26" fillId="7" borderId="25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12" fillId="2" borderId="0" xfId="0" applyFont="1" applyFill="1" applyAlignment="1">
      <alignment horizontal="center"/>
    </xf>
    <xf numFmtId="171" fontId="26" fillId="5" borderId="57" xfId="0" applyNumberFormat="1" applyFont="1" applyFill="1" applyBorder="1" applyAlignment="1">
      <alignment horizontal="center" vertical="center"/>
    </xf>
    <xf numFmtId="171" fontId="26" fillId="5" borderId="5" xfId="0" applyNumberFormat="1" applyFont="1" applyFill="1" applyBorder="1" applyAlignment="1">
      <alignment horizontal="center" vertical="center"/>
    </xf>
    <xf numFmtId="3" fontId="28" fillId="7" borderId="92" xfId="0" applyNumberFormat="1" applyFont="1" applyFill="1" applyBorder="1" applyAlignment="1">
      <alignment horizontal="center" vertical="center"/>
    </xf>
    <xf numFmtId="3" fontId="28" fillId="7" borderId="74" xfId="0" applyNumberFormat="1" applyFont="1" applyFill="1" applyBorder="1" applyAlignment="1">
      <alignment horizontal="center" vertical="center"/>
    </xf>
    <xf numFmtId="3" fontId="28" fillId="7" borderId="93" xfId="0" applyNumberFormat="1" applyFont="1" applyFill="1" applyBorder="1" applyAlignment="1">
      <alignment horizontal="center" vertical="center"/>
    </xf>
    <xf numFmtId="3" fontId="28" fillId="7" borderId="84" xfId="0" applyNumberFormat="1" applyFont="1" applyFill="1" applyBorder="1" applyAlignment="1">
      <alignment horizontal="center" vertical="center"/>
    </xf>
    <xf numFmtId="3" fontId="28" fillId="7" borderId="4" xfId="0" applyNumberFormat="1" applyFont="1" applyFill="1" applyBorder="1" applyAlignment="1">
      <alignment horizontal="center" vertical="center"/>
    </xf>
    <xf numFmtId="3" fontId="28" fillId="7" borderId="85" xfId="0" applyNumberFormat="1" applyFont="1" applyFill="1" applyBorder="1" applyAlignment="1">
      <alignment horizontal="center" vertical="center"/>
    </xf>
    <xf numFmtId="3" fontId="28" fillId="7" borderId="86" xfId="0" applyNumberFormat="1" applyFont="1" applyFill="1" applyBorder="1" applyAlignment="1">
      <alignment horizontal="center" vertical="center"/>
    </xf>
    <xf numFmtId="3" fontId="28" fillId="7" borderId="89" xfId="0" applyNumberFormat="1" applyFont="1" applyFill="1" applyBorder="1" applyAlignment="1">
      <alignment horizontal="center" vertical="center"/>
    </xf>
    <xf numFmtId="3" fontId="28" fillId="7" borderId="87" xfId="0" applyNumberFormat="1" applyFont="1" applyFill="1" applyBorder="1" applyAlignment="1">
      <alignment horizontal="center" vertical="center"/>
    </xf>
    <xf numFmtId="165" fontId="26" fillId="7" borderId="56" xfId="0" applyNumberFormat="1" applyFont="1" applyFill="1" applyBorder="1" applyAlignment="1">
      <alignment horizontal="center" vertical="center"/>
    </xf>
    <xf numFmtId="165" fontId="26" fillId="7" borderId="61" xfId="0" applyNumberFormat="1" applyFont="1" applyFill="1" applyBorder="1" applyAlignment="1">
      <alignment horizontal="center" vertical="center"/>
    </xf>
    <xf numFmtId="165" fontId="26" fillId="7" borderId="4" xfId="0" applyNumberFormat="1" applyFont="1" applyFill="1" applyBorder="1" applyAlignment="1">
      <alignment horizontal="center" vertical="center"/>
    </xf>
    <xf numFmtId="165" fontId="26" fillId="7" borderId="63" xfId="0" applyNumberFormat="1" applyFont="1" applyFill="1" applyBorder="1" applyAlignment="1">
      <alignment horizontal="center" vertical="center"/>
    </xf>
    <xf numFmtId="165" fontId="26" fillId="7" borderId="65" xfId="0" applyNumberFormat="1" applyFont="1" applyFill="1" applyBorder="1" applyAlignment="1">
      <alignment horizontal="center" vertical="center"/>
    </xf>
    <xf numFmtId="165" fontId="26" fillId="7" borderId="70" xfId="0" applyNumberFormat="1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167" fontId="26" fillId="7" borderId="6" xfId="0" applyNumberFormat="1" applyFont="1" applyFill="1" applyBorder="1" applyAlignment="1">
      <alignment horizontal="center" vertical="center"/>
    </xf>
    <xf numFmtId="0" fontId="26" fillId="10" borderId="4" xfId="0" applyFont="1" applyFill="1" applyBorder="1" applyAlignment="1">
      <alignment horizontal="center" vertical="center"/>
    </xf>
    <xf numFmtId="167" fontId="26" fillId="7" borderId="56" xfId="0" applyNumberFormat="1" applyFont="1" applyFill="1" applyBorder="1" applyAlignment="1">
      <alignment horizontal="center" vertical="center"/>
    </xf>
    <xf numFmtId="167" fontId="26" fillId="7" borderId="4" xfId="0" applyNumberFormat="1" applyFont="1" applyFill="1" applyBorder="1" applyAlignment="1">
      <alignment horizontal="center" vertical="center"/>
    </xf>
    <xf numFmtId="167" fontId="26" fillId="7" borderId="69" xfId="0" applyNumberFormat="1" applyFont="1" applyFill="1" applyBorder="1" applyAlignment="1">
      <alignment horizontal="center" vertical="center"/>
    </xf>
    <xf numFmtId="171" fontId="26" fillId="5" borderId="66" xfId="0" applyNumberFormat="1" applyFont="1" applyFill="1" applyBorder="1" applyAlignment="1">
      <alignment horizontal="center" vertical="center"/>
    </xf>
    <xf numFmtId="0" fontId="26" fillId="12" borderId="5" xfId="0" applyFont="1" applyFill="1" applyBorder="1" applyAlignment="1">
      <alignment horizontal="center" vertical="center"/>
    </xf>
    <xf numFmtId="0" fontId="31" fillId="5" borderId="94" xfId="0" applyFont="1" applyFill="1" applyBorder="1" applyAlignment="1">
      <alignment horizontal="center"/>
    </xf>
    <xf numFmtId="173" fontId="0" fillId="0" borderId="95" xfId="5" applyNumberFormat="1" applyFont="1" applyFill="1" applyBorder="1"/>
    <xf numFmtId="3" fontId="29" fillId="0" borderId="96" xfId="5" applyNumberFormat="1" applyFont="1" applyFill="1" applyBorder="1"/>
    <xf numFmtId="173" fontId="29" fillId="0" borderId="97" xfId="5" applyNumberFormat="1" applyFont="1" applyFill="1" applyBorder="1"/>
    <xf numFmtId="3" fontId="29" fillId="0" borderId="94" xfId="5" applyNumberFormat="1" applyFont="1" applyFill="1" applyBorder="1"/>
    <xf numFmtId="173" fontId="29" fillId="0" borderId="98" xfId="5" applyNumberFormat="1" applyFont="1" applyFill="1" applyBorder="1"/>
    <xf numFmtId="3" fontId="29" fillId="0" borderId="99" xfId="5" applyNumberFormat="1" applyFont="1" applyFill="1" applyBorder="1"/>
    <xf numFmtId="3" fontId="0" fillId="2" borderId="0" xfId="0" applyNumberFormat="1" applyFill="1"/>
    <xf numFmtId="3" fontId="39" fillId="5" borderId="92" xfId="0" applyNumberFormat="1" applyFon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14" fontId="30" fillId="6" borderId="100" xfId="0" applyNumberFormat="1" applyFont="1" applyFill="1" applyBorder="1" applyAlignment="1">
      <alignment horizontal="center" vertical="center"/>
    </xf>
    <xf numFmtId="169" fontId="37" fillId="5" borderId="101" xfId="4" applyNumberFormat="1" applyFont="1" applyFill="1" applyBorder="1" applyAlignment="1">
      <alignment horizontal="center" vertical="center"/>
    </xf>
    <xf numFmtId="14" fontId="30" fillId="6" borderId="94" xfId="0" applyNumberFormat="1" applyFont="1" applyFill="1" applyBorder="1" applyAlignment="1">
      <alignment horizontal="center" vertical="center"/>
    </xf>
    <xf numFmtId="0" fontId="37" fillId="13" borderId="94" xfId="0" quotePrefix="1" applyFont="1" applyFill="1" applyBorder="1" applyAlignment="1">
      <alignment horizontal="center" vertical="center"/>
    </xf>
    <xf numFmtId="14" fontId="30" fillId="6" borderId="102" xfId="0" applyNumberFormat="1" applyFont="1" applyFill="1" applyBorder="1" applyAlignment="1">
      <alignment horizontal="center" vertical="center"/>
    </xf>
    <xf numFmtId="0" fontId="0" fillId="0" borderId="0" xfId="0"/>
    <xf numFmtId="164" fontId="10" fillId="9" borderId="4" xfId="0" applyNumberFormat="1" applyFont="1" applyFill="1" applyBorder="1" applyAlignment="1">
      <alignment horizontal="center" vertical="center" wrapText="1"/>
    </xf>
    <xf numFmtId="164" fontId="18" fillId="6" borderId="4" xfId="0" applyNumberFormat="1" applyFont="1" applyFill="1" applyBorder="1" applyAlignment="1">
      <alignment horizontal="center" vertical="center" wrapText="1"/>
    </xf>
    <xf numFmtId="3" fontId="20" fillId="5" borderId="84" xfId="1" applyNumberFormat="1" applyFont="1" applyFill="1" applyBorder="1" applyAlignment="1">
      <alignment horizontal="center"/>
    </xf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" fontId="11" fillId="5" borderId="4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64" fontId="10" fillId="6" borderId="4" xfId="0" applyNumberFormat="1" applyFont="1" applyFill="1" applyBorder="1" applyAlignment="1">
      <alignment horizontal="center" vertical="center" wrapText="1"/>
    </xf>
    <xf numFmtId="3" fontId="19" fillId="7" borderId="4" xfId="1" applyNumberFormat="1" applyFont="1" applyFill="1" applyBorder="1" applyAlignment="1">
      <alignment horizontal="center"/>
    </xf>
    <xf numFmtId="3" fontId="22" fillId="5" borderId="4" xfId="1" applyNumberFormat="1" applyFont="1" applyFill="1" applyBorder="1" applyAlignment="1">
      <alignment horizontal="center"/>
    </xf>
    <xf numFmtId="3" fontId="21" fillId="7" borderId="4" xfId="1" applyNumberFormat="1" applyFont="1" applyFill="1" applyBorder="1" applyAlignment="1">
      <alignment horizontal="center"/>
    </xf>
    <xf numFmtId="16" fontId="3" fillId="0" borderId="0" xfId="1" applyNumberFormat="1" applyFont="1" applyBorder="1" applyAlignment="1">
      <alignment horizontal="center"/>
    </xf>
    <xf numFmtId="1" fontId="3" fillId="0" borderId="0" xfId="1" applyNumberFormat="1" applyFont="1" applyBorder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16" fontId="23" fillId="0" borderId="0" xfId="1" applyNumberFormat="1" applyFont="1" applyBorder="1" applyAlignment="1">
      <alignment horizontal="center"/>
    </xf>
    <xf numFmtId="1" fontId="23" fillId="0" borderId="0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3" fontId="19" fillId="7" borderId="10" xfId="1" applyNumberFormat="1" applyFont="1" applyFill="1" applyBorder="1" applyAlignment="1">
      <alignment horizontal="center"/>
    </xf>
    <xf numFmtId="3" fontId="19" fillId="7" borderId="11" xfId="1" applyNumberFormat="1" applyFont="1" applyFill="1" applyBorder="1" applyAlignment="1">
      <alignment horizontal="center"/>
    </xf>
    <xf numFmtId="3" fontId="19" fillId="7" borderId="12" xfId="1" applyNumberFormat="1" applyFont="1" applyFill="1" applyBorder="1" applyAlignment="1">
      <alignment horizontal="center"/>
    </xf>
    <xf numFmtId="3" fontId="19" fillId="7" borderId="13" xfId="1" applyNumberFormat="1" applyFont="1" applyFill="1" applyBorder="1" applyAlignment="1">
      <alignment horizontal="center"/>
    </xf>
    <xf numFmtId="3" fontId="19" fillId="7" borderId="14" xfId="1" applyNumberFormat="1" applyFont="1" applyFill="1" applyBorder="1" applyAlignment="1">
      <alignment horizontal="center"/>
    </xf>
    <xf numFmtId="3" fontId="28" fillId="5" borderId="4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19" fillId="5" borderId="62" xfId="1" applyNumberFormat="1" applyFont="1" applyFill="1" applyBorder="1" applyAlignment="1">
      <alignment horizontal="center"/>
    </xf>
    <xf numFmtId="0" fontId="19" fillId="5" borderId="63" xfId="1" applyFont="1" applyFill="1" applyBorder="1" applyAlignment="1">
      <alignment horizontal="center"/>
    </xf>
    <xf numFmtId="14" fontId="18" fillId="8" borderId="4" xfId="0" applyNumberFormat="1" applyFont="1" applyFill="1" applyBorder="1" applyAlignment="1">
      <alignment horizontal="center" vertical="center"/>
    </xf>
    <xf numFmtId="166" fontId="16" fillId="4" borderId="55" xfId="1" applyNumberFormat="1" applyFont="1" applyFill="1" applyBorder="1" applyAlignment="1">
      <alignment horizontal="center"/>
    </xf>
    <xf numFmtId="0" fontId="16" fillId="4" borderId="61" xfId="1" applyFont="1" applyFill="1" applyBorder="1" applyAlignment="1">
      <alignment horizontal="center"/>
    </xf>
    <xf numFmtId="3" fontId="22" fillId="5" borderId="62" xfId="1" applyNumberFormat="1" applyFont="1" applyFill="1" applyBorder="1" applyAlignment="1">
      <alignment horizontal="center"/>
    </xf>
    <xf numFmtId="3" fontId="22" fillId="5" borderId="63" xfId="1" applyNumberFormat="1" applyFont="1" applyFill="1" applyBorder="1" applyAlignment="1">
      <alignment horizontal="center"/>
    </xf>
    <xf numFmtId="3" fontId="21" fillId="7" borderId="62" xfId="1" applyNumberFormat="1" applyFont="1" applyFill="1" applyBorder="1" applyAlignment="1">
      <alignment horizontal="center"/>
    </xf>
    <xf numFmtId="3" fontId="21" fillId="7" borderId="63" xfId="1" applyNumberFormat="1" applyFont="1" applyFill="1" applyBorder="1" applyAlignment="1">
      <alignment horizontal="center"/>
    </xf>
    <xf numFmtId="3" fontId="21" fillId="7" borderId="64" xfId="1" applyNumberFormat="1" applyFont="1" applyFill="1" applyBorder="1" applyAlignment="1">
      <alignment horizontal="center"/>
    </xf>
    <xf numFmtId="3" fontId="21" fillId="7" borderId="65" xfId="1" applyNumberFormat="1" applyFont="1" applyFill="1" applyBorder="1" applyAlignment="1">
      <alignment horizontal="center"/>
    </xf>
    <xf numFmtId="3" fontId="21" fillId="7" borderId="70" xfId="1" applyNumberFormat="1" applyFont="1" applyFill="1" applyBorder="1" applyAlignment="1">
      <alignment horizontal="center"/>
    </xf>
    <xf numFmtId="3" fontId="28" fillId="5" borderId="74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1" fontId="0" fillId="5" borderId="4" xfId="0" applyNumberFormat="1" applyFill="1" applyBorder="1" applyAlignment="1">
      <alignment horizontal="center"/>
    </xf>
    <xf numFmtId="167" fontId="0" fillId="5" borderId="4" xfId="0" applyNumberFormat="1" applyFill="1" applyBorder="1" applyAlignment="1">
      <alignment horizontal="center"/>
    </xf>
    <xf numFmtId="14" fontId="14" fillId="6" borderId="71" xfId="0" applyNumberFormat="1" applyFont="1" applyFill="1" applyBorder="1" applyAlignment="1">
      <alignment horizontal="center" vertical="center"/>
    </xf>
    <xf numFmtId="3" fontId="20" fillId="5" borderId="84" xfId="1" applyNumberFormat="1" applyFont="1" applyFill="1" applyBorder="1" applyAlignment="1">
      <alignment horizontal="center"/>
    </xf>
    <xf numFmtId="3" fontId="19" fillId="7" borderId="84" xfId="1" applyNumberFormat="1" applyFont="1" applyFill="1" applyBorder="1" applyAlignment="1">
      <alignment horizontal="center"/>
    </xf>
    <xf numFmtId="3" fontId="19" fillId="7" borderId="85" xfId="1" applyNumberFormat="1" applyFont="1" applyFill="1" applyBorder="1" applyAlignment="1">
      <alignment horizontal="center"/>
    </xf>
    <xf numFmtId="3" fontId="19" fillId="7" borderId="86" xfId="1" applyNumberFormat="1" applyFont="1" applyFill="1" applyBorder="1" applyAlignment="1">
      <alignment horizontal="center"/>
    </xf>
    <xf numFmtId="3" fontId="19" fillId="7" borderId="89" xfId="1" applyNumberFormat="1" applyFont="1" applyFill="1" applyBorder="1" applyAlignment="1">
      <alignment horizontal="center"/>
    </xf>
    <xf numFmtId="3" fontId="19" fillId="7" borderId="87" xfId="1" applyNumberFormat="1" applyFont="1" applyFill="1" applyBorder="1" applyAlignment="1">
      <alignment horizontal="center"/>
    </xf>
    <xf numFmtId="0" fontId="17" fillId="8" borderId="82" xfId="1" quotePrefix="1" applyFont="1" applyFill="1" applyBorder="1" applyAlignment="1">
      <alignment horizontal="center"/>
    </xf>
    <xf numFmtId="0" fontId="17" fillId="8" borderId="88" xfId="1" quotePrefix="1" applyFont="1" applyFill="1" applyBorder="1" applyAlignment="1">
      <alignment horizontal="center"/>
    </xf>
    <xf numFmtId="0" fontId="17" fillId="8" borderId="83" xfId="1" quotePrefix="1" applyFont="1" applyFill="1" applyBorder="1" applyAlignment="1">
      <alignment horizontal="center"/>
    </xf>
    <xf numFmtId="14" fontId="18" fillId="8" borderId="84" xfId="0" applyNumberFormat="1" applyFont="1" applyFill="1" applyBorder="1" applyAlignment="1">
      <alignment horizontal="center" vertical="center"/>
    </xf>
    <xf numFmtId="14" fontId="18" fillId="8" borderId="85" xfId="0" applyNumberFormat="1" applyFont="1" applyFill="1" applyBorder="1" applyAlignment="1">
      <alignment horizontal="center" vertical="center"/>
    </xf>
    <xf numFmtId="3" fontId="21" fillId="7" borderId="86" xfId="1" applyNumberFormat="1" applyFont="1" applyFill="1" applyBorder="1" applyAlignment="1">
      <alignment horizontal="center"/>
    </xf>
    <xf numFmtId="3" fontId="21" fillId="7" borderId="89" xfId="1" applyNumberFormat="1" applyFont="1" applyFill="1" applyBorder="1" applyAlignment="1">
      <alignment horizontal="center"/>
    </xf>
    <xf numFmtId="3" fontId="21" fillId="7" borderId="87" xfId="1" applyNumberFormat="1" applyFont="1" applyFill="1" applyBorder="1" applyAlignment="1">
      <alignment horizontal="center"/>
    </xf>
    <xf numFmtId="3" fontId="21" fillId="7" borderId="84" xfId="1" applyNumberFormat="1" applyFont="1" applyFill="1" applyBorder="1" applyAlignment="1">
      <alignment horizontal="center"/>
    </xf>
    <xf numFmtId="3" fontId="21" fillId="7" borderId="85" xfId="1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3" fontId="28" fillId="5" borderId="93" xfId="0" applyNumberFormat="1" applyFont="1" applyFill="1" applyBorder="1" applyAlignment="1">
      <alignment horizontal="center" vertical="center"/>
    </xf>
    <xf numFmtId="3" fontId="28" fillId="5" borderId="84" xfId="0" applyNumberFormat="1" applyFont="1" applyFill="1" applyBorder="1" applyAlignment="1">
      <alignment horizontal="center" vertical="center"/>
    </xf>
    <xf numFmtId="3" fontId="28" fillId="5" borderId="85" xfId="0" applyNumberFormat="1" applyFont="1" applyFill="1" applyBorder="1" applyAlignment="1">
      <alignment horizontal="center" vertical="center"/>
    </xf>
    <xf numFmtId="3" fontId="28" fillId="5" borderId="86" xfId="0" applyNumberFormat="1" applyFont="1" applyFill="1" applyBorder="1" applyAlignment="1">
      <alignment horizontal="center" vertical="center"/>
    </xf>
    <xf numFmtId="3" fontId="28" fillId="5" borderId="89" xfId="0" applyNumberFormat="1" applyFont="1" applyFill="1" applyBorder="1" applyAlignment="1">
      <alignment horizontal="center" vertical="center"/>
    </xf>
    <xf numFmtId="3" fontId="28" fillId="5" borderId="87" xfId="0" applyNumberFormat="1" applyFont="1" applyFill="1" applyBorder="1" applyAlignment="1">
      <alignment horizontal="center" vertical="center"/>
    </xf>
    <xf numFmtId="0" fontId="15" fillId="2" borderId="0" xfId="0" applyNumberFormat="1" applyFont="1" applyFill="1" applyAlignment="1">
      <alignment horizontal="center"/>
    </xf>
    <xf numFmtId="9" fontId="28" fillId="5" borderId="72" xfId="4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2" borderId="0" xfId="0" applyNumberFormat="1" applyFill="1"/>
    <xf numFmtId="166" fontId="40" fillId="4" borderId="82" xfId="1" applyNumberFormat="1" applyFont="1" applyFill="1" applyBorder="1" applyAlignment="1">
      <alignment horizontal="center"/>
    </xf>
    <xf numFmtId="0" fontId="40" fillId="4" borderId="83" xfId="1" applyFont="1" applyFill="1" applyBorder="1" applyAlignment="1">
      <alignment horizontal="center"/>
    </xf>
    <xf numFmtId="166" fontId="2" fillId="7" borderId="84" xfId="1" applyNumberFormat="1" applyFont="1" applyFill="1" applyBorder="1" applyAlignment="1">
      <alignment horizontal="center"/>
    </xf>
    <xf numFmtId="166" fontId="2" fillId="7" borderId="86" xfId="1" applyNumberFormat="1" applyFont="1" applyFill="1" applyBorder="1" applyAlignment="1">
      <alignment horizontal="center"/>
    </xf>
    <xf numFmtId="3" fontId="40" fillId="15" borderId="84" xfId="1" applyNumberFormat="1" applyFont="1" applyFill="1" applyBorder="1" applyAlignment="1">
      <alignment horizontal="center"/>
    </xf>
    <xf numFmtId="3" fontId="40" fillId="15" borderId="4" xfId="1" applyNumberFormat="1" applyFont="1" applyFill="1" applyBorder="1" applyAlignment="1">
      <alignment horizontal="center"/>
    </xf>
    <xf numFmtId="3" fontId="40" fillId="15" borderId="85" xfId="1" applyNumberFormat="1" applyFont="1" applyFill="1" applyBorder="1" applyAlignment="1">
      <alignment horizontal="center"/>
    </xf>
    <xf numFmtId="3" fontId="40" fillId="15" borderId="86" xfId="1" applyNumberFormat="1" applyFont="1" applyFill="1" applyBorder="1" applyAlignment="1">
      <alignment horizontal="center"/>
    </xf>
    <xf numFmtId="3" fontId="40" fillId="15" borderId="89" xfId="1" applyNumberFormat="1" applyFont="1" applyFill="1" applyBorder="1" applyAlignment="1">
      <alignment horizontal="center"/>
    </xf>
    <xf numFmtId="3" fontId="40" fillId="15" borderId="87" xfId="1" applyNumberFormat="1" applyFont="1" applyFill="1" applyBorder="1" applyAlignment="1">
      <alignment horizontal="center"/>
    </xf>
    <xf numFmtId="0" fontId="17" fillId="10" borderId="82" xfId="1" quotePrefix="1" applyFont="1" applyFill="1" applyBorder="1" applyAlignment="1">
      <alignment horizontal="center"/>
    </xf>
    <xf numFmtId="0" fontId="17" fillId="10" borderId="88" xfId="1" quotePrefix="1" applyFont="1" applyFill="1" applyBorder="1" applyAlignment="1">
      <alignment horizontal="center"/>
    </xf>
    <xf numFmtId="0" fontId="17" fillId="10" borderId="83" xfId="1" quotePrefix="1" applyFont="1" applyFill="1" applyBorder="1" applyAlignment="1">
      <alignment horizontal="center"/>
    </xf>
    <xf numFmtId="14" fontId="18" fillId="10" borderId="84" xfId="0" applyNumberFormat="1" applyFont="1" applyFill="1" applyBorder="1" applyAlignment="1">
      <alignment horizontal="center" vertical="center"/>
    </xf>
    <xf numFmtId="14" fontId="18" fillId="10" borderId="4" xfId="0" applyNumberFormat="1" applyFont="1" applyFill="1" applyBorder="1" applyAlignment="1">
      <alignment horizontal="center" vertical="center"/>
    </xf>
    <xf numFmtId="14" fontId="18" fillId="10" borderId="85" xfId="0" applyNumberFormat="1" applyFont="1" applyFill="1" applyBorder="1" applyAlignment="1">
      <alignment horizontal="center" vertical="center"/>
    </xf>
    <xf numFmtId="164" fontId="18" fillId="10" borderId="4" xfId="0" applyNumberFormat="1" applyFont="1" applyFill="1" applyBorder="1" applyAlignment="1">
      <alignment horizontal="center" vertical="center" wrapText="1"/>
    </xf>
    <xf numFmtId="166" fontId="16" fillId="14" borderId="104" xfId="1" applyNumberFormat="1" applyFont="1" applyFill="1" applyBorder="1" applyAlignment="1">
      <alignment horizontal="center" vertical="center" wrapText="1"/>
    </xf>
    <xf numFmtId="0" fontId="16" fillId="14" borderId="105" xfId="1" applyFont="1" applyFill="1" applyBorder="1" applyAlignment="1">
      <alignment horizontal="center" vertical="center" wrapText="1"/>
    </xf>
    <xf numFmtId="0" fontId="0" fillId="14" borderId="0" xfId="0" applyFill="1"/>
    <xf numFmtId="14" fontId="18" fillId="14" borderId="103" xfId="0" applyNumberFormat="1" applyFont="1" applyFill="1" applyBorder="1" applyAlignment="1">
      <alignment horizontal="center" vertical="center"/>
    </xf>
    <xf numFmtId="14" fontId="18" fillId="14" borderId="40" xfId="0" applyNumberFormat="1" applyFont="1" applyFill="1" applyBorder="1" applyAlignment="1">
      <alignment horizontal="center" vertical="center"/>
    </xf>
    <xf numFmtId="14" fontId="18" fillId="14" borderId="106" xfId="0" applyNumberFormat="1" applyFont="1" applyFill="1" applyBorder="1" applyAlignment="1">
      <alignment horizontal="center" vertical="center"/>
    </xf>
    <xf numFmtId="0" fontId="25" fillId="14" borderId="0" xfId="0" applyFont="1" applyFill="1"/>
    <xf numFmtId="166" fontId="17" fillId="14" borderId="84" xfId="1" applyNumberFormat="1" applyFont="1" applyFill="1" applyBorder="1" applyAlignment="1">
      <alignment horizontal="center" vertical="center" wrapText="1"/>
    </xf>
    <xf numFmtId="0" fontId="17" fillId="14" borderId="85" xfId="1" applyFont="1" applyFill="1" applyBorder="1" applyAlignment="1">
      <alignment horizontal="center" vertical="center" wrapText="1"/>
    </xf>
    <xf numFmtId="14" fontId="18" fillId="14" borderId="84" xfId="0" applyNumberFormat="1" applyFont="1" applyFill="1" applyBorder="1" applyAlignment="1">
      <alignment horizontal="center" vertical="center"/>
    </xf>
    <xf numFmtId="14" fontId="18" fillId="14" borderId="4" xfId="0" applyNumberFormat="1" applyFont="1" applyFill="1" applyBorder="1" applyAlignment="1">
      <alignment horizontal="center" vertical="center"/>
    </xf>
    <xf numFmtId="14" fontId="18" fillId="14" borderId="85" xfId="0" applyNumberFormat="1" applyFont="1" applyFill="1" applyBorder="1" applyAlignment="1">
      <alignment horizontal="center" vertical="center"/>
    </xf>
    <xf numFmtId="166" fontId="17" fillId="18" borderId="15" xfId="1" applyNumberFormat="1" applyFont="1" applyFill="1" applyBorder="1" applyAlignment="1">
      <alignment vertical="center" wrapText="1"/>
    </xf>
    <xf numFmtId="0" fontId="17" fillId="18" borderId="16" xfId="1" applyFont="1" applyFill="1" applyBorder="1" applyAlignment="1">
      <alignment vertical="center" wrapText="1"/>
    </xf>
    <xf numFmtId="0" fontId="24" fillId="18" borderId="0" xfId="0" applyFont="1" applyFill="1" applyAlignment="1">
      <alignment horizontal="center"/>
    </xf>
    <xf numFmtId="14" fontId="18" fillId="18" borderId="10" xfId="0" applyNumberFormat="1" applyFont="1" applyFill="1" applyBorder="1" applyAlignment="1">
      <alignment horizontal="center" vertical="center"/>
    </xf>
    <xf numFmtId="14" fontId="18" fillId="18" borderId="4" xfId="0" applyNumberFormat="1" applyFont="1" applyFill="1" applyBorder="1" applyAlignment="1">
      <alignment horizontal="center" vertical="center"/>
    </xf>
    <xf numFmtId="14" fontId="18" fillId="18" borderId="11" xfId="0" applyNumberFormat="1" applyFont="1" applyFill="1" applyBorder="1" applyAlignment="1">
      <alignment horizontal="center" vertical="center"/>
    </xf>
    <xf numFmtId="0" fontId="0" fillId="18" borderId="0" xfId="0" applyFill="1"/>
    <xf numFmtId="14" fontId="14" fillId="10" borderId="82" xfId="0" applyNumberFormat="1" applyFont="1" applyFill="1" applyBorder="1" applyAlignment="1">
      <alignment horizontal="center" vertical="center"/>
    </xf>
    <xf numFmtId="14" fontId="14" fillId="10" borderId="88" xfId="0" applyNumberFormat="1" applyFont="1" applyFill="1" applyBorder="1" applyAlignment="1">
      <alignment horizontal="center" vertical="center"/>
    </xf>
    <xf numFmtId="14" fontId="14" fillId="10" borderId="83" xfId="0" applyNumberFormat="1" applyFont="1" applyFill="1" applyBorder="1" applyAlignment="1">
      <alignment horizontal="center" vertical="center"/>
    </xf>
    <xf numFmtId="14" fontId="14" fillId="10" borderId="84" xfId="0" applyNumberFormat="1" applyFont="1" applyFill="1" applyBorder="1" applyAlignment="1">
      <alignment horizontal="center" vertical="center"/>
    </xf>
    <xf numFmtId="14" fontId="14" fillId="10" borderId="4" xfId="0" applyNumberFormat="1" applyFont="1" applyFill="1" applyBorder="1" applyAlignment="1">
      <alignment horizontal="center" vertical="center"/>
    </xf>
    <xf numFmtId="14" fontId="14" fillId="10" borderId="85" xfId="0" applyNumberFormat="1" applyFont="1" applyFill="1" applyBorder="1" applyAlignment="1">
      <alignment horizontal="center" vertical="center"/>
    </xf>
    <xf numFmtId="1" fontId="14" fillId="10" borderId="90" xfId="0" applyNumberFormat="1" applyFont="1" applyFill="1" applyBorder="1" applyAlignment="1">
      <alignment horizontal="center" vertical="center"/>
    </xf>
    <xf numFmtId="1" fontId="14" fillId="10" borderId="78" xfId="0" applyNumberFormat="1" applyFont="1" applyFill="1" applyBorder="1" applyAlignment="1">
      <alignment horizontal="center" vertical="center"/>
    </xf>
    <xf numFmtId="1" fontId="14" fillId="10" borderId="91" xfId="0" applyNumberFormat="1" applyFont="1" applyFill="1" applyBorder="1" applyAlignment="1">
      <alignment horizontal="center" vertical="center"/>
    </xf>
    <xf numFmtId="1" fontId="31" fillId="5" borderId="4" xfId="0" applyNumberFormat="1" applyFont="1" applyFill="1" applyBorder="1" applyAlignment="1">
      <alignment horizontal="center"/>
    </xf>
    <xf numFmtId="1" fontId="0" fillId="5" borderId="4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" fontId="0" fillId="19" borderId="4" xfId="0" applyNumberFormat="1" applyFill="1" applyBorder="1" applyAlignment="1">
      <alignment horizontal="center"/>
    </xf>
    <xf numFmtId="0" fontId="0" fillId="22" borderId="0" xfId="0" applyFill="1"/>
    <xf numFmtId="0" fontId="0" fillId="0" borderId="0" xfId="0"/>
    <xf numFmtId="0" fontId="0" fillId="0" borderId="0" xfId="0"/>
    <xf numFmtId="0" fontId="0" fillId="23" borderId="0" xfId="0" applyFill="1"/>
    <xf numFmtId="0" fontId="0" fillId="24" borderId="0" xfId="0" applyFill="1"/>
    <xf numFmtId="9" fontId="0" fillId="0" borderId="0" xfId="4" applyFont="1"/>
    <xf numFmtId="174" fontId="0" fillId="14" borderId="0" xfId="3" applyNumberFormat="1" applyFont="1" applyFill="1" applyAlignment="1">
      <alignment horizontal="center" vertical="center"/>
    </xf>
    <xf numFmtId="0" fontId="0" fillId="0" borderId="94" xfId="0" applyBorder="1"/>
    <xf numFmtId="0" fontId="0" fillId="17" borderId="94" xfId="0" applyFill="1" applyBorder="1"/>
    <xf numFmtId="0" fontId="0" fillId="20" borderId="94" xfId="0" applyFill="1" applyBorder="1"/>
    <xf numFmtId="0" fontId="0" fillId="21" borderId="94" xfId="0" applyFill="1" applyBorder="1"/>
    <xf numFmtId="0" fontId="0" fillId="0" borderId="95" xfId="0" applyBorder="1"/>
    <xf numFmtId="0" fontId="0" fillId="0" borderId="96" xfId="0" applyBorder="1"/>
    <xf numFmtId="0" fontId="0" fillId="14" borderId="96" xfId="0" applyFill="1" applyBorder="1"/>
    <xf numFmtId="0" fontId="0" fillId="0" borderId="97" xfId="0" applyBorder="1"/>
    <xf numFmtId="0" fontId="0" fillId="0" borderId="109" xfId="0" applyBorder="1"/>
    <xf numFmtId="0" fontId="0" fillId="0" borderId="98" xfId="0" applyBorder="1"/>
    <xf numFmtId="0" fontId="0" fillId="0" borderId="99" xfId="0" applyBorder="1"/>
    <xf numFmtId="0" fontId="0" fillId="0" borderId="110" xfId="0" applyBorder="1"/>
    <xf numFmtId="0" fontId="0" fillId="0" borderId="111" xfId="0" applyBorder="1"/>
    <xf numFmtId="0" fontId="0" fillId="0" borderId="107" xfId="0" applyBorder="1"/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14" borderId="95" xfId="0" applyFill="1" applyBorder="1"/>
    <xf numFmtId="0" fontId="0" fillId="14" borderId="108" xfId="0" applyFill="1" applyBorder="1"/>
    <xf numFmtId="0" fontId="0" fillId="17" borderId="97" xfId="0" applyFill="1" applyBorder="1"/>
    <xf numFmtId="0" fontId="0" fillId="20" borderId="97" xfId="0" applyFill="1" applyBorder="1"/>
    <xf numFmtId="0" fontId="0" fillId="21" borderId="97" xfId="0" applyFill="1" applyBorder="1"/>
    <xf numFmtId="0" fontId="0" fillId="21" borderId="98" xfId="0" applyFill="1" applyBorder="1"/>
    <xf numFmtId="0" fontId="36" fillId="22" borderId="116" xfId="0" applyFont="1" applyFill="1" applyBorder="1" applyAlignment="1">
      <alignment horizontal="center"/>
    </xf>
    <xf numFmtId="0" fontId="36" fillId="11" borderId="117" xfId="0" applyFont="1" applyFill="1" applyBorder="1" applyAlignment="1">
      <alignment horizontal="center"/>
    </xf>
    <xf numFmtId="0" fontId="36" fillId="16" borderId="117" xfId="0" applyFont="1" applyFill="1" applyBorder="1" applyAlignment="1">
      <alignment horizontal="center"/>
    </xf>
    <xf numFmtId="0" fontId="36" fillId="25" borderId="118" xfId="0" applyFont="1" applyFill="1" applyBorder="1" applyAlignment="1">
      <alignment horizontal="center"/>
    </xf>
    <xf numFmtId="0" fontId="36" fillId="22" borderId="117" xfId="0" applyFont="1" applyFill="1" applyBorder="1" applyAlignment="1">
      <alignment horizontal="center"/>
    </xf>
    <xf numFmtId="0" fontId="36" fillId="25" borderId="117" xfId="0" applyFont="1" applyFill="1" applyBorder="1" applyAlignment="1">
      <alignment horizontal="center"/>
    </xf>
    <xf numFmtId="9" fontId="0" fillId="13" borderId="84" xfId="4" applyFont="1" applyFill="1" applyBorder="1" applyAlignment="1">
      <alignment vertical="center"/>
    </xf>
    <xf numFmtId="9" fontId="0" fillId="13" borderId="123" xfId="4" applyFont="1" applyFill="1" applyBorder="1" applyAlignment="1">
      <alignment vertical="center"/>
    </xf>
    <xf numFmtId="174" fontId="0" fillId="13" borderId="84" xfId="3" applyNumberFormat="1" applyFont="1" applyFill="1" applyBorder="1" applyAlignment="1">
      <alignment vertical="center"/>
    </xf>
    <xf numFmtId="174" fontId="0" fillId="13" borderId="4" xfId="3" applyNumberFormat="1" applyFont="1" applyFill="1" applyBorder="1" applyAlignment="1">
      <alignment vertical="center"/>
    </xf>
    <xf numFmtId="174" fontId="0" fillId="13" borderId="122" xfId="3" applyNumberFormat="1" applyFont="1" applyFill="1" applyBorder="1" applyAlignment="1">
      <alignment vertical="center"/>
    </xf>
    <xf numFmtId="174" fontId="0" fillId="13" borderId="123" xfId="3" applyNumberFormat="1" applyFont="1" applyFill="1" applyBorder="1" applyAlignment="1">
      <alignment vertical="center"/>
    </xf>
    <xf numFmtId="174" fontId="0" fillId="13" borderId="124" xfId="3" applyNumberFormat="1" applyFont="1" applyFill="1" applyBorder="1" applyAlignment="1">
      <alignment vertical="center"/>
    </xf>
    <xf numFmtId="174" fontId="0" fillId="13" borderId="125" xfId="3" applyNumberFormat="1" applyFont="1" applyFill="1" applyBorder="1" applyAlignment="1">
      <alignment vertical="center"/>
    </xf>
    <xf numFmtId="174" fontId="0" fillId="13" borderId="126" xfId="3" applyNumberFormat="1" applyFont="1" applyFill="1" applyBorder="1" applyAlignment="1">
      <alignment vertical="center"/>
    </xf>
    <xf numFmtId="174" fontId="0" fillId="13" borderId="40" xfId="3" applyNumberFormat="1" applyFont="1" applyFill="1" applyBorder="1" applyAlignment="1">
      <alignment vertical="center"/>
    </xf>
    <xf numFmtId="174" fontId="0" fillId="13" borderId="127" xfId="3" applyNumberFormat="1" applyFont="1" applyFill="1" applyBorder="1" applyAlignment="1">
      <alignment vertical="center"/>
    </xf>
    <xf numFmtId="9" fontId="0" fillId="13" borderId="119" xfId="4" applyFont="1" applyFill="1" applyBorder="1" applyAlignment="1">
      <alignment vertical="center"/>
    </xf>
    <xf numFmtId="174" fontId="37" fillId="5" borderId="101" xfId="3" applyNumberFormat="1" applyFont="1" applyFill="1" applyBorder="1" applyAlignment="1">
      <alignment horizontal="center" vertical="center"/>
    </xf>
    <xf numFmtId="43" fontId="18" fillId="14" borderId="103" xfId="3" applyFont="1" applyFill="1" applyBorder="1" applyAlignment="1">
      <alignment horizontal="center" vertical="center"/>
    </xf>
    <xf numFmtId="9" fontId="0" fillId="13" borderId="4" xfId="4" applyFont="1" applyFill="1" applyBorder="1" applyAlignment="1">
      <alignment vertical="center"/>
    </xf>
    <xf numFmtId="9" fontId="0" fillId="13" borderId="120" xfId="4" applyFont="1" applyFill="1" applyBorder="1" applyAlignment="1">
      <alignment vertical="center"/>
    </xf>
    <xf numFmtId="9" fontId="0" fillId="13" borderId="121" xfId="4" applyFont="1" applyFill="1" applyBorder="1" applyAlignment="1">
      <alignment vertical="center"/>
    </xf>
    <xf numFmtId="9" fontId="0" fillId="13" borderId="122" xfId="4" applyFont="1" applyFill="1" applyBorder="1" applyAlignment="1">
      <alignment vertical="center"/>
    </xf>
    <xf numFmtId="9" fontId="0" fillId="13" borderId="124" xfId="4" applyFont="1" applyFill="1" applyBorder="1" applyAlignment="1">
      <alignment vertical="center"/>
    </xf>
    <xf numFmtId="9" fontId="0" fillId="13" borderId="125" xfId="4" applyFont="1" applyFill="1" applyBorder="1" applyAlignment="1">
      <alignment vertical="center"/>
    </xf>
    <xf numFmtId="0" fontId="37" fillId="25" borderId="79" xfId="3" quotePrefix="1" applyNumberFormat="1" applyFont="1" applyFill="1" applyBorder="1" applyAlignment="1">
      <alignment horizontal="center" vertical="center"/>
    </xf>
    <xf numFmtId="0" fontId="37" fillId="25" borderId="79" xfId="0" quotePrefix="1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3" fontId="22" fillId="13" borderId="62" xfId="1" applyNumberFormat="1" applyFont="1" applyFill="1" applyBorder="1" applyAlignment="1">
      <alignment horizontal="center"/>
    </xf>
    <xf numFmtId="3" fontId="0" fillId="0" borderId="0" xfId="0" applyNumberFormat="1"/>
    <xf numFmtId="3" fontId="40" fillId="26" borderId="85" xfId="1" applyNumberFormat="1" applyFont="1" applyFill="1" applyBorder="1" applyAlignment="1">
      <alignment horizontal="center"/>
    </xf>
    <xf numFmtId="3" fontId="0" fillId="2" borderId="0" xfId="0" applyNumberFormat="1" applyFill="1" applyAlignment="1">
      <alignment vertical="center"/>
    </xf>
    <xf numFmtId="43" fontId="35" fillId="2" borderId="0" xfId="3" applyFont="1" applyFill="1" applyAlignment="1">
      <alignment horizontal="center" vertical="center"/>
    </xf>
    <xf numFmtId="0" fontId="35" fillId="2" borderId="0" xfId="0" applyNumberFormat="1" applyFont="1" applyFill="1" applyAlignment="1">
      <alignment horizontal="center" vertical="center"/>
    </xf>
    <xf numFmtId="43" fontId="36" fillId="2" borderId="0" xfId="0" applyNumberFormat="1" applyFont="1" applyFill="1" applyAlignment="1">
      <alignment horizontal="center" vertical="center"/>
    </xf>
    <xf numFmtId="0" fontId="2" fillId="0" borderId="0" xfId="1" applyFont="1" applyAlignment="1">
      <alignment horizontal="center"/>
    </xf>
    <xf numFmtId="0" fontId="2" fillId="0" borderId="0" xfId="1" quotePrefix="1" applyFont="1" applyAlignment="1">
      <alignment horizontal="center"/>
    </xf>
    <xf numFmtId="0" fontId="2" fillId="0" borderId="0" xfId="1" applyFont="1" applyAlignment="1">
      <alignment horizontal="right"/>
    </xf>
    <xf numFmtId="14" fontId="3" fillId="0" borderId="1" xfId="1" applyNumberFormat="1" applyFont="1" applyBorder="1" applyAlignment="1">
      <alignment horizontal="center"/>
    </xf>
    <xf numFmtId="0" fontId="6" fillId="3" borderId="1" xfId="1" quotePrefix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6" fillId="3" borderId="0" xfId="1" quotePrefix="1" applyFont="1" applyFill="1" applyBorder="1" applyAlignment="1">
      <alignment horizontal="center"/>
    </xf>
    <xf numFmtId="0" fontId="6" fillId="3" borderId="0" xfId="1" applyFont="1" applyFill="1" applyBorder="1" applyAlignment="1">
      <alignment horizontal="center"/>
    </xf>
    <xf numFmtId="14" fontId="3" fillId="0" borderId="2" xfId="1" applyNumberFormat="1" applyFont="1" applyBorder="1" applyAlignment="1">
      <alignment horizontal="center"/>
    </xf>
    <xf numFmtId="14" fontId="3" fillId="0" borderId="2" xfId="1" applyNumberFormat="1" applyFont="1" applyBorder="1" applyAlignment="1">
      <alignment horizontal="center" vertical="center"/>
    </xf>
    <xf numFmtId="0" fontId="3" fillId="3" borderId="2" xfId="1" applyFont="1" applyFill="1" applyBorder="1" applyAlignment="1">
      <alignment horizontal="center"/>
    </xf>
    <xf numFmtId="0" fontId="9" fillId="3" borderId="1" xfId="1" quotePrefix="1" applyFont="1" applyFill="1" applyBorder="1" applyAlignment="1">
      <alignment horizontal="center"/>
    </xf>
    <xf numFmtId="0" fontId="9" fillId="3" borderId="0" xfId="1" quotePrefix="1" applyFont="1" applyFill="1" applyBorder="1" applyAlignment="1">
      <alignment horizontal="center"/>
    </xf>
    <xf numFmtId="0" fontId="9" fillId="3" borderId="0" xfId="1" applyFont="1" applyFill="1" applyBorder="1" applyAlignment="1">
      <alignment horizontal="center"/>
    </xf>
    <xf numFmtId="14" fontId="35" fillId="2" borderId="0" xfId="0" applyNumberFormat="1" applyFont="1" applyFill="1" applyAlignment="1">
      <alignment horizontal="center"/>
    </xf>
    <xf numFmtId="0" fontId="37" fillId="25" borderId="79" xfId="0" quotePrefix="1" applyFont="1" applyFill="1" applyBorder="1" applyAlignment="1">
      <alignment horizontal="center" vertical="center"/>
    </xf>
    <xf numFmtId="0" fontId="37" fillId="25" borderId="81" xfId="0" quotePrefix="1" applyFont="1" applyFill="1" applyBorder="1" applyAlignment="1">
      <alignment horizontal="center" vertical="center"/>
    </xf>
    <xf numFmtId="0" fontId="37" fillId="25" borderId="80" xfId="0" quotePrefix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/>
    </xf>
    <xf numFmtId="1" fontId="18" fillId="4" borderId="55" xfId="0" applyNumberFormat="1" applyFont="1" applyFill="1" applyBorder="1" applyAlignment="1">
      <alignment horizontal="center" vertical="center"/>
    </xf>
    <xf numFmtId="1" fontId="18" fillId="4" borderId="56" xfId="0" applyNumberFormat="1" applyFont="1" applyFill="1" applyBorder="1" applyAlignment="1">
      <alignment horizontal="center" vertical="center"/>
    </xf>
    <xf numFmtId="1" fontId="18" fillId="4" borderId="61" xfId="0" applyNumberFormat="1" applyFont="1" applyFill="1" applyBorder="1" applyAlignment="1">
      <alignment horizontal="center" vertical="center"/>
    </xf>
    <xf numFmtId="1" fontId="10" fillId="4" borderId="82" xfId="0" applyNumberFormat="1" applyFont="1" applyFill="1" applyBorder="1" applyAlignment="1">
      <alignment horizontal="center" vertical="center"/>
    </xf>
    <xf numFmtId="1" fontId="10" fillId="4" borderId="88" xfId="0" applyNumberFormat="1" applyFont="1" applyFill="1" applyBorder="1" applyAlignment="1">
      <alignment horizontal="center" vertical="center"/>
    </xf>
    <xf numFmtId="1" fontId="10" fillId="4" borderId="83" xfId="0" applyNumberFormat="1" applyFont="1" applyFill="1" applyBorder="1" applyAlignment="1">
      <alignment horizontal="center" vertical="center"/>
    </xf>
    <xf numFmtId="1" fontId="18" fillId="4" borderId="82" xfId="0" applyNumberFormat="1" applyFont="1" applyFill="1" applyBorder="1" applyAlignment="1">
      <alignment horizontal="center" vertical="center"/>
    </xf>
    <xf numFmtId="1" fontId="18" fillId="4" borderId="88" xfId="0" applyNumberFormat="1" applyFont="1" applyFill="1" applyBorder="1" applyAlignment="1">
      <alignment horizontal="center" vertical="center"/>
    </xf>
    <xf numFmtId="1" fontId="18" fillId="4" borderId="83" xfId="0" applyNumberFormat="1" applyFont="1" applyFill="1" applyBorder="1" applyAlignment="1">
      <alignment horizontal="center" vertical="center"/>
    </xf>
    <xf numFmtId="166" fontId="16" fillId="8" borderId="55" xfId="1" applyNumberFormat="1" applyFont="1" applyFill="1" applyBorder="1" applyAlignment="1">
      <alignment horizontal="center" vertical="center" wrapText="1"/>
    </xf>
    <xf numFmtId="166" fontId="16" fillId="8" borderId="62" xfId="1" applyNumberFormat="1" applyFont="1" applyFill="1" applyBorder="1" applyAlignment="1">
      <alignment horizontal="center" vertical="center" wrapText="1"/>
    </xf>
    <xf numFmtId="0" fontId="16" fillId="8" borderId="61" xfId="1" applyFont="1" applyFill="1" applyBorder="1" applyAlignment="1">
      <alignment horizontal="center" vertical="center" wrapText="1"/>
    </xf>
    <xf numFmtId="0" fontId="16" fillId="8" borderId="63" xfId="1" applyFont="1" applyFill="1" applyBorder="1" applyAlignment="1">
      <alignment horizontal="center" vertical="center" wrapText="1"/>
    </xf>
    <xf numFmtId="1" fontId="18" fillId="4" borderId="84" xfId="0" applyNumberFormat="1" applyFont="1" applyFill="1" applyBorder="1" applyAlignment="1">
      <alignment horizontal="center" vertical="center"/>
    </xf>
    <xf numFmtId="1" fontId="18" fillId="4" borderId="4" xfId="0" applyNumberFormat="1" applyFont="1" applyFill="1" applyBorder="1" applyAlignment="1">
      <alignment horizontal="center" vertical="center"/>
    </xf>
    <xf numFmtId="1" fontId="18" fillId="4" borderId="85" xfId="0" applyNumberFormat="1" applyFont="1" applyFill="1" applyBorder="1" applyAlignment="1">
      <alignment horizontal="center" vertical="center"/>
    </xf>
    <xf numFmtId="1" fontId="18" fillId="4" borderId="31" xfId="0" applyNumberFormat="1" applyFont="1" applyFill="1" applyBorder="1" applyAlignment="1">
      <alignment horizontal="center" vertical="center"/>
    </xf>
    <xf numFmtId="1" fontId="18" fillId="4" borderId="32" xfId="0" applyNumberFormat="1" applyFont="1" applyFill="1" applyBorder="1" applyAlignment="1">
      <alignment horizontal="center" vertical="center"/>
    </xf>
    <xf numFmtId="1" fontId="18" fillId="4" borderId="33" xfId="0" applyNumberFormat="1" applyFont="1" applyFill="1" applyBorder="1" applyAlignment="1">
      <alignment horizontal="center" vertical="center"/>
    </xf>
    <xf numFmtId="1" fontId="18" fillId="4" borderId="7" xfId="0" applyNumberFormat="1" applyFont="1" applyFill="1" applyBorder="1" applyAlignment="1">
      <alignment horizontal="center" vertical="center"/>
    </xf>
    <xf numFmtId="1" fontId="18" fillId="4" borderId="8" xfId="0" applyNumberFormat="1" applyFont="1" applyFill="1" applyBorder="1" applyAlignment="1">
      <alignment horizontal="center" vertical="center"/>
    </xf>
    <xf numFmtId="1" fontId="18" fillId="4" borderId="9" xfId="0" applyNumberFormat="1" applyFont="1" applyFill="1" applyBorder="1" applyAlignment="1">
      <alignment horizontal="center" vertical="center"/>
    </xf>
    <xf numFmtId="1" fontId="18" fillId="4" borderId="34" xfId="0" applyNumberFormat="1" applyFont="1" applyFill="1" applyBorder="1" applyAlignment="1">
      <alignment horizontal="center" vertical="center"/>
    </xf>
    <xf numFmtId="1" fontId="18" fillId="4" borderId="35" xfId="0" applyNumberFormat="1" applyFont="1" applyFill="1" applyBorder="1" applyAlignment="1">
      <alignment horizontal="center" vertical="center"/>
    </xf>
    <xf numFmtId="1" fontId="18" fillId="4" borderId="36" xfId="0" applyNumberFormat="1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32" fillId="2" borderId="0" xfId="0" applyFont="1" applyFill="1" applyBorder="1" applyAlignment="1">
      <alignment horizontal="center" vertical="center" textRotation="90"/>
    </xf>
  </cellXfs>
  <cellStyles count="6">
    <cellStyle name="Normal" xfId="0" builtinId="0"/>
    <cellStyle name="Normal 2" xfId="1"/>
    <cellStyle name="Porcentagem" xfId="4" builtinId="5"/>
    <cellStyle name="Porcentagem 2" xfId="2"/>
    <cellStyle name="Vírgula" xfId="3" builtinId="3"/>
    <cellStyle name="Vírgula 2 3" xfId="5"/>
  </cellStyles>
  <dxfs count="1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Sudeste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Entrada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Saida!$B$8:$G$8</c:f>
              <c:numCache>
                <c:formatCode>#,##0</c:formatCode>
                <c:ptCount val="6"/>
                <c:pt idx="0">
                  <c:v>21042.374576315786</c:v>
                </c:pt>
                <c:pt idx="1">
                  <c:v>20277.91653052632</c:v>
                </c:pt>
                <c:pt idx="2">
                  <c:v>19869.549884736833</c:v>
                </c:pt>
                <c:pt idx="3">
                  <c:v>19789.439787368421</c:v>
                </c:pt>
                <c:pt idx="4">
                  <c:v>18369.295526842106</c:v>
                </c:pt>
                <c:pt idx="5">
                  <c:v>17500.043726842108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Entrada!$B$14</c:f>
              <c:strCache>
                <c:ptCount val="1"/>
                <c:pt idx="0">
                  <c:v>Base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Saida!$K$8:$P$8</c:f>
              <c:numCache>
                <c:formatCode>#,##0</c:formatCode>
                <c:ptCount val="6"/>
                <c:pt idx="0">
                  <c:v>32474.359700000001</c:v>
                </c:pt>
                <c:pt idx="1">
                  <c:v>31300.367899999994</c:v>
                </c:pt>
                <c:pt idx="2">
                  <c:v>30694.763500000001</c:v>
                </c:pt>
                <c:pt idx="3">
                  <c:v>30585.28045210526</c:v>
                </c:pt>
                <c:pt idx="4">
                  <c:v>28333.237200000003</c:v>
                </c:pt>
                <c:pt idx="5">
                  <c:v>27043.510500000004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Entrada!$C$14</c:f>
              <c:strCache>
                <c:ptCount val="1"/>
                <c:pt idx="0">
                  <c:v>Seco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Saida!$T$8:$Y$8</c:f>
              <c:numCache>
                <c:formatCode>#,##0</c:formatCode>
                <c:ptCount val="6"/>
                <c:pt idx="0">
                  <c:v>27606.694344736839</c:v>
                </c:pt>
                <c:pt idx="1">
                  <c:v>26601.508398947361</c:v>
                </c:pt>
                <c:pt idx="2">
                  <c:v>26090.706353157893</c:v>
                </c:pt>
                <c:pt idx="3">
                  <c:v>25985.336959473683</c:v>
                </c:pt>
                <c:pt idx="4">
                  <c:v>24095.543812105265</c:v>
                </c:pt>
                <c:pt idx="5">
                  <c:v>22991.415912105265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Entrada!$D$14</c:f>
              <c:strCache>
                <c:ptCount val="1"/>
                <c:pt idx="0">
                  <c:v>Umido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Saida!$AC$8:$AH$8</c:f>
              <c:numCache>
                <c:formatCode>#,##0</c:formatCode>
                <c:ptCount val="6"/>
                <c:pt idx="0">
                  <c:v>21042.374576315786</c:v>
                </c:pt>
                <c:pt idx="1">
                  <c:v>20277.91653052632</c:v>
                </c:pt>
                <c:pt idx="2">
                  <c:v>19869.549884736833</c:v>
                </c:pt>
                <c:pt idx="3">
                  <c:v>19789.439787368421</c:v>
                </c:pt>
                <c:pt idx="4">
                  <c:v>18369.295526842106</c:v>
                </c:pt>
                <c:pt idx="5">
                  <c:v>17500.043726842108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19424"/>
        <c:axId val="77224704"/>
      </c:lineChart>
      <c:catAx>
        <c:axId val="8131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224704"/>
        <c:crosses val="autoZero"/>
        <c:auto val="1"/>
        <c:lblAlgn val="ctr"/>
        <c:lblOffset val="100"/>
        <c:noMultiLvlLbl val="0"/>
      </c:catAx>
      <c:valAx>
        <c:axId val="7722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1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Sul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Entrada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Saida!$B$9:$G$9</c:f>
              <c:numCache>
                <c:formatCode>#,##0</c:formatCode>
                <c:ptCount val="6"/>
                <c:pt idx="0">
                  <c:v>11911.218500000001</c:v>
                </c:pt>
                <c:pt idx="1">
                  <c:v>15950.820800000001</c:v>
                </c:pt>
                <c:pt idx="2">
                  <c:v>11479.436800000001</c:v>
                </c:pt>
                <c:pt idx="3">
                  <c:v>10078.8411</c:v>
                </c:pt>
                <c:pt idx="4">
                  <c:v>5664.7309999999998</c:v>
                </c:pt>
                <c:pt idx="5">
                  <c:v>6045.7946999999986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Entrada!$B$14</c:f>
              <c:strCache>
                <c:ptCount val="1"/>
                <c:pt idx="0">
                  <c:v>Base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Saida!$K$9:$P$9</c:f>
              <c:numCache>
                <c:formatCode>#,##0</c:formatCode>
                <c:ptCount val="6"/>
                <c:pt idx="0">
                  <c:v>9549.9722000000002</c:v>
                </c:pt>
                <c:pt idx="1">
                  <c:v>12818.771300000002</c:v>
                </c:pt>
                <c:pt idx="2">
                  <c:v>9196.6957999999995</c:v>
                </c:pt>
                <c:pt idx="3">
                  <c:v>8076.6556999999993</c:v>
                </c:pt>
                <c:pt idx="4">
                  <c:v>4540.0735000000004</c:v>
                </c:pt>
                <c:pt idx="5">
                  <c:v>4842.7214000000004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Entrada!$C$14</c:f>
              <c:strCache>
                <c:ptCount val="1"/>
                <c:pt idx="0">
                  <c:v>Seco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Saida!$T$9:$Y$9</c:f>
              <c:numCache>
                <c:formatCode>#,##0</c:formatCode>
                <c:ptCount val="6"/>
                <c:pt idx="0">
                  <c:v>9549.9722000000002</c:v>
                </c:pt>
                <c:pt idx="1">
                  <c:v>12818.771300000002</c:v>
                </c:pt>
                <c:pt idx="2">
                  <c:v>9196.6957999999995</c:v>
                </c:pt>
                <c:pt idx="3">
                  <c:v>8076.6556999999993</c:v>
                </c:pt>
                <c:pt idx="4">
                  <c:v>4540.0735000000004</c:v>
                </c:pt>
                <c:pt idx="5">
                  <c:v>4842.7214000000004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Entrada!$D$14</c:f>
              <c:strCache>
                <c:ptCount val="1"/>
                <c:pt idx="0">
                  <c:v>Umido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Saida!$AC$9:$AH$9</c:f>
              <c:numCache>
                <c:formatCode>#,##0</c:formatCode>
                <c:ptCount val="6"/>
                <c:pt idx="0">
                  <c:v>11911.218500000001</c:v>
                </c:pt>
                <c:pt idx="1">
                  <c:v>15950.820800000001</c:v>
                </c:pt>
                <c:pt idx="2">
                  <c:v>11479.436800000001</c:v>
                </c:pt>
                <c:pt idx="3">
                  <c:v>10078.8411</c:v>
                </c:pt>
                <c:pt idx="4">
                  <c:v>5664.7309999999998</c:v>
                </c:pt>
                <c:pt idx="5">
                  <c:v>6045.7946999999986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19936"/>
        <c:axId val="78610432"/>
      </c:lineChart>
      <c:catAx>
        <c:axId val="81319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10432"/>
        <c:crosses val="autoZero"/>
        <c:auto val="1"/>
        <c:lblAlgn val="ctr"/>
        <c:lblOffset val="100"/>
        <c:noMultiLvlLbl val="0"/>
      </c:catAx>
      <c:valAx>
        <c:axId val="7861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1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Nordeste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Entrada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Saida!$B$10:$G$10</c:f>
              <c:numCache>
                <c:formatCode>#,##0</c:formatCode>
                <c:ptCount val="6"/>
                <c:pt idx="0">
                  <c:v>2067.5142000000001</c:v>
                </c:pt>
                <c:pt idx="1">
                  <c:v>2221.6210999999998</c:v>
                </c:pt>
                <c:pt idx="2">
                  <c:v>2224.0974000000001</c:v>
                </c:pt>
                <c:pt idx="3">
                  <c:v>2209.9340999999999</c:v>
                </c:pt>
                <c:pt idx="4">
                  <c:v>2137.6089000000002</c:v>
                </c:pt>
                <c:pt idx="5">
                  <c:v>2136.5454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Entrada!$B$14</c:f>
              <c:strCache>
                <c:ptCount val="1"/>
                <c:pt idx="0">
                  <c:v>Base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Saida!$K$10:$P$10</c:f>
              <c:numCache>
                <c:formatCode>#,##0</c:formatCode>
                <c:ptCount val="6"/>
                <c:pt idx="0">
                  <c:v>3787.0158999999999</c:v>
                </c:pt>
                <c:pt idx="1">
                  <c:v>4075.6795000000002</c:v>
                </c:pt>
                <c:pt idx="2">
                  <c:v>4083.8735000000006</c:v>
                </c:pt>
                <c:pt idx="3">
                  <c:v>4056.6315</c:v>
                </c:pt>
                <c:pt idx="4">
                  <c:v>3923.1605</c:v>
                </c:pt>
                <c:pt idx="5">
                  <c:v>3919.3245000000006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Entrada!$C$14</c:f>
              <c:strCache>
                <c:ptCount val="1"/>
                <c:pt idx="0">
                  <c:v>Seco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Saida!$T$10:$Y$10</c:f>
              <c:numCache>
                <c:formatCode>#,##0</c:formatCode>
                <c:ptCount val="6"/>
                <c:pt idx="0">
                  <c:v>3782.7022999999999</c:v>
                </c:pt>
                <c:pt idx="1">
                  <c:v>4074.5263999999997</c:v>
                </c:pt>
                <c:pt idx="2">
                  <c:v>4085.7664999999997</c:v>
                </c:pt>
                <c:pt idx="3">
                  <c:v>4056.1027999999997</c:v>
                </c:pt>
                <c:pt idx="4">
                  <c:v>3922.2598999999996</c:v>
                </c:pt>
                <c:pt idx="5">
                  <c:v>3918.4238999999998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Entrada!$D$14</c:f>
              <c:strCache>
                <c:ptCount val="1"/>
                <c:pt idx="0">
                  <c:v>Umido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Saida!$AC$10:$AH$10</c:f>
              <c:numCache>
                <c:formatCode>#,##0</c:formatCode>
                <c:ptCount val="6"/>
                <c:pt idx="0">
                  <c:v>2067.5142000000001</c:v>
                </c:pt>
                <c:pt idx="1">
                  <c:v>2221.6210999999998</c:v>
                </c:pt>
                <c:pt idx="2">
                  <c:v>2224.0974000000001</c:v>
                </c:pt>
                <c:pt idx="3">
                  <c:v>2209.9340999999999</c:v>
                </c:pt>
                <c:pt idx="4">
                  <c:v>2137.6089000000002</c:v>
                </c:pt>
                <c:pt idx="5">
                  <c:v>2136.5454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0448"/>
        <c:axId val="78612160"/>
      </c:lineChart>
      <c:catAx>
        <c:axId val="81320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12160"/>
        <c:crosses val="autoZero"/>
        <c:auto val="1"/>
        <c:lblAlgn val="ctr"/>
        <c:lblOffset val="100"/>
        <c:noMultiLvlLbl val="0"/>
      </c:catAx>
      <c:valAx>
        <c:axId val="786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2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Norte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Entrada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Saida!$B$11:$G$11</c:f>
              <c:numCache>
                <c:formatCode>#,##0</c:formatCode>
                <c:ptCount val="6"/>
                <c:pt idx="0">
                  <c:v>3603.4187000000002</c:v>
                </c:pt>
                <c:pt idx="1">
                  <c:v>3393.9342000000001</c:v>
                </c:pt>
                <c:pt idx="2">
                  <c:v>3201.4144000000001</c:v>
                </c:pt>
                <c:pt idx="3">
                  <c:v>2979.1698000000001</c:v>
                </c:pt>
                <c:pt idx="4">
                  <c:v>2764.7894999999999</c:v>
                </c:pt>
                <c:pt idx="5">
                  <c:v>2589.3020000000001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Entrada!$B$14</c:f>
              <c:strCache>
                <c:ptCount val="1"/>
                <c:pt idx="0">
                  <c:v>Base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Saida!$K$11:$P$11</c:f>
              <c:numCache>
                <c:formatCode>#,##0</c:formatCode>
                <c:ptCount val="6"/>
                <c:pt idx="0">
                  <c:v>11041.679700000001</c:v>
                </c:pt>
                <c:pt idx="1">
                  <c:v>10406.454399999999</c:v>
                </c:pt>
                <c:pt idx="2">
                  <c:v>9808.4305999999997</c:v>
                </c:pt>
                <c:pt idx="3">
                  <c:v>9112.6784000000007</c:v>
                </c:pt>
                <c:pt idx="4">
                  <c:v>8452.0170999999991</c:v>
                </c:pt>
                <c:pt idx="5">
                  <c:v>7927.0062000000007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Entrada!$C$14</c:f>
              <c:strCache>
                <c:ptCount val="1"/>
                <c:pt idx="0">
                  <c:v>Seco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Saida!$T$11:$Y$11</c:f>
              <c:numCache>
                <c:formatCode>#,##0</c:formatCode>
                <c:ptCount val="6"/>
                <c:pt idx="0">
                  <c:v>11043.7916</c:v>
                </c:pt>
                <c:pt idx="1">
                  <c:v>10409.1819</c:v>
                </c:pt>
                <c:pt idx="2">
                  <c:v>9809.5442000000003</c:v>
                </c:pt>
                <c:pt idx="3">
                  <c:v>9111.8531999999996</c:v>
                </c:pt>
                <c:pt idx="4">
                  <c:v>8450.5743000000002</c:v>
                </c:pt>
                <c:pt idx="5">
                  <c:v>7927.1578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Entrada!$D$14</c:f>
              <c:strCache>
                <c:ptCount val="1"/>
                <c:pt idx="0">
                  <c:v>Umido</c:v>
                </c:pt>
              </c:strCache>
            </c:strRef>
          </c:tx>
          <c:marker>
            <c:symbol val="none"/>
          </c:marker>
          <c:cat>
            <c:strRef>
              <c:f>Saida!$B$3:$G$3</c:f>
              <c:strCache>
                <c:ptCount val="6"/>
                <c:pt idx="0">
                  <c:v>Semana-1</c:v>
                </c:pt>
                <c:pt idx="1">
                  <c:v>Semana-2</c:v>
                </c:pt>
                <c:pt idx="2">
                  <c:v>Semana-3</c:v>
                </c:pt>
                <c:pt idx="3">
                  <c:v>Semana-4</c:v>
                </c:pt>
                <c:pt idx="4">
                  <c:v>Semana-5</c:v>
                </c:pt>
                <c:pt idx="5">
                  <c:v>Semana-6</c:v>
                </c:pt>
              </c:strCache>
            </c:strRef>
          </c:cat>
          <c:val>
            <c:numRef>
              <c:f>Saida!$AC$11:$AH$11</c:f>
              <c:numCache>
                <c:formatCode>#,##0</c:formatCode>
                <c:ptCount val="6"/>
                <c:pt idx="0">
                  <c:v>3603.4187000000002</c:v>
                </c:pt>
                <c:pt idx="1">
                  <c:v>3393.9342000000001</c:v>
                </c:pt>
                <c:pt idx="2">
                  <c:v>3201.4144000000001</c:v>
                </c:pt>
                <c:pt idx="3">
                  <c:v>2979.1698000000001</c:v>
                </c:pt>
                <c:pt idx="4">
                  <c:v>2764.7894999999999</c:v>
                </c:pt>
                <c:pt idx="5">
                  <c:v>2589.3020000000001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0960"/>
        <c:axId val="78613888"/>
      </c:lineChart>
      <c:catAx>
        <c:axId val="81320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13888"/>
        <c:crosses val="autoZero"/>
        <c:auto val="1"/>
        <c:lblAlgn val="ctr"/>
        <c:lblOffset val="100"/>
        <c:noMultiLvlLbl val="0"/>
      </c:catAx>
      <c:valAx>
        <c:axId val="7861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2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9</xdr:row>
          <xdr:rowOff>66675</xdr:rowOff>
        </xdr:from>
        <xdr:to>
          <xdr:col>5</xdr:col>
          <xdr:colOff>171450</xdr:colOff>
          <xdr:row>10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Ajusta Cenários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5</xdr:row>
          <xdr:rowOff>228600</xdr:rowOff>
        </xdr:from>
        <xdr:to>
          <xdr:col>4</xdr:col>
          <xdr:colOff>514350</xdr:colOff>
          <xdr:row>7</xdr:row>
          <xdr:rowOff>85725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Avalia Prevs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91281</xdr:colOff>
      <xdr:row>37</xdr:row>
      <xdr:rowOff>112712</xdr:rowOff>
    </xdr:from>
    <xdr:to>
      <xdr:col>4</xdr:col>
      <xdr:colOff>365125</xdr:colOff>
      <xdr:row>51</xdr:row>
      <xdr:rowOff>188912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472282</xdr:colOff>
      <xdr:row>37</xdr:row>
      <xdr:rowOff>115093</xdr:rowOff>
    </xdr:from>
    <xdr:to>
      <xdr:col>8</xdr:col>
      <xdr:colOff>1079501</xdr:colOff>
      <xdr:row>52</xdr:row>
      <xdr:rowOff>793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79375</xdr:colOff>
      <xdr:row>53</xdr:row>
      <xdr:rowOff>55562</xdr:rowOff>
    </xdr:from>
    <xdr:to>
      <xdr:col>4</xdr:col>
      <xdr:colOff>353219</xdr:colOff>
      <xdr:row>67</xdr:row>
      <xdr:rowOff>131762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460376</xdr:colOff>
      <xdr:row>53</xdr:row>
      <xdr:rowOff>57943</xdr:rowOff>
    </xdr:from>
    <xdr:to>
      <xdr:col>8</xdr:col>
      <xdr:colOff>1067595</xdr:colOff>
      <xdr:row>67</xdr:row>
      <xdr:rowOff>134143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253"/>
  <sheetViews>
    <sheetView workbookViewId="0">
      <selection sqref="A1:G1"/>
    </sheetView>
  </sheetViews>
  <sheetFormatPr defaultRowHeight="15" x14ac:dyDescent="0.25"/>
  <cols>
    <col min="1" max="1" width="30.42578125" style="48" customWidth="1"/>
    <col min="2" max="2" width="11.28515625" style="49" customWidth="1"/>
    <col min="3" max="3" width="10.42578125" style="50" customWidth="1"/>
    <col min="4" max="5" width="10.42578125" style="49" customWidth="1"/>
    <col min="6" max="6" width="13.5703125" style="51" customWidth="1"/>
    <col min="7" max="7" width="16.28515625" style="51" customWidth="1"/>
    <col min="8" max="16384" width="9.140625" style="1"/>
  </cols>
  <sheetData>
    <row r="1" spans="1:7" ht="15.75" x14ac:dyDescent="0.25">
      <c r="A1" s="484" t="s">
        <v>0</v>
      </c>
      <c r="B1" s="484"/>
      <c r="C1" s="484"/>
      <c r="D1" s="484"/>
      <c r="E1" s="484"/>
      <c r="F1" s="484"/>
      <c r="G1" s="484"/>
    </row>
    <row r="2" spans="1:7" ht="15.75" x14ac:dyDescent="0.25">
      <c r="A2" s="485" t="s">
        <v>1</v>
      </c>
      <c r="B2" s="485"/>
      <c r="C2" s="485"/>
      <c r="D2" s="485"/>
      <c r="E2" s="485"/>
      <c r="F2" s="485"/>
      <c r="G2" s="485"/>
    </row>
    <row r="3" spans="1:7" ht="15.75" x14ac:dyDescent="0.25">
      <c r="A3" s="486" t="s">
        <v>2</v>
      </c>
      <c r="B3" s="486"/>
      <c r="C3" s="486"/>
      <c r="D3" s="2" t="s">
        <v>3</v>
      </c>
      <c r="E3" s="3"/>
      <c r="F3" s="3"/>
      <c r="G3" s="3"/>
    </row>
    <row r="4" spans="1:7" ht="15.75" thickBot="1" x14ac:dyDescent="0.3">
      <c r="A4" s="4"/>
      <c r="B4" s="5"/>
      <c r="C4" s="6"/>
      <c r="D4" s="5"/>
      <c r="E4" s="5"/>
      <c r="F4" s="7"/>
      <c r="G4" s="7"/>
    </row>
    <row r="5" spans="1:7" x14ac:dyDescent="0.25">
      <c r="A5" s="8"/>
      <c r="B5" s="487">
        <v>41629</v>
      </c>
      <c r="C5" s="487"/>
      <c r="D5" s="487" t="s">
        <v>4</v>
      </c>
      <c r="E5" s="487"/>
      <c r="F5" s="488" t="s">
        <v>5</v>
      </c>
      <c r="G5" s="488"/>
    </row>
    <row r="6" spans="1:7" x14ac:dyDescent="0.25">
      <c r="A6" s="9"/>
      <c r="B6" s="489" t="s">
        <v>6</v>
      </c>
      <c r="C6" s="489"/>
      <c r="D6" s="489" t="s">
        <v>7</v>
      </c>
      <c r="E6" s="489"/>
      <c r="F6" s="490" t="s">
        <v>8</v>
      </c>
      <c r="G6" s="491"/>
    </row>
    <row r="7" spans="1:7" ht="15.75" thickBot="1" x14ac:dyDescent="0.3">
      <c r="A7" s="10" t="s">
        <v>9</v>
      </c>
      <c r="B7" s="492">
        <v>41635</v>
      </c>
      <c r="C7" s="492"/>
      <c r="D7" s="492" t="s">
        <v>10</v>
      </c>
      <c r="E7" s="493"/>
      <c r="F7" s="494" t="s">
        <v>11</v>
      </c>
      <c r="G7" s="494"/>
    </row>
    <row r="8" spans="1:7" ht="15.75" thickBot="1" x14ac:dyDescent="0.3">
      <c r="A8" s="11"/>
      <c r="B8" s="12" t="s">
        <v>12</v>
      </c>
      <c r="C8" s="12" t="s">
        <v>13</v>
      </c>
      <c r="D8" s="12" t="s">
        <v>12</v>
      </c>
      <c r="E8" s="13" t="s">
        <v>14</v>
      </c>
      <c r="F8" s="14" t="s">
        <v>12</v>
      </c>
      <c r="G8" s="15" t="s">
        <v>13</v>
      </c>
    </row>
    <row r="9" spans="1:7" x14ac:dyDescent="0.25">
      <c r="A9" s="16" t="s">
        <v>15</v>
      </c>
      <c r="B9" s="17">
        <v>46274.821599999988</v>
      </c>
      <c r="C9" s="17">
        <v>111.88765060830789</v>
      </c>
      <c r="D9" s="17">
        <v>41444.570636648699</v>
      </c>
      <c r="E9" s="17">
        <v>100.20861191185416</v>
      </c>
      <c r="F9" s="18">
        <v>41883.150122580642</v>
      </c>
      <c r="G9" s="19">
        <v>101.2690509711357</v>
      </c>
    </row>
    <row r="10" spans="1:7" x14ac:dyDescent="0.25">
      <c r="A10" s="20" t="s">
        <v>16</v>
      </c>
      <c r="B10" s="21">
        <v>5779.2885999999999</v>
      </c>
      <c r="C10" s="21">
        <v>77.787109597581647</v>
      </c>
      <c r="D10" s="21">
        <v>7039.5594072410877</v>
      </c>
      <c r="E10" s="21">
        <v>94.749893460892281</v>
      </c>
      <c r="F10" s="22">
        <v>6469.8086677419369</v>
      </c>
      <c r="G10" s="23">
        <v>87.081257010253083</v>
      </c>
    </row>
    <row r="11" spans="1:7" x14ac:dyDescent="0.25">
      <c r="A11" s="20" t="s">
        <v>17</v>
      </c>
      <c r="B11" s="21">
        <v>12129.7595</v>
      </c>
      <c r="C11" s="21">
        <v>118.09297559610413</v>
      </c>
      <c r="D11" s="21">
        <v>8306.9118541287153</v>
      </c>
      <c r="E11" s="21">
        <v>80.874475612530517</v>
      </c>
      <c r="F11" s="22">
        <v>5609.4615709677419</v>
      </c>
      <c r="G11" s="23">
        <v>54.61262512315907</v>
      </c>
    </row>
    <row r="12" spans="1:7" ht="15.75" thickBot="1" x14ac:dyDescent="0.3">
      <c r="A12" s="24" t="s">
        <v>18</v>
      </c>
      <c r="B12" s="25">
        <v>4543.3330999999998</v>
      </c>
      <c r="C12" s="25">
        <v>79.092070229002871</v>
      </c>
      <c r="D12" s="25">
        <v>4021.8028974868412</v>
      </c>
      <c r="E12" s="25">
        <v>70.013074149292834</v>
      </c>
      <c r="F12" s="26">
        <v>4769.3983322580652</v>
      </c>
      <c r="G12" s="27">
        <v>83.027499754540145</v>
      </c>
    </row>
    <row r="13" spans="1:7" x14ac:dyDescent="0.25">
      <c r="A13" s="20"/>
      <c r="B13" s="28"/>
      <c r="C13" s="29"/>
      <c r="D13" s="28"/>
      <c r="E13" s="28"/>
      <c r="F13" s="28"/>
      <c r="G13" s="28"/>
    </row>
    <row r="14" spans="1:7" x14ac:dyDescent="0.25">
      <c r="A14" s="20"/>
      <c r="B14" s="28"/>
      <c r="C14" s="29"/>
      <c r="D14" s="28"/>
      <c r="E14" s="28"/>
      <c r="F14" s="28"/>
      <c r="G14" s="28"/>
    </row>
    <row r="15" spans="1:7" ht="15.75" x14ac:dyDescent="0.25">
      <c r="A15" s="484" t="s">
        <v>19</v>
      </c>
      <c r="B15" s="484"/>
      <c r="C15" s="484"/>
      <c r="D15" s="484"/>
      <c r="E15" s="484"/>
      <c r="F15" s="484"/>
      <c r="G15" s="484"/>
    </row>
    <row r="16" spans="1:7" ht="15.75" x14ac:dyDescent="0.25">
      <c r="A16" s="485" t="s">
        <v>20</v>
      </c>
      <c r="B16" s="485"/>
      <c r="C16" s="485"/>
      <c r="D16" s="485"/>
      <c r="E16" s="485"/>
      <c r="F16" s="485"/>
      <c r="G16" s="485"/>
    </row>
    <row r="17" spans="1:7" ht="15.75" x14ac:dyDescent="0.25">
      <c r="A17" s="486" t="s">
        <v>2</v>
      </c>
      <c r="B17" s="486"/>
      <c r="C17" s="486"/>
      <c r="D17" s="2" t="s">
        <v>3</v>
      </c>
      <c r="E17" s="30"/>
      <c r="F17" s="7"/>
      <c r="G17" s="31"/>
    </row>
    <row r="18" spans="1:7" ht="16.5" thickBot="1" x14ac:dyDescent="0.3">
      <c r="A18" s="32"/>
      <c r="B18" s="31"/>
      <c r="C18" s="33"/>
      <c r="D18" s="31"/>
      <c r="E18" s="31"/>
      <c r="F18" s="30"/>
      <c r="G18" s="2"/>
    </row>
    <row r="19" spans="1:7" x14ac:dyDescent="0.25">
      <c r="A19" s="34"/>
      <c r="B19" s="487">
        <v>41629</v>
      </c>
      <c r="C19" s="487"/>
      <c r="D19" s="487" t="s">
        <v>4</v>
      </c>
      <c r="E19" s="487"/>
      <c r="F19" s="495" t="s">
        <v>5</v>
      </c>
      <c r="G19" s="495"/>
    </row>
    <row r="20" spans="1:7" x14ac:dyDescent="0.25">
      <c r="A20" s="35"/>
      <c r="B20" s="489" t="s">
        <v>6</v>
      </c>
      <c r="C20" s="489"/>
      <c r="D20" s="489" t="s">
        <v>7</v>
      </c>
      <c r="E20" s="489"/>
      <c r="F20" s="496" t="s">
        <v>8</v>
      </c>
      <c r="G20" s="497"/>
    </row>
    <row r="21" spans="1:7" ht="15.75" thickBot="1" x14ac:dyDescent="0.3">
      <c r="A21" s="36" t="s">
        <v>21</v>
      </c>
      <c r="B21" s="492">
        <v>41635</v>
      </c>
      <c r="C21" s="492"/>
      <c r="D21" s="492" t="s">
        <v>10</v>
      </c>
      <c r="E21" s="492"/>
      <c r="F21" s="494" t="s">
        <v>11</v>
      </c>
      <c r="G21" s="494"/>
    </row>
    <row r="22" spans="1:7" ht="15.75" thickBot="1" x14ac:dyDescent="0.3">
      <c r="A22" s="35"/>
      <c r="B22" s="12" t="s">
        <v>12</v>
      </c>
      <c r="C22" s="12" t="s">
        <v>13</v>
      </c>
      <c r="D22" s="12" t="s">
        <v>12</v>
      </c>
      <c r="E22" s="13" t="s">
        <v>14</v>
      </c>
      <c r="F22" s="14" t="s">
        <v>12</v>
      </c>
      <c r="G22" s="15" t="s">
        <v>13</v>
      </c>
    </row>
    <row r="23" spans="1:7" x14ac:dyDescent="0.25">
      <c r="A23" s="34" t="s">
        <v>22</v>
      </c>
      <c r="B23" s="17">
        <v>4066.7969999999996</v>
      </c>
      <c r="C23" s="37">
        <v>63.5508645130448</v>
      </c>
      <c r="D23" s="37">
        <v>5431.7583449578451</v>
      </c>
      <c r="E23" s="37">
        <v>84.880789143892983</v>
      </c>
      <c r="F23" s="18">
        <v>6968.5244806451619</v>
      </c>
      <c r="G23" s="38">
        <v>108.89546616792445</v>
      </c>
    </row>
    <row r="24" spans="1:7" x14ac:dyDescent="0.25">
      <c r="A24" s="35" t="s">
        <v>23</v>
      </c>
      <c r="B24" s="21">
        <v>10421.819199999998</v>
      </c>
      <c r="C24" s="39">
        <v>156.25456321991334</v>
      </c>
      <c r="D24" s="39">
        <v>7719.2738934979288</v>
      </c>
      <c r="E24" s="39">
        <v>115.73524232730874</v>
      </c>
      <c r="F24" s="22">
        <v>7104.209280645161</v>
      </c>
      <c r="G24" s="40">
        <v>106.51356513362508</v>
      </c>
    </row>
    <row r="25" spans="1:7" x14ac:dyDescent="0.25">
      <c r="A25" s="35" t="s">
        <v>24</v>
      </c>
      <c r="B25" s="21">
        <v>746.36327000000006</v>
      </c>
      <c r="C25" s="39">
        <v>74.455541499684628</v>
      </c>
      <c r="D25" s="39">
        <v>744.66998449586276</v>
      </c>
      <c r="E25" s="39">
        <v>74.286623100037076</v>
      </c>
      <c r="F25" s="22">
        <v>1087.078253870968</v>
      </c>
      <c r="G25" s="40">
        <v>108.44451126928385</v>
      </c>
    </row>
    <row r="26" spans="1:7" x14ac:dyDescent="0.25">
      <c r="A26" s="35" t="s">
        <v>25</v>
      </c>
      <c r="B26" s="21">
        <v>841.38040000000001</v>
      </c>
      <c r="C26" s="39">
        <v>57.451631004719559</v>
      </c>
      <c r="D26" s="39">
        <v>1064.6809468147489</v>
      </c>
      <c r="E26" s="39">
        <v>72.699170190031055</v>
      </c>
      <c r="F26" s="22">
        <v>1265.4995322580646</v>
      </c>
      <c r="G26" s="40">
        <v>86.411582874922601</v>
      </c>
    </row>
    <row r="27" spans="1:7" x14ac:dyDescent="0.25">
      <c r="A27" s="35" t="s">
        <v>26</v>
      </c>
      <c r="B27" s="39">
        <v>154.83760000000001</v>
      </c>
      <c r="C27" s="39">
        <v>89.496743525777816</v>
      </c>
      <c r="D27" s="39">
        <v>199.88297425107967</v>
      </c>
      <c r="E27" s="39">
        <v>75.516276201951911</v>
      </c>
      <c r="F27" s="22">
        <v>195.97688387096775</v>
      </c>
      <c r="G27" s="40">
        <v>74.040545709549917</v>
      </c>
    </row>
    <row r="28" spans="1:7" x14ac:dyDescent="0.25">
      <c r="A28" s="35" t="s">
        <v>27</v>
      </c>
      <c r="B28" s="39">
        <v>996.21800000000007</v>
      </c>
      <c r="C28" s="39">
        <v>57.611803162496599</v>
      </c>
      <c r="D28" s="39">
        <v>1264.5639210658287</v>
      </c>
      <c r="E28" s="39">
        <v>73.130386829829817</v>
      </c>
      <c r="F28" s="22">
        <v>1461.4764161290323</v>
      </c>
      <c r="G28" s="40">
        <v>84.517938455896953</v>
      </c>
    </row>
    <row r="29" spans="1:7" x14ac:dyDescent="0.25">
      <c r="A29" s="35" t="s">
        <v>28</v>
      </c>
      <c r="B29" s="21">
        <v>4676.9618</v>
      </c>
      <c r="C29" s="39">
        <v>118.46151254829714</v>
      </c>
      <c r="D29" s="39">
        <v>4122.7242344968554</v>
      </c>
      <c r="E29" s="39">
        <v>104.42337772312315</v>
      </c>
      <c r="F29" s="22">
        <v>4430.686238709678</v>
      </c>
      <c r="G29" s="40">
        <v>112.22366482969221</v>
      </c>
    </row>
    <row r="30" spans="1:7" x14ac:dyDescent="0.25">
      <c r="A30" s="35" t="s">
        <v>29</v>
      </c>
      <c r="B30" s="21">
        <v>14094.312300000001</v>
      </c>
      <c r="C30" s="39">
        <v>108.12609681517705</v>
      </c>
      <c r="D30" s="39">
        <v>13093.157814439575</v>
      </c>
      <c r="E30" s="39">
        <v>100.44562794741572</v>
      </c>
      <c r="F30" s="22">
        <v>13755.731167741937</v>
      </c>
      <c r="G30" s="40">
        <v>105.52863370331399</v>
      </c>
    </row>
    <row r="31" spans="1:7" x14ac:dyDescent="0.25">
      <c r="A31" s="35" t="s">
        <v>30</v>
      </c>
      <c r="B31" s="21">
        <v>242.54372999999998</v>
      </c>
      <c r="C31" s="39">
        <v>87.551020408163282</v>
      </c>
      <c r="D31" s="39">
        <v>266.34398322580643</v>
      </c>
      <c r="E31" s="39">
        <v>96.142198815009877</v>
      </c>
      <c r="F31" s="22">
        <v>545.1078687096774</v>
      </c>
      <c r="G31" s="40">
        <v>196.76761026991443</v>
      </c>
    </row>
    <row r="32" spans="1:7" x14ac:dyDescent="0.25">
      <c r="A32" s="35" t="s">
        <v>31</v>
      </c>
      <c r="B32" s="21">
        <v>1493.4801</v>
      </c>
      <c r="C32" s="39">
        <v>113.38779507424299</v>
      </c>
      <c r="D32" s="39">
        <v>1489.8331001352467</v>
      </c>
      <c r="E32" s="39">
        <v>113.11090804153298</v>
      </c>
      <c r="F32" s="22">
        <v>1472.5029161290324</v>
      </c>
      <c r="G32" s="40">
        <v>111.79516814470038</v>
      </c>
    </row>
    <row r="33" spans="1:7" x14ac:dyDescent="0.25">
      <c r="A33" s="35" t="s">
        <v>32</v>
      </c>
      <c r="B33" s="39">
        <v>223.74</v>
      </c>
      <c r="C33" s="39">
        <v>227.58620689655169</v>
      </c>
      <c r="D33" s="39">
        <v>189.7468259569539</v>
      </c>
      <c r="E33" s="39">
        <v>193.00867252258561</v>
      </c>
      <c r="F33" s="22">
        <v>113.94774193548388</v>
      </c>
      <c r="G33" s="40">
        <v>115.90656284760846</v>
      </c>
    </row>
    <row r="34" spans="1:7" x14ac:dyDescent="0.25">
      <c r="A34" s="35" t="s">
        <v>33</v>
      </c>
      <c r="B34" s="39">
        <v>165.48239999999998</v>
      </c>
      <c r="C34" s="39">
        <v>198.35164835164835</v>
      </c>
      <c r="D34" s="39">
        <v>92.188478967741943</v>
      </c>
      <c r="E34" s="39">
        <v>110.49958643507031</v>
      </c>
      <c r="F34" s="22">
        <v>32.16193548387097</v>
      </c>
      <c r="G34" s="40">
        <v>38.550159517901456</v>
      </c>
    </row>
    <row r="35" spans="1:7" x14ac:dyDescent="0.25">
      <c r="A35" s="35" t="s">
        <v>34</v>
      </c>
      <c r="B35" s="39">
        <v>2282.9231</v>
      </c>
      <c r="C35" s="39">
        <v>153.62829703790226</v>
      </c>
      <c r="D35" s="39">
        <v>1993.2423433759197</v>
      </c>
      <c r="E35" s="39">
        <v>134.13435905777123</v>
      </c>
      <c r="F35" s="22">
        <v>800.28962258064519</v>
      </c>
      <c r="G35" s="40">
        <v>53.855135047768393</v>
      </c>
    </row>
    <row r="36" spans="1:7" x14ac:dyDescent="0.25">
      <c r="A36" s="35" t="s">
        <v>35</v>
      </c>
      <c r="B36" s="39">
        <v>592.2491</v>
      </c>
      <c r="C36" s="39">
        <v>112.46960847223596</v>
      </c>
      <c r="D36" s="39">
        <v>512.347477811609</v>
      </c>
      <c r="E36" s="39">
        <v>97.296087459160788</v>
      </c>
      <c r="F36" s="22">
        <v>566.37440645161291</v>
      </c>
      <c r="G36" s="40">
        <v>107.55593844263829</v>
      </c>
    </row>
    <row r="37" spans="1:7" x14ac:dyDescent="0.25">
      <c r="A37" s="35" t="s">
        <v>36</v>
      </c>
      <c r="B37" s="39">
        <v>2813.8779999999997</v>
      </c>
      <c r="C37" s="39">
        <v>77.308734938807376</v>
      </c>
      <c r="D37" s="39">
        <v>3405.1643754938414</v>
      </c>
      <c r="E37" s="39">
        <v>93.553789513306185</v>
      </c>
      <c r="F37" s="22">
        <v>3148.9713967741936</v>
      </c>
      <c r="G37" s="40">
        <v>86.515120784590593</v>
      </c>
    </row>
    <row r="38" spans="1:7" x14ac:dyDescent="0.25">
      <c r="A38" s="35" t="s">
        <v>37</v>
      </c>
      <c r="B38" s="39">
        <v>437.16879999999998</v>
      </c>
      <c r="C38" s="39">
        <v>66.007002495973552</v>
      </c>
      <c r="D38" s="39">
        <v>574.33634064747741</v>
      </c>
      <c r="E38" s="39">
        <v>86.71757973269446</v>
      </c>
      <c r="F38" s="22">
        <v>619.20824193548378</v>
      </c>
      <c r="G38" s="40">
        <v>93.49267370169801</v>
      </c>
    </row>
    <row r="39" spans="1:7" x14ac:dyDescent="0.25">
      <c r="A39" s="35" t="s">
        <v>38</v>
      </c>
      <c r="B39" s="39">
        <v>2055.0416</v>
      </c>
      <c r="C39" s="39">
        <v>80.296802101268199</v>
      </c>
      <c r="D39" s="39">
        <v>2555.7399347236901</v>
      </c>
      <c r="E39" s="39">
        <v>99.860627522487249</v>
      </c>
      <c r="F39" s="22">
        <v>2214.982912903226</v>
      </c>
      <c r="G39" s="40">
        <v>86.546201602478959</v>
      </c>
    </row>
    <row r="40" spans="1:7" x14ac:dyDescent="0.25">
      <c r="A40" s="35" t="s">
        <v>39</v>
      </c>
      <c r="B40" s="39">
        <v>143.56979999999999</v>
      </c>
      <c r="C40" s="39">
        <v>110</v>
      </c>
      <c r="D40" s="39">
        <v>152.42958638709678</v>
      </c>
      <c r="E40" s="39">
        <v>116.78817204301075</v>
      </c>
      <c r="F40" s="22">
        <v>188.19853548387096</v>
      </c>
      <c r="G40" s="40">
        <v>144.19354838709677</v>
      </c>
    </row>
    <row r="41" spans="1:7" x14ac:dyDescent="0.25">
      <c r="A41" s="35" t="s">
        <v>40</v>
      </c>
      <c r="B41" s="39">
        <v>174.7928</v>
      </c>
      <c r="C41" s="39">
        <v>101.03092783505153</v>
      </c>
      <c r="D41" s="39">
        <v>152.00619573790178</v>
      </c>
      <c r="E41" s="39">
        <v>87.860180694380276</v>
      </c>
      <c r="F41" s="22">
        <v>102.47069677419356</v>
      </c>
      <c r="G41" s="40">
        <v>59.22846691054206</v>
      </c>
    </row>
    <row r="42" spans="1:7" x14ac:dyDescent="0.25">
      <c r="A42" s="41" t="s">
        <v>41</v>
      </c>
      <c r="B42" s="39">
        <v>717.4624</v>
      </c>
      <c r="C42" s="39">
        <v>103.13463793388719</v>
      </c>
      <c r="D42" s="39">
        <v>593.25951851872946</v>
      </c>
      <c r="E42" s="39">
        <v>85.280574484825124</v>
      </c>
      <c r="F42" s="22">
        <v>492.15824193548377</v>
      </c>
      <c r="G42" s="40">
        <v>70.747347997880539</v>
      </c>
    </row>
    <row r="43" spans="1:7" x14ac:dyDescent="0.25">
      <c r="A43" s="41" t="s">
        <v>42</v>
      </c>
      <c r="B43" s="39">
        <v>10559.808000000001</v>
      </c>
      <c r="C43" s="39">
        <v>114.21059720347024</v>
      </c>
      <c r="D43" s="39">
        <v>7364.5628903225806</v>
      </c>
      <c r="E43" s="39">
        <v>79.652123016465524</v>
      </c>
      <c r="F43" s="22">
        <v>5112.5583483870969</v>
      </c>
      <c r="G43" s="40">
        <v>55.295355957880837</v>
      </c>
    </row>
    <row r="44" spans="1:7" x14ac:dyDescent="0.25">
      <c r="A44" s="41" t="s">
        <v>43</v>
      </c>
      <c r="B44" s="39">
        <v>11277.270400000001</v>
      </c>
      <c r="C44" s="39">
        <v>113.43556244040929</v>
      </c>
      <c r="D44" s="39">
        <v>7957.8224088413099</v>
      </c>
      <c r="E44" s="39">
        <v>80.045971119731817</v>
      </c>
      <c r="F44" s="22">
        <v>5604.7165903225805</v>
      </c>
      <c r="G44" s="40">
        <v>56.376601446244905</v>
      </c>
    </row>
    <row r="45" spans="1:7" x14ac:dyDescent="0.25">
      <c r="A45" s="35" t="s">
        <v>44</v>
      </c>
      <c r="B45" s="39">
        <v>161.40460000000002</v>
      </c>
      <c r="C45" s="39">
        <v>81.425891181988746</v>
      </c>
      <c r="D45" s="39">
        <v>150.87076704434091</v>
      </c>
      <c r="E45" s="39">
        <v>76.11175059382245</v>
      </c>
      <c r="F45" s="22">
        <v>146.28866451612905</v>
      </c>
      <c r="G45" s="40">
        <v>73.800157356412285</v>
      </c>
    </row>
    <row r="46" spans="1:7" x14ac:dyDescent="0.25">
      <c r="A46" s="35" t="s">
        <v>45</v>
      </c>
      <c r="B46" s="39">
        <v>236.5428</v>
      </c>
      <c r="C46" s="39">
        <v>125.98039215686275</v>
      </c>
      <c r="D46" s="39">
        <v>117.60877731870967</v>
      </c>
      <c r="E46" s="39">
        <v>62.637289690069579</v>
      </c>
      <c r="F46" s="22">
        <v>36.192503225806455</v>
      </c>
      <c r="G46" s="40">
        <v>19.275774826059457</v>
      </c>
    </row>
    <row r="47" spans="1:7" x14ac:dyDescent="0.25">
      <c r="A47" s="35" t="s">
        <v>46</v>
      </c>
      <c r="B47" s="39">
        <v>1427.9947999999999</v>
      </c>
      <c r="C47" s="39">
        <v>267.59776536312847</v>
      </c>
      <c r="D47" s="39">
        <v>1103.884470446834</v>
      </c>
      <c r="E47" s="39">
        <v>206.86140979689372</v>
      </c>
      <c r="F47" s="22">
        <v>455.73892903225811</v>
      </c>
      <c r="G47" s="40">
        <v>85.402775274824307</v>
      </c>
    </row>
    <row r="48" spans="1:7" x14ac:dyDescent="0.25">
      <c r="A48" s="35" t="s">
        <v>47</v>
      </c>
      <c r="B48" s="39">
        <v>1172.0041000000001</v>
      </c>
      <c r="C48" s="39">
        <v>183.27721661054994</v>
      </c>
      <c r="D48" s="39">
        <v>673.86941944308239</v>
      </c>
      <c r="E48" s="39">
        <v>105.37924871977441</v>
      </c>
      <c r="F48" s="22">
        <v>314.4220548387097</v>
      </c>
      <c r="G48" s="40">
        <v>49.16911045943305</v>
      </c>
    </row>
    <row r="49" spans="1:7" x14ac:dyDescent="0.25">
      <c r="A49" s="35" t="s">
        <v>48</v>
      </c>
      <c r="B49" s="39">
        <v>2599.9989</v>
      </c>
      <c r="C49" s="39">
        <v>221.63385134585084</v>
      </c>
      <c r="D49" s="39">
        <v>1777.7538898899163</v>
      </c>
      <c r="E49" s="39">
        <v>151.54254156083289</v>
      </c>
      <c r="F49" s="22">
        <v>770.16098387096781</v>
      </c>
      <c r="G49" s="40">
        <v>65.651468164710494</v>
      </c>
    </row>
    <row r="50" spans="1:7" x14ac:dyDescent="0.25">
      <c r="A50" s="35" t="s">
        <v>49</v>
      </c>
      <c r="B50" s="39">
        <v>3789.8895000000002</v>
      </c>
      <c r="C50" s="39">
        <v>109.88077298593761</v>
      </c>
      <c r="D50" s="39">
        <v>2552.6679275053202</v>
      </c>
      <c r="E50" s="39">
        <v>74.009842516700274</v>
      </c>
      <c r="F50" s="22">
        <v>2284.4509935483866</v>
      </c>
      <c r="G50" s="40">
        <v>66.23339308958478</v>
      </c>
    </row>
    <row r="51" spans="1:7" x14ac:dyDescent="0.25">
      <c r="A51" s="35" t="s">
        <v>50</v>
      </c>
      <c r="B51" s="39">
        <v>4412.0815999999995</v>
      </c>
      <c r="C51" s="39">
        <v>77.802799297177913</v>
      </c>
      <c r="D51" s="39">
        <v>3899.6110718809864</v>
      </c>
      <c r="E51" s="39">
        <v>68.765876307140203</v>
      </c>
      <c r="F51" s="22">
        <v>4624.3989612903224</v>
      </c>
      <c r="G51" s="40">
        <v>81.546810978144421</v>
      </c>
    </row>
    <row r="52" spans="1:7" x14ac:dyDescent="0.25">
      <c r="A52" s="35" t="s">
        <v>51</v>
      </c>
      <c r="B52" s="39">
        <v>8201.9710999999988</v>
      </c>
      <c r="C52" s="39">
        <v>89.934440938757902</v>
      </c>
      <c r="D52" s="39">
        <v>6452.2789993863062</v>
      </c>
      <c r="E52" s="39">
        <v>70.749103784417841</v>
      </c>
      <c r="F52" s="22">
        <v>6908.849954838709</v>
      </c>
      <c r="G52" s="40">
        <v>75.755394726784886</v>
      </c>
    </row>
    <row r="53" spans="1:7" x14ac:dyDescent="0.25">
      <c r="A53" s="35" t="s">
        <v>52</v>
      </c>
      <c r="B53" s="39">
        <v>491.42249999999996</v>
      </c>
      <c r="C53" s="39">
        <v>132.00665644114099</v>
      </c>
      <c r="D53" s="39">
        <v>474.79129200172002</v>
      </c>
      <c r="E53" s="39">
        <v>127.53915615283489</v>
      </c>
      <c r="F53" s="22">
        <v>508.68851290322579</v>
      </c>
      <c r="G53" s="40">
        <v>136.64467898472503</v>
      </c>
    </row>
    <row r="54" spans="1:7" x14ac:dyDescent="0.25">
      <c r="A54" s="35" t="s">
        <v>53</v>
      </c>
      <c r="B54" s="39">
        <v>131.25150000000002</v>
      </c>
      <c r="C54" s="39">
        <v>178.55448150314922</v>
      </c>
      <c r="D54" s="39">
        <v>122.19182560585423</v>
      </c>
      <c r="E54" s="39">
        <v>166.22970453653124</v>
      </c>
      <c r="F54" s="22">
        <v>144.99937096774192</v>
      </c>
      <c r="G54" s="40">
        <v>197.25707897759602</v>
      </c>
    </row>
    <row r="55" spans="1:7" ht="15.75" thickBot="1" x14ac:dyDescent="0.3">
      <c r="A55" s="42" t="s">
        <v>54</v>
      </c>
      <c r="B55" s="43">
        <v>622.67399999999998</v>
      </c>
      <c r="C55" s="43">
        <v>139.68227682299147</v>
      </c>
      <c r="D55" s="43">
        <v>596.98311760757429</v>
      </c>
      <c r="E55" s="43">
        <v>133.9191311863249</v>
      </c>
      <c r="F55" s="26">
        <v>653.68788387096765</v>
      </c>
      <c r="G55" s="44">
        <v>146.63951273170233</v>
      </c>
    </row>
    <row r="56" spans="1:7" x14ac:dyDescent="0.25">
      <c r="A56" s="45"/>
      <c r="B56" s="5"/>
      <c r="C56" s="6"/>
      <c r="D56" s="5"/>
      <c r="E56" s="5"/>
      <c r="F56" s="5"/>
      <c r="G56" s="5"/>
    </row>
    <row r="57" spans="1:7" x14ac:dyDescent="0.25">
      <c r="A57" s="45"/>
      <c r="B57" s="5"/>
      <c r="C57" s="6"/>
      <c r="D57" s="5"/>
      <c r="E57" s="5"/>
      <c r="F57" s="5"/>
      <c r="G57" s="5"/>
    </row>
    <row r="58" spans="1:7" ht="15.75" x14ac:dyDescent="0.25">
      <c r="A58" s="485" t="s">
        <v>55</v>
      </c>
      <c r="B58" s="485"/>
      <c r="C58" s="485"/>
      <c r="D58" s="485"/>
      <c r="E58" s="485"/>
      <c r="F58" s="485"/>
      <c r="G58" s="485"/>
    </row>
    <row r="59" spans="1:7" ht="15.75" x14ac:dyDescent="0.25">
      <c r="A59" s="485" t="s">
        <v>56</v>
      </c>
      <c r="B59" s="485"/>
      <c r="C59" s="485"/>
      <c r="D59" s="485"/>
      <c r="E59" s="485"/>
      <c r="F59" s="485"/>
      <c r="G59" s="485"/>
    </row>
    <row r="60" spans="1:7" ht="15.75" x14ac:dyDescent="0.25">
      <c r="A60" s="486" t="s">
        <v>2</v>
      </c>
      <c r="B60" s="486"/>
      <c r="C60" s="486"/>
      <c r="D60" s="2" t="s">
        <v>3</v>
      </c>
      <c r="E60" s="30"/>
      <c r="F60" s="2"/>
      <c r="G60" s="31"/>
    </row>
    <row r="61" spans="1:7" ht="16.5" thickBot="1" x14ac:dyDescent="0.3">
      <c r="A61" s="32"/>
      <c r="B61" s="31"/>
      <c r="C61" s="33"/>
      <c r="D61" s="31"/>
      <c r="E61" s="31"/>
      <c r="F61" s="31"/>
      <c r="G61" s="2"/>
    </row>
    <row r="62" spans="1:7" x14ac:dyDescent="0.25">
      <c r="A62" s="46"/>
      <c r="B62" s="487">
        <v>41629</v>
      </c>
      <c r="C62" s="487"/>
      <c r="D62" s="487" t="s">
        <v>4</v>
      </c>
      <c r="E62" s="487"/>
      <c r="F62" s="495" t="s">
        <v>5</v>
      </c>
      <c r="G62" s="495"/>
    </row>
    <row r="63" spans="1:7" x14ac:dyDescent="0.25">
      <c r="A63" s="35"/>
      <c r="B63" s="489" t="s">
        <v>6</v>
      </c>
      <c r="C63" s="489"/>
      <c r="D63" s="489" t="s">
        <v>7</v>
      </c>
      <c r="E63" s="489"/>
      <c r="F63" s="496" t="s">
        <v>8</v>
      </c>
      <c r="G63" s="496"/>
    </row>
    <row r="64" spans="1:7" ht="15.75" thickBot="1" x14ac:dyDescent="0.3">
      <c r="A64" s="47" t="s">
        <v>57</v>
      </c>
      <c r="B64" s="492">
        <v>41635</v>
      </c>
      <c r="C64" s="492"/>
      <c r="D64" s="492" t="s">
        <v>10</v>
      </c>
      <c r="E64" s="492"/>
      <c r="F64" s="494" t="s">
        <v>11</v>
      </c>
      <c r="G64" s="494"/>
    </row>
    <row r="65" spans="1:7" ht="15.75" thickBot="1" x14ac:dyDescent="0.3">
      <c r="A65" s="35"/>
      <c r="B65" s="12" t="s">
        <v>12</v>
      </c>
      <c r="C65" s="12" t="s">
        <v>13</v>
      </c>
      <c r="D65" s="12" t="s">
        <v>12</v>
      </c>
      <c r="E65" s="13" t="s">
        <v>14</v>
      </c>
      <c r="F65" s="14" t="s">
        <v>12</v>
      </c>
      <c r="G65" s="15" t="s">
        <v>13</v>
      </c>
    </row>
    <row r="66" spans="1:7" x14ac:dyDescent="0.25">
      <c r="A66" s="34" t="s">
        <v>58</v>
      </c>
      <c r="B66" s="37">
        <v>540.81999999999994</v>
      </c>
      <c r="C66" s="37">
        <v>55.776892430278878</v>
      </c>
      <c r="D66" s="37">
        <v>775.2451832791337</v>
      </c>
      <c r="E66" s="37">
        <v>79.954083049539733</v>
      </c>
      <c r="F66" s="18">
        <v>1083.3347354838709</v>
      </c>
      <c r="G66" s="38">
        <v>111.72856959259735</v>
      </c>
    </row>
    <row r="67" spans="1:7" x14ac:dyDescent="0.25">
      <c r="A67" s="35" t="s">
        <v>59</v>
      </c>
      <c r="B67" s="39">
        <v>1377.2723000000001</v>
      </c>
      <c r="C67" s="39">
        <v>188.95612708018157</v>
      </c>
      <c r="D67" s="39">
        <v>977.298575948505</v>
      </c>
      <c r="E67" s="39">
        <v>134.08136786908892</v>
      </c>
      <c r="F67" s="22">
        <v>680.08133225806444</v>
      </c>
      <c r="G67" s="40">
        <v>93.304377531599243</v>
      </c>
    </row>
    <row r="68" spans="1:7" x14ac:dyDescent="0.25">
      <c r="A68" s="35" t="s">
        <v>60</v>
      </c>
      <c r="B68" s="39">
        <v>505.26</v>
      </c>
      <c r="C68" s="39">
        <v>132.98153034300793</v>
      </c>
      <c r="D68" s="39">
        <v>382.98049429532034</v>
      </c>
      <c r="E68" s="39">
        <v>100.79826668034934</v>
      </c>
      <c r="F68" s="22">
        <v>546.1684677419355</v>
      </c>
      <c r="G68" s="40">
        <v>143.74840411949955</v>
      </c>
    </row>
    <row r="69" spans="1:7" x14ac:dyDescent="0.25">
      <c r="A69" s="35" t="s">
        <v>61</v>
      </c>
      <c r="B69" s="39">
        <v>465.96619999999996</v>
      </c>
      <c r="C69" s="39">
        <v>69.759450171821314</v>
      </c>
      <c r="D69" s="39">
        <v>484.18690132118275</v>
      </c>
      <c r="E69" s="39">
        <v>72.487257695007941</v>
      </c>
      <c r="F69" s="22">
        <v>575.77517419354842</v>
      </c>
      <c r="G69" s="40">
        <v>86.198869304955124</v>
      </c>
    </row>
    <row r="70" spans="1:7" x14ac:dyDescent="0.25">
      <c r="A70" s="35" t="s">
        <v>62</v>
      </c>
      <c r="B70" s="39">
        <v>37.590299999999999</v>
      </c>
      <c r="C70" s="39">
        <v>58.579881656804737</v>
      </c>
      <c r="D70" s="39">
        <v>49.78659595245162</v>
      </c>
      <c r="E70" s="39">
        <v>77.586316123834322</v>
      </c>
      <c r="F70" s="22">
        <v>57.95936774193548</v>
      </c>
      <c r="G70" s="40">
        <v>90.322580645161295</v>
      </c>
    </row>
    <row r="71" spans="1:7" x14ac:dyDescent="0.25">
      <c r="A71" s="35" t="s">
        <v>63</v>
      </c>
      <c r="B71" s="39">
        <v>504.31139999999999</v>
      </c>
      <c r="C71" s="39">
        <v>75.933609958506224</v>
      </c>
      <c r="D71" s="39">
        <v>644.00318773143931</v>
      </c>
      <c r="E71" s="39">
        <v>96.966848001520049</v>
      </c>
      <c r="F71" s="22">
        <v>572.49522580645169</v>
      </c>
      <c r="G71" s="40">
        <v>86.199973229821993</v>
      </c>
    </row>
    <row r="72" spans="1:7" x14ac:dyDescent="0.25">
      <c r="A72" s="35" t="s">
        <v>64</v>
      </c>
      <c r="B72" s="39">
        <v>910.98</v>
      </c>
      <c r="C72" s="39">
        <v>111.83431952662723</v>
      </c>
      <c r="D72" s="39">
        <v>662.33019354838711</v>
      </c>
      <c r="E72" s="39">
        <v>81.309410192784895</v>
      </c>
      <c r="F72" s="22">
        <v>441.05332258064516</v>
      </c>
      <c r="G72" s="40">
        <v>54.144874976140493</v>
      </c>
    </row>
    <row r="73" spans="1:7" ht="15.75" thickBot="1" x14ac:dyDescent="0.3">
      <c r="A73" s="42" t="s">
        <v>65</v>
      </c>
      <c r="B73" s="43">
        <v>3622.5056</v>
      </c>
      <c r="C73" s="43">
        <v>76.90875232774674</v>
      </c>
      <c r="D73" s="43">
        <v>3255.8339476542692</v>
      </c>
      <c r="E73" s="43">
        <v>69.124013693840013</v>
      </c>
      <c r="F73" s="26">
        <v>4048.0679548387097</v>
      </c>
      <c r="G73" s="44">
        <v>85.943788670631349</v>
      </c>
    </row>
    <row r="74" spans="1:7" x14ac:dyDescent="0.25">
      <c r="A74" s="1"/>
      <c r="B74" s="1"/>
      <c r="C74" s="1"/>
      <c r="D74" s="1"/>
      <c r="E74" s="1"/>
      <c r="F74" s="1"/>
      <c r="G74" s="1"/>
    </row>
    <row r="75" spans="1:7" x14ac:dyDescent="0.25">
      <c r="A75" s="1"/>
      <c r="B75" s="1"/>
      <c r="C75" s="1"/>
      <c r="D75" s="1"/>
      <c r="E75" s="1"/>
      <c r="F75" s="1"/>
      <c r="G75" s="1"/>
    </row>
    <row r="76" spans="1:7" x14ac:dyDescent="0.25">
      <c r="A76" s="1"/>
      <c r="B76" s="1"/>
      <c r="C76" s="1"/>
      <c r="D76" s="1"/>
      <c r="E76" s="1"/>
      <c r="F76" s="1"/>
      <c r="G76" s="1"/>
    </row>
    <row r="77" spans="1:7" x14ac:dyDescent="0.25">
      <c r="A77" s="1"/>
      <c r="B77" s="1"/>
      <c r="C77" s="1"/>
      <c r="D77" s="1"/>
      <c r="E77" s="1"/>
      <c r="F77" s="1"/>
      <c r="G77" s="1"/>
    </row>
    <row r="78" spans="1:7" x14ac:dyDescent="0.25">
      <c r="A78" s="1"/>
      <c r="B78" s="1"/>
      <c r="C78" s="1"/>
      <c r="D78" s="1"/>
      <c r="E78" s="1"/>
      <c r="F78" s="1"/>
      <c r="G78" s="1"/>
    </row>
    <row r="79" spans="1:7" x14ac:dyDescent="0.25">
      <c r="A79" s="1"/>
      <c r="B79" s="1"/>
      <c r="C79" s="1"/>
      <c r="D79" s="1"/>
      <c r="E79" s="1"/>
      <c r="F79" s="1"/>
      <c r="G79" s="1"/>
    </row>
    <row r="80" spans="1:7" x14ac:dyDescent="0.25">
      <c r="A80" s="1"/>
      <c r="B80" s="1"/>
      <c r="C80" s="1"/>
      <c r="D80" s="1"/>
      <c r="E80" s="1"/>
      <c r="F80" s="1"/>
      <c r="G80" s="1"/>
    </row>
    <row r="81" spans="1:7" x14ac:dyDescent="0.25">
      <c r="A81" s="1"/>
      <c r="B81" s="1"/>
      <c r="C81" s="1"/>
      <c r="D81" s="1"/>
      <c r="E81" s="1"/>
      <c r="F81" s="1"/>
      <c r="G81" s="1"/>
    </row>
    <row r="82" spans="1:7" x14ac:dyDescent="0.25">
      <c r="A82" s="1"/>
      <c r="B82" s="1"/>
      <c r="C82" s="1"/>
      <c r="D82" s="1"/>
      <c r="E82" s="1"/>
      <c r="F82" s="1"/>
      <c r="G82" s="1"/>
    </row>
    <row r="83" spans="1:7" x14ac:dyDescent="0.25">
      <c r="A83" s="1"/>
      <c r="B83" s="1"/>
      <c r="C83" s="1"/>
      <c r="D83" s="1"/>
      <c r="E83" s="1"/>
      <c r="F83" s="1"/>
      <c r="G83" s="1"/>
    </row>
    <row r="84" spans="1:7" x14ac:dyDescent="0.25">
      <c r="A84" s="1"/>
      <c r="B84" s="1"/>
      <c r="C84" s="1"/>
      <c r="D84" s="1"/>
      <c r="E84" s="1"/>
      <c r="F84" s="1"/>
      <c r="G84" s="1"/>
    </row>
    <row r="85" spans="1:7" x14ac:dyDescent="0.25">
      <c r="A85" s="1"/>
      <c r="B85" s="1"/>
      <c r="C85" s="1"/>
      <c r="D85" s="1"/>
      <c r="E85" s="1"/>
      <c r="F85" s="1"/>
      <c r="G85" s="1"/>
    </row>
    <row r="86" spans="1:7" x14ac:dyDescent="0.25">
      <c r="A86" s="1"/>
      <c r="B86" s="1"/>
      <c r="C86" s="1"/>
      <c r="D86" s="1"/>
      <c r="E86" s="1"/>
      <c r="F86" s="1"/>
      <c r="G86" s="1"/>
    </row>
    <row r="87" spans="1:7" x14ac:dyDescent="0.25">
      <c r="A87" s="1"/>
      <c r="B87" s="1"/>
      <c r="C87" s="1"/>
      <c r="D87" s="1"/>
      <c r="E87" s="1"/>
      <c r="F87" s="1"/>
      <c r="G87" s="1"/>
    </row>
    <row r="88" spans="1:7" x14ac:dyDescent="0.25">
      <c r="A88" s="1"/>
      <c r="B88" s="1"/>
      <c r="C88" s="1"/>
      <c r="D88" s="1"/>
      <c r="E88" s="1"/>
      <c r="F88" s="1"/>
      <c r="G88" s="1"/>
    </row>
    <row r="89" spans="1:7" x14ac:dyDescent="0.25">
      <c r="A89" s="1"/>
      <c r="B89" s="1"/>
      <c r="C89" s="1"/>
      <c r="D89" s="1"/>
      <c r="E89" s="1"/>
      <c r="F89" s="1"/>
      <c r="G89" s="1"/>
    </row>
    <row r="90" spans="1:7" x14ac:dyDescent="0.25">
      <c r="A90" s="1"/>
      <c r="B90" s="1"/>
      <c r="C90" s="1"/>
      <c r="D90" s="1"/>
      <c r="E90" s="1"/>
      <c r="F90" s="1"/>
      <c r="G90" s="1"/>
    </row>
    <row r="91" spans="1:7" x14ac:dyDescent="0.25">
      <c r="A91" s="1"/>
      <c r="B91" s="1"/>
      <c r="C91" s="1"/>
      <c r="D91" s="1"/>
      <c r="E91" s="1"/>
      <c r="F91" s="1"/>
      <c r="G91" s="1"/>
    </row>
    <row r="92" spans="1:7" x14ac:dyDescent="0.25">
      <c r="A92" s="1"/>
      <c r="B92" s="1"/>
      <c r="C92" s="1"/>
      <c r="D92" s="1"/>
      <c r="E92" s="1"/>
      <c r="F92" s="1"/>
      <c r="G92" s="1"/>
    </row>
    <row r="93" spans="1:7" x14ac:dyDescent="0.25">
      <c r="A93" s="1"/>
      <c r="B93" s="1"/>
      <c r="C93" s="1"/>
      <c r="D93" s="1"/>
      <c r="E93" s="1"/>
      <c r="F93" s="1"/>
      <c r="G93" s="1"/>
    </row>
    <row r="94" spans="1:7" x14ac:dyDescent="0.25">
      <c r="A94" s="1"/>
      <c r="B94" s="1"/>
      <c r="C94" s="1"/>
      <c r="D94" s="1"/>
      <c r="E94" s="1"/>
      <c r="F94" s="1"/>
      <c r="G94" s="1"/>
    </row>
    <row r="95" spans="1:7" x14ac:dyDescent="0.25">
      <c r="A95" s="1"/>
      <c r="B95" s="1"/>
      <c r="C95" s="1"/>
      <c r="D95" s="1"/>
      <c r="E95" s="1"/>
      <c r="F95" s="1"/>
      <c r="G95" s="1"/>
    </row>
    <row r="96" spans="1:7" x14ac:dyDescent="0.25">
      <c r="A96" s="1"/>
      <c r="B96" s="1"/>
      <c r="C96" s="1"/>
      <c r="D96" s="1"/>
      <c r="E96" s="1"/>
      <c r="F96" s="1"/>
      <c r="G96" s="1"/>
    </row>
    <row r="97" spans="1:7" x14ac:dyDescent="0.25">
      <c r="A97" s="1"/>
      <c r="B97" s="1"/>
      <c r="C97" s="1"/>
      <c r="D97" s="1"/>
      <c r="E97" s="1"/>
      <c r="F97" s="1"/>
      <c r="G97" s="1"/>
    </row>
    <row r="98" spans="1:7" x14ac:dyDescent="0.25">
      <c r="A98" s="1"/>
      <c r="B98" s="1"/>
      <c r="C98" s="1"/>
      <c r="D98" s="1"/>
      <c r="E98" s="1"/>
      <c r="F98" s="1"/>
      <c r="G98" s="1"/>
    </row>
    <row r="99" spans="1:7" x14ac:dyDescent="0.25">
      <c r="A99" s="1"/>
      <c r="B99" s="1"/>
      <c r="C99" s="1"/>
      <c r="D99" s="1"/>
      <c r="E99" s="1"/>
      <c r="F99" s="1"/>
      <c r="G99" s="1"/>
    </row>
    <row r="100" spans="1:7" x14ac:dyDescent="0.25">
      <c r="A100" s="1"/>
      <c r="B100" s="1"/>
      <c r="C100" s="1"/>
      <c r="D100" s="1"/>
      <c r="E100" s="1"/>
      <c r="F100" s="1"/>
      <c r="G100" s="1"/>
    </row>
    <row r="101" spans="1:7" x14ac:dyDescent="0.25">
      <c r="A101" s="1"/>
      <c r="B101" s="1"/>
      <c r="C101" s="1"/>
      <c r="D101" s="1"/>
      <c r="E101" s="1"/>
      <c r="F101" s="1"/>
      <c r="G101" s="1"/>
    </row>
    <row r="102" spans="1:7" x14ac:dyDescent="0.25">
      <c r="A102" s="1"/>
      <c r="B102" s="1"/>
      <c r="C102" s="1"/>
      <c r="D102" s="1"/>
      <c r="E102" s="1"/>
      <c r="F102" s="1"/>
      <c r="G102" s="1"/>
    </row>
    <row r="103" spans="1:7" x14ac:dyDescent="0.25">
      <c r="A103" s="1"/>
      <c r="B103" s="1"/>
      <c r="C103" s="1"/>
      <c r="D103" s="1"/>
      <c r="E103" s="1"/>
      <c r="F103" s="1"/>
      <c r="G103" s="1"/>
    </row>
    <row r="104" spans="1:7" x14ac:dyDescent="0.25">
      <c r="A104" s="1"/>
      <c r="B104" s="1"/>
      <c r="C104" s="1"/>
      <c r="D104" s="1"/>
      <c r="E104" s="1"/>
      <c r="F104" s="1"/>
      <c r="G104" s="1"/>
    </row>
    <row r="105" spans="1:7" x14ac:dyDescent="0.25">
      <c r="A105" s="1"/>
      <c r="B105" s="1"/>
      <c r="C105" s="1"/>
      <c r="D105" s="1"/>
      <c r="E105" s="1"/>
      <c r="F105" s="1"/>
      <c r="G105" s="1"/>
    </row>
    <row r="106" spans="1:7" x14ac:dyDescent="0.25">
      <c r="A106" s="1"/>
      <c r="B106" s="1"/>
      <c r="C106" s="1"/>
      <c r="D106" s="1"/>
      <c r="E106" s="1"/>
      <c r="F106" s="1"/>
      <c r="G106" s="1"/>
    </row>
    <row r="107" spans="1:7" x14ac:dyDescent="0.25">
      <c r="A107" s="1"/>
      <c r="B107" s="1"/>
      <c r="C107" s="1"/>
      <c r="D107" s="1"/>
      <c r="E107" s="1"/>
      <c r="F107" s="1"/>
      <c r="G107" s="1"/>
    </row>
    <row r="108" spans="1:7" x14ac:dyDescent="0.25">
      <c r="A108" s="1"/>
      <c r="B108" s="1"/>
      <c r="C108" s="1"/>
      <c r="D108" s="1"/>
      <c r="E108" s="1"/>
      <c r="F108" s="1"/>
      <c r="G108" s="1"/>
    </row>
    <row r="109" spans="1:7" x14ac:dyDescent="0.25">
      <c r="A109" s="1"/>
      <c r="B109" s="1"/>
      <c r="C109" s="1"/>
      <c r="D109" s="1"/>
      <c r="E109" s="1"/>
      <c r="F109" s="1"/>
      <c r="G109" s="1"/>
    </row>
    <row r="110" spans="1:7" x14ac:dyDescent="0.25">
      <c r="A110" s="1"/>
      <c r="B110" s="1"/>
      <c r="C110" s="1"/>
      <c r="D110" s="1"/>
      <c r="E110" s="1"/>
      <c r="F110" s="1"/>
      <c r="G110" s="1"/>
    </row>
    <row r="111" spans="1:7" x14ac:dyDescent="0.25">
      <c r="A111" s="1"/>
      <c r="B111" s="1"/>
      <c r="C111" s="1"/>
      <c r="D111" s="1"/>
      <c r="E111" s="1"/>
      <c r="F111" s="1"/>
      <c r="G111" s="1"/>
    </row>
    <row r="112" spans="1:7" x14ac:dyDescent="0.25">
      <c r="A112" s="1"/>
      <c r="B112" s="1"/>
      <c r="C112" s="1"/>
      <c r="D112" s="1"/>
      <c r="E112" s="1"/>
      <c r="F112" s="1"/>
      <c r="G112" s="1"/>
    </row>
    <row r="113" spans="1:7" x14ac:dyDescent="0.25">
      <c r="A113" s="1"/>
      <c r="B113" s="1"/>
      <c r="C113" s="1"/>
      <c r="D113" s="1"/>
      <c r="E113" s="1"/>
      <c r="F113" s="1"/>
      <c r="G113" s="1"/>
    </row>
    <row r="114" spans="1:7" x14ac:dyDescent="0.25">
      <c r="A114" s="1"/>
      <c r="B114" s="1"/>
      <c r="C114" s="1"/>
      <c r="D114" s="1"/>
      <c r="E114" s="1"/>
      <c r="F114" s="1"/>
      <c r="G114" s="1"/>
    </row>
    <row r="115" spans="1:7" x14ac:dyDescent="0.25">
      <c r="A115" s="1"/>
      <c r="B115" s="1"/>
      <c r="C115" s="1"/>
      <c r="D115" s="1"/>
      <c r="E115" s="1"/>
      <c r="F115" s="1"/>
      <c r="G115" s="1"/>
    </row>
    <row r="116" spans="1:7" x14ac:dyDescent="0.25">
      <c r="A116" s="1"/>
      <c r="B116" s="1"/>
      <c r="C116" s="1"/>
      <c r="D116" s="1"/>
      <c r="E116" s="1"/>
      <c r="F116" s="1"/>
      <c r="G116" s="1"/>
    </row>
    <row r="117" spans="1:7" x14ac:dyDescent="0.25">
      <c r="A117" s="1"/>
      <c r="B117" s="1"/>
      <c r="C117" s="1"/>
      <c r="D117" s="1"/>
      <c r="E117" s="1"/>
      <c r="F117" s="1"/>
      <c r="G117" s="1"/>
    </row>
    <row r="118" spans="1:7" x14ac:dyDescent="0.25">
      <c r="A118" s="1"/>
      <c r="B118" s="1"/>
      <c r="C118" s="1"/>
      <c r="D118" s="1"/>
      <c r="E118" s="1"/>
      <c r="F118" s="1"/>
      <c r="G118" s="1"/>
    </row>
    <row r="119" spans="1:7" x14ac:dyDescent="0.25">
      <c r="A119" s="1"/>
      <c r="B119" s="1"/>
      <c r="C119" s="1"/>
      <c r="D119" s="1"/>
      <c r="E119" s="1"/>
      <c r="F119" s="1"/>
      <c r="G119" s="1"/>
    </row>
    <row r="120" spans="1:7" x14ac:dyDescent="0.25">
      <c r="A120" s="1"/>
      <c r="B120" s="1"/>
      <c r="C120" s="1"/>
      <c r="D120" s="1"/>
      <c r="E120" s="1"/>
      <c r="F120" s="1"/>
      <c r="G120" s="1"/>
    </row>
    <row r="121" spans="1:7" x14ac:dyDescent="0.25">
      <c r="A121" s="1"/>
      <c r="B121" s="1"/>
      <c r="C121" s="1"/>
      <c r="D121" s="1"/>
      <c r="E121" s="1"/>
      <c r="F121" s="1"/>
      <c r="G121" s="1"/>
    </row>
    <row r="122" spans="1:7" x14ac:dyDescent="0.25">
      <c r="A122" s="1"/>
      <c r="B122" s="1"/>
      <c r="C122" s="1"/>
      <c r="D122" s="1"/>
      <c r="E122" s="1"/>
      <c r="F122" s="1"/>
      <c r="G122" s="1"/>
    </row>
    <row r="123" spans="1:7" x14ac:dyDescent="0.25">
      <c r="A123" s="1"/>
      <c r="B123" s="1"/>
      <c r="C123" s="1"/>
      <c r="D123" s="1"/>
      <c r="E123" s="1"/>
      <c r="F123" s="1"/>
      <c r="G123" s="1"/>
    </row>
    <row r="124" spans="1:7" x14ac:dyDescent="0.25">
      <c r="A124" s="1"/>
      <c r="B124" s="1"/>
      <c r="C124" s="1"/>
      <c r="D124" s="1"/>
      <c r="E124" s="1"/>
      <c r="F124" s="1"/>
      <c r="G124" s="1"/>
    </row>
    <row r="125" spans="1:7" x14ac:dyDescent="0.25">
      <c r="A125" s="1"/>
      <c r="B125" s="1"/>
      <c r="C125" s="1"/>
      <c r="D125" s="1"/>
      <c r="E125" s="1"/>
      <c r="F125" s="1"/>
      <c r="G125" s="1"/>
    </row>
    <row r="126" spans="1:7" x14ac:dyDescent="0.25">
      <c r="A126" s="1"/>
      <c r="B126" s="1"/>
      <c r="C126" s="1"/>
      <c r="D126" s="1"/>
      <c r="E126" s="1"/>
      <c r="F126" s="1"/>
      <c r="G126" s="1"/>
    </row>
    <row r="127" spans="1:7" x14ac:dyDescent="0.25">
      <c r="A127" s="1"/>
      <c r="B127" s="1"/>
      <c r="C127" s="1"/>
      <c r="D127" s="1"/>
      <c r="E127" s="1"/>
      <c r="F127" s="1"/>
      <c r="G127" s="1"/>
    </row>
    <row r="128" spans="1:7" x14ac:dyDescent="0.25">
      <c r="A128" s="1"/>
      <c r="B128" s="1"/>
      <c r="C128" s="1"/>
      <c r="D128" s="1"/>
      <c r="E128" s="1"/>
      <c r="F128" s="1"/>
      <c r="G128" s="1"/>
    </row>
    <row r="129" spans="1:7" x14ac:dyDescent="0.25">
      <c r="A129" s="1"/>
      <c r="B129" s="1"/>
      <c r="C129" s="1"/>
      <c r="D129" s="1"/>
      <c r="E129" s="1"/>
      <c r="F129" s="1"/>
      <c r="G129" s="1"/>
    </row>
    <row r="130" spans="1:7" x14ac:dyDescent="0.25">
      <c r="A130" s="1"/>
      <c r="B130" s="1"/>
      <c r="C130" s="1"/>
      <c r="D130" s="1"/>
      <c r="E130" s="1"/>
      <c r="F130" s="1"/>
      <c r="G130" s="1"/>
    </row>
    <row r="131" spans="1:7" x14ac:dyDescent="0.25">
      <c r="A131" s="1"/>
      <c r="B131" s="1"/>
      <c r="C131" s="1"/>
      <c r="D131" s="1"/>
      <c r="E131" s="1"/>
      <c r="F131" s="1"/>
      <c r="G131" s="1"/>
    </row>
    <row r="132" spans="1:7" x14ac:dyDescent="0.25">
      <c r="A132" s="1"/>
      <c r="B132" s="1"/>
      <c r="C132" s="1"/>
      <c r="D132" s="1"/>
      <c r="E132" s="1"/>
      <c r="F132" s="1"/>
      <c r="G132" s="1"/>
    </row>
    <row r="133" spans="1:7" x14ac:dyDescent="0.25">
      <c r="A133" s="1"/>
      <c r="B133" s="1"/>
      <c r="C133" s="1"/>
      <c r="D133" s="1"/>
      <c r="E133" s="1"/>
      <c r="F133" s="1"/>
      <c r="G133" s="1"/>
    </row>
    <row r="134" spans="1:7" x14ac:dyDescent="0.25">
      <c r="A134" s="1"/>
      <c r="B134" s="1"/>
      <c r="C134" s="1"/>
      <c r="D134" s="1"/>
      <c r="E134" s="1"/>
      <c r="F134" s="1"/>
      <c r="G134" s="1"/>
    </row>
    <row r="135" spans="1:7" x14ac:dyDescent="0.25">
      <c r="A135" s="1"/>
      <c r="B135" s="1"/>
      <c r="C135" s="1"/>
      <c r="D135" s="1"/>
      <c r="E135" s="1"/>
      <c r="F135" s="1"/>
      <c r="G135" s="1"/>
    </row>
    <row r="136" spans="1:7" x14ac:dyDescent="0.25">
      <c r="A136" s="1"/>
      <c r="B136" s="1"/>
      <c r="C136" s="1"/>
      <c r="D136" s="1"/>
      <c r="E136" s="1"/>
      <c r="F136" s="1"/>
      <c r="G136" s="1"/>
    </row>
    <row r="137" spans="1:7" x14ac:dyDescent="0.25">
      <c r="A137" s="1"/>
      <c r="B137" s="1"/>
      <c r="C137" s="1"/>
      <c r="D137" s="1"/>
      <c r="E137" s="1"/>
      <c r="F137" s="1"/>
      <c r="G137" s="1"/>
    </row>
    <row r="138" spans="1:7" x14ac:dyDescent="0.25">
      <c r="A138" s="1"/>
      <c r="B138" s="1"/>
      <c r="C138" s="1"/>
      <c r="D138" s="1"/>
      <c r="E138" s="1"/>
      <c r="F138" s="1"/>
      <c r="G138" s="1"/>
    </row>
    <row r="139" spans="1:7" x14ac:dyDescent="0.25">
      <c r="A139" s="1"/>
      <c r="B139" s="1"/>
      <c r="C139" s="1"/>
      <c r="D139" s="1"/>
      <c r="E139" s="1"/>
      <c r="F139" s="1"/>
      <c r="G139" s="1"/>
    </row>
    <row r="140" spans="1:7" x14ac:dyDescent="0.25">
      <c r="A140" s="1"/>
      <c r="B140" s="1"/>
      <c r="C140" s="1"/>
      <c r="D140" s="1"/>
      <c r="E140" s="1"/>
      <c r="F140" s="1"/>
      <c r="G140" s="1"/>
    </row>
    <row r="141" spans="1:7" x14ac:dyDescent="0.25">
      <c r="A141" s="1"/>
      <c r="B141" s="1"/>
      <c r="C141" s="1"/>
      <c r="D141" s="1"/>
      <c r="E141" s="1"/>
      <c r="F141" s="1"/>
      <c r="G141" s="1"/>
    </row>
    <row r="142" spans="1:7" x14ac:dyDescent="0.25">
      <c r="A142" s="1"/>
      <c r="B142" s="1"/>
      <c r="C142" s="1"/>
      <c r="D142" s="1"/>
      <c r="E142" s="1"/>
      <c r="F142" s="1"/>
      <c r="G142" s="1"/>
    </row>
    <row r="143" spans="1:7" x14ac:dyDescent="0.25">
      <c r="A143" s="1"/>
      <c r="B143" s="1"/>
      <c r="C143" s="1"/>
      <c r="D143" s="1"/>
      <c r="E143" s="1"/>
      <c r="F143" s="1"/>
      <c r="G143" s="1"/>
    </row>
    <row r="144" spans="1:7" x14ac:dyDescent="0.25">
      <c r="A144" s="1"/>
      <c r="B144" s="1"/>
      <c r="C144" s="1"/>
      <c r="D144" s="1"/>
      <c r="E144" s="1"/>
      <c r="F144" s="1"/>
      <c r="G144" s="1"/>
    </row>
    <row r="145" spans="1:7" x14ac:dyDescent="0.25">
      <c r="A145" s="1"/>
      <c r="B145" s="1"/>
      <c r="C145" s="1"/>
      <c r="D145" s="1"/>
      <c r="E145" s="1"/>
      <c r="F145" s="1"/>
      <c r="G145" s="1"/>
    </row>
    <row r="146" spans="1:7" x14ac:dyDescent="0.25">
      <c r="A146" s="1"/>
      <c r="B146" s="1"/>
      <c r="C146" s="1"/>
      <c r="D146" s="1"/>
      <c r="E146" s="1"/>
      <c r="F146" s="1"/>
      <c r="G146" s="1"/>
    </row>
    <row r="147" spans="1:7" x14ac:dyDescent="0.25">
      <c r="A147" s="1"/>
      <c r="B147" s="1"/>
      <c r="C147" s="1"/>
      <c r="D147" s="1"/>
      <c r="E147" s="1"/>
      <c r="F147" s="1"/>
      <c r="G147" s="1"/>
    </row>
    <row r="148" spans="1:7" x14ac:dyDescent="0.25">
      <c r="A148" s="1"/>
      <c r="B148" s="1"/>
      <c r="C148" s="1"/>
      <c r="D148" s="1"/>
      <c r="E148" s="1"/>
      <c r="F148" s="1"/>
      <c r="G148" s="1"/>
    </row>
    <row r="149" spans="1:7" x14ac:dyDescent="0.25">
      <c r="A149" s="1"/>
      <c r="B149" s="1"/>
      <c r="C149" s="1"/>
      <c r="D149" s="1"/>
      <c r="E149" s="1"/>
      <c r="F149" s="1"/>
      <c r="G149" s="1"/>
    </row>
    <row r="150" spans="1:7" x14ac:dyDescent="0.25">
      <c r="A150" s="1"/>
      <c r="B150" s="1"/>
      <c r="C150" s="1"/>
      <c r="D150" s="1"/>
      <c r="E150" s="1"/>
      <c r="F150" s="1"/>
      <c r="G150" s="1"/>
    </row>
    <row r="151" spans="1:7" x14ac:dyDescent="0.25">
      <c r="A151" s="1"/>
      <c r="B151" s="1"/>
      <c r="C151" s="1"/>
      <c r="D151" s="1"/>
      <c r="E151" s="1"/>
      <c r="F151" s="1"/>
      <c r="G151" s="1"/>
    </row>
    <row r="152" spans="1:7" x14ac:dyDescent="0.25">
      <c r="A152" s="1"/>
      <c r="B152" s="1"/>
      <c r="C152" s="1"/>
      <c r="D152" s="1"/>
      <c r="E152" s="1"/>
      <c r="F152" s="1"/>
      <c r="G152" s="1"/>
    </row>
    <row r="153" spans="1:7" x14ac:dyDescent="0.25">
      <c r="A153" s="1"/>
      <c r="B153" s="1"/>
      <c r="C153" s="1"/>
      <c r="D153" s="1"/>
      <c r="E153" s="1"/>
      <c r="F153" s="1"/>
      <c r="G153" s="1"/>
    </row>
    <row r="154" spans="1:7" x14ac:dyDescent="0.25">
      <c r="A154" s="1"/>
      <c r="B154" s="1"/>
      <c r="C154" s="1"/>
      <c r="D154" s="1"/>
      <c r="E154" s="1"/>
      <c r="F154" s="1"/>
      <c r="G154" s="1"/>
    </row>
    <row r="155" spans="1:7" x14ac:dyDescent="0.25">
      <c r="A155" s="1"/>
      <c r="B155" s="1"/>
      <c r="C155" s="1"/>
      <c r="D155" s="1"/>
      <c r="E155" s="1"/>
      <c r="F155" s="1"/>
      <c r="G155" s="1"/>
    </row>
    <row r="156" spans="1:7" x14ac:dyDescent="0.25">
      <c r="A156" s="1"/>
      <c r="B156" s="1"/>
      <c r="C156" s="1"/>
      <c r="D156" s="1"/>
      <c r="E156" s="1"/>
      <c r="F156" s="1"/>
      <c r="G156" s="1"/>
    </row>
    <row r="157" spans="1:7" x14ac:dyDescent="0.25">
      <c r="A157" s="1"/>
      <c r="B157" s="1"/>
      <c r="C157" s="1"/>
      <c r="D157" s="1"/>
      <c r="E157" s="1"/>
      <c r="F157" s="1"/>
      <c r="G157" s="1"/>
    </row>
    <row r="158" spans="1:7" x14ac:dyDescent="0.25">
      <c r="A158" s="1"/>
      <c r="B158" s="1"/>
      <c r="C158" s="1"/>
      <c r="D158" s="1"/>
      <c r="E158" s="1"/>
      <c r="F158" s="1"/>
      <c r="G158" s="1"/>
    </row>
    <row r="159" spans="1:7" x14ac:dyDescent="0.25">
      <c r="A159" s="1"/>
      <c r="B159" s="1"/>
      <c r="C159" s="1"/>
      <c r="D159" s="1"/>
      <c r="E159" s="1"/>
      <c r="F159" s="1"/>
      <c r="G159" s="1"/>
    </row>
    <row r="160" spans="1:7" x14ac:dyDescent="0.25">
      <c r="A160" s="1"/>
      <c r="B160" s="1"/>
      <c r="C160" s="1"/>
      <c r="D160" s="1"/>
      <c r="E160" s="1"/>
      <c r="F160" s="1"/>
      <c r="G160" s="1"/>
    </row>
    <row r="161" spans="1:7" x14ac:dyDescent="0.25">
      <c r="A161" s="1"/>
      <c r="B161" s="1"/>
      <c r="C161" s="1"/>
      <c r="D161" s="1"/>
      <c r="E161" s="1"/>
      <c r="F161" s="1"/>
      <c r="G161" s="1"/>
    </row>
    <row r="162" spans="1:7" x14ac:dyDescent="0.25">
      <c r="A162" s="1"/>
      <c r="B162" s="1"/>
      <c r="C162" s="1"/>
      <c r="D162" s="1"/>
      <c r="E162" s="1"/>
      <c r="F162" s="1"/>
      <c r="G162" s="1"/>
    </row>
    <row r="163" spans="1:7" x14ac:dyDescent="0.25">
      <c r="A163" s="1"/>
      <c r="B163" s="1"/>
      <c r="C163" s="1"/>
      <c r="D163" s="1"/>
      <c r="E163" s="1"/>
      <c r="F163" s="1"/>
      <c r="G163" s="1"/>
    </row>
    <row r="164" spans="1:7" x14ac:dyDescent="0.25">
      <c r="A164" s="1"/>
      <c r="B164" s="1"/>
      <c r="C164" s="1"/>
      <c r="D164" s="1"/>
      <c r="E164" s="1"/>
      <c r="F164" s="1"/>
      <c r="G164" s="1"/>
    </row>
    <row r="165" spans="1:7" x14ac:dyDescent="0.25">
      <c r="A165" s="1"/>
      <c r="B165" s="1"/>
      <c r="C165" s="1"/>
      <c r="D165" s="1"/>
      <c r="E165" s="1"/>
      <c r="F165" s="1"/>
      <c r="G165" s="1"/>
    </row>
    <row r="166" spans="1:7" x14ac:dyDescent="0.25">
      <c r="A166" s="1"/>
      <c r="B166" s="1"/>
      <c r="C166" s="1"/>
      <c r="D166" s="1"/>
      <c r="E166" s="1"/>
      <c r="F166" s="1"/>
      <c r="G166" s="1"/>
    </row>
    <row r="167" spans="1:7" x14ac:dyDescent="0.25">
      <c r="A167" s="1"/>
      <c r="B167" s="1"/>
      <c r="C167" s="1"/>
      <c r="D167" s="1"/>
      <c r="E167" s="1"/>
      <c r="F167" s="1"/>
      <c r="G167" s="1"/>
    </row>
    <row r="168" spans="1:7" x14ac:dyDescent="0.25">
      <c r="A168" s="1"/>
      <c r="B168" s="1"/>
      <c r="C168" s="1"/>
      <c r="D168" s="1"/>
      <c r="E168" s="1"/>
      <c r="F168" s="1"/>
      <c r="G168" s="1"/>
    </row>
    <row r="169" spans="1:7" x14ac:dyDescent="0.25">
      <c r="A169" s="1"/>
      <c r="B169" s="1"/>
      <c r="C169" s="1"/>
      <c r="D169" s="1"/>
      <c r="E169" s="1"/>
      <c r="F169" s="1"/>
      <c r="G169" s="1"/>
    </row>
    <row r="170" spans="1:7" x14ac:dyDescent="0.25">
      <c r="A170" s="1"/>
      <c r="B170" s="1"/>
      <c r="C170" s="1"/>
      <c r="D170" s="1"/>
      <c r="E170" s="1"/>
      <c r="F170" s="1"/>
      <c r="G170" s="1"/>
    </row>
    <row r="171" spans="1:7" x14ac:dyDescent="0.25">
      <c r="A171" s="1"/>
      <c r="B171" s="1"/>
      <c r="C171" s="1"/>
      <c r="D171" s="1"/>
      <c r="E171" s="1"/>
      <c r="F171" s="1"/>
      <c r="G171" s="1"/>
    </row>
    <row r="172" spans="1:7" x14ac:dyDescent="0.25">
      <c r="A172" s="1"/>
      <c r="B172" s="1"/>
      <c r="C172" s="1"/>
      <c r="D172" s="1"/>
      <c r="E172" s="1"/>
      <c r="F172" s="1"/>
      <c r="G172" s="1"/>
    </row>
    <row r="173" spans="1:7" x14ac:dyDescent="0.25">
      <c r="A173" s="1"/>
      <c r="B173" s="1"/>
      <c r="C173" s="1"/>
      <c r="D173" s="1"/>
      <c r="E173" s="1"/>
      <c r="F173" s="1"/>
      <c r="G173" s="1"/>
    </row>
    <row r="174" spans="1:7" x14ac:dyDescent="0.25">
      <c r="A174" s="1"/>
      <c r="B174" s="1"/>
      <c r="C174" s="1"/>
      <c r="D174" s="1"/>
      <c r="E174" s="1"/>
      <c r="F174" s="1"/>
      <c r="G174" s="1"/>
    </row>
    <row r="175" spans="1:7" x14ac:dyDescent="0.25">
      <c r="A175" s="1"/>
      <c r="B175" s="1"/>
      <c r="C175" s="1"/>
      <c r="D175" s="1"/>
      <c r="E175" s="1"/>
      <c r="F175" s="1"/>
      <c r="G175" s="1"/>
    </row>
    <row r="176" spans="1:7" x14ac:dyDescent="0.25">
      <c r="A176" s="1"/>
      <c r="B176" s="1"/>
      <c r="C176" s="1"/>
      <c r="D176" s="1"/>
      <c r="E176" s="1"/>
      <c r="F176" s="1"/>
      <c r="G176" s="1"/>
    </row>
    <row r="177" spans="1:7" x14ac:dyDescent="0.25">
      <c r="A177" s="1"/>
      <c r="B177" s="1"/>
      <c r="C177" s="1"/>
      <c r="D177" s="1"/>
      <c r="E177" s="1"/>
      <c r="F177" s="1"/>
      <c r="G177" s="1"/>
    </row>
    <row r="178" spans="1:7" x14ac:dyDescent="0.25">
      <c r="A178" s="1"/>
      <c r="B178" s="1"/>
      <c r="C178" s="1"/>
      <c r="D178" s="1"/>
      <c r="E178" s="1"/>
      <c r="F178" s="1"/>
      <c r="G178" s="1"/>
    </row>
    <row r="179" spans="1:7" x14ac:dyDescent="0.25">
      <c r="A179" s="1"/>
      <c r="B179" s="1"/>
      <c r="C179" s="1"/>
      <c r="D179" s="1"/>
      <c r="E179" s="1"/>
      <c r="F179" s="1"/>
      <c r="G179" s="1"/>
    </row>
    <row r="180" spans="1:7" x14ac:dyDescent="0.25">
      <c r="A180" s="1"/>
      <c r="B180" s="1"/>
      <c r="C180" s="1"/>
      <c r="D180" s="1"/>
      <c r="E180" s="1"/>
      <c r="F180" s="1"/>
      <c r="G180" s="1"/>
    </row>
    <row r="181" spans="1:7" x14ac:dyDescent="0.25">
      <c r="A181" s="1"/>
      <c r="B181" s="1"/>
      <c r="C181" s="1"/>
      <c r="D181" s="1"/>
      <c r="E181" s="1"/>
      <c r="F181" s="1"/>
      <c r="G181" s="1"/>
    </row>
    <row r="182" spans="1:7" x14ac:dyDescent="0.25">
      <c r="A182" s="1"/>
      <c r="B182" s="1"/>
      <c r="C182" s="1"/>
      <c r="D182" s="1"/>
      <c r="E182" s="1"/>
      <c r="F182" s="1"/>
      <c r="G182" s="1"/>
    </row>
    <row r="183" spans="1:7" x14ac:dyDescent="0.25">
      <c r="A183" s="1"/>
      <c r="B183" s="1"/>
      <c r="C183" s="1"/>
      <c r="D183" s="1"/>
      <c r="E183" s="1"/>
      <c r="F183" s="1"/>
      <c r="G183" s="1"/>
    </row>
    <row r="184" spans="1:7" x14ac:dyDescent="0.25">
      <c r="A184" s="1"/>
      <c r="B184" s="1"/>
      <c r="C184" s="1"/>
      <c r="D184" s="1"/>
      <c r="E184" s="1"/>
      <c r="F184" s="1"/>
      <c r="G184" s="1"/>
    </row>
    <row r="185" spans="1:7" x14ac:dyDescent="0.25">
      <c r="A185" s="1"/>
      <c r="B185" s="1"/>
      <c r="C185" s="1"/>
      <c r="D185" s="1"/>
      <c r="E185" s="1"/>
      <c r="F185" s="1"/>
      <c r="G185" s="1"/>
    </row>
    <row r="186" spans="1:7" x14ac:dyDescent="0.25">
      <c r="A186" s="1"/>
      <c r="B186" s="1"/>
      <c r="C186" s="1"/>
      <c r="D186" s="1"/>
      <c r="E186" s="1"/>
      <c r="F186" s="1"/>
      <c r="G186" s="1"/>
    </row>
    <row r="187" spans="1:7" x14ac:dyDescent="0.25">
      <c r="A187" s="1"/>
      <c r="B187" s="1"/>
      <c r="C187" s="1"/>
      <c r="D187" s="1"/>
      <c r="E187" s="1"/>
      <c r="F187" s="1"/>
      <c r="G187" s="1"/>
    </row>
    <row r="188" spans="1:7" x14ac:dyDescent="0.25">
      <c r="A188" s="1"/>
      <c r="B188" s="1"/>
      <c r="C188" s="1"/>
      <c r="D188" s="1"/>
      <c r="E188" s="1"/>
      <c r="F188" s="1"/>
      <c r="G188" s="1"/>
    </row>
    <row r="189" spans="1:7" x14ac:dyDescent="0.25">
      <c r="A189" s="1"/>
      <c r="B189" s="1"/>
      <c r="C189" s="1"/>
      <c r="D189" s="1"/>
      <c r="E189" s="1"/>
      <c r="F189" s="1"/>
      <c r="G189" s="1"/>
    </row>
    <row r="190" spans="1:7" x14ac:dyDescent="0.25">
      <c r="A190" s="1"/>
      <c r="B190" s="1"/>
      <c r="C190" s="1"/>
      <c r="D190" s="1"/>
      <c r="E190" s="1"/>
      <c r="F190" s="1"/>
      <c r="G190" s="1"/>
    </row>
    <row r="191" spans="1:7" x14ac:dyDescent="0.25">
      <c r="A191" s="1"/>
      <c r="B191" s="1"/>
      <c r="C191" s="1"/>
      <c r="D191" s="1"/>
      <c r="E191" s="1"/>
      <c r="F191" s="1"/>
      <c r="G191" s="1"/>
    </row>
    <row r="192" spans="1:7" x14ac:dyDescent="0.25">
      <c r="A192" s="1"/>
      <c r="B192" s="1"/>
      <c r="C192" s="1"/>
      <c r="D192" s="1"/>
      <c r="E192" s="1"/>
      <c r="F192" s="1"/>
      <c r="G192" s="1"/>
    </row>
    <row r="193" spans="1:7" x14ac:dyDescent="0.25">
      <c r="A193" s="1"/>
      <c r="B193" s="1"/>
      <c r="C193" s="1"/>
      <c r="D193" s="1"/>
      <c r="E193" s="1"/>
      <c r="F193" s="1"/>
      <c r="G193" s="1"/>
    </row>
    <row r="194" spans="1:7" x14ac:dyDescent="0.25">
      <c r="A194" s="1"/>
      <c r="B194" s="1"/>
      <c r="C194" s="1"/>
      <c r="D194" s="1"/>
      <c r="E194" s="1"/>
      <c r="F194" s="1"/>
      <c r="G194" s="1"/>
    </row>
    <row r="195" spans="1:7" x14ac:dyDescent="0.25">
      <c r="A195" s="1"/>
      <c r="B195" s="1"/>
      <c r="C195" s="1"/>
      <c r="D195" s="1"/>
      <c r="E195" s="1"/>
      <c r="F195" s="1"/>
      <c r="G195" s="1"/>
    </row>
    <row r="196" spans="1:7" x14ac:dyDescent="0.25">
      <c r="A196" s="1"/>
      <c r="B196" s="1"/>
      <c r="C196" s="1"/>
      <c r="D196" s="1"/>
      <c r="E196" s="1"/>
      <c r="F196" s="1"/>
      <c r="G196" s="1"/>
    </row>
    <row r="197" spans="1:7" x14ac:dyDescent="0.25">
      <c r="A197" s="1"/>
      <c r="B197" s="1"/>
      <c r="C197" s="1"/>
      <c r="D197" s="1"/>
      <c r="E197" s="1"/>
      <c r="F197" s="1"/>
      <c r="G197" s="1"/>
    </row>
    <row r="198" spans="1:7" x14ac:dyDescent="0.25">
      <c r="A198" s="1"/>
      <c r="B198" s="1"/>
      <c r="C198" s="1"/>
      <c r="D198" s="1"/>
      <c r="E198" s="1"/>
      <c r="F198" s="1"/>
      <c r="G198" s="1"/>
    </row>
    <row r="199" spans="1:7" x14ac:dyDescent="0.25">
      <c r="A199" s="1"/>
      <c r="B199" s="1"/>
      <c r="C199" s="1"/>
      <c r="D199" s="1"/>
      <c r="E199" s="1"/>
      <c r="F199" s="1"/>
      <c r="G199" s="1"/>
    </row>
    <row r="200" spans="1:7" x14ac:dyDescent="0.25">
      <c r="A200" s="1"/>
      <c r="B200" s="1"/>
      <c r="C200" s="1"/>
      <c r="D200" s="1"/>
      <c r="E200" s="1"/>
      <c r="F200" s="1"/>
      <c r="G200" s="1"/>
    </row>
    <row r="201" spans="1:7" x14ac:dyDescent="0.25">
      <c r="A201" s="1"/>
      <c r="B201" s="1"/>
      <c r="C201" s="1"/>
      <c r="D201" s="1"/>
      <c r="E201" s="1"/>
      <c r="F201" s="1"/>
      <c r="G201" s="1"/>
    </row>
    <row r="202" spans="1:7" x14ac:dyDescent="0.25">
      <c r="A202" s="1"/>
      <c r="B202" s="1"/>
      <c r="C202" s="1"/>
      <c r="D202" s="1"/>
      <c r="E202" s="1"/>
      <c r="F202" s="1"/>
      <c r="G202" s="1"/>
    </row>
    <row r="203" spans="1:7" x14ac:dyDescent="0.25">
      <c r="A203" s="1"/>
      <c r="B203" s="1"/>
      <c r="C203" s="1"/>
      <c r="D203" s="1"/>
      <c r="E203" s="1"/>
      <c r="F203" s="1"/>
      <c r="G203" s="1"/>
    </row>
    <row r="204" spans="1:7" x14ac:dyDescent="0.25">
      <c r="A204" s="1"/>
      <c r="B204" s="1"/>
      <c r="C204" s="1"/>
      <c r="D204" s="1"/>
      <c r="E204" s="1"/>
      <c r="F204" s="1"/>
      <c r="G204" s="1"/>
    </row>
    <row r="205" spans="1:7" x14ac:dyDescent="0.25">
      <c r="A205" s="1"/>
      <c r="B205" s="1"/>
      <c r="C205" s="1"/>
      <c r="D205" s="1"/>
      <c r="E205" s="1"/>
      <c r="F205" s="1"/>
      <c r="G205" s="1"/>
    </row>
    <row r="206" spans="1:7" x14ac:dyDescent="0.25">
      <c r="A206" s="1"/>
      <c r="B206" s="1"/>
      <c r="C206" s="1"/>
      <c r="D206" s="1"/>
      <c r="E206" s="1"/>
      <c r="F206" s="1"/>
      <c r="G206" s="1"/>
    </row>
    <row r="207" spans="1:7" x14ac:dyDescent="0.25">
      <c r="A207" s="1"/>
      <c r="B207" s="1"/>
      <c r="C207" s="1"/>
      <c r="D207" s="1"/>
      <c r="E207" s="1"/>
      <c r="F207" s="1"/>
      <c r="G207" s="1"/>
    </row>
    <row r="208" spans="1:7" x14ac:dyDescent="0.25">
      <c r="A208" s="1"/>
      <c r="B208" s="1"/>
      <c r="C208" s="1"/>
      <c r="D208" s="1"/>
      <c r="E208" s="1"/>
      <c r="F208" s="1"/>
      <c r="G208" s="1"/>
    </row>
    <row r="209" spans="1:7" x14ac:dyDescent="0.25">
      <c r="A209" s="1"/>
      <c r="B209" s="1"/>
      <c r="C209" s="1"/>
      <c r="D209" s="1"/>
      <c r="E209" s="1"/>
      <c r="F209" s="1"/>
      <c r="G209" s="1"/>
    </row>
    <row r="210" spans="1:7" x14ac:dyDescent="0.25">
      <c r="A210" s="1"/>
      <c r="B210" s="1"/>
      <c r="C210" s="1"/>
      <c r="D210" s="1"/>
      <c r="E210" s="1"/>
      <c r="F210" s="1"/>
      <c r="G210" s="1"/>
    </row>
    <row r="211" spans="1:7" x14ac:dyDescent="0.25">
      <c r="A211" s="1"/>
      <c r="B211" s="1"/>
      <c r="C211" s="1"/>
      <c r="D211" s="1"/>
      <c r="E211" s="1"/>
      <c r="F211" s="1"/>
      <c r="G211" s="1"/>
    </row>
    <row r="212" spans="1:7" x14ac:dyDescent="0.25">
      <c r="A212" s="1"/>
      <c r="B212" s="1"/>
      <c r="C212" s="1"/>
      <c r="D212" s="1"/>
      <c r="E212" s="1"/>
      <c r="F212" s="1"/>
      <c r="G212" s="1"/>
    </row>
    <row r="213" spans="1:7" x14ac:dyDescent="0.25">
      <c r="A213" s="1"/>
      <c r="B213" s="1"/>
      <c r="C213" s="1"/>
      <c r="D213" s="1"/>
      <c r="E213" s="1"/>
      <c r="F213" s="1"/>
      <c r="G213" s="1"/>
    </row>
    <row r="214" spans="1:7" x14ac:dyDescent="0.25">
      <c r="A214" s="1"/>
      <c r="B214" s="1"/>
      <c r="C214" s="1"/>
      <c r="D214" s="1"/>
      <c r="E214" s="1"/>
      <c r="F214" s="1"/>
      <c r="G214" s="1"/>
    </row>
    <row r="215" spans="1:7" x14ac:dyDescent="0.25">
      <c r="A215" s="1"/>
      <c r="B215" s="1"/>
      <c r="C215" s="1"/>
      <c r="D215" s="1"/>
      <c r="E215" s="1"/>
      <c r="F215" s="1"/>
      <c r="G215" s="1"/>
    </row>
    <row r="216" spans="1:7" x14ac:dyDescent="0.25">
      <c r="A216" s="1"/>
      <c r="B216" s="1"/>
      <c r="C216" s="1"/>
      <c r="D216" s="1"/>
      <c r="E216" s="1"/>
      <c r="F216" s="1"/>
      <c r="G216" s="1"/>
    </row>
    <row r="217" spans="1:7" x14ac:dyDescent="0.25">
      <c r="A217" s="1"/>
      <c r="B217" s="1"/>
      <c r="C217" s="1"/>
      <c r="D217" s="1"/>
      <c r="E217" s="1"/>
      <c r="F217" s="1"/>
      <c r="G217" s="1"/>
    </row>
    <row r="218" spans="1:7" x14ac:dyDescent="0.25">
      <c r="A218" s="1"/>
      <c r="B218" s="1"/>
      <c r="C218" s="1"/>
      <c r="D218" s="1"/>
      <c r="E218" s="1"/>
      <c r="F218" s="1"/>
      <c r="G218" s="1"/>
    </row>
    <row r="219" spans="1:7" x14ac:dyDescent="0.25">
      <c r="A219" s="1"/>
      <c r="B219" s="1"/>
      <c r="C219" s="1"/>
      <c r="D219" s="1"/>
      <c r="E219" s="1"/>
      <c r="F219" s="1"/>
      <c r="G219" s="1"/>
    </row>
    <row r="220" spans="1:7" x14ac:dyDescent="0.25">
      <c r="A220" s="1"/>
      <c r="B220" s="1"/>
      <c r="C220" s="1"/>
      <c r="D220" s="1"/>
      <c r="E220" s="1"/>
      <c r="F220" s="1"/>
      <c r="G220" s="1"/>
    </row>
    <row r="221" spans="1:7" x14ac:dyDescent="0.25">
      <c r="A221" s="1"/>
      <c r="B221" s="1"/>
      <c r="C221" s="1"/>
      <c r="D221" s="1"/>
      <c r="E221" s="1"/>
      <c r="F221" s="1"/>
      <c r="G221" s="1"/>
    </row>
    <row r="222" spans="1:7" x14ac:dyDescent="0.25">
      <c r="A222" s="1"/>
      <c r="B222" s="1"/>
      <c r="C222" s="1"/>
      <c r="D222" s="1"/>
      <c r="E222" s="1"/>
      <c r="F222" s="1"/>
      <c r="G222" s="1"/>
    </row>
    <row r="223" spans="1:7" x14ac:dyDescent="0.25">
      <c r="A223" s="1"/>
      <c r="B223" s="1"/>
      <c r="C223" s="1"/>
      <c r="D223" s="1"/>
      <c r="E223" s="1"/>
      <c r="F223" s="1"/>
      <c r="G223" s="1"/>
    </row>
    <row r="224" spans="1:7" x14ac:dyDescent="0.25">
      <c r="A224" s="1"/>
      <c r="B224" s="1"/>
      <c r="C224" s="1"/>
      <c r="D224" s="1"/>
      <c r="E224" s="1"/>
      <c r="F224" s="1"/>
      <c r="G224" s="1"/>
    </row>
    <row r="225" spans="1:7" x14ac:dyDescent="0.25">
      <c r="A225" s="1"/>
      <c r="B225" s="1"/>
      <c r="C225" s="1"/>
      <c r="D225" s="1"/>
      <c r="E225" s="1"/>
      <c r="F225" s="1"/>
      <c r="G225" s="1"/>
    </row>
    <row r="226" spans="1:7" x14ac:dyDescent="0.25">
      <c r="A226" s="1"/>
      <c r="B226" s="1"/>
      <c r="C226" s="1"/>
      <c r="D226" s="1"/>
      <c r="E226" s="1"/>
      <c r="F226" s="1"/>
      <c r="G226" s="1"/>
    </row>
    <row r="227" spans="1:7" x14ac:dyDescent="0.25">
      <c r="A227" s="1"/>
      <c r="B227" s="1"/>
      <c r="C227" s="1"/>
      <c r="D227" s="1"/>
      <c r="E227" s="1"/>
      <c r="F227" s="1"/>
      <c r="G227" s="1"/>
    </row>
    <row r="228" spans="1:7" x14ac:dyDescent="0.25">
      <c r="A228" s="1"/>
      <c r="B228" s="1"/>
      <c r="C228" s="1"/>
      <c r="D228" s="1"/>
      <c r="E228" s="1"/>
      <c r="F228" s="1"/>
      <c r="G228" s="1"/>
    </row>
    <row r="229" spans="1:7" x14ac:dyDescent="0.25">
      <c r="A229" s="1"/>
      <c r="B229" s="1"/>
      <c r="C229" s="1"/>
      <c r="D229" s="1"/>
      <c r="E229" s="1"/>
      <c r="F229" s="1"/>
      <c r="G229" s="1"/>
    </row>
    <row r="230" spans="1:7" x14ac:dyDescent="0.25">
      <c r="A230" s="1"/>
      <c r="B230" s="1"/>
      <c r="C230" s="1"/>
      <c r="D230" s="1"/>
      <c r="E230" s="1"/>
      <c r="F230" s="1"/>
      <c r="G230" s="1"/>
    </row>
    <row r="231" spans="1:7" x14ac:dyDescent="0.25">
      <c r="A231" s="1"/>
      <c r="B231" s="1"/>
      <c r="C231" s="1"/>
      <c r="D231" s="1"/>
      <c r="E231" s="1"/>
      <c r="F231" s="1"/>
      <c r="G231" s="1"/>
    </row>
    <row r="232" spans="1:7" x14ac:dyDescent="0.25">
      <c r="A232" s="1"/>
      <c r="B232" s="1"/>
      <c r="C232" s="1"/>
      <c r="D232" s="1"/>
      <c r="E232" s="1"/>
      <c r="F232" s="1"/>
      <c r="G232" s="1"/>
    </row>
    <row r="233" spans="1:7" x14ac:dyDescent="0.25">
      <c r="A233" s="1"/>
      <c r="B233" s="1"/>
      <c r="C233" s="1"/>
      <c r="D233" s="1"/>
      <c r="E233" s="1"/>
      <c r="F233" s="1"/>
      <c r="G233" s="1"/>
    </row>
    <row r="234" spans="1:7" x14ac:dyDescent="0.25">
      <c r="A234" s="1"/>
      <c r="B234" s="1"/>
      <c r="C234" s="1"/>
      <c r="D234" s="1"/>
      <c r="E234" s="1"/>
      <c r="F234" s="1"/>
      <c r="G234" s="1"/>
    </row>
    <row r="235" spans="1:7" x14ac:dyDescent="0.25">
      <c r="A235" s="1"/>
      <c r="B235" s="1"/>
      <c r="C235" s="1"/>
      <c r="D235" s="1"/>
      <c r="E235" s="1"/>
      <c r="F235" s="1"/>
      <c r="G235" s="1"/>
    </row>
    <row r="236" spans="1:7" x14ac:dyDescent="0.25">
      <c r="A236" s="1"/>
      <c r="B236" s="1"/>
      <c r="C236" s="1"/>
      <c r="D236" s="1"/>
      <c r="E236" s="1"/>
      <c r="F236" s="1"/>
      <c r="G236" s="1"/>
    </row>
    <row r="237" spans="1:7" x14ac:dyDescent="0.25">
      <c r="A237" s="1"/>
      <c r="B237" s="1"/>
      <c r="C237" s="1"/>
      <c r="D237" s="1"/>
      <c r="E237" s="1"/>
      <c r="F237" s="1"/>
      <c r="G237" s="1"/>
    </row>
    <row r="238" spans="1:7" x14ac:dyDescent="0.25">
      <c r="A238" s="1"/>
      <c r="B238" s="1"/>
      <c r="C238" s="1"/>
      <c r="D238" s="1"/>
      <c r="E238" s="1"/>
      <c r="F238" s="1"/>
      <c r="G238" s="1"/>
    </row>
    <row r="239" spans="1:7" x14ac:dyDescent="0.25">
      <c r="A239" s="1"/>
      <c r="B239" s="1"/>
      <c r="C239" s="1"/>
      <c r="D239" s="1"/>
      <c r="E239" s="1"/>
      <c r="F239" s="1"/>
      <c r="G239" s="1"/>
    </row>
    <row r="240" spans="1:7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  <row r="242" spans="1:7" x14ac:dyDescent="0.25">
      <c r="A242" s="1"/>
      <c r="B242" s="1"/>
      <c r="C242" s="1"/>
      <c r="D242" s="1"/>
      <c r="E242" s="1"/>
      <c r="F242" s="1"/>
      <c r="G242" s="1"/>
    </row>
    <row r="243" spans="1:7" x14ac:dyDescent="0.25">
      <c r="A243" s="1"/>
      <c r="B243" s="1"/>
      <c r="C243" s="1"/>
      <c r="D243" s="1"/>
      <c r="E243" s="1"/>
      <c r="F243" s="1"/>
      <c r="G243" s="1"/>
    </row>
    <row r="244" spans="1:7" x14ac:dyDescent="0.25">
      <c r="A244" s="1"/>
      <c r="B244" s="1"/>
      <c r="C244" s="1"/>
      <c r="D244" s="1"/>
      <c r="E244" s="1"/>
      <c r="F244" s="1"/>
      <c r="G244" s="1"/>
    </row>
    <row r="245" spans="1:7" x14ac:dyDescent="0.25">
      <c r="A245" s="1"/>
      <c r="B245" s="1"/>
      <c r="C245" s="1"/>
      <c r="D245" s="1"/>
      <c r="E245" s="1"/>
      <c r="F245" s="1"/>
      <c r="G245" s="1"/>
    </row>
    <row r="246" spans="1:7" x14ac:dyDescent="0.25">
      <c r="A246" s="1"/>
      <c r="B246" s="1"/>
      <c r="C246" s="1"/>
      <c r="D246" s="1"/>
      <c r="E246" s="1"/>
      <c r="F246" s="1"/>
      <c r="G246" s="1"/>
    </row>
    <row r="247" spans="1:7" x14ac:dyDescent="0.25">
      <c r="A247" s="1"/>
      <c r="B247" s="1"/>
      <c r="C247" s="1"/>
      <c r="D247" s="1"/>
      <c r="E247" s="1"/>
      <c r="F247" s="1"/>
      <c r="G247" s="1"/>
    </row>
    <row r="248" spans="1:7" x14ac:dyDescent="0.25">
      <c r="A248" s="1"/>
      <c r="B248" s="1"/>
      <c r="C248" s="1"/>
      <c r="D248" s="1"/>
      <c r="E248" s="1"/>
      <c r="F248" s="1"/>
      <c r="G248" s="1"/>
    </row>
    <row r="249" spans="1:7" x14ac:dyDescent="0.25">
      <c r="A249" s="1"/>
      <c r="B249" s="1"/>
      <c r="C249" s="1"/>
      <c r="D249" s="1"/>
      <c r="E249" s="1"/>
      <c r="F249" s="1"/>
      <c r="G249" s="1"/>
    </row>
    <row r="250" spans="1:7" x14ac:dyDescent="0.25">
      <c r="A250" s="1"/>
      <c r="B250" s="1"/>
      <c r="C250" s="1"/>
      <c r="D250" s="1"/>
      <c r="E250" s="1"/>
      <c r="F250" s="1"/>
      <c r="G250" s="1"/>
    </row>
    <row r="251" spans="1:7" x14ac:dyDescent="0.25">
      <c r="A251" s="1"/>
      <c r="B251" s="1"/>
      <c r="C251" s="1"/>
      <c r="D251" s="1"/>
      <c r="E251" s="1"/>
      <c r="F251" s="1"/>
      <c r="G251" s="1"/>
    </row>
    <row r="252" spans="1:7" x14ac:dyDescent="0.25">
      <c r="A252" s="1"/>
      <c r="B252" s="1"/>
      <c r="C252" s="1"/>
      <c r="D252" s="1"/>
      <c r="E252" s="1"/>
      <c r="F252" s="1"/>
      <c r="G252" s="1"/>
    </row>
    <row r="253" spans="1:7" x14ac:dyDescent="0.25">
      <c r="A253" s="1"/>
      <c r="B253" s="1"/>
      <c r="C253" s="1"/>
      <c r="D253" s="1"/>
      <c r="E253" s="1"/>
      <c r="F253" s="1"/>
      <c r="G253" s="1"/>
    </row>
  </sheetData>
  <mergeCells count="36">
    <mergeCell ref="B63:C63"/>
    <mergeCell ref="D63:E63"/>
    <mergeCell ref="F63:G63"/>
    <mergeCell ref="B64:C64"/>
    <mergeCell ref="D64:E64"/>
    <mergeCell ref="F64:G64"/>
    <mergeCell ref="A58:G58"/>
    <mergeCell ref="A59:G59"/>
    <mergeCell ref="A60:C60"/>
    <mergeCell ref="B62:C62"/>
    <mergeCell ref="D62:E62"/>
    <mergeCell ref="F62:G62"/>
    <mergeCell ref="B20:C20"/>
    <mergeCell ref="D20:E20"/>
    <mergeCell ref="F20:G20"/>
    <mergeCell ref="B21:C21"/>
    <mergeCell ref="D21:E21"/>
    <mergeCell ref="F21:G21"/>
    <mergeCell ref="A15:G15"/>
    <mergeCell ref="A16:G16"/>
    <mergeCell ref="A17:C17"/>
    <mergeCell ref="B19:C19"/>
    <mergeCell ref="D19:E19"/>
    <mergeCell ref="F19:G19"/>
    <mergeCell ref="B6:C6"/>
    <mergeCell ref="D6:E6"/>
    <mergeCell ref="F6:G6"/>
    <mergeCell ref="B7:C7"/>
    <mergeCell ref="D7:E7"/>
    <mergeCell ref="F7:G7"/>
    <mergeCell ref="A1:G1"/>
    <mergeCell ref="A2:G2"/>
    <mergeCell ref="A3:C3"/>
    <mergeCell ref="B5:C5"/>
    <mergeCell ref="D5:E5"/>
    <mergeCell ref="F5:G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theme="9" tint="-0.249977111117893"/>
  </sheetPr>
  <dimension ref="A1:T88"/>
  <sheetViews>
    <sheetView tabSelected="1" workbookViewId="0">
      <selection sqref="A1:B1"/>
    </sheetView>
  </sheetViews>
  <sheetFormatPr defaultRowHeight="15" x14ac:dyDescent="0.25"/>
  <cols>
    <col min="1" max="1" width="17.7109375" style="193" customWidth="1"/>
    <col min="2" max="2" width="20.85546875" style="1" customWidth="1"/>
    <col min="3" max="3" width="17.140625" style="1" customWidth="1"/>
    <col min="4" max="6" width="20.85546875" style="1" customWidth="1"/>
    <col min="7" max="7" width="19.5703125" style="1" customWidth="1"/>
    <col min="8" max="8" width="21.42578125" style="1" customWidth="1"/>
    <col min="9" max="9" width="9.140625" style="1"/>
    <col min="10" max="10" width="12.42578125" style="1" customWidth="1"/>
    <col min="11" max="11" width="10.5703125" style="1" customWidth="1"/>
    <col min="12" max="16384" width="9.140625" style="1"/>
  </cols>
  <sheetData>
    <row r="1" spans="1:20" x14ac:dyDescent="0.25">
      <c r="A1" s="498">
        <f ca="1">TODAY()</f>
        <v>42150</v>
      </c>
      <c r="B1" s="498"/>
    </row>
    <row r="2" spans="1:20" x14ac:dyDescent="0.25">
      <c r="A2" s="227"/>
      <c r="B2" s="227"/>
    </row>
    <row r="3" spans="1:20" ht="15.75" x14ac:dyDescent="0.25">
      <c r="A3" s="227"/>
      <c r="B3" s="186" t="s">
        <v>391</v>
      </c>
      <c r="C3" s="499"/>
      <c r="D3" s="500"/>
      <c r="E3" s="500"/>
      <c r="F3" s="500"/>
      <c r="G3" s="500"/>
      <c r="H3" s="501"/>
    </row>
    <row r="4" spans="1:20" ht="15.75" x14ac:dyDescent="0.25">
      <c r="A4" s="192"/>
      <c r="B4" s="186" t="s">
        <v>683</v>
      </c>
      <c r="C4" s="474">
        <f ca="1">MONTH(A1)</f>
        <v>5</v>
      </c>
      <c r="D4" s="186" t="s">
        <v>684</v>
      </c>
      <c r="E4" s="475">
        <f ca="1">YEAR(A1)</f>
        <v>2015</v>
      </c>
      <c r="F4" s="186" t="s">
        <v>685</v>
      </c>
      <c r="G4" s="475">
        <v>0</v>
      </c>
      <c r="H4" s="186"/>
      <c r="I4" s="303"/>
    </row>
    <row r="5" spans="1:20" ht="15.75" x14ac:dyDescent="0.25">
      <c r="A5" s="192"/>
      <c r="B5" s="186" t="s">
        <v>389</v>
      </c>
      <c r="C5" s="499"/>
      <c r="D5" s="500"/>
      <c r="E5" s="500"/>
      <c r="F5" s="500"/>
      <c r="G5" s="500"/>
      <c r="H5" s="501"/>
    </row>
    <row r="6" spans="1:20" ht="18.75" customHeight="1" x14ac:dyDescent="0.25">
      <c r="A6" s="192"/>
      <c r="B6" s="122"/>
      <c r="C6" s="122"/>
      <c r="D6" s="122"/>
      <c r="E6" s="122"/>
      <c r="F6" s="122"/>
      <c r="G6" s="122"/>
      <c r="H6" s="122"/>
    </row>
    <row r="7" spans="1:20" s="122" customFormat="1" ht="18" customHeight="1" x14ac:dyDescent="0.25">
      <c r="A7"/>
      <c r="B7" s="293" t="s">
        <v>404</v>
      </c>
      <c r="C7" s="293" t="s">
        <v>681</v>
      </c>
    </row>
    <row r="8" spans="1:20" s="122" customFormat="1" ht="15.75" x14ac:dyDescent="0.25">
      <c r="A8" s="481"/>
      <c r="B8" s="294" t="str">
        <f ca="1">CONCATENATE(TEXT(Saida!J8,"#.##0")," (",TEXT(Saida!I8,"0.0%"),")")</f>
        <v>19.556 (65%)</v>
      </c>
      <c r="C8" s="466">
        <f ca="1">MemSudeste!J168</f>
        <v>30196.576999999997</v>
      </c>
      <c r="D8" s="480"/>
    </row>
    <row r="9" spans="1:20" s="122" customFormat="1" ht="15.75" x14ac:dyDescent="0.25">
      <c r="A9" s="482"/>
      <c r="B9" s="294" t="str">
        <f ca="1">CONCATENATE(TEXT(Saida!J9,"#.##0")," (",TEXT(Saida!I9,"0.0%"),")")</f>
        <v>10.672 (125%)</v>
      </c>
      <c r="C9" s="466">
        <f ca="1">MemSul!J61</f>
        <v>8561.4878000000008</v>
      </c>
      <c r="D9" s="480"/>
    </row>
    <row r="10" spans="1:20" s="122" customFormat="1" ht="15.75" x14ac:dyDescent="0.25">
      <c r="A10" s="483"/>
      <c r="B10" s="294" t="str">
        <f ca="1">CONCATENATE(TEXT(Saida!J10,"#.##0")," (",TEXT(Saida!I10,"0.0%"),")")</f>
        <v>2.192 (30%)</v>
      </c>
      <c r="C10" s="466">
        <f ca="1">MemNordeste!J31</f>
        <v>7313.483400000001</v>
      </c>
      <c r="D10" s="480"/>
    </row>
    <row r="11" spans="1:20" s="122" customFormat="1" ht="15.75" x14ac:dyDescent="0.25">
      <c r="A11" s="194"/>
      <c r="B11" s="294" t="str">
        <f ca="1">CONCATENATE(TEXT(Saida!J11,"#.##0")," (",TEXT(Saida!I11,"0.0%"),")")</f>
        <v>3.086 (29%)</v>
      </c>
      <c r="C11" s="466">
        <f ca="1">MemNorte!J27</f>
        <v>10498.321900000003</v>
      </c>
      <c r="D11" s="480"/>
    </row>
    <row r="12" spans="1:20" s="122" customFormat="1" x14ac:dyDescent="0.25">
      <c r="A12" s="194"/>
    </row>
    <row r="13" spans="1:20" s="122" customFormat="1" ht="20.25" customHeight="1" x14ac:dyDescent="0.25">
      <c r="A13" s="194"/>
      <c r="B13" s="295" t="s">
        <v>406</v>
      </c>
      <c r="C13" s="295" t="s">
        <v>407</v>
      </c>
      <c r="D13" s="295" t="s">
        <v>408</v>
      </c>
      <c r="E13" s="323"/>
      <c r="F13" s="323"/>
      <c r="G13" s="323"/>
      <c r="H13" s="323"/>
      <c r="I13" s="323"/>
      <c r="J13" s="323"/>
      <c r="K13" s="323"/>
      <c r="L13" s="323"/>
      <c r="M13" s="323"/>
      <c r="N13" s="323"/>
      <c r="O13" s="323"/>
      <c r="P13" s="323"/>
      <c r="Q13" s="323"/>
      <c r="R13" s="323"/>
      <c r="S13" s="323"/>
      <c r="T13" s="323"/>
    </row>
    <row r="14" spans="1:20" s="122" customFormat="1" ht="15.75" x14ac:dyDescent="0.25">
      <c r="A14" s="194"/>
      <c r="B14" s="296" t="s">
        <v>686</v>
      </c>
      <c r="C14" s="296" t="s">
        <v>687</v>
      </c>
      <c r="D14" s="296" t="s">
        <v>688</v>
      </c>
      <c r="E14" s="323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3"/>
      <c r="Q14" s="323"/>
      <c r="R14" s="323"/>
      <c r="S14" s="323"/>
      <c r="T14" s="323"/>
    </row>
    <row r="15" spans="1:20" x14ac:dyDescent="0.25">
      <c r="B15" s="293" t="s">
        <v>403</v>
      </c>
      <c r="C15" s="293" t="s">
        <v>403</v>
      </c>
      <c r="D15" s="293" t="s">
        <v>403</v>
      </c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 s="323"/>
      <c r="P15" s="323"/>
      <c r="Q15" s="323"/>
      <c r="R15" s="323"/>
      <c r="S15" s="323"/>
      <c r="T15" s="323"/>
    </row>
    <row r="16" spans="1:20" ht="15.75" x14ac:dyDescent="0.25">
      <c r="B16" s="294" t="str">
        <f ca="1">CONCATENATE(TEXT(Saida!S8,"#.##0")," (",TEXT(Saida!R8,"0.0%"),")")</f>
        <v>30.197 (100%)</v>
      </c>
      <c r="C16" s="294" t="str">
        <f ca="1">CONCATENATE(TEXT(Saida!AB8,"#.##0")," (",TEXT(Saida!AA8,"0.0%"),")")</f>
        <v>25.667 (85%)</v>
      </c>
      <c r="D16" s="294" t="str">
        <f ca="1">CONCATENATE(TEXT(Saida!AK8,"#.##0")," (",TEXT(Saida!AJ8,"0.0%"),")")</f>
        <v>19.556 (65%)</v>
      </c>
      <c r="E16" s="323"/>
      <c r="F16" s="323"/>
      <c r="G16" s="323"/>
      <c r="H16" s="323"/>
      <c r="I16" s="323"/>
      <c r="J16" s="323"/>
      <c r="K16" s="323"/>
      <c r="L16" s="323"/>
      <c r="M16" s="323"/>
      <c r="N16" s="323"/>
      <c r="O16" s="323"/>
      <c r="P16" s="323"/>
      <c r="Q16" s="323"/>
      <c r="R16" s="323"/>
      <c r="S16" s="323"/>
      <c r="T16" s="323"/>
    </row>
    <row r="17" spans="1:20" ht="15.75" x14ac:dyDescent="0.25">
      <c r="B17" s="294" t="str">
        <f ca="1">CONCATENATE(TEXT(Saida!S9,"#.##0")," (",TEXT(Saida!R9,"0.0%"),")")</f>
        <v>8.561 (100%)</v>
      </c>
      <c r="C17" s="294" t="str">
        <f ca="1">CONCATENATE(TEXT(Saida!AB9,"#.##0")," (",TEXT(Saida!AA9,"0.0%"),")")</f>
        <v>8.561 (100%)</v>
      </c>
      <c r="D17" s="294" t="str">
        <f ca="1">CONCATENATE(TEXT(Saida!AK9,"#.##0")," (",TEXT(Saida!AJ9,"0.0%"),")")</f>
        <v>10.672 (125%)</v>
      </c>
      <c r="E17" s="323"/>
      <c r="F17" s="323"/>
      <c r="G17" s="323"/>
      <c r="H17" s="323"/>
      <c r="I17" s="323"/>
      <c r="J17" s="323"/>
      <c r="K17" s="323"/>
      <c r="L17" s="323"/>
      <c r="M17" s="323"/>
      <c r="N17" s="323"/>
      <c r="O17" s="323"/>
      <c r="P17" s="323"/>
      <c r="Q17" s="323"/>
      <c r="R17" s="323"/>
      <c r="S17" s="323"/>
      <c r="T17" s="323"/>
    </row>
    <row r="18" spans="1:20" ht="15.75" x14ac:dyDescent="0.25">
      <c r="B18" s="294" t="str">
        <f ca="1">CONCATENATE(TEXT(Saida!S10,"#.##0")," (",TEXT(Saida!R10,"0.0%"),")")</f>
        <v>4.023 (55%)</v>
      </c>
      <c r="C18" s="294" t="str">
        <f ca="1">CONCATENATE(TEXT(Saida!AB10,"#.##0")," (",TEXT(Saida!AA10,"0.0%"),")")</f>
        <v>4.022 (55%)</v>
      </c>
      <c r="D18" s="294" t="str">
        <f ca="1">CONCATENATE(TEXT(Saida!AK10,"#.##0")," (",TEXT(Saida!AJ10,"0.0%"),")")</f>
        <v>2.192 (30%)</v>
      </c>
      <c r="E18" s="323"/>
      <c r="F18" s="323"/>
      <c r="G18" s="323"/>
      <c r="H18" s="323"/>
      <c r="I18" s="323"/>
      <c r="J18" s="323"/>
      <c r="K18" s="323"/>
      <c r="L18" s="323"/>
      <c r="M18" s="323"/>
      <c r="N18" s="323"/>
      <c r="O18" s="323"/>
      <c r="P18" s="323"/>
      <c r="Q18" s="323"/>
      <c r="R18" s="323"/>
      <c r="S18" s="323"/>
      <c r="T18" s="323"/>
    </row>
    <row r="19" spans="1:20" ht="15.75" x14ac:dyDescent="0.25">
      <c r="B19" s="294" t="str">
        <f ca="1">CONCATENATE(TEXT(Saida!S11,"#.##0")," (",TEXT(Saida!R11,"0.0%"),")")</f>
        <v>9.448 (90%)</v>
      </c>
      <c r="C19" s="294" t="str">
        <f ca="1">CONCATENATE(TEXT(Saida!AB11,"#.##0")," (",TEXT(Saida!AA11,"0.0%"),")")</f>
        <v>9.448 (90%)</v>
      </c>
      <c r="D19" s="294" t="str">
        <f ca="1">CONCATENATE(TEXT(Saida!AK11,"#.##0")," (",TEXT(Saida!AJ11,"0.0%"),")")</f>
        <v>3.086 (29%)</v>
      </c>
      <c r="E19" s="323"/>
      <c r="F19" s="323"/>
      <c r="G19" s="323"/>
      <c r="H19" s="323"/>
      <c r="I19" s="323"/>
      <c r="J19" s="323"/>
      <c r="K19" s="323"/>
      <c r="L19" s="323"/>
      <c r="M19" s="323"/>
      <c r="N19" s="323"/>
      <c r="O19" s="323"/>
      <c r="P19" s="323"/>
      <c r="Q19" s="323"/>
      <c r="R19" s="323"/>
      <c r="S19" s="323"/>
      <c r="T19" s="323"/>
    </row>
    <row r="20" spans="1:20" ht="15.75" thickBot="1" x14ac:dyDescent="0.3">
      <c r="B20" s="297" t="s">
        <v>405</v>
      </c>
      <c r="C20" s="297" t="s">
        <v>405</v>
      </c>
      <c r="D20" s="297" t="s">
        <v>405</v>
      </c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</row>
    <row r="21" spans="1:20" x14ac:dyDescent="0.25">
      <c r="A21" s="448" t="s">
        <v>679</v>
      </c>
      <c r="B21" s="465">
        <v>1</v>
      </c>
      <c r="C21" s="469">
        <v>0.85</v>
      </c>
      <c r="D21" s="470">
        <v>1.1499999999999999</v>
      </c>
      <c r="E21" s="323"/>
      <c r="F21" s="323"/>
      <c r="G21" s="323"/>
      <c r="H21" s="323"/>
      <c r="I21" s="323"/>
      <c r="J21" s="323"/>
      <c r="K21" s="323"/>
      <c r="L21" s="323"/>
      <c r="M21" s="323"/>
      <c r="N21" s="323"/>
      <c r="O21" s="323"/>
      <c r="P21" s="323"/>
      <c r="Q21" s="323"/>
      <c r="R21" s="323"/>
      <c r="S21" s="323"/>
      <c r="T21" s="323"/>
    </row>
    <row r="22" spans="1:20" x14ac:dyDescent="0.25">
      <c r="A22" s="449" t="s">
        <v>676</v>
      </c>
      <c r="B22" s="454">
        <v>1</v>
      </c>
      <c r="C22" s="468">
        <v>1</v>
      </c>
      <c r="D22" s="471">
        <v>1</v>
      </c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</row>
    <row r="23" spans="1:20" x14ac:dyDescent="0.25">
      <c r="A23" s="450" t="s">
        <v>677</v>
      </c>
      <c r="B23" s="454">
        <v>0.55000000000000004</v>
      </c>
      <c r="C23" s="468">
        <v>0.55000000000000004</v>
      </c>
      <c r="D23" s="471">
        <v>0.55000000000000004</v>
      </c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</row>
    <row r="24" spans="1:20" ht="15.75" thickBot="1" x14ac:dyDescent="0.3">
      <c r="A24" s="451" t="s">
        <v>678</v>
      </c>
      <c r="B24" s="455">
        <v>0.9</v>
      </c>
      <c r="C24" s="472">
        <v>0.9</v>
      </c>
      <c r="D24" s="473">
        <v>0.9</v>
      </c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</row>
    <row r="25" spans="1:20" x14ac:dyDescent="0.25">
      <c r="A25" s="452" t="s">
        <v>22</v>
      </c>
      <c r="B25" s="462"/>
      <c r="C25" s="463"/>
      <c r="D25" s="464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</row>
    <row r="26" spans="1:20" x14ac:dyDescent="0.25">
      <c r="A26" s="452" t="s">
        <v>23</v>
      </c>
      <c r="B26" s="456"/>
      <c r="C26" s="457"/>
      <c r="D26" s="458"/>
      <c r="E26" s="323"/>
      <c r="F26" s="323"/>
      <c r="G26" s="323"/>
      <c r="H26" s="323"/>
      <c r="I26" s="323"/>
      <c r="J26" s="323"/>
      <c r="K26" s="323"/>
      <c r="L26" s="323"/>
      <c r="M26" s="323"/>
      <c r="N26" s="323"/>
      <c r="O26" s="323"/>
      <c r="P26" s="323"/>
      <c r="Q26" s="323"/>
      <c r="R26" s="323"/>
      <c r="S26" s="323"/>
      <c r="T26" s="323"/>
    </row>
    <row r="27" spans="1:20" x14ac:dyDescent="0.25">
      <c r="A27" s="452" t="s">
        <v>30</v>
      </c>
      <c r="B27" s="456"/>
      <c r="C27" s="457"/>
      <c r="D27" s="458"/>
      <c r="E27" s="323"/>
      <c r="F27" s="323"/>
      <c r="G27" s="323"/>
      <c r="H27" s="323"/>
      <c r="I27" s="323"/>
      <c r="J27" s="323"/>
      <c r="K27" s="323"/>
      <c r="L27" s="323"/>
      <c r="M27" s="323"/>
      <c r="N27" s="323"/>
      <c r="O27" s="323"/>
      <c r="P27" s="323"/>
      <c r="Q27" s="323"/>
      <c r="R27" s="323"/>
      <c r="S27" s="323"/>
      <c r="T27" s="323"/>
    </row>
    <row r="28" spans="1:20" x14ac:dyDescent="0.25">
      <c r="A28" s="452" t="s">
        <v>24</v>
      </c>
      <c r="B28" s="456"/>
      <c r="C28" s="457"/>
      <c r="D28" s="458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</row>
    <row r="29" spans="1:20" x14ac:dyDescent="0.25">
      <c r="A29" s="452" t="s">
        <v>25</v>
      </c>
      <c r="B29" s="456"/>
      <c r="C29" s="457"/>
      <c r="D29" s="458"/>
      <c r="E29" s="323"/>
      <c r="F29" s="323"/>
      <c r="G29" s="323"/>
      <c r="H29" s="323"/>
      <c r="I29" s="323"/>
      <c r="J29" s="323"/>
      <c r="K29" s="323"/>
      <c r="L29" s="323"/>
      <c r="M29" s="323"/>
    </row>
    <row r="30" spans="1:20" x14ac:dyDescent="0.25">
      <c r="A30" s="452" t="s">
        <v>28</v>
      </c>
      <c r="B30" s="454"/>
      <c r="C30" s="457"/>
      <c r="D30" s="458"/>
      <c r="E30" s="323"/>
      <c r="F30" s="323"/>
      <c r="G30" s="323"/>
      <c r="H30" s="323"/>
      <c r="I30" s="323"/>
      <c r="J30" s="323"/>
      <c r="K30" s="323"/>
      <c r="L30" s="323"/>
      <c r="M30" s="323"/>
    </row>
    <row r="31" spans="1:20" x14ac:dyDescent="0.25">
      <c r="A31" s="452" t="s">
        <v>29</v>
      </c>
      <c r="B31" s="454"/>
      <c r="C31" s="457"/>
      <c r="D31" s="458"/>
      <c r="E31" s="323"/>
      <c r="F31" s="323"/>
      <c r="G31" s="323"/>
      <c r="H31" s="323"/>
      <c r="I31" s="323"/>
      <c r="J31" s="323"/>
      <c r="K31" s="323"/>
      <c r="L31" s="323"/>
      <c r="M31" s="323"/>
    </row>
    <row r="32" spans="1:20" x14ac:dyDescent="0.25">
      <c r="A32" s="452" t="s">
        <v>31</v>
      </c>
      <c r="B32" s="456"/>
      <c r="C32" s="457"/>
      <c r="D32" s="458"/>
      <c r="E32" s="323"/>
      <c r="F32" s="323"/>
      <c r="G32" s="323"/>
      <c r="H32" s="323"/>
      <c r="I32" s="323"/>
      <c r="J32" s="323"/>
      <c r="K32" s="323"/>
      <c r="L32" s="323"/>
      <c r="M32" s="323"/>
    </row>
    <row r="33" spans="1:13" x14ac:dyDescent="0.25">
      <c r="A33" s="452" t="s">
        <v>32</v>
      </c>
      <c r="B33" s="456"/>
      <c r="C33" s="457"/>
      <c r="D33" s="458"/>
      <c r="E33" s="323"/>
      <c r="F33" s="323"/>
      <c r="G33" s="323"/>
      <c r="H33" s="323"/>
      <c r="I33" s="323"/>
      <c r="J33" s="323"/>
      <c r="K33" s="323"/>
      <c r="L33" s="323"/>
      <c r="M33" s="323"/>
    </row>
    <row r="34" spans="1:13" x14ac:dyDescent="0.25">
      <c r="A34" s="452" t="s">
        <v>33</v>
      </c>
      <c r="B34" s="456"/>
      <c r="C34" s="457"/>
      <c r="D34" s="458"/>
      <c r="E34" s="323"/>
      <c r="F34" s="323"/>
      <c r="G34" s="323"/>
      <c r="H34" s="323"/>
      <c r="I34" s="323"/>
      <c r="J34" s="323"/>
      <c r="K34" s="323"/>
      <c r="L34" s="323"/>
      <c r="M34" s="323"/>
    </row>
    <row r="35" spans="1:13" x14ac:dyDescent="0.25">
      <c r="A35" s="452" t="s">
        <v>34</v>
      </c>
      <c r="B35" s="456"/>
      <c r="C35" s="457"/>
      <c r="D35" s="458"/>
      <c r="E35" s="323"/>
      <c r="F35" s="323"/>
      <c r="G35" s="323"/>
      <c r="H35" s="323"/>
      <c r="I35" s="323"/>
      <c r="J35" s="323"/>
      <c r="K35" s="323"/>
      <c r="L35" s="323"/>
      <c r="M35" s="323"/>
    </row>
    <row r="36" spans="1:13" x14ac:dyDescent="0.25">
      <c r="A36" s="452" t="s">
        <v>35</v>
      </c>
      <c r="B36" s="456"/>
      <c r="C36" s="457"/>
      <c r="D36" s="458"/>
      <c r="E36" s="323"/>
      <c r="F36" s="323"/>
      <c r="G36" s="323"/>
      <c r="H36" s="323"/>
      <c r="I36" s="323"/>
      <c r="J36" s="323"/>
      <c r="K36" s="323"/>
      <c r="L36" s="323"/>
      <c r="M36" s="323"/>
    </row>
    <row r="37" spans="1:13" x14ac:dyDescent="0.25">
      <c r="A37" s="452" t="s">
        <v>46</v>
      </c>
      <c r="B37" s="456"/>
      <c r="C37" s="457"/>
      <c r="D37" s="458"/>
      <c r="E37" s="323"/>
      <c r="F37" s="323"/>
      <c r="G37" s="323"/>
      <c r="H37" s="323"/>
      <c r="I37" s="323"/>
      <c r="J37" s="323"/>
      <c r="K37" s="323"/>
      <c r="L37" s="323"/>
      <c r="M37" s="323"/>
    </row>
    <row r="38" spans="1:13" x14ac:dyDescent="0.25">
      <c r="A38" s="452" t="s">
        <v>52</v>
      </c>
      <c r="B38" s="456"/>
      <c r="C38" s="457"/>
      <c r="D38" s="458"/>
      <c r="E38" s="323"/>
      <c r="F38" s="323"/>
      <c r="G38" s="323"/>
      <c r="H38" s="323"/>
      <c r="I38" s="323"/>
      <c r="J38" s="323"/>
      <c r="K38" s="323"/>
      <c r="L38" s="323"/>
      <c r="M38" s="323"/>
    </row>
    <row r="39" spans="1:13" x14ac:dyDescent="0.25">
      <c r="A39" s="452" t="s">
        <v>41</v>
      </c>
      <c r="B39" s="456"/>
      <c r="C39" s="457"/>
      <c r="D39" s="458"/>
      <c r="E39" s="323"/>
      <c r="F39" s="323"/>
      <c r="G39" s="323"/>
      <c r="H39" s="323"/>
      <c r="I39" s="323"/>
      <c r="J39" s="323"/>
      <c r="K39" s="323"/>
      <c r="L39" s="323"/>
      <c r="M39" s="323"/>
    </row>
    <row r="40" spans="1:13" x14ac:dyDescent="0.25">
      <c r="A40" s="452" t="s">
        <v>49</v>
      </c>
      <c r="B40" s="456"/>
      <c r="C40" s="457"/>
      <c r="D40" s="458"/>
      <c r="E40" s="323"/>
      <c r="F40" s="323"/>
      <c r="G40" s="323"/>
      <c r="H40" s="323"/>
      <c r="I40" s="323"/>
      <c r="J40" s="323"/>
      <c r="K40" s="323"/>
      <c r="L40" s="323"/>
      <c r="M40" s="323"/>
    </row>
    <row r="41" spans="1:13" x14ac:dyDescent="0.25">
      <c r="A41" s="449" t="s">
        <v>36</v>
      </c>
      <c r="B41" s="456"/>
      <c r="C41" s="457"/>
      <c r="D41" s="458"/>
      <c r="E41" s="323"/>
      <c r="F41" s="323"/>
      <c r="G41" s="323"/>
      <c r="H41" s="323"/>
      <c r="I41" s="323"/>
      <c r="J41" s="323"/>
      <c r="K41" s="323"/>
      <c r="L41" s="323"/>
      <c r="M41" s="323"/>
    </row>
    <row r="42" spans="1:13" x14ac:dyDescent="0.25">
      <c r="A42" s="449" t="s">
        <v>37</v>
      </c>
      <c r="B42" s="456"/>
      <c r="C42" s="457"/>
      <c r="D42" s="458"/>
      <c r="E42" s="323"/>
      <c r="F42" s="323"/>
      <c r="G42" s="323"/>
      <c r="H42" s="323"/>
      <c r="I42" s="323"/>
      <c r="J42" s="323"/>
      <c r="K42" s="323"/>
      <c r="L42" s="323"/>
      <c r="M42" s="323"/>
    </row>
    <row r="43" spans="1:13" x14ac:dyDescent="0.25">
      <c r="A43" s="449" t="s">
        <v>38</v>
      </c>
      <c r="B43" s="456"/>
      <c r="C43" s="457"/>
      <c r="D43" s="458"/>
      <c r="E43" s="323"/>
      <c r="F43" s="323"/>
      <c r="G43" s="323"/>
      <c r="H43" s="323"/>
      <c r="I43" s="323"/>
      <c r="J43" s="323"/>
      <c r="K43" s="323"/>
      <c r="L43" s="323"/>
      <c r="M43" s="323"/>
    </row>
    <row r="44" spans="1:13" x14ac:dyDescent="0.25">
      <c r="A44" s="449" t="s">
        <v>39</v>
      </c>
      <c r="B44" s="456"/>
      <c r="C44" s="457"/>
      <c r="D44" s="458"/>
      <c r="E44" s="323"/>
      <c r="F44" s="323"/>
      <c r="G44" s="323"/>
      <c r="H44" s="323"/>
      <c r="I44" s="323"/>
      <c r="J44" s="323"/>
      <c r="K44" s="323"/>
      <c r="L44" s="323"/>
      <c r="M44" s="323"/>
    </row>
    <row r="45" spans="1:13" x14ac:dyDescent="0.25">
      <c r="A45" s="449" t="s">
        <v>40</v>
      </c>
      <c r="B45" s="456"/>
      <c r="C45" s="457"/>
      <c r="D45" s="458"/>
      <c r="E45" s="323"/>
      <c r="F45" s="323"/>
      <c r="G45" s="323"/>
      <c r="H45" s="323"/>
      <c r="I45" s="323"/>
      <c r="J45" s="323"/>
      <c r="K45" s="323"/>
      <c r="L45" s="323"/>
      <c r="M45" s="323"/>
    </row>
    <row r="46" spans="1:13" x14ac:dyDescent="0.25">
      <c r="A46" s="449" t="s">
        <v>26</v>
      </c>
      <c r="B46" s="456"/>
      <c r="C46" s="457"/>
      <c r="D46" s="458"/>
      <c r="E46" s="323"/>
      <c r="F46" s="323"/>
      <c r="G46" s="323"/>
      <c r="H46" s="323"/>
      <c r="I46" s="323"/>
      <c r="J46" s="323"/>
      <c r="K46" s="323"/>
      <c r="L46" s="323"/>
      <c r="M46" s="323"/>
    </row>
    <row r="47" spans="1:13" x14ac:dyDescent="0.25">
      <c r="A47" s="450" t="s">
        <v>42</v>
      </c>
      <c r="B47" s="456"/>
      <c r="C47" s="457"/>
      <c r="D47" s="458"/>
      <c r="E47" s="323"/>
      <c r="F47" s="323"/>
      <c r="G47" s="323"/>
      <c r="H47" s="323"/>
      <c r="I47" s="323"/>
      <c r="J47" s="323"/>
      <c r="K47" s="323"/>
      <c r="L47" s="323"/>
      <c r="M47" s="323"/>
    </row>
    <row r="48" spans="1:13" x14ac:dyDescent="0.25">
      <c r="A48" s="450" t="s">
        <v>47</v>
      </c>
      <c r="B48" s="456"/>
      <c r="C48" s="457"/>
      <c r="D48" s="458"/>
      <c r="E48" s="323"/>
      <c r="F48" s="323"/>
      <c r="G48" s="323"/>
      <c r="H48" s="323"/>
      <c r="I48" s="323"/>
      <c r="J48" s="323"/>
      <c r="K48" s="323"/>
      <c r="L48" s="323"/>
      <c r="M48" s="323"/>
    </row>
    <row r="49" spans="1:13" x14ac:dyDescent="0.25">
      <c r="A49" s="450" t="s">
        <v>44</v>
      </c>
      <c r="B49" s="456"/>
      <c r="C49" s="457"/>
      <c r="D49" s="458"/>
      <c r="E49" s="323"/>
      <c r="F49" s="323"/>
      <c r="G49" s="323"/>
      <c r="H49" s="323"/>
      <c r="I49" s="323"/>
      <c r="J49" s="323"/>
      <c r="K49" s="323"/>
      <c r="L49" s="323"/>
      <c r="M49" s="323"/>
    </row>
    <row r="50" spans="1:13" x14ac:dyDescent="0.25">
      <c r="A50" s="450" t="s">
        <v>45</v>
      </c>
      <c r="B50" s="456"/>
      <c r="C50" s="457"/>
      <c r="D50" s="458"/>
      <c r="E50" s="323"/>
      <c r="F50" s="323"/>
      <c r="G50" s="323"/>
      <c r="H50" s="323"/>
      <c r="I50" s="323"/>
      <c r="J50" s="323"/>
      <c r="K50" s="323"/>
      <c r="L50" s="323"/>
      <c r="M50" s="323"/>
    </row>
    <row r="51" spans="1:13" x14ac:dyDescent="0.25">
      <c r="A51" s="453" t="s">
        <v>50</v>
      </c>
      <c r="B51" s="454"/>
      <c r="C51" s="457"/>
      <c r="D51" s="458"/>
      <c r="E51" s="323"/>
      <c r="F51" s="323"/>
      <c r="G51" s="323"/>
      <c r="H51" s="323"/>
      <c r="I51" s="323"/>
      <c r="J51" s="323"/>
      <c r="K51" s="323"/>
      <c r="L51" s="323"/>
      <c r="M51" s="323"/>
    </row>
    <row r="52" spans="1:13" x14ac:dyDescent="0.25">
      <c r="A52" s="453" t="s">
        <v>53</v>
      </c>
      <c r="B52" s="456"/>
      <c r="C52" s="457"/>
      <c r="D52" s="458"/>
      <c r="E52" s="323"/>
      <c r="F52" s="323"/>
      <c r="G52" s="323"/>
      <c r="H52" s="323"/>
      <c r="I52" s="323"/>
      <c r="J52" s="323"/>
      <c r="K52" s="323"/>
      <c r="L52" s="323"/>
      <c r="M52" s="323"/>
    </row>
    <row r="53" spans="1:13" s="303" customFormat="1" ht="15.75" thickBot="1" x14ac:dyDescent="0.3">
      <c r="A53" s="451" t="s">
        <v>424</v>
      </c>
      <c r="B53" s="459"/>
      <c r="C53" s="460"/>
      <c r="D53" s="461"/>
      <c r="E53" s="323"/>
      <c r="F53" s="323"/>
      <c r="G53" s="323"/>
      <c r="H53" s="323"/>
      <c r="I53" s="323"/>
      <c r="J53" s="323"/>
      <c r="K53" s="323"/>
      <c r="L53" s="323"/>
      <c r="M53" s="323"/>
    </row>
    <row r="54" spans="1:13" x14ac:dyDescent="0.25">
      <c r="A54" s="1"/>
      <c r="E54" s="323"/>
      <c r="F54" s="323"/>
      <c r="G54" s="323"/>
      <c r="H54" s="323"/>
      <c r="I54" s="323"/>
      <c r="J54" s="323"/>
      <c r="K54" s="323"/>
      <c r="L54" s="323"/>
      <c r="M54" s="323"/>
    </row>
    <row r="55" spans="1:13" x14ac:dyDescent="0.25">
      <c r="A55" s="1"/>
      <c r="E55" s="323"/>
      <c r="F55" s="323"/>
      <c r="G55" s="323"/>
      <c r="H55" s="323"/>
      <c r="I55" s="323"/>
      <c r="J55" s="323"/>
      <c r="K55" s="323"/>
      <c r="L55" s="323"/>
      <c r="M55" s="323"/>
    </row>
    <row r="56" spans="1:13" x14ac:dyDescent="0.25">
      <c r="A56" s="1" t="s">
        <v>682</v>
      </c>
      <c r="E56" s="323"/>
      <c r="F56" s="323"/>
      <c r="G56" s="323"/>
      <c r="H56" s="323"/>
      <c r="I56" s="323"/>
      <c r="J56" s="323"/>
      <c r="K56" s="323"/>
      <c r="L56" s="323"/>
      <c r="M56" s="323"/>
    </row>
    <row r="57" spans="1:13" x14ac:dyDescent="0.25">
      <c r="A57" s="1"/>
      <c r="E57" s="323"/>
      <c r="F57" s="323"/>
      <c r="G57" s="323"/>
      <c r="H57" s="323"/>
      <c r="I57" s="323"/>
      <c r="J57" s="323"/>
      <c r="K57" s="323"/>
      <c r="L57" s="323"/>
      <c r="M57" s="323"/>
    </row>
    <row r="58" spans="1:13" x14ac:dyDescent="0.25">
      <c r="A58" s="1"/>
      <c r="E58" s="323"/>
      <c r="F58" s="323"/>
      <c r="G58" s="323"/>
      <c r="H58" s="323"/>
      <c r="I58" s="323"/>
      <c r="J58" s="323"/>
      <c r="K58" s="323"/>
      <c r="L58" s="323"/>
      <c r="M58" s="323"/>
    </row>
    <row r="59" spans="1:13" x14ac:dyDescent="0.25">
      <c r="A59" s="1"/>
      <c r="E59" s="323"/>
      <c r="F59" s="323"/>
      <c r="G59" s="323"/>
      <c r="H59" s="323"/>
      <c r="I59" s="323"/>
      <c r="J59" s="323"/>
      <c r="K59" s="323"/>
      <c r="L59" s="323"/>
      <c r="M59" s="323"/>
    </row>
    <row r="60" spans="1:13" x14ac:dyDescent="0.25">
      <c r="A60" s="1"/>
      <c r="E60" s="323"/>
      <c r="F60" s="323"/>
      <c r="G60" s="323"/>
      <c r="H60" s="323"/>
      <c r="I60" s="323"/>
      <c r="J60" s="323"/>
      <c r="K60" s="323"/>
      <c r="L60" s="323"/>
      <c r="M60" s="323"/>
    </row>
    <row r="61" spans="1:13" x14ac:dyDescent="0.25">
      <c r="A61" s="1"/>
      <c r="E61" s="323"/>
      <c r="F61" s="323"/>
      <c r="G61" s="323"/>
      <c r="H61" s="323"/>
      <c r="I61" s="323"/>
      <c r="J61" s="323"/>
      <c r="K61" s="323"/>
      <c r="L61" s="323"/>
      <c r="M61" s="323"/>
    </row>
    <row r="62" spans="1:13" x14ac:dyDescent="0.25">
      <c r="E62" s="323"/>
      <c r="F62" s="323"/>
      <c r="G62" s="323"/>
      <c r="H62" s="323"/>
      <c r="I62" s="323"/>
      <c r="J62" s="323"/>
      <c r="K62" s="323"/>
      <c r="L62" s="323"/>
      <c r="M62" s="323"/>
    </row>
    <row r="63" spans="1:13" x14ac:dyDescent="0.25">
      <c r="A63" s="1"/>
      <c r="E63" s="323"/>
      <c r="F63" s="323"/>
      <c r="G63" s="323"/>
      <c r="H63" s="323"/>
      <c r="I63" s="323"/>
      <c r="J63" s="323"/>
      <c r="K63" s="323"/>
      <c r="L63" s="323"/>
      <c r="M63" s="323"/>
    </row>
    <row r="64" spans="1:13" x14ac:dyDescent="0.25">
      <c r="E64" s="323"/>
      <c r="F64" s="323"/>
      <c r="G64" s="323"/>
      <c r="H64" s="323"/>
      <c r="I64" s="323"/>
      <c r="J64" s="323"/>
      <c r="K64" s="323"/>
      <c r="L64" s="323"/>
      <c r="M64" s="323"/>
    </row>
    <row r="65" spans="1:13" x14ac:dyDescent="0.25">
      <c r="E65" s="323"/>
      <c r="F65" s="323"/>
      <c r="G65" s="323"/>
      <c r="H65" s="323"/>
      <c r="I65" s="323"/>
      <c r="J65" s="323"/>
      <c r="K65" s="323"/>
      <c r="L65" s="323"/>
      <c r="M65" s="323"/>
    </row>
    <row r="66" spans="1:13" x14ac:dyDescent="0.25">
      <c r="E66" s="323"/>
      <c r="F66" s="323"/>
      <c r="G66" s="323"/>
      <c r="H66" s="323"/>
      <c r="I66" s="323"/>
      <c r="J66" s="323"/>
      <c r="K66" s="323"/>
      <c r="L66" s="323"/>
      <c r="M66" s="323"/>
    </row>
    <row r="67" spans="1:13" x14ac:dyDescent="0.25">
      <c r="E67" s="323"/>
      <c r="F67" s="323"/>
      <c r="G67" s="323"/>
      <c r="H67" s="323"/>
      <c r="I67" s="323"/>
      <c r="J67" s="323"/>
      <c r="K67" s="323"/>
      <c r="L67" s="323"/>
      <c r="M67" s="323"/>
    </row>
    <row r="68" spans="1:13" x14ac:dyDescent="0.25">
      <c r="E68" s="323"/>
      <c r="F68" s="323"/>
      <c r="G68" s="323"/>
      <c r="H68" s="323"/>
      <c r="I68" s="323"/>
      <c r="J68" s="323"/>
      <c r="K68" s="323"/>
      <c r="L68" s="323"/>
      <c r="M68" s="323"/>
    </row>
    <row r="69" spans="1:13" x14ac:dyDescent="0.25">
      <c r="E69" s="323"/>
      <c r="F69" s="323"/>
      <c r="G69" s="323"/>
      <c r="H69" s="323"/>
      <c r="I69" s="323"/>
      <c r="J69" s="323"/>
      <c r="K69" s="323"/>
      <c r="L69" s="323"/>
      <c r="M69" s="323"/>
    </row>
    <row r="70" spans="1:13" x14ac:dyDescent="0.25">
      <c r="E70" s="323"/>
      <c r="F70" s="323"/>
      <c r="G70" s="323"/>
      <c r="H70" s="323"/>
      <c r="I70" s="323"/>
      <c r="J70" s="323"/>
      <c r="K70" s="323"/>
      <c r="L70" s="323"/>
      <c r="M70" s="323"/>
    </row>
    <row r="71" spans="1:13" x14ac:dyDescent="0.25">
      <c r="E71" s="323"/>
      <c r="F71" s="323"/>
      <c r="G71" s="323"/>
      <c r="H71" s="323"/>
      <c r="I71" s="323"/>
      <c r="J71" s="323"/>
      <c r="K71" s="323"/>
      <c r="L71" s="323"/>
      <c r="M71" s="323"/>
    </row>
    <row r="72" spans="1:13" x14ac:dyDescent="0.25">
      <c r="E72" s="323"/>
      <c r="F72" s="323"/>
      <c r="G72" s="323"/>
      <c r="H72" s="323"/>
      <c r="I72" s="323"/>
      <c r="J72" s="323"/>
      <c r="K72" s="323"/>
      <c r="L72" s="323"/>
      <c r="M72" s="323"/>
    </row>
    <row r="73" spans="1:13" x14ac:dyDescent="0.25">
      <c r="E73" s="323"/>
      <c r="F73" s="323"/>
      <c r="G73" s="323"/>
      <c r="H73" s="323"/>
      <c r="I73" s="323"/>
      <c r="J73" s="323"/>
      <c r="K73" s="323"/>
      <c r="L73" s="323"/>
      <c r="M73" s="323"/>
    </row>
    <row r="74" spans="1:13" x14ac:dyDescent="0.25">
      <c r="E74" s="323"/>
      <c r="F74" s="323"/>
      <c r="G74" s="323"/>
      <c r="H74" s="323"/>
      <c r="I74" s="323"/>
      <c r="J74" s="323"/>
      <c r="K74" s="323"/>
      <c r="L74" s="323"/>
      <c r="M74" s="323"/>
    </row>
    <row r="75" spans="1:13" x14ac:dyDescent="0.25">
      <c r="E75" s="323"/>
      <c r="F75" s="323"/>
      <c r="G75" s="323"/>
      <c r="H75" s="323"/>
      <c r="I75" s="323"/>
      <c r="J75" s="323"/>
      <c r="K75" s="323"/>
      <c r="L75" s="323"/>
      <c r="M75" s="323"/>
    </row>
    <row r="76" spans="1:13" x14ac:dyDescent="0.25">
      <c r="E76" s="323"/>
      <c r="F76" s="323"/>
      <c r="G76" s="323"/>
      <c r="H76" s="323"/>
      <c r="I76" s="323"/>
      <c r="J76" s="323"/>
      <c r="K76" s="323"/>
      <c r="L76" s="323"/>
      <c r="M76" s="323"/>
    </row>
    <row r="77" spans="1:13" x14ac:dyDescent="0.25">
      <c r="A77" s="323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</row>
    <row r="78" spans="1:13" x14ac:dyDescent="0.25">
      <c r="E78" s="323"/>
      <c r="F78" s="323"/>
      <c r="G78" s="323"/>
      <c r="H78" s="323"/>
      <c r="I78" s="323"/>
      <c r="J78" s="323"/>
      <c r="K78" s="323"/>
      <c r="L78" s="323"/>
      <c r="M78" s="323"/>
    </row>
    <row r="79" spans="1:13" x14ac:dyDescent="0.25">
      <c r="E79" s="323"/>
      <c r="F79" s="323"/>
      <c r="G79" s="323"/>
      <c r="H79" s="323"/>
      <c r="I79" s="323"/>
      <c r="J79" s="323"/>
      <c r="K79" s="323"/>
      <c r="L79" s="323"/>
      <c r="M79" s="323"/>
    </row>
    <row r="80" spans="1:13" x14ac:dyDescent="0.25">
      <c r="E80" s="323"/>
      <c r="F80" s="323"/>
      <c r="G80" s="323"/>
      <c r="H80" s="323"/>
      <c r="I80" s="323"/>
      <c r="J80" s="323"/>
      <c r="K80" s="323"/>
      <c r="L80" s="323"/>
      <c r="M80" s="323"/>
    </row>
    <row r="81" spans="5:13" x14ac:dyDescent="0.25">
      <c r="E81" s="323"/>
      <c r="F81" s="323"/>
      <c r="G81" s="323"/>
      <c r="H81" s="323"/>
      <c r="I81" s="323"/>
      <c r="J81" s="323"/>
      <c r="K81" s="323"/>
      <c r="L81" s="323"/>
      <c r="M81" s="323"/>
    </row>
    <row r="82" spans="5:13" x14ac:dyDescent="0.25">
      <c r="E82" s="323"/>
      <c r="F82" s="323"/>
      <c r="G82" s="323"/>
      <c r="H82" s="323"/>
      <c r="I82" s="323"/>
      <c r="J82" s="323"/>
      <c r="K82" s="323"/>
      <c r="L82" s="323"/>
      <c r="M82" s="323"/>
    </row>
    <row r="83" spans="5:13" x14ac:dyDescent="0.25">
      <c r="E83" s="323"/>
      <c r="F83" s="323"/>
      <c r="G83" s="323"/>
      <c r="H83" s="323"/>
      <c r="I83" s="323"/>
      <c r="J83" s="323"/>
      <c r="K83" s="323"/>
      <c r="L83" s="323"/>
      <c r="M83" s="323"/>
    </row>
    <row r="84" spans="5:13" x14ac:dyDescent="0.25">
      <c r="E84" s="323"/>
      <c r="F84" s="323"/>
      <c r="G84" s="323"/>
      <c r="H84" s="323"/>
      <c r="I84" s="323"/>
      <c r="J84" s="323"/>
      <c r="K84" s="323"/>
      <c r="L84" s="323"/>
      <c r="M84" s="323"/>
    </row>
    <row r="85" spans="5:13" x14ac:dyDescent="0.25">
      <c r="E85" s="323"/>
      <c r="F85" s="323"/>
      <c r="G85" s="323"/>
      <c r="H85" s="323"/>
      <c r="I85" s="323"/>
      <c r="J85" s="323"/>
      <c r="K85" s="323"/>
      <c r="L85" s="323"/>
      <c r="M85" s="323"/>
    </row>
    <row r="86" spans="5:13" x14ac:dyDescent="0.25">
      <c r="E86" s="323"/>
      <c r="F86" s="323"/>
      <c r="G86" s="323"/>
      <c r="H86" s="323"/>
      <c r="I86" s="323"/>
      <c r="J86" s="323"/>
      <c r="K86" s="323"/>
      <c r="L86" s="323"/>
      <c r="M86" s="323"/>
    </row>
    <row r="87" spans="5:13" x14ac:dyDescent="0.25">
      <c r="E87" s="323"/>
      <c r="F87" s="323"/>
      <c r="G87" s="323"/>
      <c r="H87" s="323"/>
      <c r="I87" s="323"/>
      <c r="J87" s="323"/>
      <c r="K87" s="323"/>
      <c r="L87" s="323"/>
      <c r="M87" s="323"/>
    </row>
    <row r="88" spans="5:13" x14ac:dyDescent="0.25">
      <c r="E88" s="323"/>
      <c r="F88" s="323"/>
      <c r="G88" s="323"/>
      <c r="H88" s="323"/>
      <c r="I88" s="323"/>
      <c r="J88" s="323"/>
      <c r="K88" s="323"/>
      <c r="L88" s="323"/>
      <c r="M88" s="323"/>
    </row>
  </sheetData>
  <mergeCells count="3">
    <mergeCell ref="A1:B1"/>
    <mergeCell ref="C5:H5"/>
    <mergeCell ref="C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AjustarCenarios">
                <anchor moveWithCells="1" sizeWithCells="1">
                  <from>
                    <xdr:col>3</xdr:col>
                    <xdr:colOff>742950</xdr:colOff>
                    <xdr:row>9</xdr:row>
                    <xdr:rowOff>66675</xdr:rowOff>
                  </from>
                  <to>
                    <xdr:col>5</xdr:col>
                    <xdr:colOff>171450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ColetaSomentePrevs">
                <anchor moveWithCells="1" sizeWithCells="1">
                  <from>
                    <xdr:col>3</xdr:col>
                    <xdr:colOff>742950</xdr:colOff>
                    <xdr:row>5</xdr:row>
                    <xdr:rowOff>228600</xdr:rowOff>
                  </from>
                  <to>
                    <xdr:col>4</xdr:col>
                    <xdr:colOff>514350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Auxiliar!$B$11:$B$16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A1:AK81"/>
  <sheetViews>
    <sheetView workbookViewId="0">
      <selection activeCell="K30" sqref="K30"/>
    </sheetView>
  </sheetViews>
  <sheetFormatPr defaultRowHeight="15" x14ac:dyDescent="0.25"/>
  <cols>
    <col min="1" max="1" width="3.140625" style="1" customWidth="1"/>
    <col min="2" max="7" width="20.42578125" style="1" customWidth="1"/>
    <col min="8" max="8" width="1.5703125" style="1" customWidth="1"/>
    <col min="9" max="9" width="16.85546875" style="1" customWidth="1"/>
    <col min="10" max="10" width="16.5703125" style="1" customWidth="1"/>
    <col min="11" max="16" width="20.42578125" style="303" customWidth="1"/>
    <col min="17" max="17" width="2.28515625" style="303" customWidth="1"/>
    <col min="18" max="18" width="16.85546875" style="303" customWidth="1"/>
    <col min="19" max="19" width="12" style="1" customWidth="1"/>
    <col min="20" max="25" width="20.42578125" style="303" customWidth="1"/>
    <col min="26" max="26" width="2.28515625" style="303" customWidth="1"/>
    <col min="27" max="27" width="16.85546875" style="303" customWidth="1"/>
    <col min="28" max="28" width="12" style="303" customWidth="1"/>
    <col min="29" max="34" width="20.42578125" style="303" customWidth="1"/>
    <col min="35" max="35" width="2.28515625" style="303" customWidth="1"/>
    <col min="36" max="36" width="16.85546875" style="303" customWidth="1"/>
    <col min="37" max="37" width="12" style="303" customWidth="1"/>
    <col min="38" max="16384" width="9.140625" style="1"/>
  </cols>
  <sheetData>
    <row r="1" spans="1:37" x14ac:dyDescent="0.25">
      <c r="A1" s="243"/>
      <c r="B1" s="115">
        <f ca="1">DATE(Entrada!E4,Entrada!C4,1)</f>
        <v>42125</v>
      </c>
      <c r="C1" s="244"/>
      <c r="D1" s="243"/>
      <c r="E1" s="243"/>
      <c r="F1" s="243"/>
      <c r="G1" s="243"/>
      <c r="H1" s="244"/>
      <c r="I1" s="243"/>
      <c r="J1" s="243"/>
      <c r="K1" s="364"/>
      <c r="L1" s="364"/>
      <c r="M1" s="364"/>
      <c r="N1" s="364"/>
      <c r="O1" s="364"/>
      <c r="P1" s="364"/>
      <c r="Q1" s="364"/>
      <c r="R1" s="364"/>
      <c r="T1" s="364"/>
      <c r="U1" s="364"/>
      <c r="V1" s="364"/>
      <c r="W1" s="364"/>
      <c r="X1" s="364"/>
      <c r="Y1" s="364"/>
      <c r="Z1" s="364"/>
      <c r="AA1" s="364"/>
      <c r="AC1" s="364"/>
      <c r="AD1" s="364"/>
      <c r="AE1" s="364"/>
      <c r="AF1" s="364"/>
      <c r="AG1" s="364"/>
      <c r="AH1" s="364"/>
      <c r="AI1" s="364"/>
      <c r="AJ1" s="364"/>
    </row>
    <row r="2" spans="1:37" ht="26.25" x14ac:dyDescent="0.4">
      <c r="B2" s="502" t="s">
        <v>68</v>
      </c>
      <c r="C2" s="502"/>
      <c r="D2" s="502"/>
      <c r="E2" s="502"/>
      <c r="F2" s="502"/>
      <c r="G2" s="502"/>
      <c r="I2" s="114"/>
    </row>
    <row r="3" spans="1:37" x14ac:dyDescent="0.25">
      <c r="B3" s="54" t="s">
        <v>69</v>
      </c>
      <c r="C3" s="54" t="s">
        <v>70</v>
      </c>
      <c r="D3" s="54" t="s">
        <v>71</v>
      </c>
      <c r="E3" s="54" t="s">
        <v>72</v>
      </c>
      <c r="F3" s="54" t="s">
        <v>73</v>
      </c>
      <c r="G3" s="54" t="s">
        <v>74</v>
      </c>
      <c r="I3" s="54"/>
    </row>
    <row r="4" spans="1:37" x14ac:dyDescent="0.25">
      <c r="B4" s="230">
        <f ca="1">B1-(WEEKDAY(B1,16)-1)</f>
        <v>42119</v>
      </c>
      <c r="C4" s="231">
        <f ca="1">B4+7</f>
        <v>42126</v>
      </c>
      <c r="D4" s="231">
        <f ca="1">C4+7</f>
        <v>42133</v>
      </c>
      <c r="E4" s="231">
        <f ca="1">D4+7</f>
        <v>42140</v>
      </c>
      <c r="F4" s="231">
        <f ca="1">E4+7</f>
        <v>42147</v>
      </c>
      <c r="G4" s="232">
        <f ca="1">F4+7</f>
        <v>42154</v>
      </c>
      <c r="K4" s="404">
        <f t="shared" ref="K4:P7" ca="1" si="0">B4</f>
        <v>42119</v>
      </c>
      <c r="L4" s="405">
        <f t="shared" ca="1" si="0"/>
        <v>42126</v>
      </c>
      <c r="M4" s="405">
        <f t="shared" ca="1" si="0"/>
        <v>42133</v>
      </c>
      <c r="N4" s="405">
        <f t="shared" ca="1" si="0"/>
        <v>42140</v>
      </c>
      <c r="O4" s="405">
        <f t="shared" ca="1" si="0"/>
        <v>42147</v>
      </c>
      <c r="P4" s="406">
        <f t="shared" ca="1" si="0"/>
        <v>42154</v>
      </c>
      <c r="T4" s="404">
        <f t="shared" ref="T4:Y7" ca="1" si="1">B4</f>
        <v>42119</v>
      </c>
      <c r="U4" s="405">
        <f t="shared" ca="1" si="1"/>
        <v>42126</v>
      </c>
      <c r="V4" s="405">
        <f t="shared" ca="1" si="1"/>
        <v>42133</v>
      </c>
      <c r="W4" s="405">
        <f t="shared" ca="1" si="1"/>
        <v>42140</v>
      </c>
      <c r="X4" s="405">
        <f t="shared" ca="1" si="1"/>
        <v>42147</v>
      </c>
      <c r="Y4" s="406">
        <f t="shared" ca="1" si="1"/>
        <v>42154</v>
      </c>
      <c r="AC4" s="404">
        <f t="shared" ref="AC4:AH7" ca="1" si="2">B4</f>
        <v>42119</v>
      </c>
      <c r="AD4" s="405">
        <f t="shared" ca="1" si="2"/>
        <v>42126</v>
      </c>
      <c r="AE4" s="405">
        <f t="shared" ca="1" si="2"/>
        <v>42133</v>
      </c>
      <c r="AF4" s="405">
        <f t="shared" ca="1" si="2"/>
        <v>42140</v>
      </c>
      <c r="AG4" s="405">
        <f t="shared" ca="1" si="2"/>
        <v>42147</v>
      </c>
      <c r="AH4" s="406">
        <f t="shared" ca="1" si="2"/>
        <v>42154</v>
      </c>
    </row>
    <row r="5" spans="1:37" x14ac:dyDescent="0.25">
      <c r="B5" s="233" t="s">
        <v>6</v>
      </c>
      <c r="C5" s="55" t="s">
        <v>6</v>
      </c>
      <c r="D5" s="55" t="s">
        <v>6</v>
      </c>
      <c r="E5" s="55" t="s">
        <v>6</v>
      </c>
      <c r="F5" s="55" t="s">
        <v>6</v>
      </c>
      <c r="G5" s="234" t="s">
        <v>6</v>
      </c>
      <c r="K5" s="407" t="str">
        <f t="shared" si="0"/>
        <v>a</v>
      </c>
      <c r="L5" s="408" t="str">
        <f t="shared" si="0"/>
        <v>a</v>
      </c>
      <c r="M5" s="408" t="str">
        <f t="shared" si="0"/>
        <v>a</v>
      </c>
      <c r="N5" s="408" t="str">
        <f t="shared" si="0"/>
        <v>a</v>
      </c>
      <c r="O5" s="408" t="str">
        <f t="shared" si="0"/>
        <v>a</v>
      </c>
      <c r="P5" s="409" t="str">
        <f t="shared" si="0"/>
        <v>a</v>
      </c>
      <c r="T5" s="407" t="str">
        <f t="shared" si="1"/>
        <v>a</v>
      </c>
      <c r="U5" s="408" t="str">
        <f t="shared" si="1"/>
        <v>a</v>
      </c>
      <c r="V5" s="408" t="str">
        <f t="shared" si="1"/>
        <v>a</v>
      </c>
      <c r="W5" s="408" t="str">
        <f t="shared" si="1"/>
        <v>a</v>
      </c>
      <c r="X5" s="408" t="str">
        <f t="shared" si="1"/>
        <v>a</v>
      </c>
      <c r="Y5" s="409" t="str">
        <f t="shared" si="1"/>
        <v>a</v>
      </c>
      <c r="AC5" s="407" t="str">
        <f t="shared" si="2"/>
        <v>a</v>
      </c>
      <c r="AD5" s="408" t="str">
        <f t="shared" si="2"/>
        <v>a</v>
      </c>
      <c r="AE5" s="408" t="str">
        <f t="shared" si="2"/>
        <v>a</v>
      </c>
      <c r="AF5" s="408" t="str">
        <f t="shared" si="2"/>
        <v>a</v>
      </c>
      <c r="AG5" s="408" t="str">
        <f t="shared" si="2"/>
        <v>a</v>
      </c>
      <c r="AH5" s="409" t="str">
        <f t="shared" si="2"/>
        <v>a</v>
      </c>
    </row>
    <row r="6" spans="1:37" x14ac:dyDescent="0.25">
      <c r="B6" s="233">
        <f t="shared" ref="B6:G6" ca="1" si="3">B4+6</f>
        <v>42125</v>
      </c>
      <c r="C6" s="55">
        <f t="shared" ca="1" si="3"/>
        <v>42132</v>
      </c>
      <c r="D6" s="55">
        <f t="shared" ca="1" si="3"/>
        <v>42139</v>
      </c>
      <c r="E6" s="55">
        <f t="shared" ca="1" si="3"/>
        <v>42146</v>
      </c>
      <c r="F6" s="55">
        <f t="shared" ca="1" si="3"/>
        <v>42153</v>
      </c>
      <c r="G6" s="234">
        <f t="shared" ca="1" si="3"/>
        <v>42160</v>
      </c>
      <c r="K6" s="407">
        <f t="shared" ca="1" si="0"/>
        <v>42125</v>
      </c>
      <c r="L6" s="408">
        <f t="shared" ca="1" si="0"/>
        <v>42132</v>
      </c>
      <c r="M6" s="408">
        <f t="shared" ca="1" si="0"/>
        <v>42139</v>
      </c>
      <c r="N6" s="408">
        <f t="shared" ca="1" si="0"/>
        <v>42146</v>
      </c>
      <c r="O6" s="408">
        <f t="shared" ca="1" si="0"/>
        <v>42153</v>
      </c>
      <c r="P6" s="409">
        <f t="shared" ca="1" si="0"/>
        <v>42160</v>
      </c>
      <c r="T6" s="407">
        <f t="shared" ca="1" si="1"/>
        <v>42125</v>
      </c>
      <c r="U6" s="408">
        <f t="shared" ca="1" si="1"/>
        <v>42132</v>
      </c>
      <c r="V6" s="408">
        <f t="shared" ca="1" si="1"/>
        <v>42139</v>
      </c>
      <c r="W6" s="408">
        <f t="shared" ca="1" si="1"/>
        <v>42146</v>
      </c>
      <c r="X6" s="408">
        <f t="shared" ca="1" si="1"/>
        <v>42153</v>
      </c>
      <c r="Y6" s="409">
        <f t="shared" ca="1" si="1"/>
        <v>42160</v>
      </c>
      <c r="AC6" s="407">
        <f t="shared" ca="1" si="2"/>
        <v>42125</v>
      </c>
      <c r="AD6" s="408">
        <f t="shared" ca="1" si="2"/>
        <v>42132</v>
      </c>
      <c r="AE6" s="408">
        <f t="shared" ca="1" si="2"/>
        <v>42139</v>
      </c>
      <c r="AF6" s="408">
        <f t="shared" ca="1" si="2"/>
        <v>42146</v>
      </c>
      <c r="AG6" s="408">
        <f t="shared" ca="1" si="2"/>
        <v>42153</v>
      </c>
      <c r="AH6" s="409">
        <f t="shared" ca="1" si="2"/>
        <v>42160</v>
      </c>
    </row>
    <row r="7" spans="1:37" ht="21.75" customHeight="1" x14ac:dyDescent="0.25">
      <c r="B7" s="235">
        <f ca="1">DAY(B6)</f>
        <v>1</v>
      </c>
      <c r="C7" s="229">
        <f ca="1">C6-B6</f>
        <v>7</v>
      </c>
      <c r="D7" s="229">
        <f ca="1">D6-C6</f>
        <v>7</v>
      </c>
      <c r="E7" s="229">
        <f ca="1">E6-D6</f>
        <v>7</v>
      </c>
      <c r="F7" s="229">
        <f ca="1">IF(MONTH(F4)=MONTH(F6),F6-E6,IF(MONTH(E6)=MONTH(F4),7-DAY(F6),F6-F4+1))</f>
        <v>7</v>
      </c>
      <c r="G7" s="236">
        <f ca="1">IF(MONTH(F4)=MONTH(G4),G4-F6,IF(G4&lt;&gt;F4,0,""))</f>
        <v>1</v>
      </c>
      <c r="I7" s="191" t="s">
        <v>390</v>
      </c>
      <c r="K7" s="410">
        <f t="shared" ca="1" si="0"/>
        <v>1</v>
      </c>
      <c r="L7" s="411">
        <f t="shared" ca="1" si="0"/>
        <v>7</v>
      </c>
      <c r="M7" s="411">
        <f t="shared" ca="1" si="0"/>
        <v>7</v>
      </c>
      <c r="N7" s="411">
        <f t="shared" ca="1" si="0"/>
        <v>7</v>
      </c>
      <c r="O7" s="411">
        <f t="shared" ca="1" si="0"/>
        <v>7</v>
      </c>
      <c r="P7" s="412">
        <f t="shared" ca="1" si="0"/>
        <v>1</v>
      </c>
      <c r="R7" s="340" t="s">
        <v>390</v>
      </c>
      <c r="T7" s="410">
        <f t="shared" ca="1" si="1"/>
        <v>1</v>
      </c>
      <c r="U7" s="411">
        <f t="shared" ca="1" si="1"/>
        <v>7</v>
      </c>
      <c r="V7" s="411">
        <f t="shared" ca="1" si="1"/>
        <v>7</v>
      </c>
      <c r="W7" s="411">
        <f t="shared" ca="1" si="1"/>
        <v>7</v>
      </c>
      <c r="X7" s="411">
        <f t="shared" ca="1" si="1"/>
        <v>7</v>
      </c>
      <c r="Y7" s="412">
        <f t="shared" ca="1" si="1"/>
        <v>1</v>
      </c>
      <c r="AA7" s="340" t="s">
        <v>390</v>
      </c>
      <c r="AC7" s="410">
        <f t="shared" ca="1" si="2"/>
        <v>1</v>
      </c>
      <c r="AD7" s="411">
        <f t="shared" ca="1" si="2"/>
        <v>7</v>
      </c>
      <c r="AE7" s="411">
        <f t="shared" ca="1" si="2"/>
        <v>7</v>
      </c>
      <c r="AF7" s="411">
        <f t="shared" ca="1" si="2"/>
        <v>7</v>
      </c>
      <c r="AG7" s="411">
        <f t="shared" ca="1" si="2"/>
        <v>7</v>
      </c>
      <c r="AH7" s="412">
        <f t="shared" ca="1" si="2"/>
        <v>1</v>
      </c>
      <c r="AJ7" s="340" t="s">
        <v>390</v>
      </c>
    </row>
    <row r="8" spans="1:37" s="123" customFormat="1" ht="20.25" customHeight="1" x14ac:dyDescent="0.25">
      <c r="B8" s="291">
        <f>MemSudeste!D167</f>
        <v>21042.374576315786</v>
      </c>
      <c r="C8" s="180">
        <f>MemSudeste!E167</f>
        <v>20277.91653052632</v>
      </c>
      <c r="D8" s="180">
        <f>MemSudeste!F167</f>
        <v>19869.549884736833</v>
      </c>
      <c r="E8" s="180">
        <f>MemSudeste!G167</f>
        <v>19789.439787368421</v>
      </c>
      <c r="F8" s="180">
        <f>MemSudeste!H167</f>
        <v>18369.295526842106</v>
      </c>
      <c r="G8" s="237">
        <f>MemSudeste!I167</f>
        <v>17500.043726842108</v>
      </c>
      <c r="H8" s="1">
        <v>2</v>
      </c>
      <c r="I8" s="245">
        <f ca="1">J8/Entrada!$C8</f>
        <v>0.64762950936400709</v>
      </c>
      <c r="J8" s="423">
        <f ca="1">SUMPRODUCT(B8:G8,B$7:G$7)/SUM(B$7:G$7)</f>
        <v>19556.194346982458</v>
      </c>
      <c r="K8" s="359">
        <f>MemSudeste!M167</f>
        <v>32474.359700000001</v>
      </c>
      <c r="L8" s="336">
        <f>MemSudeste!N167</f>
        <v>31300.367899999994</v>
      </c>
      <c r="M8" s="336">
        <f>MemSudeste!O167</f>
        <v>30694.763500000001</v>
      </c>
      <c r="N8" s="336">
        <f>MemSudeste!P167</f>
        <v>30585.28045210526</v>
      </c>
      <c r="O8" s="336">
        <f>MemSudeste!Q167</f>
        <v>28333.237200000003</v>
      </c>
      <c r="P8" s="358">
        <f>MemSudeste!R167</f>
        <v>27043.510500000004</v>
      </c>
      <c r="Q8" s="303"/>
      <c r="R8" s="365">
        <f ca="1">S8/Entrada!$C8</f>
        <v>1.0000177763688654</v>
      </c>
      <c r="S8" s="423">
        <f ca="1">SUMPRODUCT(K8:P8,K$7:P$7)/SUM(K$7:P$7)</f>
        <v>30197.113785491223</v>
      </c>
      <c r="T8" s="359">
        <f>MemSudeste!V167</f>
        <v>27606.694344736839</v>
      </c>
      <c r="U8" s="336">
        <f>MemSudeste!W167</f>
        <v>26601.508398947361</v>
      </c>
      <c r="V8" s="336">
        <f>MemSudeste!X167</f>
        <v>26090.706353157893</v>
      </c>
      <c r="W8" s="336">
        <f>MemSudeste!Y167</f>
        <v>25985.336959473683</v>
      </c>
      <c r="X8" s="336">
        <f>MemSudeste!Z167</f>
        <v>24095.543812105265</v>
      </c>
      <c r="Y8" s="358">
        <f>MemSudeste!AA167</f>
        <v>22991.415912105265</v>
      </c>
      <c r="Z8" s="303"/>
      <c r="AA8" s="365">
        <f ca="1">AB8/Entrada!$C8</f>
        <v>0.84999676058496254</v>
      </c>
      <c r="AB8" s="423">
        <f ca="1">SUMPRODUCT(T8:Y8,T$7:Y$7)/SUM(T$7:Y$7)</f>
        <v>25666.992630754383</v>
      </c>
      <c r="AC8" s="359">
        <f>MemSudeste!AE167</f>
        <v>21042.374576315786</v>
      </c>
      <c r="AD8" s="336">
        <f>MemSudeste!AF167</f>
        <v>20277.91653052632</v>
      </c>
      <c r="AE8" s="336">
        <f>MemSudeste!AG167</f>
        <v>19869.549884736833</v>
      </c>
      <c r="AF8" s="336">
        <f>MemSudeste!AH167</f>
        <v>19789.439787368421</v>
      </c>
      <c r="AG8" s="336">
        <f>MemSudeste!AI167</f>
        <v>18369.295526842106</v>
      </c>
      <c r="AH8" s="358">
        <f>MemSudeste!AJ167</f>
        <v>17500.043726842108</v>
      </c>
      <c r="AI8" s="303"/>
      <c r="AJ8" s="365">
        <f ca="1">AK8/Entrada!$C8</f>
        <v>0.64762950936400709</v>
      </c>
      <c r="AK8" s="423">
        <f ca="1">SUMPRODUCT(AC8:AH8,AC$7:AH$7)/SUM(AC$7:AH$7)</f>
        <v>19556.194346982458</v>
      </c>
    </row>
    <row r="9" spans="1:37" s="123" customFormat="1" ht="20.25" customHeight="1" x14ac:dyDescent="0.25">
      <c r="B9" s="238">
        <f>MemSul!D60</f>
        <v>11911.218500000001</v>
      </c>
      <c r="C9" s="121">
        <f>MemSul!E60</f>
        <v>15950.820800000001</v>
      </c>
      <c r="D9" s="121">
        <f>MemSul!F60</f>
        <v>11479.436800000001</v>
      </c>
      <c r="E9" s="121">
        <f>MemSul!G60</f>
        <v>10078.8411</v>
      </c>
      <c r="F9" s="121">
        <f>MemSul!H60</f>
        <v>5664.7309999999998</v>
      </c>
      <c r="G9" s="239">
        <f>MemSul!I60</f>
        <v>6045.7946999999986</v>
      </c>
      <c r="H9" s="1">
        <v>3</v>
      </c>
      <c r="I9" s="365">
        <f ca="1">J9/Entrada!$C9</f>
        <v>1.2465661287671672</v>
      </c>
      <c r="J9" s="423">
        <f ca="1">SUMPRODUCT(B9:G9,B$7:G$7)/SUM(B$7:G$7)</f>
        <v>10672.460703333332</v>
      </c>
      <c r="K9" s="359">
        <f>MemSul!M60</f>
        <v>9549.9722000000002</v>
      </c>
      <c r="L9" s="322">
        <f>MemSul!N60</f>
        <v>12818.771300000002</v>
      </c>
      <c r="M9" s="322">
        <f>MemSul!O60</f>
        <v>9196.6957999999995</v>
      </c>
      <c r="N9" s="322">
        <f>MemSul!P60</f>
        <v>8076.6556999999993</v>
      </c>
      <c r="O9" s="322">
        <f>MemSul!Q60</f>
        <v>4540.0735000000004</v>
      </c>
      <c r="P9" s="360">
        <f>MemSul!R60</f>
        <v>4842.7214000000004</v>
      </c>
      <c r="Q9" s="303"/>
      <c r="R9" s="365">
        <f ca="1">S9/Entrada!$C9</f>
        <v>0.99989656665359827</v>
      </c>
      <c r="S9" s="423">
        <f ca="1">SUMPRODUCT(K9:P9,K$7:P$7)/SUM(K$7:P$7)</f>
        <v>8560.6022566666688</v>
      </c>
      <c r="T9" s="359">
        <f>MemSul!V60</f>
        <v>9549.9722000000002</v>
      </c>
      <c r="U9" s="322">
        <f>MemSul!W60</f>
        <v>12818.771300000002</v>
      </c>
      <c r="V9" s="322">
        <f>MemSul!X60</f>
        <v>9196.6957999999995</v>
      </c>
      <c r="W9" s="322">
        <f>MemSul!Y60</f>
        <v>8076.6556999999993</v>
      </c>
      <c r="X9" s="322">
        <f>MemSul!Z60</f>
        <v>4540.0735000000004</v>
      </c>
      <c r="Y9" s="360">
        <f>MemSul!AA60</f>
        <v>4842.7214000000004</v>
      </c>
      <c r="Z9" s="303"/>
      <c r="AA9" s="365">
        <f ca="1">AB9/Entrada!$C9</f>
        <v>0.99989656665359827</v>
      </c>
      <c r="AB9" s="423">
        <f ca="1">SUMPRODUCT(T9:Y9,T$7:Y$7)/SUM(T$7:Y$7)</f>
        <v>8560.6022566666688</v>
      </c>
      <c r="AC9" s="359">
        <f>MemSul!AE60</f>
        <v>11911.218500000001</v>
      </c>
      <c r="AD9" s="322">
        <f>MemSul!AF60</f>
        <v>15950.820800000001</v>
      </c>
      <c r="AE9" s="322">
        <f>MemSul!AG60</f>
        <v>11479.436800000001</v>
      </c>
      <c r="AF9" s="322">
        <f>MemSul!AH60</f>
        <v>10078.8411</v>
      </c>
      <c r="AG9" s="322">
        <f>MemSul!AI60</f>
        <v>5664.7309999999998</v>
      </c>
      <c r="AH9" s="360">
        <f>MemSul!AJ60</f>
        <v>6045.7946999999986</v>
      </c>
      <c r="AI9" s="303"/>
      <c r="AJ9" s="365">
        <f ca="1">AK9/Entrada!$C9</f>
        <v>1.2465661287671672</v>
      </c>
      <c r="AK9" s="423">
        <f ca="1">SUMPRODUCT(AC9:AH9,AC$7:AH$7)/SUM(AC$7:AH$7)</f>
        <v>10672.460703333332</v>
      </c>
    </row>
    <row r="10" spans="1:37" s="123" customFormat="1" ht="20.25" customHeight="1" x14ac:dyDescent="0.25">
      <c r="B10" s="238">
        <f>MemNordeste!D30</f>
        <v>2067.5142000000001</v>
      </c>
      <c r="C10" s="121">
        <f>MemNordeste!E30</f>
        <v>2221.6210999999998</v>
      </c>
      <c r="D10" s="121">
        <f>MemNordeste!F30</f>
        <v>2224.0974000000001</v>
      </c>
      <c r="E10" s="121">
        <f>MemNordeste!G30</f>
        <v>2209.9340999999999</v>
      </c>
      <c r="F10" s="121">
        <f>MemNordeste!H30</f>
        <v>2137.6089000000002</v>
      </c>
      <c r="G10" s="239">
        <f>MemNordeste!I30</f>
        <v>2136.5454</v>
      </c>
      <c r="H10" s="1">
        <v>4</v>
      </c>
      <c r="I10" s="365">
        <f ca="1">J10/Entrada!$C10</f>
        <v>0.29970620247345697</v>
      </c>
      <c r="J10" s="423">
        <f ca="1">SUMPRODUCT(B10:G10,B$7:G$7)/SUM(B$7:G$7)</f>
        <v>2191.8963366666667</v>
      </c>
      <c r="K10" s="359">
        <f>MemNordeste!M30</f>
        <v>3787.0158999999999</v>
      </c>
      <c r="L10" s="322">
        <f>MemNordeste!N30</f>
        <v>4075.6795000000002</v>
      </c>
      <c r="M10" s="322">
        <f>MemNordeste!O30</f>
        <v>4083.8735000000006</v>
      </c>
      <c r="N10" s="322">
        <f>MemNordeste!P30</f>
        <v>4056.6315</v>
      </c>
      <c r="O10" s="322">
        <f>MemNordeste!Q30</f>
        <v>3923.1605</v>
      </c>
      <c r="P10" s="360">
        <f>MemNordeste!R30</f>
        <v>3919.3245000000006</v>
      </c>
      <c r="Q10" s="303"/>
      <c r="R10" s="365">
        <f ca="1">S10/Entrada!$C10</f>
        <v>0.55004229311575381</v>
      </c>
      <c r="S10" s="423">
        <f ca="1">SUMPRODUCT(K10:P10,K$7:P$7)/SUM(K$7:P$7)</f>
        <v>4022.7251800000004</v>
      </c>
      <c r="T10" s="359">
        <f>MemNordeste!V30</f>
        <v>3782.7022999999999</v>
      </c>
      <c r="U10" s="322">
        <f>MemNordeste!W30</f>
        <v>4074.5263999999997</v>
      </c>
      <c r="V10" s="322">
        <f>MemNordeste!X30</f>
        <v>4085.7664999999997</v>
      </c>
      <c r="W10" s="322">
        <f>MemNordeste!Y30</f>
        <v>4056.1027999999997</v>
      </c>
      <c r="X10" s="322">
        <f>MemNordeste!Z30</f>
        <v>3922.2598999999996</v>
      </c>
      <c r="Y10" s="360">
        <f>MemNordeste!AA30</f>
        <v>3918.4238999999998</v>
      </c>
      <c r="Z10" s="303"/>
      <c r="AA10" s="365">
        <f ca="1">AB10/Entrada!$C10</f>
        <v>0.54999653288791661</v>
      </c>
      <c r="AB10" s="423">
        <f ca="1">SUMPRODUCT(T10:Y10,T$7:Y$7)/SUM(T$7:Y$7)</f>
        <v>4022.3905133333328</v>
      </c>
      <c r="AC10" s="359">
        <f>MemNordeste!AE30</f>
        <v>2067.5142000000001</v>
      </c>
      <c r="AD10" s="322">
        <f>MemNordeste!AF30</f>
        <v>2221.6210999999998</v>
      </c>
      <c r="AE10" s="322">
        <f>MemNordeste!AG30</f>
        <v>2224.0974000000001</v>
      </c>
      <c r="AF10" s="322">
        <f>MemNordeste!AH30</f>
        <v>2209.9340999999999</v>
      </c>
      <c r="AG10" s="322">
        <f>MemNordeste!AI30</f>
        <v>2137.6089000000002</v>
      </c>
      <c r="AH10" s="360">
        <f>MemNordeste!AJ30</f>
        <v>2136.5454</v>
      </c>
      <c r="AI10" s="303"/>
      <c r="AJ10" s="365">
        <f ca="1">AK10/Entrada!$C10</f>
        <v>0.29970620247345697</v>
      </c>
      <c r="AK10" s="423">
        <f ca="1">SUMPRODUCT(AC10:AH10,AC$7:AH$7)/SUM(AC$7:AH$7)</f>
        <v>2191.8963366666667</v>
      </c>
    </row>
    <row r="11" spans="1:37" s="123" customFormat="1" ht="20.25" customHeight="1" x14ac:dyDescent="0.25">
      <c r="B11" s="240">
        <f>MemNorte!D26</f>
        <v>3603.4187000000002</v>
      </c>
      <c r="C11" s="241">
        <f>MemNorte!E26</f>
        <v>3393.9342000000001</v>
      </c>
      <c r="D11" s="241">
        <f>MemNorte!F26</f>
        <v>3201.4144000000001</v>
      </c>
      <c r="E11" s="241">
        <f>MemNorte!G26</f>
        <v>2979.1698000000001</v>
      </c>
      <c r="F11" s="241">
        <f>MemNorte!H26</f>
        <v>2764.7894999999999</v>
      </c>
      <c r="G11" s="242">
        <f>MemNorte!I26</f>
        <v>2589.3020000000001</v>
      </c>
      <c r="H11" s="1">
        <v>5</v>
      </c>
      <c r="I11" s="365">
        <f ca="1">J11/Entrada!$C11</f>
        <v>0.2939132459509235</v>
      </c>
      <c r="J11" s="423">
        <f ca="1">SUMPRODUCT(B11:G11,B$7:G$7)/SUM(B$7:G$7)</f>
        <v>3085.5958666666675</v>
      </c>
      <c r="K11" s="361">
        <f>MemNorte!M26</f>
        <v>11041.679700000001</v>
      </c>
      <c r="L11" s="362">
        <f>MemNorte!N26</f>
        <v>10406.454399999999</v>
      </c>
      <c r="M11" s="362">
        <f>MemNorte!O26</f>
        <v>9808.4305999999997</v>
      </c>
      <c r="N11" s="362">
        <f>MemNorte!P26</f>
        <v>9112.6784000000007</v>
      </c>
      <c r="O11" s="362">
        <f>MemNorte!Q26</f>
        <v>8452.0170999999991</v>
      </c>
      <c r="P11" s="363">
        <f>MemNorte!R26</f>
        <v>7927.0062000000007</v>
      </c>
      <c r="Q11" s="303"/>
      <c r="R11" s="365">
        <f ca="1">S11/Entrada!$C11</f>
        <v>0.89990810626601148</v>
      </c>
      <c r="S11" s="423">
        <f ca="1">SUMPRODUCT(K11:P11,K$7:P$7)/SUM(K$7:P$7)</f>
        <v>9447.5249799999983</v>
      </c>
      <c r="T11" s="361">
        <f>MemNorte!V26</f>
        <v>11043.7916</v>
      </c>
      <c r="U11" s="362">
        <f>MemNorte!W26</f>
        <v>10409.1819</v>
      </c>
      <c r="V11" s="362">
        <f>MemNorte!X26</f>
        <v>9809.5442000000003</v>
      </c>
      <c r="W11" s="362">
        <f>MemNorte!Y26</f>
        <v>9111.8531999999996</v>
      </c>
      <c r="X11" s="362">
        <f>MemNorte!Z26</f>
        <v>8450.5743000000002</v>
      </c>
      <c r="Y11" s="363">
        <f>MemNorte!AA26</f>
        <v>7927.1578</v>
      </c>
      <c r="Z11" s="303"/>
      <c r="AA11" s="365">
        <f ca="1">AB11/Entrada!$C11</f>
        <v>0.89995025649448457</v>
      </c>
      <c r="AB11" s="423">
        <f ca="1">SUMPRODUCT(T11:Y11,T$7:Y$7)/SUM(T$7:Y$7)</f>
        <v>9447.9674866666664</v>
      </c>
      <c r="AC11" s="361">
        <f>MemNorte!AE26</f>
        <v>3603.4187000000002</v>
      </c>
      <c r="AD11" s="362">
        <f>MemNorte!AF26</f>
        <v>3393.9342000000001</v>
      </c>
      <c r="AE11" s="362">
        <f>MemNorte!AG26</f>
        <v>3201.4144000000001</v>
      </c>
      <c r="AF11" s="362">
        <f>MemNorte!AH26</f>
        <v>2979.1698000000001</v>
      </c>
      <c r="AG11" s="362">
        <f>MemNorte!AI26</f>
        <v>2764.7894999999999</v>
      </c>
      <c r="AH11" s="363">
        <f>MemNorte!AJ26</f>
        <v>2589.3020000000001</v>
      </c>
      <c r="AI11" s="303"/>
      <c r="AJ11" s="365">
        <f ca="1">AK11/Entrada!$C11</f>
        <v>0.2939132459509235</v>
      </c>
      <c r="AK11" s="423">
        <f ca="1">SUMPRODUCT(AC11:AH11,AC$7:AH$7)/SUM(AC$7:AH$7)</f>
        <v>3085.5958666666675</v>
      </c>
    </row>
    <row r="12" spans="1:37" x14ac:dyDescent="0.25">
      <c r="K12" s="367"/>
      <c r="T12" s="367"/>
      <c r="AC12" s="367"/>
    </row>
    <row r="13" spans="1:37" hidden="1" x14ac:dyDescent="0.25">
      <c r="B13" s="283" t="s">
        <v>69</v>
      </c>
    </row>
    <row r="14" spans="1:37" ht="26.25" hidden="1" customHeight="1" x14ac:dyDescent="0.4">
      <c r="B14" s="502" t="s">
        <v>306</v>
      </c>
      <c r="C14" s="502"/>
      <c r="D14" s="502"/>
      <c r="E14" s="502"/>
      <c r="F14" s="502"/>
      <c r="G14" s="502"/>
      <c r="I14" s="114"/>
    </row>
    <row r="15" spans="1:37" hidden="1" x14ac:dyDescent="0.25">
      <c r="B15" s="54" t="s">
        <v>69</v>
      </c>
      <c r="C15" s="54" t="s">
        <v>70</v>
      </c>
      <c r="D15" s="54" t="s">
        <v>71</v>
      </c>
      <c r="E15" s="54" t="s">
        <v>72</v>
      </c>
      <c r="F15" s="54" t="s">
        <v>73</v>
      </c>
      <c r="G15" s="54" t="s">
        <v>74</v>
      </c>
    </row>
    <row r="16" spans="1:37" hidden="1" x14ac:dyDescent="0.25">
      <c r="B16" s="181">
        <f ca="1">B4</f>
        <v>42119</v>
      </c>
      <c r="C16" s="182">
        <f ca="1">B16+7</f>
        <v>42126</v>
      </c>
      <c r="D16" s="182">
        <f ca="1">C16+7</f>
        <v>42133</v>
      </c>
      <c r="E16" s="182">
        <f ca="1">D16+7</f>
        <v>42140</v>
      </c>
      <c r="F16" s="182">
        <f ca="1">E16+7</f>
        <v>42147</v>
      </c>
      <c r="G16" s="183">
        <f ca="1">F16+7</f>
        <v>42154</v>
      </c>
    </row>
    <row r="17" spans="2:19" hidden="1" x14ac:dyDescent="0.25">
      <c r="B17" s="184" t="s">
        <v>6</v>
      </c>
      <c r="C17" s="55" t="s">
        <v>6</v>
      </c>
      <c r="D17" s="55" t="s">
        <v>6</v>
      </c>
      <c r="E17" s="55" t="s">
        <v>6</v>
      </c>
      <c r="F17" s="55" t="s">
        <v>6</v>
      </c>
      <c r="G17" s="185" t="s">
        <v>6</v>
      </c>
    </row>
    <row r="18" spans="2:19" hidden="1" x14ac:dyDescent="0.25">
      <c r="B18" s="184">
        <f t="shared" ref="B18:G18" ca="1" si="4">B16+6</f>
        <v>42125</v>
      </c>
      <c r="C18" s="55">
        <f t="shared" ca="1" si="4"/>
        <v>42132</v>
      </c>
      <c r="D18" s="55">
        <f t="shared" ca="1" si="4"/>
        <v>42139</v>
      </c>
      <c r="E18" s="55">
        <f t="shared" ca="1" si="4"/>
        <v>42146</v>
      </c>
      <c r="F18" s="55">
        <f t="shared" ca="1" si="4"/>
        <v>42153</v>
      </c>
      <c r="G18" s="185">
        <f t="shared" ca="1" si="4"/>
        <v>42160</v>
      </c>
    </row>
    <row r="19" spans="2:19" hidden="1" x14ac:dyDescent="0.25">
      <c r="B19" s="235">
        <f ca="1">B7</f>
        <v>1</v>
      </c>
      <c r="C19" s="229">
        <f t="shared" ref="C19:G19" ca="1" si="5">C7</f>
        <v>7</v>
      </c>
      <c r="D19" s="229">
        <f t="shared" ca="1" si="5"/>
        <v>7</v>
      </c>
      <c r="E19" s="229">
        <f t="shared" ca="1" si="5"/>
        <v>7</v>
      </c>
      <c r="F19" s="229">
        <f t="shared" ca="1" si="5"/>
        <v>7</v>
      </c>
      <c r="G19" s="236">
        <f t="shared" ca="1" si="5"/>
        <v>1</v>
      </c>
    </row>
    <row r="20" spans="2:19" ht="19.5" hidden="1" customHeight="1" x14ac:dyDescent="0.25">
      <c r="B20" s="238">
        <f>IF($B$13&lt;=B15,SUM(ENA_ACOPLAMENTO!Q8:Q114),"")</f>
        <v>21186.307256822496</v>
      </c>
      <c r="C20" s="121">
        <f>IF($B$13&lt;=C15,SUM(ENA_ACOPLAMENTO!R8:R114),"")</f>
        <v>20422.943321423314</v>
      </c>
      <c r="D20" s="121">
        <f>IF($B$13&lt;=D15,SUM(ENA_ACOPLAMENTO!S8:S114),"")</f>
        <v>20015.946494976437</v>
      </c>
      <c r="E20" s="121">
        <f>IF($B$13&lt;=E15,SUM(ENA_ACOPLAMENTO!T8:T114),"")</f>
        <v>19919.433085368615</v>
      </c>
      <c r="F20" s="121">
        <f>IF($B$13&lt;=F15,SUM(ENA_ACOPLAMENTO!U8:U114),"")</f>
        <v>18528.893747796104</v>
      </c>
      <c r="G20" s="239">
        <f ca="1">IF(MONTH($G$16)&lt;&gt;MONTH($F$16),"",SUM(ENA_ACOPLAMENTO!P8:P114))</f>
        <v>23739</v>
      </c>
    </row>
    <row r="21" spans="2:19" ht="19.5" hidden="1" customHeight="1" x14ac:dyDescent="0.25">
      <c r="B21" s="238">
        <f>IF($B$13&lt;=B15,SUM(ENA_ACOPLAMENTO!Q116:Q145),"")</f>
        <v>11777.116230585758</v>
      </c>
      <c r="C21" s="121">
        <f>IF($B$13&lt;=C15,SUM(ENA_ACOPLAMENTO!R116:R145),"")</f>
        <v>15778.112277124277</v>
      </c>
      <c r="D21" s="121">
        <f>IF($B$13&lt;=D15,SUM(ENA_ACOPLAMENTO!S116:S145),"")</f>
        <v>11313.044518440774</v>
      </c>
      <c r="E21" s="121">
        <f>IF($B$13&lt;=E15,SUM(ENA_ACOPLAMENTO!T116:T145),"")</f>
        <v>10010.107166992431</v>
      </c>
      <c r="F21" s="121">
        <f>IF($B$13&lt;=F15,SUM(ENA_ACOPLAMENTO!U116:U145),"")</f>
        <v>5604.0017883757755</v>
      </c>
      <c r="G21" s="239">
        <f ca="1">IF(MONTH($G$16)&lt;&gt;MONTH($F$16),"",SUM(ENA_ACOPLAMENTO!V116:V145))</f>
        <v>5994.3611615504387</v>
      </c>
    </row>
    <row r="22" spans="2:19" ht="19.5" hidden="1" customHeight="1" x14ac:dyDescent="0.25">
      <c r="B22" s="238">
        <f>IF($B$13&lt;=B15,SUM(ENA_ACOPLAMENTO!Q147:Q159),"")</f>
        <v>2402.1946783536669</v>
      </c>
      <c r="C22" s="121">
        <f>IF($B$13&lt;=C15,SUM(ENA_ACOPLAMENTO!R147:R159),"")</f>
        <v>2549.4106011609783</v>
      </c>
      <c r="D22" s="121">
        <f>IF($B$13&lt;=D15,SUM(ENA_ACOPLAMENTO!S147:S159),"")</f>
        <v>2529.2974869418163</v>
      </c>
      <c r="E22" s="121">
        <f>IF($B$13&lt;=E15,SUM(ENA_ACOPLAMENTO!T147:T159),"")</f>
        <v>2523.997163590368</v>
      </c>
      <c r="F22" s="121">
        <f>IF($B$13&lt;=F15,SUM(ENA_ACOPLAMENTO!U147:U159),"")</f>
        <v>2448.0131140137273</v>
      </c>
      <c r="G22" s="239">
        <f ca="1">IF(MONTH($G$16)&lt;&gt;MONTH($F$16),"",SUM(ENA_ACOPLAMENTO!V147:V159))</f>
        <v>2449.7431662098411</v>
      </c>
    </row>
    <row r="23" spans="2:19" ht="19.5" hidden="1" customHeight="1" x14ac:dyDescent="0.25">
      <c r="B23" s="240">
        <f>IF($B$13&lt;=B15,SUM(ENA_ACOPLAMENTO!Q161:Q172),"")</f>
        <v>3016.2768111812497</v>
      </c>
      <c r="C23" s="241">
        <f>IF($B$13&lt;=C15,SUM(ENA_ACOPLAMENTO!R161:R172),"")</f>
        <v>2768.8138777974445</v>
      </c>
      <c r="D23" s="241">
        <f>IF($B$13&lt;=D15,SUM(ENA_ACOPLAMENTO!S161:S172),"")</f>
        <v>2519.5549762621731</v>
      </c>
      <c r="E23" s="241">
        <f>IF($B$13&lt;=E15,SUM(ENA_ACOPLAMENTO!T161:T172),"")</f>
        <v>2307.7111372750205</v>
      </c>
      <c r="F23" s="241">
        <f>IF($B$13&lt;=F15,SUM(ENA_ACOPLAMENTO!U161:U172),"")</f>
        <v>2120.5946197025337</v>
      </c>
      <c r="G23" s="242">
        <f ca="1">IF(MONTH($G$16)&lt;&gt;MONTH($F$16),"",SUM(ENA_ACOPLAMENTO!V161:V172))</f>
        <v>1970.0916947524747</v>
      </c>
    </row>
    <row r="24" spans="2:19" hidden="1" x14ac:dyDescent="0.25"/>
    <row r="25" spans="2:19" x14ac:dyDescent="0.25">
      <c r="B25" s="52"/>
      <c r="C25" s="52"/>
      <c r="D25" s="52"/>
      <c r="E25" s="52"/>
      <c r="F25" s="52"/>
      <c r="S25" s="303"/>
    </row>
    <row r="26" spans="2:19" ht="26.25" x14ac:dyDescent="0.4">
      <c r="B26" s="502" t="s">
        <v>397</v>
      </c>
      <c r="C26" s="502"/>
      <c r="D26" s="502"/>
      <c r="E26" s="502"/>
      <c r="F26" s="502"/>
      <c r="G26" s="502"/>
      <c r="I26" s="257"/>
      <c r="S26" s="303"/>
    </row>
    <row r="27" spans="2:19" x14ac:dyDescent="0.25">
      <c r="B27" s="54"/>
      <c r="C27" s="54"/>
      <c r="D27" s="54"/>
      <c r="E27" s="54"/>
      <c r="F27" s="54"/>
      <c r="G27" s="54"/>
      <c r="I27" s="54"/>
      <c r="S27" s="303"/>
    </row>
    <row r="28" spans="2:19" ht="22.5" customHeight="1" x14ac:dyDescent="0.25">
      <c r="B28" s="230">
        <f ca="1">B4</f>
        <v>42119</v>
      </c>
      <c r="C28" s="231">
        <f t="shared" ref="C28:G28" ca="1" si="6">C4</f>
        <v>42126</v>
      </c>
      <c r="D28" s="231">
        <f t="shared" ca="1" si="6"/>
        <v>42133</v>
      </c>
      <c r="E28" s="231">
        <f t="shared" ca="1" si="6"/>
        <v>42140</v>
      </c>
      <c r="F28" s="231">
        <f t="shared" ca="1" si="6"/>
        <v>42147</v>
      </c>
      <c r="G28" s="232">
        <f t="shared" ca="1" si="6"/>
        <v>42154</v>
      </c>
      <c r="S28" s="303"/>
    </row>
    <row r="29" spans="2:19" ht="22.5" customHeight="1" x14ac:dyDescent="0.25">
      <c r="B29" s="233" t="str">
        <f t="shared" ref="B29:G29" si="7">B5</f>
        <v>a</v>
      </c>
      <c r="C29" s="55" t="str">
        <f t="shared" si="7"/>
        <v>a</v>
      </c>
      <c r="D29" s="55" t="str">
        <f t="shared" si="7"/>
        <v>a</v>
      </c>
      <c r="E29" s="55" t="str">
        <f t="shared" si="7"/>
        <v>a</v>
      </c>
      <c r="F29" s="55" t="str">
        <f t="shared" si="7"/>
        <v>a</v>
      </c>
      <c r="G29" s="234" t="str">
        <f t="shared" si="7"/>
        <v>a</v>
      </c>
      <c r="S29" s="303"/>
    </row>
    <row r="30" spans="2:19" ht="22.5" customHeight="1" x14ac:dyDescent="0.25">
      <c r="B30" s="233">
        <f t="shared" ref="B30:G30" ca="1" si="8">B6</f>
        <v>42125</v>
      </c>
      <c r="C30" s="55">
        <f t="shared" ca="1" si="8"/>
        <v>42132</v>
      </c>
      <c r="D30" s="55">
        <f t="shared" ca="1" si="8"/>
        <v>42139</v>
      </c>
      <c r="E30" s="55">
        <f t="shared" ca="1" si="8"/>
        <v>42146</v>
      </c>
      <c r="F30" s="55">
        <f t="shared" ca="1" si="8"/>
        <v>42153</v>
      </c>
      <c r="G30" s="234">
        <f t="shared" ca="1" si="8"/>
        <v>42160</v>
      </c>
      <c r="S30" s="303"/>
    </row>
    <row r="31" spans="2:19" ht="22.5" customHeight="1" x14ac:dyDescent="0.25">
      <c r="B31" s="235">
        <f t="shared" ref="B31:G31" ca="1" si="9">B7</f>
        <v>1</v>
      </c>
      <c r="C31" s="229">
        <f t="shared" ca="1" si="9"/>
        <v>7</v>
      </c>
      <c r="D31" s="229">
        <f t="shared" ca="1" si="9"/>
        <v>7</v>
      </c>
      <c r="E31" s="229">
        <f t="shared" ca="1" si="9"/>
        <v>7</v>
      </c>
      <c r="F31" s="229">
        <f t="shared" ca="1" si="9"/>
        <v>7</v>
      </c>
      <c r="G31" s="236">
        <f t="shared" ca="1" si="9"/>
        <v>1</v>
      </c>
      <c r="I31" s="191"/>
      <c r="S31" s="303"/>
    </row>
    <row r="32" spans="2:19" ht="18.75" customHeight="1" x14ac:dyDescent="0.25">
      <c r="B32" s="260">
        <f t="shared" ref="B32:G35" si="10">K8</f>
        <v>32474.359700000001</v>
      </c>
      <c r="C32" s="261">
        <f t="shared" si="10"/>
        <v>31300.367899999994</v>
      </c>
      <c r="D32" s="261">
        <f t="shared" si="10"/>
        <v>30694.763500000001</v>
      </c>
      <c r="E32" s="261">
        <f t="shared" si="10"/>
        <v>30585.28045210526</v>
      </c>
      <c r="F32" s="261">
        <f t="shared" si="10"/>
        <v>28333.237200000003</v>
      </c>
      <c r="G32" s="262">
        <f t="shared" si="10"/>
        <v>27043.510500000004</v>
      </c>
      <c r="I32" s="365">
        <f ca="1">J32/Entrada!$C8</f>
        <v>1.0000177763688654</v>
      </c>
      <c r="J32" s="423">
        <f ca="1">SUMPRODUCT(B32:G32,B$7:G$7)/SUM(B$7:G$7)</f>
        <v>30197.113785491223</v>
      </c>
      <c r="S32" s="303"/>
    </row>
    <row r="33" spans="2:19" ht="18.75" customHeight="1" x14ac:dyDescent="0.25">
      <c r="B33" s="263">
        <f t="shared" si="10"/>
        <v>9549.9722000000002</v>
      </c>
      <c r="C33" s="264">
        <f t="shared" si="10"/>
        <v>12818.771300000002</v>
      </c>
      <c r="D33" s="264">
        <f t="shared" si="10"/>
        <v>9196.6957999999995</v>
      </c>
      <c r="E33" s="264">
        <f t="shared" si="10"/>
        <v>8076.6556999999993</v>
      </c>
      <c r="F33" s="264">
        <f t="shared" si="10"/>
        <v>4540.0735000000004</v>
      </c>
      <c r="G33" s="265">
        <f t="shared" si="10"/>
        <v>4842.7214000000004</v>
      </c>
      <c r="I33" s="365">
        <f ca="1">J33/Entrada!$C9</f>
        <v>0.99989656665359827</v>
      </c>
      <c r="J33" s="423">
        <f ca="1">SUMPRODUCT(B33:G33,B$7:G$7)/SUM(B$7:G$7)</f>
        <v>8560.6022566666688</v>
      </c>
      <c r="S33" s="303"/>
    </row>
    <row r="34" spans="2:19" ht="18.75" customHeight="1" x14ac:dyDescent="0.25">
      <c r="B34" s="263">
        <f t="shared" si="10"/>
        <v>3787.0158999999999</v>
      </c>
      <c r="C34" s="264">
        <f t="shared" si="10"/>
        <v>4075.6795000000002</v>
      </c>
      <c r="D34" s="264">
        <f t="shared" si="10"/>
        <v>4083.8735000000006</v>
      </c>
      <c r="E34" s="264">
        <f t="shared" si="10"/>
        <v>4056.6315</v>
      </c>
      <c r="F34" s="264">
        <f t="shared" si="10"/>
        <v>3923.1605</v>
      </c>
      <c r="G34" s="265">
        <f t="shared" si="10"/>
        <v>3919.3245000000006</v>
      </c>
      <c r="I34" s="365">
        <f ca="1">J34/Entrada!$C10</f>
        <v>0.55004229311575381</v>
      </c>
      <c r="J34" s="423">
        <f ca="1">SUMPRODUCT(B34:G34,B$7:G$7)/SUM(B$7:G$7)</f>
        <v>4022.7251800000004</v>
      </c>
      <c r="S34" s="303"/>
    </row>
    <row r="35" spans="2:19" ht="18.75" customHeight="1" x14ac:dyDescent="0.25">
      <c r="B35" s="266">
        <f t="shared" si="10"/>
        <v>11041.679700000001</v>
      </c>
      <c r="C35" s="267">
        <f t="shared" si="10"/>
        <v>10406.454399999999</v>
      </c>
      <c r="D35" s="267">
        <f t="shared" si="10"/>
        <v>9808.4305999999997</v>
      </c>
      <c r="E35" s="267">
        <f t="shared" si="10"/>
        <v>9112.6784000000007</v>
      </c>
      <c r="F35" s="267">
        <f t="shared" si="10"/>
        <v>8452.0170999999991</v>
      </c>
      <c r="G35" s="268">
        <f t="shared" si="10"/>
        <v>7927.0062000000007</v>
      </c>
      <c r="I35" s="365">
        <f ca="1">J35/Entrada!$C11</f>
        <v>0.89990810626601148</v>
      </c>
      <c r="J35" s="423">
        <f ca="1">SUMPRODUCT(B35:G35,B$7:G$7)/SUM(B$7:G$7)</f>
        <v>9447.5249799999983</v>
      </c>
      <c r="S35" s="303"/>
    </row>
    <row r="36" spans="2:19" x14ac:dyDescent="0.25">
      <c r="S36" s="303"/>
    </row>
    <row r="37" spans="2:19" x14ac:dyDescent="0.25">
      <c r="S37" s="303"/>
    </row>
    <row r="38" spans="2:19" x14ac:dyDescent="0.25">
      <c r="S38" s="303"/>
    </row>
    <row r="39" spans="2:19" x14ac:dyDescent="0.25">
      <c r="S39" s="303"/>
    </row>
    <row r="40" spans="2:19" x14ac:dyDescent="0.25">
      <c r="S40" s="303"/>
    </row>
    <row r="41" spans="2:19" x14ac:dyDescent="0.25">
      <c r="S41" s="303"/>
    </row>
    <row r="42" spans="2:19" x14ac:dyDescent="0.25">
      <c r="S42" s="303"/>
    </row>
    <row r="72" spans="2:6" ht="15.75" thickBot="1" x14ac:dyDescent="0.3"/>
    <row r="73" spans="2:6" x14ac:dyDescent="0.25">
      <c r="B73" s="284"/>
      <c r="C73" s="285"/>
      <c r="D73" s="285"/>
      <c r="E73" s="285"/>
      <c r="F73" s="285"/>
    </row>
    <row r="74" spans="2:6" x14ac:dyDescent="0.25">
      <c r="B74" s="286"/>
      <c r="C74" s="287"/>
      <c r="D74" s="287"/>
      <c r="E74" s="287"/>
      <c r="F74" s="287"/>
    </row>
    <row r="75" spans="2:6" x14ac:dyDescent="0.25">
      <c r="B75" s="286"/>
      <c r="C75" s="287"/>
      <c r="D75" s="287"/>
      <c r="E75" s="287"/>
      <c r="F75" s="287"/>
    </row>
    <row r="76" spans="2:6" ht="15.75" thickBot="1" x14ac:dyDescent="0.3">
      <c r="B76" s="288"/>
      <c r="C76" s="289"/>
      <c r="D76" s="289"/>
      <c r="E76" s="289"/>
      <c r="F76" s="289"/>
    </row>
    <row r="77" spans="2:6" x14ac:dyDescent="0.25">
      <c r="B77" s="290"/>
      <c r="C77" s="290"/>
      <c r="D77" s="290"/>
      <c r="E77" s="290"/>
      <c r="F77" s="290"/>
    </row>
    <row r="78" spans="2:6" x14ac:dyDescent="0.25">
      <c r="B78" s="290"/>
      <c r="C78" s="290"/>
      <c r="D78" s="290"/>
      <c r="E78" s="290"/>
      <c r="F78" s="290"/>
    </row>
    <row r="79" spans="2:6" x14ac:dyDescent="0.25">
      <c r="B79" s="290"/>
      <c r="C79" s="290"/>
      <c r="D79" s="290"/>
      <c r="E79" s="290"/>
      <c r="F79" s="290"/>
    </row>
    <row r="80" spans="2:6" x14ac:dyDescent="0.25">
      <c r="B80" s="290"/>
      <c r="C80" s="290"/>
      <c r="D80" s="290"/>
      <c r="E80" s="290"/>
      <c r="F80" s="290"/>
    </row>
    <row r="81" spans="2:5" x14ac:dyDescent="0.25">
      <c r="B81" s="292"/>
      <c r="C81" s="292"/>
      <c r="D81" s="292"/>
      <c r="E81" s="292"/>
    </row>
  </sheetData>
  <mergeCells count="3">
    <mergeCell ref="B2:G2"/>
    <mergeCell ref="B14:G14"/>
    <mergeCell ref="B26:G26"/>
  </mergeCells>
  <conditionalFormatting sqref="B3:G3 I3">
    <cfRule type="cellIs" dxfId="11" priority="5" operator="equal">
      <formula>#REF!</formula>
    </cfRule>
  </conditionalFormatting>
  <conditionalFormatting sqref="B15:G15">
    <cfRule type="cellIs" dxfId="10" priority="3" operator="equal">
      <formula>#REF!</formula>
    </cfRule>
  </conditionalFormatting>
  <conditionalFormatting sqref="B27:G27 I27">
    <cfRule type="cellIs" dxfId="9" priority="1" operator="equal">
      <formula>#REF!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aux!$B$3:$B$8</xm:f>
          </x14:formula1>
          <xm:sqref>B13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AJ375"/>
  <sheetViews>
    <sheetView workbookViewId="0"/>
  </sheetViews>
  <sheetFormatPr defaultRowHeight="15" x14ac:dyDescent="0.25"/>
  <cols>
    <col min="1" max="1" width="2.85546875" style="1" customWidth="1"/>
    <col min="2" max="9" width="13.7109375" style="52" customWidth="1"/>
    <col min="10" max="11" width="9.140625" style="303"/>
    <col min="12" max="12" width="9.140625" style="1"/>
    <col min="13" max="18" width="13.7109375" style="304" customWidth="1"/>
    <col min="19" max="21" width="9.140625" style="303"/>
    <col min="22" max="27" width="13.7109375" style="304" customWidth="1"/>
    <col min="28" max="30" width="9.140625" style="303"/>
    <col min="31" max="36" width="13.7109375" style="304" customWidth="1"/>
    <col min="37" max="16384" width="9.140625" style="1"/>
  </cols>
  <sheetData>
    <row r="1" spans="2:36" x14ac:dyDescent="0.25">
      <c r="C1" s="1"/>
      <c r="E1" s="1"/>
      <c r="G1" s="1"/>
      <c r="I1" s="1"/>
      <c r="J1" s="304"/>
      <c r="K1" s="304"/>
      <c r="L1" s="52"/>
      <c r="N1" s="303"/>
      <c r="P1" s="303"/>
      <c r="R1" s="303"/>
      <c r="S1" s="304"/>
      <c r="T1" s="304"/>
      <c r="U1" s="304"/>
      <c r="W1" s="303"/>
      <c r="Y1" s="303"/>
      <c r="AA1" s="303"/>
      <c r="AB1" s="304"/>
      <c r="AC1" s="304"/>
      <c r="AD1" s="304"/>
      <c r="AF1" s="303"/>
      <c r="AH1" s="303"/>
      <c r="AJ1" s="303"/>
    </row>
    <row r="2" spans="2:36" x14ac:dyDescent="0.25">
      <c r="D2" s="54" t="s">
        <v>69</v>
      </c>
      <c r="E2" s="54" t="s">
        <v>70</v>
      </c>
      <c r="F2" s="54" t="s">
        <v>71</v>
      </c>
      <c r="G2" s="54" t="s">
        <v>72</v>
      </c>
      <c r="H2" s="54" t="s">
        <v>73</v>
      </c>
      <c r="I2" s="54" t="s">
        <v>74</v>
      </c>
      <c r="M2" s="306" t="s">
        <v>69</v>
      </c>
      <c r="N2" s="306" t="s">
        <v>70</v>
      </c>
      <c r="O2" s="306" t="s">
        <v>71</v>
      </c>
      <c r="P2" s="306" t="s">
        <v>72</v>
      </c>
      <c r="Q2" s="306" t="s">
        <v>73</v>
      </c>
      <c r="R2" s="306" t="s">
        <v>74</v>
      </c>
      <c r="V2" s="306" t="s">
        <v>69</v>
      </c>
      <c r="W2" s="306" t="s">
        <v>70</v>
      </c>
      <c r="X2" s="306" t="s">
        <v>71</v>
      </c>
      <c r="Y2" s="306" t="s">
        <v>72</v>
      </c>
      <c r="Z2" s="306" t="s">
        <v>73</v>
      </c>
      <c r="AA2" s="306" t="s">
        <v>74</v>
      </c>
      <c r="AE2" s="306" t="s">
        <v>69</v>
      </c>
      <c r="AF2" s="306" t="s">
        <v>70</v>
      </c>
      <c r="AG2" s="306" t="s">
        <v>71</v>
      </c>
      <c r="AH2" s="306" t="s">
        <v>72</v>
      </c>
      <c r="AI2" s="306" t="s">
        <v>73</v>
      </c>
      <c r="AJ2" s="306" t="s">
        <v>74</v>
      </c>
    </row>
    <row r="3" spans="2:36" x14ac:dyDescent="0.25">
      <c r="D3" s="57">
        <v>42091</v>
      </c>
      <c r="E3" s="57">
        <f>D3+7</f>
        <v>42098</v>
      </c>
      <c r="F3" s="57">
        <f>E3+7</f>
        <v>42105</v>
      </c>
      <c r="G3" s="57">
        <f>F3+7</f>
        <v>42112</v>
      </c>
      <c r="H3" s="57">
        <f>G3+7</f>
        <v>42119</v>
      </c>
      <c r="I3" s="57">
        <f>H3+7</f>
        <v>42126</v>
      </c>
      <c r="M3" s="382">
        <f>D3</f>
        <v>42091</v>
      </c>
      <c r="N3" s="382">
        <f t="shared" ref="N3:R3" si="0">E3</f>
        <v>42098</v>
      </c>
      <c r="O3" s="382">
        <f t="shared" si="0"/>
        <v>42105</v>
      </c>
      <c r="P3" s="382">
        <f t="shared" si="0"/>
        <v>42112</v>
      </c>
      <c r="Q3" s="382">
        <f t="shared" si="0"/>
        <v>42119</v>
      </c>
      <c r="R3" s="382">
        <f t="shared" si="0"/>
        <v>42126</v>
      </c>
      <c r="V3" s="382">
        <f>M3</f>
        <v>42091</v>
      </c>
      <c r="W3" s="382">
        <f t="shared" ref="W3:W5" si="1">N3</f>
        <v>42098</v>
      </c>
      <c r="X3" s="382">
        <f t="shared" ref="X3:X5" si="2">O3</f>
        <v>42105</v>
      </c>
      <c r="Y3" s="382">
        <f t="shared" ref="Y3:Y5" si="3">P3</f>
        <v>42112</v>
      </c>
      <c r="Z3" s="382">
        <f t="shared" ref="Z3:Z5" si="4">Q3</f>
        <v>42119</v>
      </c>
      <c r="AA3" s="382">
        <f t="shared" ref="AA3:AA5" si="5">R3</f>
        <v>42126</v>
      </c>
      <c r="AE3" s="382">
        <f>V3</f>
        <v>42091</v>
      </c>
      <c r="AF3" s="382">
        <f t="shared" ref="AF3:AF5" si="6">W3</f>
        <v>42098</v>
      </c>
      <c r="AG3" s="382">
        <f t="shared" ref="AG3:AG5" si="7">X3</f>
        <v>42105</v>
      </c>
      <c r="AH3" s="382">
        <f t="shared" ref="AH3:AH5" si="8">Y3</f>
        <v>42112</v>
      </c>
      <c r="AI3" s="382">
        <f t="shared" ref="AI3:AI5" si="9">Z3</f>
        <v>42119</v>
      </c>
      <c r="AJ3" s="382">
        <f t="shared" ref="AJ3:AJ5" si="10">AA3</f>
        <v>42126</v>
      </c>
    </row>
    <row r="4" spans="2:36" x14ac:dyDescent="0.25">
      <c r="D4" s="57" t="s">
        <v>6</v>
      </c>
      <c r="E4" s="57" t="s">
        <v>6</v>
      </c>
      <c r="F4" s="57" t="s">
        <v>6</v>
      </c>
      <c r="G4" s="57" t="s">
        <v>6</v>
      </c>
      <c r="H4" s="57" t="s">
        <v>6</v>
      </c>
      <c r="I4" s="57" t="s">
        <v>6</v>
      </c>
      <c r="M4" s="382" t="str">
        <f t="shared" ref="M4:M5" si="11">D4</f>
        <v>a</v>
      </c>
      <c r="N4" s="382" t="str">
        <f t="shared" ref="N4:N5" si="12">E4</f>
        <v>a</v>
      </c>
      <c r="O4" s="382" t="str">
        <f t="shared" ref="O4:O5" si="13">F4</f>
        <v>a</v>
      </c>
      <c r="P4" s="382" t="str">
        <f t="shared" ref="P4:P5" si="14">G4</f>
        <v>a</v>
      </c>
      <c r="Q4" s="382" t="str">
        <f t="shared" ref="Q4:Q5" si="15">H4</f>
        <v>a</v>
      </c>
      <c r="R4" s="382" t="str">
        <f t="shared" ref="R4:R5" si="16">I4</f>
        <v>a</v>
      </c>
      <c r="V4" s="382" t="str">
        <f t="shared" ref="V4:V5" si="17">M4</f>
        <v>a</v>
      </c>
      <c r="W4" s="382" t="str">
        <f t="shared" si="1"/>
        <v>a</v>
      </c>
      <c r="X4" s="382" t="str">
        <f t="shared" si="2"/>
        <v>a</v>
      </c>
      <c r="Y4" s="382" t="str">
        <f t="shared" si="3"/>
        <v>a</v>
      </c>
      <c r="Z4" s="382" t="str">
        <f t="shared" si="4"/>
        <v>a</v>
      </c>
      <c r="AA4" s="382" t="str">
        <f t="shared" si="5"/>
        <v>a</v>
      </c>
      <c r="AE4" s="382" t="str">
        <f t="shared" ref="AE4:AE5" si="18">V4</f>
        <v>a</v>
      </c>
      <c r="AF4" s="382" t="str">
        <f t="shared" si="6"/>
        <v>a</v>
      </c>
      <c r="AG4" s="382" t="str">
        <f t="shared" si="7"/>
        <v>a</v>
      </c>
      <c r="AH4" s="382" t="str">
        <f t="shared" si="8"/>
        <v>a</v>
      </c>
      <c r="AI4" s="382" t="str">
        <f t="shared" si="9"/>
        <v>a</v>
      </c>
      <c r="AJ4" s="382" t="str">
        <f t="shared" si="10"/>
        <v>a</v>
      </c>
    </row>
    <row r="5" spans="2:36" x14ac:dyDescent="0.25">
      <c r="D5" s="57">
        <f t="shared" ref="D5:I5" si="19">D3+6</f>
        <v>42097</v>
      </c>
      <c r="E5" s="57">
        <f t="shared" si="19"/>
        <v>42104</v>
      </c>
      <c r="F5" s="57">
        <f t="shared" si="19"/>
        <v>42111</v>
      </c>
      <c r="G5" s="57">
        <f t="shared" si="19"/>
        <v>42118</v>
      </c>
      <c r="H5" s="57">
        <f t="shared" si="19"/>
        <v>42125</v>
      </c>
      <c r="I5" s="57">
        <f t="shared" si="19"/>
        <v>42132</v>
      </c>
      <c r="M5" s="382">
        <f t="shared" si="11"/>
        <v>42097</v>
      </c>
      <c r="N5" s="382">
        <f t="shared" si="12"/>
        <v>42104</v>
      </c>
      <c r="O5" s="382">
        <f t="shared" si="13"/>
        <v>42111</v>
      </c>
      <c r="P5" s="382">
        <f t="shared" si="14"/>
        <v>42118</v>
      </c>
      <c r="Q5" s="382">
        <f t="shared" si="15"/>
        <v>42125</v>
      </c>
      <c r="R5" s="382">
        <f t="shared" si="16"/>
        <v>42132</v>
      </c>
      <c r="V5" s="382">
        <f t="shared" si="17"/>
        <v>42097</v>
      </c>
      <c r="W5" s="382">
        <f t="shared" si="1"/>
        <v>42104</v>
      </c>
      <c r="X5" s="382">
        <f t="shared" si="2"/>
        <v>42111</v>
      </c>
      <c r="Y5" s="382">
        <f t="shared" si="3"/>
        <v>42118</v>
      </c>
      <c r="Z5" s="382">
        <f t="shared" si="4"/>
        <v>42125</v>
      </c>
      <c r="AA5" s="382">
        <f t="shared" si="5"/>
        <v>42132</v>
      </c>
      <c r="AE5" s="382">
        <f t="shared" si="18"/>
        <v>42097</v>
      </c>
      <c r="AF5" s="382">
        <f t="shared" si="6"/>
        <v>42104</v>
      </c>
      <c r="AG5" s="382">
        <f t="shared" si="7"/>
        <v>42111</v>
      </c>
      <c r="AH5" s="382">
        <f t="shared" si="8"/>
        <v>42118</v>
      </c>
      <c r="AI5" s="382">
        <f t="shared" si="9"/>
        <v>42125</v>
      </c>
      <c r="AJ5" s="382">
        <f t="shared" si="10"/>
        <v>42132</v>
      </c>
    </row>
    <row r="6" spans="2:36" ht="15.75" x14ac:dyDescent="0.25">
      <c r="B6" s="56" t="s">
        <v>66</v>
      </c>
      <c r="C6" s="56" t="s">
        <v>67</v>
      </c>
      <c r="D6" s="195">
        <v>1</v>
      </c>
      <c r="E6" s="195">
        <v>2</v>
      </c>
      <c r="F6" s="195">
        <v>3</v>
      </c>
      <c r="G6" s="195">
        <v>4</v>
      </c>
      <c r="H6" s="195">
        <v>5</v>
      </c>
      <c r="I6" s="195">
        <v>6</v>
      </c>
      <c r="K6" s="307" t="str">
        <f t="shared" ref="K6:K37" si="20">B6</f>
        <v>PREVS</v>
      </c>
      <c r="L6" s="307" t="str">
        <f t="shared" ref="L6:L37" si="21">C6</f>
        <v>Posto</v>
      </c>
      <c r="M6" s="384">
        <v>1</v>
      </c>
      <c r="N6" s="384">
        <v>2</v>
      </c>
      <c r="O6" s="384">
        <v>3</v>
      </c>
      <c r="P6" s="384">
        <v>4</v>
      </c>
      <c r="Q6" s="384">
        <v>5</v>
      </c>
      <c r="R6" s="384">
        <v>6</v>
      </c>
      <c r="T6" s="307" t="str">
        <f t="shared" ref="T6:T69" si="22">K6</f>
        <v>PREVS</v>
      </c>
      <c r="U6" s="307" t="str">
        <f t="shared" ref="U6:U69" si="23">L6</f>
        <v>Posto</v>
      </c>
      <c r="V6" s="384">
        <v>1</v>
      </c>
      <c r="W6" s="384">
        <v>2</v>
      </c>
      <c r="X6" s="384">
        <v>3</v>
      </c>
      <c r="Y6" s="384">
        <v>4</v>
      </c>
      <c r="Z6" s="384">
        <v>5</v>
      </c>
      <c r="AA6" s="384">
        <v>6</v>
      </c>
      <c r="AC6" s="307" t="str">
        <f t="shared" ref="AC6:AC69" si="24">T6</f>
        <v>PREVS</v>
      </c>
      <c r="AD6" s="307" t="str">
        <f t="shared" ref="AD6:AD69" si="25">U6</f>
        <v>Posto</v>
      </c>
      <c r="AE6" s="384">
        <v>1</v>
      </c>
      <c r="AF6" s="384">
        <v>2</v>
      </c>
      <c r="AG6" s="384">
        <v>3</v>
      </c>
      <c r="AH6" s="384">
        <v>4</v>
      </c>
      <c r="AI6" s="384">
        <v>5</v>
      </c>
      <c r="AJ6" s="384">
        <v>6</v>
      </c>
    </row>
    <row r="7" spans="2:36" x14ac:dyDescent="0.25">
      <c r="B7" s="53">
        <v>1</v>
      </c>
      <c r="C7" s="53">
        <v>1</v>
      </c>
      <c r="D7" s="53">
        <v>37</v>
      </c>
      <c r="E7" s="53">
        <v>35</v>
      </c>
      <c r="F7" s="53">
        <v>35</v>
      </c>
      <c r="G7" s="53">
        <v>35</v>
      </c>
      <c r="H7" s="53">
        <v>34</v>
      </c>
      <c r="I7" s="53">
        <v>34</v>
      </c>
      <c r="K7" s="305">
        <f t="shared" si="20"/>
        <v>1</v>
      </c>
      <c r="L7" s="305">
        <f t="shared" si="21"/>
        <v>1</v>
      </c>
      <c r="M7" s="305">
        <f>ROUND(Ajustes!AK3,0)</f>
        <v>57</v>
      </c>
      <c r="N7" s="305">
        <f>ROUND(Ajustes!AL3,0)</f>
        <v>54</v>
      </c>
      <c r="O7" s="305">
        <f>ROUND(Ajustes!AM3,0)</f>
        <v>54</v>
      </c>
      <c r="P7" s="305">
        <f>ROUND(Ajustes!AN3,0)</f>
        <v>54</v>
      </c>
      <c r="Q7" s="305">
        <f>ROUND(Ajustes!AO3,0)</f>
        <v>53</v>
      </c>
      <c r="R7" s="305">
        <f>ROUND(Ajustes!AP3,0)</f>
        <v>53</v>
      </c>
      <c r="T7" s="305">
        <f t="shared" si="22"/>
        <v>1</v>
      </c>
      <c r="U7" s="305">
        <f t="shared" si="23"/>
        <v>1</v>
      </c>
      <c r="V7" s="305">
        <f>ROUND(Ajustes!AY3,0)</f>
        <v>49</v>
      </c>
      <c r="W7" s="305">
        <f>ROUND(Ajustes!AZ3,0)</f>
        <v>46</v>
      </c>
      <c r="X7" s="305">
        <f>ROUND(Ajustes!BA3,0)</f>
        <v>46</v>
      </c>
      <c r="Y7" s="305">
        <f>ROUND(Ajustes!BB3,0)</f>
        <v>46</v>
      </c>
      <c r="Z7" s="305">
        <f>ROUND(Ajustes!BC3,0)</f>
        <v>45</v>
      </c>
      <c r="AA7" s="305">
        <f>ROUND(Ajustes!BD3,0)</f>
        <v>45</v>
      </c>
      <c r="AC7" s="305">
        <f t="shared" si="24"/>
        <v>1</v>
      </c>
      <c r="AD7" s="305">
        <f t="shared" si="25"/>
        <v>1</v>
      </c>
      <c r="AE7" s="305">
        <f>ROUND(Ajustes!BM3,0)</f>
        <v>37</v>
      </c>
      <c r="AF7" s="305">
        <f>ROUND(Ajustes!BN3,0)</f>
        <v>35</v>
      </c>
      <c r="AG7" s="305">
        <f>ROUND(Ajustes!BO3,0)</f>
        <v>35</v>
      </c>
      <c r="AH7" s="305">
        <f>ROUND(Ajustes!BP3,0)</f>
        <v>35</v>
      </c>
      <c r="AI7" s="305">
        <f>ROUND(Ajustes!BQ3,0)</f>
        <v>34</v>
      </c>
      <c r="AJ7" s="305">
        <f>ROUND(Ajustes!BR3,0)</f>
        <v>34</v>
      </c>
    </row>
    <row r="8" spans="2:36" x14ac:dyDescent="0.25">
      <c r="B8" s="53">
        <v>2</v>
      </c>
      <c r="C8" s="53">
        <v>2</v>
      </c>
      <c r="D8" s="53">
        <v>37</v>
      </c>
      <c r="E8" s="53">
        <v>35</v>
      </c>
      <c r="F8" s="53">
        <v>35</v>
      </c>
      <c r="G8" s="53">
        <v>35</v>
      </c>
      <c r="H8" s="53">
        <v>34</v>
      </c>
      <c r="I8" s="53">
        <v>34</v>
      </c>
      <c r="K8" s="305">
        <f t="shared" si="20"/>
        <v>2</v>
      </c>
      <c r="L8" s="305">
        <f t="shared" si="21"/>
        <v>2</v>
      </c>
      <c r="M8" s="305">
        <f>ROUND(Ajustes!AK4,0)</f>
        <v>57</v>
      </c>
      <c r="N8" s="305">
        <f>ROUND(Ajustes!AL4,0)</f>
        <v>54</v>
      </c>
      <c r="O8" s="305">
        <f>ROUND(Ajustes!AM4,0)</f>
        <v>54</v>
      </c>
      <c r="P8" s="305">
        <f>ROUND(Ajustes!AN4,0)</f>
        <v>54</v>
      </c>
      <c r="Q8" s="305">
        <f>ROUND(Ajustes!AO4,0)</f>
        <v>53</v>
      </c>
      <c r="R8" s="305">
        <f>ROUND(Ajustes!AP4,0)</f>
        <v>53</v>
      </c>
      <c r="T8" s="305">
        <f t="shared" si="22"/>
        <v>2</v>
      </c>
      <c r="U8" s="305">
        <f t="shared" si="23"/>
        <v>2</v>
      </c>
      <c r="V8" s="305">
        <f>ROUND(Ajustes!AY4,0)</f>
        <v>49</v>
      </c>
      <c r="W8" s="305">
        <f>ROUND(Ajustes!AZ4,0)</f>
        <v>46</v>
      </c>
      <c r="X8" s="305">
        <f>ROUND(Ajustes!BA4,0)</f>
        <v>46</v>
      </c>
      <c r="Y8" s="305">
        <f>ROUND(Ajustes!BB4,0)</f>
        <v>46</v>
      </c>
      <c r="Z8" s="305">
        <f>ROUND(Ajustes!BC4,0)</f>
        <v>45</v>
      </c>
      <c r="AA8" s="305">
        <f>ROUND(Ajustes!BD4,0)</f>
        <v>45</v>
      </c>
      <c r="AC8" s="305">
        <f t="shared" si="24"/>
        <v>2</v>
      </c>
      <c r="AD8" s="305">
        <f t="shared" si="25"/>
        <v>2</v>
      </c>
      <c r="AE8" s="305">
        <f>ROUND(Ajustes!BM4,0)</f>
        <v>37</v>
      </c>
      <c r="AF8" s="305">
        <f>ROUND(Ajustes!BN4,0)</f>
        <v>35</v>
      </c>
      <c r="AG8" s="305">
        <f>ROUND(Ajustes!BO4,0)</f>
        <v>35</v>
      </c>
      <c r="AH8" s="305">
        <f>ROUND(Ajustes!BP4,0)</f>
        <v>35</v>
      </c>
      <c r="AI8" s="305">
        <f>ROUND(Ajustes!BQ4,0)</f>
        <v>34</v>
      </c>
      <c r="AJ8" s="305">
        <f>ROUND(Ajustes!BR4,0)</f>
        <v>34</v>
      </c>
    </row>
    <row r="9" spans="2:36" x14ac:dyDescent="0.25">
      <c r="B9" s="53">
        <v>3</v>
      </c>
      <c r="C9" s="53">
        <v>6</v>
      </c>
      <c r="D9" s="53">
        <v>228</v>
      </c>
      <c r="E9" s="53">
        <v>218</v>
      </c>
      <c r="F9" s="53">
        <v>207</v>
      </c>
      <c r="G9" s="53">
        <v>205</v>
      </c>
      <c r="H9" s="53">
        <v>199</v>
      </c>
      <c r="I9" s="53">
        <v>154</v>
      </c>
      <c r="K9" s="305">
        <f t="shared" si="20"/>
        <v>3</v>
      </c>
      <c r="L9" s="305">
        <f t="shared" si="21"/>
        <v>6</v>
      </c>
      <c r="M9" s="305">
        <f>ROUND(Ajustes!AK5,0)</f>
        <v>354</v>
      </c>
      <c r="N9" s="305">
        <f>ROUND(Ajustes!AL5,0)</f>
        <v>339</v>
      </c>
      <c r="O9" s="305">
        <f>ROUND(Ajustes!AM5,0)</f>
        <v>322</v>
      </c>
      <c r="P9" s="305">
        <f>ROUND(Ajustes!AN5,0)</f>
        <v>318</v>
      </c>
      <c r="Q9" s="305">
        <f>ROUND(Ajustes!AO5,0)</f>
        <v>309</v>
      </c>
      <c r="R9" s="305">
        <f>ROUND(Ajustes!AP5,0)</f>
        <v>239</v>
      </c>
      <c r="T9" s="305">
        <f t="shared" si="22"/>
        <v>3</v>
      </c>
      <c r="U9" s="305">
        <f t="shared" si="23"/>
        <v>6</v>
      </c>
      <c r="V9" s="305">
        <f>ROUND(Ajustes!AY5,0)</f>
        <v>301</v>
      </c>
      <c r="W9" s="305">
        <f>ROUND(Ajustes!AZ5,0)</f>
        <v>287</v>
      </c>
      <c r="X9" s="305">
        <f>ROUND(Ajustes!BA5,0)</f>
        <v>273</v>
      </c>
      <c r="Y9" s="305">
        <f>ROUND(Ajustes!BB5,0)</f>
        <v>270</v>
      </c>
      <c r="Z9" s="305">
        <f>ROUND(Ajustes!BC5,0)</f>
        <v>262</v>
      </c>
      <c r="AA9" s="305">
        <f>ROUND(Ajustes!BD5,0)</f>
        <v>203</v>
      </c>
      <c r="AC9" s="305">
        <f t="shared" si="24"/>
        <v>3</v>
      </c>
      <c r="AD9" s="305">
        <f t="shared" si="25"/>
        <v>6</v>
      </c>
      <c r="AE9" s="305">
        <f>ROUND(Ajustes!BM5,0)</f>
        <v>228</v>
      </c>
      <c r="AF9" s="305">
        <f>ROUND(Ajustes!BN5,0)</f>
        <v>218</v>
      </c>
      <c r="AG9" s="305">
        <f>ROUND(Ajustes!BO5,0)</f>
        <v>207</v>
      </c>
      <c r="AH9" s="305">
        <f>ROUND(Ajustes!BP5,0)</f>
        <v>205</v>
      </c>
      <c r="AI9" s="305">
        <f>ROUND(Ajustes!BQ5,0)</f>
        <v>199</v>
      </c>
      <c r="AJ9" s="305">
        <f>ROUND(Ajustes!BR5,0)</f>
        <v>154</v>
      </c>
    </row>
    <row r="10" spans="2:36" x14ac:dyDescent="0.25">
      <c r="B10" s="53">
        <v>4</v>
      </c>
      <c r="C10" s="53">
        <v>7</v>
      </c>
      <c r="D10" s="53">
        <v>242</v>
      </c>
      <c r="E10" s="53">
        <v>251</v>
      </c>
      <c r="F10" s="53">
        <v>237</v>
      </c>
      <c r="G10" s="53">
        <v>234</v>
      </c>
      <c r="H10" s="53">
        <v>229</v>
      </c>
      <c r="I10" s="53">
        <v>186</v>
      </c>
      <c r="K10" s="305">
        <f t="shared" si="20"/>
        <v>4</v>
      </c>
      <c r="L10" s="305">
        <f t="shared" si="21"/>
        <v>7</v>
      </c>
      <c r="M10" s="305">
        <f>ROUND(Ajustes!AK6,0)</f>
        <v>376</v>
      </c>
      <c r="N10" s="305">
        <f>ROUND(Ajustes!AL6,0)</f>
        <v>390</v>
      </c>
      <c r="O10" s="305">
        <f>ROUND(Ajustes!AM6,0)</f>
        <v>368</v>
      </c>
      <c r="P10" s="305">
        <f>ROUND(Ajustes!AN6,0)</f>
        <v>363</v>
      </c>
      <c r="Q10" s="305">
        <f>ROUND(Ajustes!AO6,0)</f>
        <v>356</v>
      </c>
      <c r="R10" s="305">
        <f>ROUND(Ajustes!AP6,0)</f>
        <v>289</v>
      </c>
      <c r="T10" s="305">
        <f t="shared" si="22"/>
        <v>4</v>
      </c>
      <c r="U10" s="305">
        <f t="shared" si="23"/>
        <v>7</v>
      </c>
      <c r="V10" s="305">
        <f>ROUND(Ajustes!AY6,0)</f>
        <v>319</v>
      </c>
      <c r="W10" s="305">
        <f>ROUND(Ajustes!AZ6,0)</f>
        <v>331</v>
      </c>
      <c r="X10" s="305">
        <f>ROUND(Ajustes!BA6,0)</f>
        <v>313</v>
      </c>
      <c r="Y10" s="305">
        <f>ROUND(Ajustes!BB6,0)</f>
        <v>309</v>
      </c>
      <c r="Z10" s="305">
        <f>ROUND(Ajustes!BC6,0)</f>
        <v>302</v>
      </c>
      <c r="AA10" s="305">
        <f>ROUND(Ajustes!BD6,0)</f>
        <v>245</v>
      </c>
      <c r="AC10" s="305">
        <f t="shared" si="24"/>
        <v>4</v>
      </c>
      <c r="AD10" s="305">
        <f t="shared" si="25"/>
        <v>7</v>
      </c>
      <c r="AE10" s="305">
        <f>ROUND(Ajustes!BM6,0)</f>
        <v>242</v>
      </c>
      <c r="AF10" s="305">
        <f>ROUND(Ajustes!BN6,0)</f>
        <v>251</v>
      </c>
      <c r="AG10" s="305">
        <f>ROUND(Ajustes!BO6,0)</f>
        <v>237</v>
      </c>
      <c r="AH10" s="305">
        <f>ROUND(Ajustes!BP6,0)</f>
        <v>234</v>
      </c>
      <c r="AI10" s="305">
        <f>ROUND(Ajustes!BQ6,0)</f>
        <v>229</v>
      </c>
      <c r="AJ10" s="305">
        <f>ROUND(Ajustes!BR6,0)</f>
        <v>186</v>
      </c>
    </row>
    <row r="11" spans="2:36" x14ac:dyDescent="0.25">
      <c r="B11" s="53">
        <v>5</v>
      </c>
      <c r="C11" s="53">
        <v>8</v>
      </c>
      <c r="D11" s="53">
        <v>245</v>
      </c>
      <c r="E11" s="53">
        <v>257</v>
      </c>
      <c r="F11" s="53">
        <v>243</v>
      </c>
      <c r="G11" s="53">
        <v>241</v>
      </c>
      <c r="H11" s="53">
        <v>236</v>
      </c>
      <c r="I11" s="53">
        <v>191</v>
      </c>
      <c r="K11" s="305">
        <f t="shared" si="20"/>
        <v>5</v>
      </c>
      <c r="L11" s="305">
        <f t="shared" si="21"/>
        <v>8</v>
      </c>
      <c r="M11" s="305">
        <f>ROUND(Ajustes!AK7,0)</f>
        <v>381</v>
      </c>
      <c r="N11" s="305">
        <f>ROUND(Ajustes!AL7,0)</f>
        <v>399</v>
      </c>
      <c r="O11" s="305">
        <f>ROUND(Ajustes!AM7,0)</f>
        <v>377</v>
      </c>
      <c r="P11" s="305">
        <f>ROUND(Ajustes!AN7,0)</f>
        <v>374</v>
      </c>
      <c r="Q11" s="305">
        <f>ROUND(Ajustes!AO7,0)</f>
        <v>367</v>
      </c>
      <c r="R11" s="305">
        <f>ROUND(Ajustes!AP7,0)</f>
        <v>297</v>
      </c>
      <c r="T11" s="305">
        <f t="shared" si="22"/>
        <v>5</v>
      </c>
      <c r="U11" s="305">
        <f t="shared" si="23"/>
        <v>8</v>
      </c>
      <c r="V11" s="305">
        <f>ROUND(Ajustes!AY7,0)</f>
        <v>323</v>
      </c>
      <c r="W11" s="305">
        <f>ROUND(Ajustes!AZ7,0)</f>
        <v>339</v>
      </c>
      <c r="X11" s="305">
        <f>ROUND(Ajustes!BA7,0)</f>
        <v>320</v>
      </c>
      <c r="Y11" s="305">
        <f>ROUND(Ajustes!BB7,0)</f>
        <v>318</v>
      </c>
      <c r="Z11" s="305">
        <f>ROUND(Ajustes!BC7,0)</f>
        <v>311</v>
      </c>
      <c r="AA11" s="305">
        <f>ROUND(Ajustes!BD7,0)</f>
        <v>252</v>
      </c>
      <c r="AC11" s="305">
        <f t="shared" si="24"/>
        <v>5</v>
      </c>
      <c r="AD11" s="305">
        <f t="shared" si="25"/>
        <v>8</v>
      </c>
      <c r="AE11" s="305">
        <f>ROUND(Ajustes!BM7,0)</f>
        <v>245</v>
      </c>
      <c r="AF11" s="305">
        <f>ROUND(Ajustes!BN7,0)</f>
        <v>257</v>
      </c>
      <c r="AG11" s="305">
        <f>ROUND(Ajustes!BO7,0)</f>
        <v>243</v>
      </c>
      <c r="AH11" s="305">
        <f>ROUND(Ajustes!BP7,0)</f>
        <v>241</v>
      </c>
      <c r="AI11" s="305">
        <f>ROUND(Ajustes!BQ7,0)</f>
        <v>236</v>
      </c>
      <c r="AJ11" s="305">
        <f>ROUND(Ajustes!BR7,0)</f>
        <v>191</v>
      </c>
    </row>
    <row r="12" spans="2:36" x14ac:dyDescent="0.25">
      <c r="B12" s="53">
        <v>6</v>
      </c>
      <c r="C12" s="53">
        <v>9</v>
      </c>
      <c r="D12" s="53">
        <v>246</v>
      </c>
      <c r="E12" s="53">
        <v>260</v>
      </c>
      <c r="F12" s="53">
        <v>246</v>
      </c>
      <c r="G12" s="53">
        <v>243</v>
      </c>
      <c r="H12" s="53">
        <v>238</v>
      </c>
      <c r="I12" s="53">
        <v>193</v>
      </c>
      <c r="K12" s="305">
        <f t="shared" si="20"/>
        <v>6</v>
      </c>
      <c r="L12" s="305">
        <f t="shared" si="21"/>
        <v>9</v>
      </c>
      <c r="M12" s="305">
        <f>ROUND(Ajustes!AK8,0)</f>
        <v>382</v>
      </c>
      <c r="N12" s="305">
        <f>ROUND(Ajustes!AL8,0)</f>
        <v>404</v>
      </c>
      <c r="O12" s="305">
        <f>ROUND(Ajustes!AM8,0)</f>
        <v>382</v>
      </c>
      <c r="P12" s="305">
        <f>ROUND(Ajustes!AN8,0)</f>
        <v>377</v>
      </c>
      <c r="Q12" s="305">
        <f>ROUND(Ajustes!AO8,0)</f>
        <v>370</v>
      </c>
      <c r="R12" s="305">
        <f>ROUND(Ajustes!AP8,0)</f>
        <v>300</v>
      </c>
      <c r="T12" s="305">
        <f t="shared" si="22"/>
        <v>6</v>
      </c>
      <c r="U12" s="305">
        <f t="shared" si="23"/>
        <v>9</v>
      </c>
      <c r="V12" s="305">
        <f>ROUND(Ajustes!AY8,0)</f>
        <v>324</v>
      </c>
      <c r="W12" s="305">
        <f>ROUND(Ajustes!AZ8,0)</f>
        <v>343</v>
      </c>
      <c r="X12" s="305">
        <f>ROUND(Ajustes!BA8,0)</f>
        <v>324</v>
      </c>
      <c r="Y12" s="305">
        <f>ROUND(Ajustes!BB8,0)</f>
        <v>320</v>
      </c>
      <c r="Z12" s="305">
        <f>ROUND(Ajustes!BC8,0)</f>
        <v>314</v>
      </c>
      <c r="AA12" s="305">
        <f>ROUND(Ajustes!BD8,0)</f>
        <v>254</v>
      </c>
      <c r="AC12" s="305">
        <f t="shared" si="24"/>
        <v>6</v>
      </c>
      <c r="AD12" s="305">
        <f t="shared" si="25"/>
        <v>9</v>
      </c>
      <c r="AE12" s="305">
        <f>ROUND(Ajustes!BM8,0)</f>
        <v>246</v>
      </c>
      <c r="AF12" s="305">
        <f>ROUND(Ajustes!BN8,0)</f>
        <v>260</v>
      </c>
      <c r="AG12" s="305">
        <f>ROUND(Ajustes!BO8,0)</f>
        <v>246</v>
      </c>
      <c r="AH12" s="305">
        <f>ROUND(Ajustes!BP8,0)</f>
        <v>243</v>
      </c>
      <c r="AI12" s="305">
        <f>ROUND(Ajustes!BQ8,0)</f>
        <v>238</v>
      </c>
      <c r="AJ12" s="305">
        <f>ROUND(Ajustes!BR8,0)</f>
        <v>193</v>
      </c>
    </row>
    <row r="13" spans="2:36" x14ac:dyDescent="0.25">
      <c r="B13" s="53">
        <v>7</v>
      </c>
      <c r="C13" s="53">
        <v>10</v>
      </c>
      <c r="D13" s="53">
        <v>251</v>
      </c>
      <c r="E13" s="53">
        <v>268</v>
      </c>
      <c r="F13" s="53">
        <v>254</v>
      </c>
      <c r="G13" s="53">
        <v>251</v>
      </c>
      <c r="H13" s="53">
        <v>245</v>
      </c>
      <c r="I13" s="53">
        <v>199</v>
      </c>
      <c r="K13" s="305">
        <f t="shared" si="20"/>
        <v>7</v>
      </c>
      <c r="L13" s="305">
        <f t="shared" si="21"/>
        <v>10</v>
      </c>
      <c r="M13" s="305">
        <f>ROUND(Ajustes!AK9,0)</f>
        <v>390</v>
      </c>
      <c r="N13" s="305">
        <f>ROUND(Ajustes!AL9,0)</f>
        <v>416</v>
      </c>
      <c r="O13" s="305">
        <f>ROUND(Ajustes!AM9,0)</f>
        <v>395</v>
      </c>
      <c r="P13" s="305">
        <f>ROUND(Ajustes!AN9,0)</f>
        <v>390</v>
      </c>
      <c r="Q13" s="305">
        <f>ROUND(Ajustes!AO9,0)</f>
        <v>381</v>
      </c>
      <c r="R13" s="305">
        <f>ROUND(Ajustes!AP9,0)</f>
        <v>309</v>
      </c>
      <c r="T13" s="305">
        <f t="shared" si="22"/>
        <v>7</v>
      </c>
      <c r="U13" s="305">
        <f t="shared" si="23"/>
        <v>10</v>
      </c>
      <c r="V13" s="305">
        <f>ROUND(Ajustes!AY9,0)</f>
        <v>331</v>
      </c>
      <c r="W13" s="305">
        <f>ROUND(Ajustes!AZ9,0)</f>
        <v>353</v>
      </c>
      <c r="X13" s="305">
        <f>ROUND(Ajustes!BA9,0)</f>
        <v>335</v>
      </c>
      <c r="Y13" s="305">
        <f>ROUND(Ajustes!BB9,0)</f>
        <v>331</v>
      </c>
      <c r="Z13" s="305">
        <f>ROUND(Ajustes!BC9,0)</f>
        <v>323</v>
      </c>
      <c r="AA13" s="305">
        <f>ROUND(Ajustes!BD9,0)</f>
        <v>262</v>
      </c>
      <c r="AC13" s="305">
        <f t="shared" si="24"/>
        <v>7</v>
      </c>
      <c r="AD13" s="305">
        <f t="shared" si="25"/>
        <v>10</v>
      </c>
      <c r="AE13" s="305">
        <f>ROUND(Ajustes!BM9,0)</f>
        <v>251</v>
      </c>
      <c r="AF13" s="305">
        <f>ROUND(Ajustes!BN9,0)</f>
        <v>268</v>
      </c>
      <c r="AG13" s="305">
        <f>ROUND(Ajustes!BO9,0)</f>
        <v>254</v>
      </c>
      <c r="AH13" s="305">
        <f>ROUND(Ajustes!BP9,0)</f>
        <v>251</v>
      </c>
      <c r="AI13" s="305">
        <f>ROUND(Ajustes!BQ9,0)</f>
        <v>245</v>
      </c>
      <c r="AJ13" s="305">
        <f>ROUND(Ajustes!BR9,0)</f>
        <v>199</v>
      </c>
    </row>
    <row r="14" spans="2:36" x14ac:dyDescent="0.25">
      <c r="B14" s="53">
        <v>8</v>
      </c>
      <c r="C14" s="53">
        <v>11</v>
      </c>
      <c r="D14" s="53">
        <v>259</v>
      </c>
      <c r="E14" s="53">
        <v>287</v>
      </c>
      <c r="F14" s="53">
        <v>272</v>
      </c>
      <c r="G14" s="53">
        <v>269</v>
      </c>
      <c r="H14" s="53">
        <v>262</v>
      </c>
      <c r="I14" s="53">
        <v>213</v>
      </c>
      <c r="K14" s="305">
        <f t="shared" si="20"/>
        <v>8</v>
      </c>
      <c r="L14" s="305">
        <f t="shared" si="21"/>
        <v>11</v>
      </c>
      <c r="M14" s="305">
        <f>ROUND(Ajustes!AK10,0)</f>
        <v>402</v>
      </c>
      <c r="N14" s="305">
        <f>ROUND(Ajustes!AL10,0)</f>
        <v>446</v>
      </c>
      <c r="O14" s="305">
        <f>ROUND(Ajustes!AM10,0)</f>
        <v>422</v>
      </c>
      <c r="P14" s="305">
        <f>ROUND(Ajustes!AN10,0)</f>
        <v>418</v>
      </c>
      <c r="Q14" s="305">
        <f>ROUND(Ajustes!AO10,0)</f>
        <v>407</v>
      </c>
      <c r="R14" s="305">
        <f>ROUND(Ajustes!AP10,0)</f>
        <v>331</v>
      </c>
      <c r="T14" s="305">
        <f t="shared" si="22"/>
        <v>8</v>
      </c>
      <c r="U14" s="305">
        <f t="shared" si="23"/>
        <v>11</v>
      </c>
      <c r="V14" s="305">
        <f>ROUND(Ajustes!AY10,0)</f>
        <v>342</v>
      </c>
      <c r="W14" s="305">
        <f>ROUND(Ajustes!AZ10,0)</f>
        <v>378</v>
      </c>
      <c r="X14" s="305">
        <f>ROUND(Ajustes!BA10,0)</f>
        <v>359</v>
      </c>
      <c r="Y14" s="305">
        <f>ROUND(Ajustes!BB10,0)</f>
        <v>355</v>
      </c>
      <c r="Z14" s="305">
        <f>ROUND(Ajustes!BC10,0)</f>
        <v>345</v>
      </c>
      <c r="AA14" s="305">
        <f>ROUND(Ajustes!BD10,0)</f>
        <v>281</v>
      </c>
      <c r="AC14" s="305">
        <f t="shared" si="24"/>
        <v>8</v>
      </c>
      <c r="AD14" s="305">
        <f t="shared" si="25"/>
        <v>11</v>
      </c>
      <c r="AE14" s="305">
        <f>ROUND(Ajustes!BM10,0)</f>
        <v>259</v>
      </c>
      <c r="AF14" s="305">
        <f>ROUND(Ajustes!BN10,0)</f>
        <v>287</v>
      </c>
      <c r="AG14" s="305">
        <f>ROUND(Ajustes!BO10,0)</f>
        <v>272</v>
      </c>
      <c r="AH14" s="305">
        <f>ROUND(Ajustes!BP10,0)</f>
        <v>269</v>
      </c>
      <c r="AI14" s="305">
        <f>ROUND(Ajustes!BQ10,0)</f>
        <v>262</v>
      </c>
      <c r="AJ14" s="305">
        <f>ROUND(Ajustes!BR10,0)</f>
        <v>213</v>
      </c>
    </row>
    <row r="15" spans="2:36" x14ac:dyDescent="0.25">
      <c r="B15" s="53">
        <v>9</v>
      </c>
      <c r="C15" s="53">
        <v>12</v>
      </c>
      <c r="D15" s="53">
        <v>291</v>
      </c>
      <c r="E15" s="53">
        <v>331</v>
      </c>
      <c r="F15" s="53">
        <v>314</v>
      </c>
      <c r="G15" s="53">
        <v>311</v>
      </c>
      <c r="H15" s="53">
        <v>304</v>
      </c>
      <c r="I15" s="53">
        <v>243</v>
      </c>
      <c r="K15" s="305">
        <f t="shared" si="20"/>
        <v>9</v>
      </c>
      <c r="L15" s="305">
        <f t="shared" si="21"/>
        <v>12</v>
      </c>
      <c r="M15" s="305">
        <f>ROUND(Ajustes!AK11,0)</f>
        <v>452</v>
      </c>
      <c r="N15" s="305">
        <f>ROUND(Ajustes!AL11,0)</f>
        <v>514</v>
      </c>
      <c r="O15" s="305">
        <f>ROUND(Ajustes!AM11,0)</f>
        <v>488</v>
      </c>
      <c r="P15" s="305">
        <f>ROUND(Ajustes!AN11,0)</f>
        <v>483</v>
      </c>
      <c r="Q15" s="305">
        <f>ROUND(Ajustes!AO11,0)</f>
        <v>472</v>
      </c>
      <c r="R15" s="305">
        <f>ROUND(Ajustes!AP11,0)</f>
        <v>377</v>
      </c>
      <c r="T15" s="305">
        <f t="shared" si="22"/>
        <v>9</v>
      </c>
      <c r="U15" s="305">
        <f t="shared" si="23"/>
        <v>12</v>
      </c>
      <c r="V15" s="305">
        <f>ROUND(Ajustes!AY11,0)</f>
        <v>384</v>
      </c>
      <c r="W15" s="305">
        <f>ROUND(Ajustes!AZ11,0)</f>
        <v>436</v>
      </c>
      <c r="X15" s="305">
        <f>ROUND(Ajustes!BA11,0)</f>
        <v>414</v>
      </c>
      <c r="Y15" s="305">
        <f>ROUND(Ajustes!BB11,0)</f>
        <v>410</v>
      </c>
      <c r="Z15" s="305">
        <f>ROUND(Ajustes!BC11,0)</f>
        <v>401</v>
      </c>
      <c r="AA15" s="305">
        <f>ROUND(Ajustes!BD11,0)</f>
        <v>320</v>
      </c>
      <c r="AC15" s="305">
        <f t="shared" si="24"/>
        <v>9</v>
      </c>
      <c r="AD15" s="305">
        <f t="shared" si="25"/>
        <v>12</v>
      </c>
      <c r="AE15" s="305">
        <f>ROUND(Ajustes!BM11,0)</f>
        <v>291</v>
      </c>
      <c r="AF15" s="305">
        <f>ROUND(Ajustes!BN11,0)</f>
        <v>331</v>
      </c>
      <c r="AG15" s="305">
        <f>ROUND(Ajustes!BO11,0)</f>
        <v>314</v>
      </c>
      <c r="AH15" s="305">
        <f>ROUND(Ajustes!BP11,0)</f>
        <v>311</v>
      </c>
      <c r="AI15" s="305">
        <f>ROUND(Ajustes!BQ11,0)</f>
        <v>304</v>
      </c>
      <c r="AJ15" s="305">
        <f>ROUND(Ajustes!BR11,0)</f>
        <v>243</v>
      </c>
    </row>
    <row r="16" spans="2:36" x14ac:dyDescent="0.25">
      <c r="B16" s="53">
        <v>10</v>
      </c>
      <c r="C16" s="53">
        <v>14</v>
      </c>
      <c r="D16" s="53">
        <v>14</v>
      </c>
      <c r="E16" s="53">
        <v>15</v>
      </c>
      <c r="F16" s="53">
        <v>15</v>
      </c>
      <c r="G16" s="53">
        <v>14</v>
      </c>
      <c r="H16" s="53">
        <v>14</v>
      </c>
      <c r="I16" s="53">
        <v>15</v>
      </c>
      <c r="K16" s="305">
        <f t="shared" si="20"/>
        <v>10</v>
      </c>
      <c r="L16" s="305">
        <f t="shared" si="21"/>
        <v>14</v>
      </c>
      <c r="M16" s="305">
        <f>ROUND(Ajustes!AK12,0)</f>
        <v>22</v>
      </c>
      <c r="N16" s="305">
        <f>ROUND(Ajustes!AL12,0)</f>
        <v>23</v>
      </c>
      <c r="O16" s="305">
        <f>ROUND(Ajustes!AM12,0)</f>
        <v>23</v>
      </c>
      <c r="P16" s="305">
        <f>ROUND(Ajustes!AN12,0)</f>
        <v>22</v>
      </c>
      <c r="Q16" s="305">
        <f>ROUND(Ajustes!AO12,0)</f>
        <v>22</v>
      </c>
      <c r="R16" s="305">
        <f>ROUND(Ajustes!AP12,0)</f>
        <v>23</v>
      </c>
      <c r="T16" s="305">
        <f t="shared" si="22"/>
        <v>10</v>
      </c>
      <c r="U16" s="305">
        <f t="shared" si="23"/>
        <v>14</v>
      </c>
      <c r="V16" s="305">
        <f>ROUND(Ajustes!AY12,0)</f>
        <v>18</v>
      </c>
      <c r="W16" s="305">
        <f>ROUND(Ajustes!AZ12,0)</f>
        <v>20</v>
      </c>
      <c r="X16" s="305">
        <f>ROUND(Ajustes!BA12,0)</f>
        <v>20</v>
      </c>
      <c r="Y16" s="305">
        <f>ROUND(Ajustes!BB12,0)</f>
        <v>18</v>
      </c>
      <c r="Z16" s="305">
        <f>ROUND(Ajustes!BC12,0)</f>
        <v>18</v>
      </c>
      <c r="AA16" s="305">
        <f>ROUND(Ajustes!BD12,0)</f>
        <v>20</v>
      </c>
      <c r="AC16" s="305">
        <f t="shared" si="24"/>
        <v>10</v>
      </c>
      <c r="AD16" s="305">
        <f t="shared" si="25"/>
        <v>14</v>
      </c>
      <c r="AE16" s="305">
        <f>ROUND(Ajustes!BM12,0)</f>
        <v>14</v>
      </c>
      <c r="AF16" s="305">
        <f>ROUND(Ajustes!BN12,0)</f>
        <v>15</v>
      </c>
      <c r="AG16" s="305">
        <f>ROUND(Ajustes!BO12,0)</f>
        <v>15</v>
      </c>
      <c r="AH16" s="305">
        <f>ROUND(Ajustes!BP12,0)</f>
        <v>14</v>
      </c>
      <c r="AI16" s="305">
        <f>ROUND(Ajustes!BQ12,0)</f>
        <v>14</v>
      </c>
      <c r="AJ16" s="305">
        <f>ROUND(Ajustes!BR12,0)</f>
        <v>15</v>
      </c>
    </row>
    <row r="17" spans="2:36" x14ac:dyDescent="0.25">
      <c r="B17" s="53">
        <v>11</v>
      </c>
      <c r="C17" s="53">
        <v>15</v>
      </c>
      <c r="D17" s="53">
        <v>22</v>
      </c>
      <c r="E17" s="53">
        <v>26</v>
      </c>
      <c r="F17" s="53">
        <v>26</v>
      </c>
      <c r="G17" s="53">
        <v>24</v>
      </c>
      <c r="H17" s="53">
        <v>24</v>
      </c>
      <c r="I17" s="53">
        <v>26</v>
      </c>
      <c r="K17" s="305">
        <f t="shared" si="20"/>
        <v>11</v>
      </c>
      <c r="L17" s="305">
        <f t="shared" si="21"/>
        <v>15</v>
      </c>
      <c r="M17" s="305">
        <f>ROUND(Ajustes!AK13,0)</f>
        <v>34</v>
      </c>
      <c r="N17" s="305">
        <f>ROUND(Ajustes!AL13,0)</f>
        <v>40</v>
      </c>
      <c r="O17" s="305">
        <f>ROUND(Ajustes!AM13,0)</f>
        <v>40</v>
      </c>
      <c r="P17" s="305">
        <f>ROUND(Ajustes!AN13,0)</f>
        <v>37</v>
      </c>
      <c r="Q17" s="305">
        <f>ROUND(Ajustes!AO13,0)</f>
        <v>37</v>
      </c>
      <c r="R17" s="305">
        <f>ROUND(Ajustes!AP13,0)</f>
        <v>40</v>
      </c>
      <c r="T17" s="305">
        <f t="shared" si="22"/>
        <v>11</v>
      </c>
      <c r="U17" s="305">
        <f t="shared" si="23"/>
        <v>15</v>
      </c>
      <c r="V17" s="305">
        <f>ROUND(Ajustes!AY13,0)</f>
        <v>29</v>
      </c>
      <c r="W17" s="305">
        <f>ROUND(Ajustes!AZ13,0)</f>
        <v>34</v>
      </c>
      <c r="X17" s="305">
        <f>ROUND(Ajustes!BA13,0)</f>
        <v>34</v>
      </c>
      <c r="Y17" s="305">
        <f>ROUND(Ajustes!BB13,0)</f>
        <v>32</v>
      </c>
      <c r="Z17" s="305">
        <f>ROUND(Ajustes!BC13,0)</f>
        <v>32</v>
      </c>
      <c r="AA17" s="305">
        <f>ROUND(Ajustes!BD13,0)</f>
        <v>34</v>
      </c>
      <c r="AC17" s="305">
        <f t="shared" si="24"/>
        <v>11</v>
      </c>
      <c r="AD17" s="305">
        <f t="shared" si="25"/>
        <v>15</v>
      </c>
      <c r="AE17" s="305">
        <f>ROUND(Ajustes!BM13,0)</f>
        <v>22</v>
      </c>
      <c r="AF17" s="305">
        <f>ROUND(Ajustes!BN13,0)</f>
        <v>26</v>
      </c>
      <c r="AG17" s="305">
        <f>ROUND(Ajustes!BO13,0)</f>
        <v>26</v>
      </c>
      <c r="AH17" s="305">
        <f>ROUND(Ajustes!BP13,0)</f>
        <v>24</v>
      </c>
      <c r="AI17" s="305">
        <f>ROUND(Ajustes!BQ13,0)</f>
        <v>24</v>
      </c>
      <c r="AJ17" s="305">
        <f>ROUND(Ajustes!BR13,0)</f>
        <v>26</v>
      </c>
    </row>
    <row r="18" spans="2:36" x14ac:dyDescent="0.25">
      <c r="B18" s="53">
        <v>12</v>
      </c>
      <c r="C18" s="53">
        <v>16</v>
      </c>
      <c r="D18" s="53">
        <v>22</v>
      </c>
      <c r="E18" s="53">
        <v>26</v>
      </c>
      <c r="F18" s="53">
        <v>27</v>
      </c>
      <c r="G18" s="53">
        <v>24</v>
      </c>
      <c r="H18" s="53">
        <v>24</v>
      </c>
      <c r="I18" s="53">
        <v>27</v>
      </c>
      <c r="K18" s="305">
        <f t="shared" si="20"/>
        <v>12</v>
      </c>
      <c r="L18" s="305">
        <f t="shared" si="21"/>
        <v>16</v>
      </c>
      <c r="M18" s="305">
        <f>ROUND(Ajustes!AK14,0)</f>
        <v>34</v>
      </c>
      <c r="N18" s="305">
        <f>ROUND(Ajustes!AL14,0)</f>
        <v>40</v>
      </c>
      <c r="O18" s="305">
        <f>ROUND(Ajustes!AM14,0)</f>
        <v>42</v>
      </c>
      <c r="P18" s="305">
        <f>ROUND(Ajustes!AN14,0)</f>
        <v>37</v>
      </c>
      <c r="Q18" s="305">
        <f>ROUND(Ajustes!AO14,0)</f>
        <v>37</v>
      </c>
      <c r="R18" s="305">
        <f>ROUND(Ajustes!AP14,0)</f>
        <v>42</v>
      </c>
      <c r="T18" s="305">
        <f t="shared" si="22"/>
        <v>12</v>
      </c>
      <c r="U18" s="305">
        <f t="shared" si="23"/>
        <v>16</v>
      </c>
      <c r="V18" s="305">
        <f>ROUND(Ajustes!AY14,0)</f>
        <v>29</v>
      </c>
      <c r="W18" s="305">
        <f>ROUND(Ajustes!AZ14,0)</f>
        <v>34</v>
      </c>
      <c r="X18" s="305">
        <f>ROUND(Ajustes!BA14,0)</f>
        <v>36</v>
      </c>
      <c r="Y18" s="305">
        <f>ROUND(Ajustes!BB14,0)</f>
        <v>32</v>
      </c>
      <c r="Z18" s="305">
        <f>ROUND(Ajustes!BC14,0)</f>
        <v>32</v>
      </c>
      <c r="AA18" s="305">
        <f>ROUND(Ajustes!BD14,0)</f>
        <v>36</v>
      </c>
      <c r="AC18" s="305">
        <f t="shared" si="24"/>
        <v>12</v>
      </c>
      <c r="AD18" s="305">
        <f t="shared" si="25"/>
        <v>16</v>
      </c>
      <c r="AE18" s="305">
        <f>ROUND(Ajustes!BM14,0)</f>
        <v>22</v>
      </c>
      <c r="AF18" s="305">
        <f>ROUND(Ajustes!BN14,0)</f>
        <v>26</v>
      </c>
      <c r="AG18" s="305">
        <f>ROUND(Ajustes!BO14,0)</f>
        <v>27</v>
      </c>
      <c r="AH18" s="305">
        <f>ROUND(Ajustes!BP14,0)</f>
        <v>24</v>
      </c>
      <c r="AI18" s="305">
        <f>ROUND(Ajustes!BQ14,0)</f>
        <v>24</v>
      </c>
      <c r="AJ18" s="305">
        <f>ROUND(Ajustes!BR14,0)</f>
        <v>27</v>
      </c>
    </row>
    <row r="19" spans="2:36" x14ac:dyDescent="0.25">
      <c r="B19" s="53">
        <v>13</v>
      </c>
      <c r="C19" s="53">
        <v>17</v>
      </c>
      <c r="D19" s="53">
        <v>485</v>
      </c>
      <c r="E19" s="53">
        <v>487</v>
      </c>
      <c r="F19" s="53">
        <v>479</v>
      </c>
      <c r="G19" s="53">
        <v>473</v>
      </c>
      <c r="H19" s="53">
        <v>476</v>
      </c>
      <c r="I19" s="53">
        <v>467</v>
      </c>
      <c r="K19" s="305">
        <f t="shared" si="20"/>
        <v>13</v>
      </c>
      <c r="L19" s="305">
        <f t="shared" si="21"/>
        <v>17</v>
      </c>
      <c r="M19" s="305">
        <f>ROUND(Ajustes!AK15,0)</f>
        <v>753</v>
      </c>
      <c r="N19" s="305">
        <f>ROUND(Ajustes!AL15,0)</f>
        <v>756</v>
      </c>
      <c r="O19" s="305">
        <f>ROUND(Ajustes!AM15,0)</f>
        <v>744</v>
      </c>
      <c r="P19" s="305">
        <f>ROUND(Ajustes!AN15,0)</f>
        <v>735</v>
      </c>
      <c r="Q19" s="305">
        <f>ROUND(Ajustes!AO15,0)</f>
        <v>739</v>
      </c>
      <c r="R19" s="305">
        <f>ROUND(Ajustes!AP15,0)</f>
        <v>725</v>
      </c>
      <c r="T19" s="305">
        <f t="shared" si="22"/>
        <v>13</v>
      </c>
      <c r="U19" s="305">
        <f t="shared" si="23"/>
        <v>17</v>
      </c>
      <c r="V19" s="305">
        <f>ROUND(Ajustes!AY15,0)</f>
        <v>640</v>
      </c>
      <c r="W19" s="305">
        <f>ROUND(Ajustes!AZ15,0)</f>
        <v>642</v>
      </c>
      <c r="X19" s="305">
        <f>ROUND(Ajustes!BA15,0)</f>
        <v>632</v>
      </c>
      <c r="Y19" s="305">
        <f>ROUND(Ajustes!BB15,0)</f>
        <v>624</v>
      </c>
      <c r="Z19" s="305">
        <f>ROUND(Ajustes!BC15,0)</f>
        <v>628</v>
      </c>
      <c r="AA19" s="305">
        <f>ROUND(Ajustes!BD15,0)</f>
        <v>616</v>
      </c>
      <c r="AC19" s="305">
        <f t="shared" si="24"/>
        <v>13</v>
      </c>
      <c r="AD19" s="305">
        <f t="shared" si="25"/>
        <v>17</v>
      </c>
      <c r="AE19" s="305">
        <f>ROUND(Ajustes!BM15,0)</f>
        <v>485</v>
      </c>
      <c r="AF19" s="305">
        <f>ROUND(Ajustes!BN15,0)</f>
        <v>487</v>
      </c>
      <c r="AG19" s="305">
        <f>ROUND(Ajustes!BO15,0)</f>
        <v>479</v>
      </c>
      <c r="AH19" s="305">
        <f>ROUND(Ajustes!BP15,0)</f>
        <v>473</v>
      </c>
      <c r="AI19" s="305">
        <f>ROUND(Ajustes!BQ15,0)</f>
        <v>476</v>
      </c>
      <c r="AJ19" s="305">
        <f>ROUND(Ajustes!BR15,0)</f>
        <v>467</v>
      </c>
    </row>
    <row r="20" spans="2:36" x14ac:dyDescent="0.25">
      <c r="B20" s="53">
        <v>14</v>
      </c>
      <c r="C20" s="53">
        <v>18</v>
      </c>
      <c r="D20" s="53">
        <v>622</v>
      </c>
      <c r="E20" s="53">
        <v>639</v>
      </c>
      <c r="F20" s="53">
        <v>638</v>
      </c>
      <c r="G20" s="53">
        <v>621</v>
      </c>
      <c r="H20" s="53">
        <v>612</v>
      </c>
      <c r="I20" s="53">
        <v>635</v>
      </c>
      <c r="K20" s="305">
        <f t="shared" si="20"/>
        <v>14</v>
      </c>
      <c r="L20" s="305">
        <f t="shared" si="21"/>
        <v>18</v>
      </c>
      <c r="M20" s="305">
        <f>ROUND(Ajustes!AK16,0)</f>
        <v>966</v>
      </c>
      <c r="N20" s="305">
        <f>ROUND(Ajustes!AL16,0)</f>
        <v>992</v>
      </c>
      <c r="O20" s="305">
        <f>ROUND(Ajustes!AM16,0)</f>
        <v>991</v>
      </c>
      <c r="P20" s="305">
        <f>ROUND(Ajustes!AN16,0)</f>
        <v>965</v>
      </c>
      <c r="Q20" s="305">
        <f>ROUND(Ajustes!AO16,0)</f>
        <v>951</v>
      </c>
      <c r="R20" s="305">
        <f>ROUND(Ajustes!AP16,0)</f>
        <v>986</v>
      </c>
      <c r="T20" s="305">
        <f t="shared" si="22"/>
        <v>14</v>
      </c>
      <c r="U20" s="305">
        <f t="shared" si="23"/>
        <v>18</v>
      </c>
      <c r="V20" s="305">
        <f>ROUND(Ajustes!AY16,0)</f>
        <v>820</v>
      </c>
      <c r="W20" s="305">
        <f>ROUND(Ajustes!AZ16,0)</f>
        <v>843</v>
      </c>
      <c r="X20" s="305">
        <f>ROUND(Ajustes!BA16,0)</f>
        <v>841</v>
      </c>
      <c r="Y20" s="305">
        <f>ROUND(Ajustes!BB16,0)</f>
        <v>819</v>
      </c>
      <c r="Z20" s="305">
        <f>ROUND(Ajustes!BC16,0)</f>
        <v>807</v>
      </c>
      <c r="AA20" s="305">
        <f>ROUND(Ajustes!BD16,0)</f>
        <v>837</v>
      </c>
      <c r="AC20" s="305">
        <f t="shared" si="24"/>
        <v>14</v>
      </c>
      <c r="AD20" s="305">
        <f t="shared" si="25"/>
        <v>18</v>
      </c>
      <c r="AE20" s="305">
        <f>ROUND(Ajustes!BM16,0)</f>
        <v>622</v>
      </c>
      <c r="AF20" s="305">
        <f>ROUND(Ajustes!BN16,0)</f>
        <v>639</v>
      </c>
      <c r="AG20" s="305">
        <f>ROUND(Ajustes!BO16,0)</f>
        <v>638</v>
      </c>
      <c r="AH20" s="305">
        <f>ROUND(Ajustes!BP16,0)</f>
        <v>621</v>
      </c>
      <c r="AI20" s="305">
        <f>ROUND(Ajustes!BQ16,0)</f>
        <v>612</v>
      </c>
      <c r="AJ20" s="305">
        <f>ROUND(Ajustes!BR16,0)</f>
        <v>635</v>
      </c>
    </row>
    <row r="21" spans="2:36" x14ac:dyDescent="0.25">
      <c r="B21" s="53">
        <v>15</v>
      </c>
      <c r="C21" s="53">
        <v>22</v>
      </c>
      <c r="D21" s="53">
        <v>40</v>
      </c>
      <c r="E21" s="53">
        <v>39</v>
      </c>
      <c r="F21" s="53">
        <v>36</v>
      </c>
      <c r="G21" s="53">
        <v>35</v>
      </c>
      <c r="H21" s="53">
        <v>35</v>
      </c>
      <c r="I21" s="53">
        <v>32</v>
      </c>
      <c r="K21" s="305">
        <f t="shared" si="20"/>
        <v>15</v>
      </c>
      <c r="L21" s="305">
        <f t="shared" si="21"/>
        <v>22</v>
      </c>
      <c r="M21" s="305">
        <f>ROUND(Ajustes!AK17,0)</f>
        <v>62</v>
      </c>
      <c r="N21" s="305">
        <f>ROUND(Ajustes!AL17,0)</f>
        <v>61</v>
      </c>
      <c r="O21" s="305">
        <f>ROUND(Ajustes!AM17,0)</f>
        <v>56</v>
      </c>
      <c r="P21" s="305">
        <f>ROUND(Ajustes!AN17,0)</f>
        <v>54</v>
      </c>
      <c r="Q21" s="305">
        <f>ROUND(Ajustes!AO17,0)</f>
        <v>54</v>
      </c>
      <c r="R21" s="305">
        <f>ROUND(Ajustes!AP17,0)</f>
        <v>50</v>
      </c>
      <c r="T21" s="305">
        <f t="shared" si="22"/>
        <v>15</v>
      </c>
      <c r="U21" s="305">
        <f t="shared" si="23"/>
        <v>22</v>
      </c>
      <c r="V21" s="305">
        <f>ROUND(Ajustes!AY17,0)</f>
        <v>53</v>
      </c>
      <c r="W21" s="305">
        <f>ROUND(Ajustes!AZ17,0)</f>
        <v>51</v>
      </c>
      <c r="X21" s="305">
        <f>ROUND(Ajustes!BA17,0)</f>
        <v>47</v>
      </c>
      <c r="Y21" s="305">
        <f>ROUND(Ajustes!BB17,0)</f>
        <v>46</v>
      </c>
      <c r="Z21" s="305">
        <f>ROUND(Ajustes!BC17,0)</f>
        <v>46</v>
      </c>
      <c r="AA21" s="305">
        <f>ROUND(Ajustes!BD17,0)</f>
        <v>42</v>
      </c>
      <c r="AC21" s="305">
        <f t="shared" si="24"/>
        <v>15</v>
      </c>
      <c r="AD21" s="305">
        <f t="shared" si="25"/>
        <v>22</v>
      </c>
      <c r="AE21" s="305">
        <f>ROUND(Ajustes!BM17,0)</f>
        <v>40</v>
      </c>
      <c r="AF21" s="305">
        <f>ROUND(Ajustes!BN17,0)</f>
        <v>39</v>
      </c>
      <c r="AG21" s="305">
        <f>ROUND(Ajustes!BO17,0)</f>
        <v>36</v>
      </c>
      <c r="AH21" s="305">
        <f>ROUND(Ajustes!BP17,0)</f>
        <v>35</v>
      </c>
      <c r="AI21" s="305">
        <f>ROUND(Ajustes!BQ17,0)</f>
        <v>35</v>
      </c>
      <c r="AJ21" s="305">
        <f>ROUND(Ajustes!BR17,0)</f>
        <v>32</v>
      </c>
    </row>
    <row r="22" spans="2:36" x14ac:dyDescent="0.25">
      <c r="B22" s="53">
        <v>16</v>
      </c>
      <c r="C22" s="53">
        <v>23</v>
      </c>
      <c r="D22" s="53">
        <v>87</v>
      </c>
      <c r="E22" s="53">
        <v>84</v>
      </c>
      <c r="F22" s="53">
        <v>78</v>
      </c>
      <c r="G22" s="53">
        <v>75</v>
      </c>
      <c r="H22" s="53">
        <v>72</v>
      </c>
      <c r="I22" s="53">
        <v>67</v>
      </c>
      <c r="K22" s="305">
        <f t="shared" si="20"/>
        <v>16</v>
      </c>
      <c r="L22" s="305">
        <f t="shared" si="21"/>
        <v>23</v>
      </c>
      <c r="M22" s="305">
        <f>ROUND(Ajustes!AK18,0)</f>
        <v>135</v>
      </c>
      <c r="N22" s="305">
        <f>ROUND(Ajustes!AL18,0)</f>
        <v>130</v>
      </c>
      <c r="O22" s="305">
        <f>ROUND(Ajustes!AM18,0)</f>
        <v>121</v>
      </c>
      <c r="P22" s="305">
        <f>ROUND(Ajustes!AN18,0)</f>
        <v>116</v>
      </c>
      <c r="Q22" s="305">
        <f>ROUND(Ajustes!AO18,0)</f>
        <v>112</v>
      </c>
      <c r="R22" s="305">
        <f>ROUND(Ajustes!AP18,0)</f>
        <v>104</v>
      </c>
      <c r="T22" s="305">
        <f t="shared" si="22"/>
        <v>16</v>
      </c>
      <c r="U22" s="305">
        <f t="shared" si="23"/>
        <v>23</v>
      </c>
      <c r="V22" s="305">
        <f>ROUND(Ajustes!AY18,0)</f>
        <v>115</v>
      </c>
      <c r="W22" s="305">
        <f>ROUND(Ajustes!AZ18,0)</f>
        <v>111</v>
      </c>
      <c r="X22" s="305">
        <f>ROUND(Ajustes!BA18,0)</f>
        <v>103</v>
      </c>
      <c r="Y22" s="305">
        <f>ROUND(Ajustes!BB18,0)</f>
        <v>99</v>
      </c>
      <c r="Z22" s="305">
        <f>ROUND(Ajustes!BC18,0)</f>
        <v>95</v>
      </c>
      <c r="AA22" s="305">
        <f>ROUND(Ajustes!BD18,0)</f>
        <v>88</v>
      </c>
      <c r="AC22" s="305">
        <f t="shared" si="24"/>
        <v>16</v>
      </c>
      <c r="AD22" s="305">
        <f t="shared" si="25"/>
        <v>23</v>
      </c>
      <c r="AE22" s="305">
        <f>ROUND(Ajustes!BM18,0)</f>
        <v>87</v>
      </c>
      <c r="AF22" s="305">
        <f>ROUND(Ajustes!BN18,0)</f>
        <v>84</v>
      </c>
      <c r="AG22" s="305">
        <f>ROUND(Ajustes!BO18,0)</f>
        <v>78</v>
      </c>
      <c r="AH22" s="305">
        <f>ROUND(Ajustes!BP18,0)</f>
        <v>75</v>
      </c>
      <c r="AI22" s="305">
        <f>ROUND(Ajustes!BQ18,0)</f>
        <v>72</v>
      </c>
      <c r="AJ22" s="305">
        <f>ROUND(Ajustes!BR18,0)</f>
        <v>67</v>
      </c>
    </row>
    <row r="23" spans="2:36" x14ac:dyDescent="0.25">
      <c r="B23" s="53">
        <v>17</v>
      </c>
      <c r="C23" s="53">
        <v>24</v>
      </c>
      <c r="D23" s="53">
        <v>162</v>
      </c>
      <c r="E23" s="53">
        <v>155</v>
      </c>
      <c r="F23" s="53">
        <v>148</v>
      </c>
      <c r="G23" s="53">
        <v>139</v>
      </c>
      <c r="H23" s="53">
        <v>142</v>
      </c>
      <c r="I23" s="53">
        <v>135</v>
      </c>
      <c r="K23" s="305">
        <f t="shared" si="20"/>
        <v>17</v>
      </c>
      <c r="L23" s="305">
        <f t="shared" si="21"/>
        <v>24</v>
      </c>
      <c r="M23" s="305">
        <f>ROUND(Ajustes!AK19,0)</f>
        <v>252</v>
      </c>
      <c r="N23" s="305">
        <f>ROUND(Ajustes!AL19,0)</f>
        <v>241</v>
      </c>
      <c r="O23" s="305">
        <f>ROUND(Ajustes!AM19,0)</f>
        <v>230</v>
      </c>
      <c r="P23" s="305">
        <f>ROUND(Ajustes!AN19,0)</f>
        <v>216</v>
      </c>
      <c r="Q23" s="305">
        <f>ROUND(Ajustes!AO19,0)</f>
        <v>221</v>
      </c>
      <c r="R23" s="305">
        <f>ROUND(Ajustes!AP19,0)</f>
        <v>210</v>
      </c>
      <c r="T23" s="305">
        <f t="shared" si="22"/>
        <v>17</v>
      </c>
      <c r="U23" s="305">
        <f t="shared" si="23"/>
        <v>24</v>
      </c>
      <c r="V23" s="305">
        <f>ROUND(Ajustes!AY19,0)</f>
        <v>214</v>
      </c>
      <c r="W23" s="305">
        <f>ROUND(Ajustes!AZ19,0)</f>
        <v>204</v>
      </c>
      <c r="X23" s="305">
        <f>ROUND(Ajustes!BA19,0)</f>
        <v>195</v>
      </c>
      <c r="Y23" s="305">
        <f>ROUND(Ajustes!BB19,0)</f>
        <v>183</v>
      </c>
      <c r="Z23" s="305">
        <f>ROUND(Ajustes!BC19,0)</f>
        <v>187</v>
      </c>
      <c r="AA23" s="305">
        <f>ROUND(Ajustes!BD19,0)</f>
        <v>178</v>
      </c>
      <c r="AC23" s="305">
        <f t="shared" si="24"/>
        <v>17</v>
      </c>
      <c r="AD23" s="305">
        <f t="shared" si="25"/>
        <v>24</v>
      </c>
      <c r="AE23" s="305">
        <f>ROUND(Ajustes!BM19,0)</f>
        <v>162</v>
      </c>
      <c r="AF23" s="305">
        <f>ROUND(Ajustes!BN19,0)</f>
        <v>155</v>
      </c>
      <c r="AG23" s="305">
        <f>ROUND(Ajustes!BO19,0)</f>
        <v>148</v>
      </c>
      <c r="AH23" s="305">
        <f>ROUND(Ajustes!BP19,0)</f>
        <v>139</v>
      </c>
      <c r="AI23" s="305">
        <f>ROUND(Ajustes!BQ19,0)</f>
        <v>142</v>
      </c>
      <c r="AJ23" s="305">
        <f>ROUND(Ajustes!BR19,0)</f>
        <v>135</v>
      </c>
    </row>
    <row r="24" spans="2:36" x14ac:dyDescent="0.25">
      <c r="B24" s="53">
        <v>18</v>
      </c>
      <c r="C24" s="53">
        <v>25</v>
      </c>
      <c r="D24" s="53">
        <v>89</v>
      </c>
      <c r="E24" s="53">
        <v>90</v>
      </c>
      <c r="F24" s="53">
        <v>91</v>
      </c>
      <c r="G24" s="53">
        <v>81</v>
      </c>
      <c r="H24" s="53">
        <v>81</v>
      </c>
      <c r="I24" s="53">
        <v>76</v>
      </c>
      <c r="K24" s="305">
        <f t="shared" si="20"/>
        <v>18</v>
      </c>
      <c r="L24" s="305">
        <f t="shared" si="21"/>
        <v>25</v>
      </c>
      <c r="M24" s="305">
        <f>ROUND(Ajustes!AK20,0)</f>
        <v>138</v>
      </c>
      <c r="N24" s="305">
        <f>ROUND(Ajustes!AL20,0)</f>
        <v>140</v>
      </c>
      <c r="O24" s="305">
        <f>ROUND(Ajustes!AM20,0)</f>
        <v>141</v>
      </c>
      <c r="P24" s="305">
        <f>ROUND(Ajustes!AN20,0)</f>
        <v>126</v>
      </c>
      <c r="Q24" s="305">
        <f>ROUND(Ajustes!AO20,0)</f>
        <v>126</v>
      </c>
      <c r="R24" s="305">
        <f>ROUND(Ajustes!AP20,0)</f>
        <v>118</v>
      </c>
      <c r="T24" s="305">
        <f t="shared" si="22"/>
        <v>18</v>
      </c>
      <c r="U24" s="305">
        <f t="shared" si="23"/>
        <v>25</v>
      </c>
      <c r="V24" s="305">
        <f>ROUND(Ajustes!AY20,0)</f>
        <v>117</v>
      </c>
      <c r="W24" s="305">
        <f>ROUND(Ajustes!AZ20,0)</f>
        <v>119</v>
      </c>
      <c r="X24" s="305">
        <f>ROUND(Ajustes!BA20,0)</f>
        <v>120</v>
      </c>
      <c r="Y24" s="305">
        <f>ROUND(Ajustes!BB20,0)</f>
        <v>107</v>
      </c>
      <c r="Z24" s="305">
        <f>ROUND(Ajustes!BC20,0)</f>
        <v>107</v>
      </c>
      <c r="AA24" s="305">
        <f>ROUND(Ajustes!BD20,0)</f>
        <v>100</v>
      </c>
      <c r="AC24" s="305">
        <f t="shared" si="24"/>
        <v>18</v>
      </c>
      <c r="AD24" s="305">
        <f t="shared" si="25"/>
        <v>25</v>
      </c>
      <c r="AE24" s="305">
        <f>ROUND(Ajustes!BM20,0)</f>
        <v>89</v>
      </c>
      <c r="AF24" s="305">
        <f>ROUND(Ajustes!BN20,0)</f>
        <v>90</v>
      </c>
      <c r="AG24" s="305">
        <f>ROUND(Ajustes!BO20,0)</f>
        <v>91</v>
      </c>
      <c r="AH24" s="305">
        <f>ROUND(Ajustes!BP20,0)</f>
        <v>81</v>
      </c>
      <c r="AI24" s="305">
        <f>ROUND(Ajustes!BQ20,0)</f>
        <v>81</v>
      </c>
      <c r="AJ24" s="305">
        <f>ROUND(Ajustes!BR20,0)</f>
        <v>76</v>
      </c>
    </row>
    <row r="25" spans="2:36" x14ac:dyDescent="0.25">
      <c r="B25" s="53">
        <v>19</v>
      </c>
      <c r="C25" s="53">
        <v>28</v>
      </c>
      <c r="D25" s="53">
        <v>95</v>
      </c>
      <c r="E25" s="53">
        <v>108</v>
      </c>
      <c r="F25" s="53">
        <v>112</v>
      </c>
      <c r="G25" s="53">
        <v>95</v>
      </c>
      <c r="H25" s="53">
        <v>96</v>
      </c>
      <c r="I25" s="53">
        <v>101</v>
      </c>
      <c r="K25" s="305">
        <f t="shared" si="20"/>
        <v>19</v>
      </c>
      <c r="L25" s="305">
        <f t="shared" si="21"/>
        <v>28</v>
      </c>
      <c r="M25" s="305">
        <f>ROUND(Ajustes!AK21,0)</f>
        <v>148</v>
      </c>
      <c r="N25" s="305">
        <f>ROUND(Ajustes!AL21,0)</f>
        <v>168</v>
      </c>
      <c r="O25" s="305">
        <f>ROUND(Ajustes!AM21,0)</f>
        <v>174</v>
      </c>
      <c r="P25" s="305">
        <f>ROUND(Ajustes!AN21,0)</f>
        <v>148</v>
      </c>
      <c r="Q25" s="305">
        <f>ROUND(Ajustes!AO21,0)</f>
        <v>149</v>
      </c>
      <c r="R25" s="305">
        <f>ROUND(Ajustes!AP21,0)</f>
        <v>157</v>
      </c>
      <c r="T25" s="305">
        <f t="shared" si="22"/>
        <v>19</v>
      </c>
      <c r="U25" s="305">
        <f t="shared" si="23"/>
        <v>28</v>
      </c>
      <c r="V25" s="305">
        <f>ROUND(Ajustes!AY21,0)</f>
        <v>125</v>
      </c>
      <c r="W25" s="305">
        <f>ROUND(Ajustes!AZ21,0)</f>
        <v>142</v>
      </c>
      <c r="X25" s="305">
        <f>ROUND(Ajustes!BA21,0)</f>
        <v>148</v>
      </c>
      <c r="Y25" s="305">
        <f>ROUND(Ajustes!BB21,0)</f>
        <v>125</v>
      </c>
      <c r="Z25" s="305">
        <f>ROUND(Ajustes!BC21,0)</f>
        <v>127</v>
      </c>
      <c r="AA25" s="305">
        <f>ROUND(Ajustes!BD21,0)</f>
        <v>133</v>
      </c>
      <c r="AC25" s="305">
        <f t="shared" si="24"/>
        <v>19</v>
      </c>
      <c r="AD25" s="305">
        <f t="shared" si="25"/>
        <v>28</v>
      </c>
      <c r="AE25" s="305">
        <f>ROUND(Ajustes!BM21,0)</f>
        <v>95</v>
      </c>
      <c r="AF25" s="305">
        <f>ROUND(Ajustes!BN21,0)</f>
        <v>108</v>
      </c>
      <c r="AG25" s="305">
        <f>ROUND(Ajustes!BO21,0)</f>
        <v>112</v>
      </c>
      <c r="AH25" s="305">
        <f>ROUND(Ajustes!BP21,0)</f>
        <v>95</v>
      </c>
      <c r="AI25" s="305">
        <f>ROUND(Ajustes!BQ21,0)</f>
        <v>96</v>
      </c>
      <c r="AJ25" s="305">
        <f>ROUND(Ajustes!BR21,0)</f>
        <v>101</v>
      </c>
    </row>
    <row r="26" spans="2:36" x14ac:dyDescent="0.25">
      <c r="B26" s="53">
        <v>20</v>
      </c>
      <c r="C26" s="53">
        <v>31</v>
      </c>
      <c r="D26" s="53">
        <v>580</v>
      </c>
      <c r="E26" s="53">
        <v>579</v>
      </c>
      <c r="F26" s="53">
        <v>548</v>
      </c>
      <c r="G26" s="53">
        <v>519</v>
      </c>
      <c r="H26" s="53">
        <v>518</v>
      </c>
      <c r="I26" s="53">
        <v>495</v>
      </c>
      <c r="K26" s="305">
        <f t="shared" si="20"/>
        <v>20</v>
      </c>
      <c r="L26" s="305">
        <f t="shared" si="21"/>
        <v>31</v>
      </c>
      <c r="M26" s="305">
        <f>ROUND(Ajustes!AK22,0)</f>
        <v>901</v>
      </c>
      <c r="N26" s="305">
        <f>ROUND(Ajustes!AL22,0)</f>
        <v>899</v>
      </c>
      <c r="O26" s="305">
        <f>ROUND(Ajustes!AM22,0)</f>
        <v>851</v>
      </c>
      <c r="P26" s="305">
        <f>ROUND(Ajustes!AN22,0)</f>
        <v>806</v>
      </c>
      <c r="Q26" s="305">
        <f>ROUND(Ajustes!AO22,0)</f>
        <v>805</v>
      </c>
      <c r="R26" s="305">
        <f>ROUND(Ajustes!AP22,0)</f>
        <v>769</v>
      </c>
      <c r="T26" s="305">
        <f t="shared" si="22"/>
        <v>20</v>
      </c>
      <c r="U26" s="305">
        <f t="shared" si="23"/>
        <v>31</v>
      </c>
      <c r="V26" s="305">
        <f>ROUND(Ajustes!AY22,0)</f>
        <v>765</v>
      </c>
      <c r="W26" s="305">
        <f>ROUND(Ajustes!AZ22,0)</f>
        <v>763</v>
      </c>
      <c r="X26" s="305">
        <f>ROUND(Ajustes!BA22,0)</f>
        <v>723</v>
      </c>
      <c r="Y26" s="305">
        <f>ROUND(Ajustes!BB22,0)</f>
        <v>684</v>
      </c>
      <c r="Z26" s="305">
        <f>ROUND(Ajustes!BC22,0)</f>
        <v>683</v>
      </c>
      <c r="AA26" s="305">
        <f>ROUND(Ajustes!BD22,0)</f>
        <v>653</v>
      </c>
      <c r="AC26" s="305">
        <f t="shared" si="24"/>
        <v>20</v>
      </c>
      <c r="AD26" s="305">
        <f t="shared" si="25"/>
        <v>31</v>
      </c>
      <c r="AE26" s="305">
        <f>ROUND(Ajustes!BM22,0)</f>
        <v>580</v>
      </c>
      <c r="AF26" s="305">
        <f>ROUND(Ajustes!BN22,0)</f>
        <v>579</v>
      </c>
      <c r="AG26" s="305">
        <f>ROUND(Ajustes!BO22,0)</f>
        <v>548</v>
      </c>
      <c r="AH26" s="305">
        <f>ROUND(Ajustes!BP22,0)</f>
        <v>519</v>
      </c>
      <c r="AI26" s="305">
        <f>ROUND(Ajustes!BQ22,0)</f>
        <v>518</v>
      </c>
      <c r="AJ26" s="305">
        <f>ROUND(Ajustes!BR22,0)</f>
        <v>495</v>
      </c>
    </row>
    <row r="27" spans="2:36" x14ac:dyDescent="0.25">
      <c r="B27" s="53">
        <v>21</v>
      </c>
      <c r="C27" s="53">
        <v>32</v>
      </c>
      <c r="D27" s="53">
        <v>630</v>
      </c>
      <c r="E27" s="53">
        <v>633</v>
      </c>
      <c r="F27" s="53">
        <v>607</v>
      </c>
      <c r="G27" s="53">
        <v>573</v>
      </c>
      <c r="H27" s="53">
        <v>570</v>
      </c>
      <c r="I27" s="53">
        <v>543</v>
      </c>
      <c r="K27" s="305">
        <f t="shared" si="20"/>
        <v>21</v>
      </c>
      <c r="L27" s="305">
        <f t="shared" si="21"/>
        <v>32</v>
      </c>
      <c r="M27" s="305">
        <f>ROUND(Ajustes!AK23,0)</f>
        <v>978</v>
      </c>
      <c r="N27" s="305">
        <f>ROUND(Ajustes!AL23,0)</f>
        <v>983</v>
      </c>
      <c r="O27" s="305">
        <f>ROUND(Ajustes!AM23,0)</f>
        <v>943</v>
      </c>
      <c r="P27" s="305">
        <f>ROUND(Ajustes!AN23,0)</f>
        <v>890</v>
      </c>
      <c r="Q27" s="305">
        <f>ROUND(Ajustes!AO23,0)</f>
        <v>885</v>
      </c>
      <c r="R27" s="305">
        <f>ROUND(Ajustes!AP23,0)</f>
        <v>843</v>
      </c>
      <c r="T27" s="305">
        <f t="shared" si="22"/>
        <v>21</v>
      </c>
      <c r="U27" s="305">
        <f t="shared" si="23"/>
        <v>32</v>
      </c>
      <c r="V27" s="305">
        <f>ROUND(Ajustes!AY23,0)</f>
        <v>831</v>
      </c>
      <c r="W27" s="305">
        <f>ROUND(Ajustes!AZ23,0)</f>
        <v>835</v>
      </c>
      <c r="X27" s="305">
        <f>ROUND(Ajustes!BA23,0)</f>
        <v>800</v>
      </c>
      <c r="Y27" s="305">
        <f>ROUND(Ajustes!BB23,0)</f>
        <v>756</v>
      </c>
      <c r="Z27" s="305">
        <f>ROUND(Ajustes!BC23,0)</f>
        <v>752</v>
      </c>
      <c r="AA27" s="305">
        <f>ROUND(Ajustes!BD23,0)</f>
        <v>716</v>
      </c>
      <c r="AC27" s="305">
        <f t="shared" si="24"/>
        <v>21</v>
      </c>
      <c r="AD27" s="305">
        <f t="shared" si="25"/>
        <v>32</v>
      </c>
      <c r="AE27" s="305">
        <f>ROUND(Ajustes!BM23,0)</f>
        <v>630</v>
      </c>
      <c r="AF27" s="305">
        <f>ROUND(Ajustes!BN23,0)</f>
        <v>633</v>
      </c>
      <c r="AG27" s="305">
        <f>ROUND(Ajustes!BO23,0)</f>
        <v>607</v>
      </c>
      <c r="AH27" s="305">
        <f>ROUND(Ajustes!BP23,0)</f>
        <v>573</v>
      </c>
      <c r="AI27" s="305">
        <f>ROUND(Ajustes!BQ23,0)</f>
        <v>570</v>
      </c>
      <c r="AJ27" s="305">
        <f>ROUND(Ajustes!BR23,0)</f>
        <v>543</v>
      </c>
    </row>
    <row r="28" spans="2:36" x14ac:dyDescent="0.25">
      <c r="B28" s="53">
        <v>22</v>
      </c>
      <c r="C28" s="53">
        <v>33</v>
      </c>
      <c r="D28" s="53">
        <v>1109</v>
      </c>
      <c r="E28" s="53">
        <v>1084</v>
      </c>
      <c r="F28" s="53">
        <v>1051</v>
      </c>
      <c r="G28" s="53">
        <v>986</v>
      </c>
      <c r="H28" s="53">
        <v>1034</v>
      </c>
      <c r="I28" s="53">
        <v>945</v>
      </c>
      <c r="K28" s="305">
        <f t="shared" si="20"/>
        <v>22</v>
      </c>
      <c r="L28" s="305">
        <f t="shared" si="21"/>
        <v>33</v>
      </c>
      <c r="M28" s="305">
        <f>ROUND(Ajustes!AK24,0)</f>
        <v>1722</v>
      </c>
      <c r="N28" s="305">
        <f>ROUND(Ajustes!AL24,0)</f>
        <v>1684</v>
      </c>
      <c r="O28" s="305">
        <f>ROUND(Ajustes!AM24,0)</f>
        <v>1632</v>
      </c>
      <c r="P28" s="305">
        <f>ROUND(Ajustes!AN24,0)</f>
        <v>1531</v>
      </c>
      <c r="Q28" s="305">
        <f>ROUND(Ajustes!AO24,0)</f>
        <v>1606</v>
      </c>
      <c r="R28" s="305">
        <f>ROUND(Ajustes!AP24,0)</f>
        <v>1468</v>
      </c>
      <c r="T28" s="305">
        <f t="shared" si="22"/>
        <v>22</v>
      </c>
      <c r="U28" s="305">
        <f t="shared" si="23"/>
        <v>33</v>
      </c>
      <c r="V28" s="305">
        <f>ROUND(Ajustes!AY24,0)</f>
        <v>1462</v>
      </c>
      <c r="W28" s="305">
        <f>ROUND(Ajustes!AZ24,0)</f>
        <v>1429</v>
      </c>
      <c r="X28" s="305">
        <f>ROUND(Ajustes!BA24,0)</f>
        <v>1386</v>
      </c>
      <c r="Y28" s="305">
        <f>ROUND(Ajustes!BB24,0)</f>
        <v>1300</v>
      </c>
      <c r="Z28" s="305">
        <f>ROUND(Ajustes!BC24,0)</f>
        <v>1363</v>
      </c>
      <c r="AA28" s="305">
        <f>ROUND(Ajustes!BD24,0)</f>
        <v>1246</v>
      </c>
      <c r="AC28" s="305">
        <f t="shared" si="24"/>
        <v>22</v>
      </c>
      <c r="AD28" s="305">
        <f t="shared" si="25"/>
        <v>33</v>
      </c>
      <c r="AE28" s="305">
        <f>ROUND(Ajustes!BM24,0)</f>
        <v>1109</v>
      </c>
      <c r="AF28" s="305">
        <f>ROUND(Ajustes!BN24,0)</f>
        <v>1084</v>
      </c>
      <c r="AG28" s="305">
        <f>ROUND(Ajustes!BO24,0)</f>
        <v>1051</v>
      </c>
      <c r="AH28" s="305">
        <f>ROUND(Ajustes!BP24,0)</f>
        <v>986</v>
      </c>
      <c r="AI28" s="305">
        <f>ROUND(Ajustes!BQ24,0)</f>
        <v>1034</v>
      </c>
      <c r="AJ28" s="305">
        <f>ROUND(Ajustes!BR24,0)</f>
        <v>945</v>
      </c>
    </row>
    <row r="29" spans="2:36" x14ac:dyDescent="0.25">
      <c r="B29" s="53">
        <v>23</v>
      </c>
      <c r="C29" s="53">
        <v>34</v>
      </c>
      <c r="D29" s="53">
        <v>2135</v>
      </c>
      <c r="E29" s="53">
        <v>2096</v>
      </c>
      <c r="F29" s="53">
        <v>2058</v>
      </c>
      <c r="G29" s="53">
        <v>2018</v>
      </c>
      <c r="H29" s="53">
        <v>2031</v>
      </c>
      <c r="I29" s="53">
        <v>1920</v>
      </c>
      <c r="K29" s="305">
        <f t="shared" si="20"/>
        <v>23</v>
      </c>
      <c r="L29" s="305">
        <f t="shared" si="21"/>
        <v>34</v>
      </c>
      <c r="M29" s="305">
        <f>ROUND(Ajustes!AK25,0)</f>
        <v>3316</v>
      </c>
      <c r="N29" s="305">
        <f>ROUND(Ajustes!AL25,0)</f>
        <v>3255</v>
      </c>
      <c r="O29" s="305">
        <f>ROUND(Ajustes!AM25,0)</f>
        <v>3196</v>
      </c>
      <c r="P29" s="305">
        <f>ROUND(Ajustes!AN25,0)</f>
        <v>3134</v>
      </c>
      <c r="Q29" s="305">
        <f>ROUND(Ajustes!AO25,0)</f>
        <v>3154</v>
      </c>
      <c r="R29" s="305">
        <f>ROUND(Ajustes!AP25,0)</f>
        <v>2982</v>
      </c>
      <c r="T29" s="305">
        <f t="shared" si="22"/>
        <v>23</v>
      </c>
      <c r="U29" s="305">
        <f t="shared" si="23"/>
        <v>34</v>
      </c>
      <c r="V29" s="305">
        <f>ROUND(Ajustes!AY25,0)</f>
        <v>2815</v>
      </c>
      <c r="W29" s="305">
        <f>ROUND(Ajustes!AZ25,0)</f>
        <v>2764</v>
      </c>
      <c r="X29" s="305">
        <f>ROUND(Ajustes!BA25,0)</f>
        <v>2714</v>
      </c>
      <c r="Y29" s="305">
        <f>ROUND(Ajustes!BB25,0)</f>
        <v>2661</v>
      </c>
      <c r="Z29" s="305">
        <f>ROUND(Ajustes!BC25,0)</f>
        <v>2678</v>
      </c>
      <c r="AA29" s="305">
        <f>ROUND(Ajustes!BD25,0)</f>
        <v>2532</v>
      </c>
      <c r="AC29" s="305">
        <f t="shared" si="24"/>
        <v>23</v>
      </c>
      <c r="AD29" s="305">
        <f t="shared" si="25"/>
        <v>34</v>
      </c>
      <c r="AE29" s="305">
        <f>ROUND(Ajustes!BM25,0)</f>
        <v>2135</v>
      </c>
      <c r="AF29" s="305">
        <f>ROUND(Ajustes!BN25,0)</f>
        <v>2096</v>
      </c>
      <c r="AG29" s="305">
        <f>ROUND(Ajustes!BO25,0)</f>
        <v>2058</v>
      </c>
      <c r="AH29" s="305">
        <f>ROUND(Ajustes!BP25,0)</f>
        <v>2018</v>
      </c>
      <c r="AI29" s="305">
        <f>ROUND(Ajustes!BQ25,0)</f>
        <v>2031</v>
      </c>
      <c r="AJ29" s="305">
        <f>ROUND(Ajustes!BR25,0)</f>
        <v>1920</v>
      </c>
    </row>
    <row r="30" spans="2:36" x14ac:dyDescent="0.25">
      <c r="B30" s="53">
        <v>24</v>
      </c>
      <c r="C30" s="53">
        <v>47</v>
      </c>
      <c r="D30" s="53">
        <v>155</v>
      </c>
      <c r="E30" s="53">
        <v>173</v>
      </c>
      <c r="F30" s="53">
        <v>167</v>
      </c>
      <c r="G30" s="53">
        <v>165</v>
      </c>
      <c r="H30" s="53">
        <v>162</v>
      </c>
      <c r="I30" s="53">
        <v>151</v>
      </c>
      <c r="K30" s="305">
        <f t="shared" si="20"/>
        <v>24</v>
      </c>
      <c r="L30" s="305">
        <f t="shared" si="21"/>
        <v>47</v>
      </c>
      <c r="M30" s="305">
        <f>ROUND(Ajustes!AK26,0)</f>
        <v>241</v>
      </c>
      <c r="N30" s="305">
        <f>ROUND(Ajustes!AL26,0)</f>
        <v>269</v>
      </c>
      <c r="O30" s="305">
        <f>ROUND(Ajustes!AM26,0)</f>
        <v>259</v>
      </c>
      <c r="P30" s="305">
        <f>ROUND(Ajustes!AN26,0)</f>
        <v>256</v>
      </c>
      <c r="Q30" s="305">
        <f>ROUND(Ajustes!AO26,0)</f>
        <v>252</v>
      </c>
      <c r="R30" s="305">
        <f>ROUND(Ajustes!AP26,0)</f>
        <v>235</v>
      </c>
      <c r="T30" s="305">
        <f t="shared" si="22"/>
        <v>24</v>
      </c>
      <c r="U30" s="305">
        <f t="shared" si="23"/>
        <v>47</v>
      </c>
      <c r="V30" s="305">
        <f>ROUND(Ajustes!AY26,0)</f>
        <v>204</v>
      </c>
      <c r="W30" s="305">
        <f>ROUND(Ajustes!AZ26,0)</f>
        <v>228</v>
      </c>
      <c r="X30" s="305">
        <f>ROUND(Ajustes!BA26,0)</f>
        <v>220</v>
      </c>
      <c r="Y30" s="305">
        <f>ROUND(Ajustes!BB26,0)</f>
        <v>218</v>
      </c>
      <c r="Z30" s="305">
        <f>ROUND(Ajustes!BC26,0)</f>
        <v>214</v>
      </c>
      <c r="AA30" s="305">
        <f>ROUND(Ajustes!BD26,0)</f>
        <v>199</v>
      </c>
      <c r="AC30" s="305">
        <f t="shared" si="24"/>
        <v>24</v>
      </c>
      <c r="AD30" s="305">
        <f t="shared" si="25"/>
        <v>47</v>
      </c>
      <c r="AE30" s="305">
        <f>ROUND(Ajustes!BM26,0)</f>
        <v>155</v>
      </c>
      <c r="AF30" s="305">
        <f>ROUND(Ajustes!BN26,0)</f>
        <v>173</v>
      </c>
      <c r="AG30" s="305">
        <f>ROUND(Ajustes!BO26,0)</f>
        <v>167</v>
      </c>
      <c r="AH30" s="305">
        <f>ROUND(Ajustes!BP26,0)</f>
        <v>165</v>
      </c>
      <c r="AI30" s="305">
        <f>ROUND(Ajustes!BQ26,0)</f>
        <v>162</v>
      </c>
      <c r="AJ30" s="305">
        <f>ROUND(Ajustes!BR26,0)</f>
        <v>151</v>
      </c>
    </row>
    <row r="31" spans="2:36" x14ac:dyDescent="0.25">
      <c r="B31" s="53">
        <v>25</v>
      </c>
      <c r="C31" s="53">
        <v>48</v>
      </c>
      <c r="D31" s="53">
        <v>160</v>
      </c>
      <c r="E31" s="53">
        <v>178</v>
      </c>
      <c r="F31" s="53">
        <v>171</v>
      </c>
      <c r="G31" s="53">
        <v>169</v>
      </c>
      <c r="H31" s="53">
        <v>166</v>
      </c>
      <c r="I31" s="53">
        <v>154</v>
      </c>
      <c r="K31" s="305">
        <f t="shared" si="20"/>
        <v>25</v>
      </c>
      <c r="L31" s="305">
        <f t="shared" si="21"/>
        <v>48</v>
      </c>
      <c r="M31" s="305">
        <f>ROUND(Ajustes!AK27,0)</f>
        <v>249</v>
      </c>
      <c r="N31" s="305">
        <f>ROUND(Ajustes!AL27,0)</f>
        <v>276</v>
      </c>
      <c r="O31" s="305">
        <f>ROUND(Ajustes!AM27,0)</f>
        <v>266</v>
      </c>
      <c r="P31" s="305">
        <f>ROUND(Ajustes!AN27,0)</f>
        <v>262</v>
      </c>
      <c r="Q31" s="305">
        <f>ROUND(Ajustes!AO27,0)</f>
        <v>258</v>
      </c>
      <c r="R31" s="305">
        <f>ROUND(Ajustes!AP27,0)</f>
        <v>239</v>
      </c>
      <c r="T31" s="305">
        <f t="shared" si="22"/>
        <v>25</v>
      </c>
      <c r="U31" s="305">
        <f t="shared" si="23"/>
        <v>48</v>
      </c>
      <c r="V31" s="305">
        <f>ROUND(Ajustes!AY27,0)</f>
        <v>211</v>
      </c>
      <c r="W31" s="305">
        <f>ROUND(Ajustes!AZ27,0)</f>
        <v>235</v>
      </c>
      <c r="X31" s="305">
        <f>ROUND(Ajustes!BA27,0)</f>
        <v>225</v>
      </c>
      <c r="Y31" s="305">
        <f>ROUND(Ajustes!BB27,0)</f>
        <v>223</v>
      </c>
      <c r="Z31" s="305">
        <f>ROUND(Ajustes!BC27,0)</f>
        <v>219</v>
      </c>
      <c r="AA31" s="305">
        <f>ROUND(Ajustes!BD27,0)</f>
        <v>203</v>
      </c>
      <c r="AC31" s="305">
        <f t="shared" si="24"/>
        <v>25</v>
      </c>
      <c r="AD31" s="305">
        <f t="shared" si="25"/>
        <v>48</v>
      </c>
      <c r="AE31" s="305">
        <f>ROUND(Ajustes!BM27,0)</f>
        <v>160</v>
      </c>
      <c r="AF31" s="305">
        <f>ROUND(Ajustes!BN27,0)</f>
        <v>178</v>
      </c>
      <c r="AG31" s="305">
        <f>ROUND(Ajustes!BO27,0)</f>
        <v>171</v>
      </c>
      <c r="AH31" s="305">
        <f>ROUND(Ajustes!BP27,0)</f>
        <v>169</v>
      </c>
      <c r="AI31" s="305">
        <f>ROUND(Ajustes!BQ27,0)</f>
        <v>166</v>
      </c>
      <c r="AJ31" s="305">
        <f>ROUND(Ajustes!BR27,0)</f>
        <v>154</v>
      </c>
    </row>
    <row r="32" spans="2:36" x14ac:dyDescent="0.25">
      <c r="B32" s="53">
        <v>26</v>
      </c>
      <c r="C32" s="53">
        <v>49</v>
      </c>
      <c r="D32" s="53">
        <v>253</v>
      </c>
      <c r="E32" s="53">
        <v>271</v>
      </c>
      <c r="F32" s="53">
        <v>262</v>
      </c>
      <c r="G32" s="53">
        <v>258</v>
      </c>
      <c r="H32" s="53">
        <v>253</v>
      </c>
      <c r="I32" s="53">
        <v>234</v>
      </c>
      <c r="K32" s="305">
        <f t="shared" si="20"/>
        <v>26</v>
      </c>
      <c r="L32" s="305">
        <f t="shared" si="21"/>
        <v>49</v>
      </c>
      <c r="M32" s="305">
        <f>ROUND(Ajustes!AK28,0)</f>
        <v>393</v>
      </c>
      <c r="N32" s="305">
        <f>ROUND(Ajustes!AL28,0)</f>
        <v>421</v>
      </c>
      <c r="O32" s="305">
        <f>ROUND(Ajustes!AM28,0)</f>
        <v>407</v>
      </c>
      <c r="P32" s="305">
        <f>ROUND(Ajustes!AN28,0)</f>
        <v>401</v>
      </c>
      <c r="Q32" s="305">
        <f>ROUND(Ajustes!AO28,0)</f>
        <v>393</v>
      </c>
      <c r="R32" s="305">
        <f>ROUND(Ajustes!AP28,0)</f>
        <v>363</v>
      </c>
      <c r="T32" s="305">
        <f t="shared" si="22"/>
        <v>26</v>
      </c>
      <c r="U32" s="305">
        <f t="shared" si="23"/>
        <v>49</v>
      </c>
      <c r="V32" s="305">
        <f>ROUND(Ajustes!AY28,0)</f>
        <v>334</v>
      </c>
      <c r="W32" s="305">
        <f>ROUND(Ajustes!AZ28,0)</f>
        <v>357</v>
      </c>
      <c r="X32" s="305">
        <f>ROUND(Ajustes!BA28,0)</f>
        <v>345</v>
      </c>
      <c r="Y32" s="305">
        <f>ROUND(Ajustes!BB28,0)</f>
        <v>340</v>
      </c>
      <c r="Z32" s="305">
        <f>ROUND(Ajustes!BC28,0)</f>
        <v>334</v>
      </c>
      <c r="AA32" s="305">
        <f>ROUND(Ajustes!BD28,0)</f>
        <v>309</v>
      </c>
      <c r="AC32" s="305">
        <f t="shared" si="24"/>
        <v>26</v>
      </c>
      <c r="AD32" s="305">
        <f t="shared" si="25"/>
        <v>49</v>
      </c>
      <c r="AE32" s="305">
        <f>ROUND(Ajustes!BM28,0)</f>
        <v>253</v>
      </c>
      <c r="AF32" s="305">
        <f>ROUND(Ajustes!BN28,0)</f>
        <v>271</v>
      </c>
      <c r="AG32" s="305">
        <f>ROUND(Ajustes!BO28,0)</f>
        <v>262</v>
      </c>
      <c r="AH32" s="305">
        <f>ROUND(Ajustes!BP28,0)</f>
        <v>258</v>
      </c>
      <c r="AI32" s="305">
        <f>ROUND(Ajustes!BQ28,0)</f>
        <v>253</v>
      </c>
      <c r="AJ32" s="305">
        <f>ROUND(Ajustes!BR28,0)</f>
        <v>234</v>
      </c>
    </row>
    <row r="33" spans="2:36" x14ac:dyDescent="0.25">
      <c r="B33" s="53">
        <v>27</v>
      </c>
      <c r="C33" s="53">
        <v>50</v>
      </c>
      <c r="D33" s="53">
        <v>330</v>
      </c>
      <c r="E33" s="53">
        <v>364</v>
      </c>
      <c r="F33" s="53">
        <v>352</v>
      </c>
      <c r="G33" s="53">
        <v>348</v>
      </c>
      <c r="H33" s="53">
        <v>342</v>
      </c>
      <c r="I33" s="53">
        <v>318</v>
      </c>
      <c r="K33" s="305">
        <f t="shared" si="20"/>
        <v>27</v>
      </c>
      <c r="L33" s="305">
        <f t="shared" si="21"/>
        <v>50</v>
      </c>
      <c r="M33" s="305">
        <f>ROUND(Ajustes!AK29,0)</f>
        <v>513</v>
      </c>
      <c r="N33" s="305">
        <f>ROUND(Ajustes!AL29,0)</f>
        <v>565</v>
      </c>
      <c r="O33" s="305">
        <f>ROUND(Ajustes!AM29,0)</f>
        <v>547</v>
      </c>
      <c r="P33" s="305">
        <f>ROUND(Ajustes!AN29,0)</f>
        <v>541</v>
      </c>
      <c r="Q33" s="305">
        <f>ROUND(Ajustes!AO29,0)</f>
        <v>531</v>
      </c>
      <c r="R33" s="305">
        <f>ROUND(Ajustes!AP29,0)</f>
        <v>494</v>
      </c>
      <c r="T33" s="305">
        <f t="shared" si="22"/>
        <v>27</v>
      </c>
      <c r="U33" s="305">
        <f t="shared" si="23"/>
        <v>50</v>
      </c>
      <c r="V33" s="305">
        <f>ROUND(Ajustes!AY29,0)</f>
        <v>435</v>
      </c>
      <c r="W33" s="305">
        <f>ROUND(Ajustes!AZ29,0)</f>
        <v>480</v>
      </c>
      <c r="X33" s="305">
        <f>ROUND(Ajustes!BA29,0)</f>
        <v>464</v>
      </c>
      <c r="Y33" s="305">
        <f>ROUND(Ajustes!BB29,0)</f>
        <v>459</v>
      </c>
      <c r="Z33" s="305">
        <f>ROUND(Ajustes!BC29,0)</f>
        <v>451</v>
      </c>
      <c r="AA33" s="305">
        <f>ROUND(Ajustes!BD29,0)</f>
        <v>419</v>
      </c>
      <c r="AC33" s="305">
        <f t="shared" si="24"/>
        <v>27</v>
      </c>
      <c r="AD33" s="305">
        <f t="shared" si="25"/>
        <v>50</v>
      </c>
      <c r="AE33" s="305">
        <f>ROUND(Ajustes!BM29,0)</f>
        <v>330</v>
      </c>
      <c r="AF33" s="305">
        <f>ROUND(Ajustes!BN29,0)</f>
        <v>364</v>
      </c>
      <c r="AG33" s="305">
        <f>ROUND(Ajustes!BO29,0)</f>
        <v>352</v>
      </c>
      <c r="AH33" s="305">
        <f>ROUND(Ajustes!BP29,0)</f>
        <v>348</v>
      </c>
      <c r="AI33" s="305">
        <f>ROUND(Ajustes!BQ29,0)</f>
        <v>342</v>
      </c>
      <c r="AJ33" s="305">
        <f>ROUND(Ajustes!BR29,0)</f>
        <v>318</v>
      </c>
    </row>
    <row r="34" spans="2:36" x14ac:dyDescent="0.25">
      <c r="B34" s="53">
        <v>28</v>
      </c>
      <c r="C34" s="53">
        <v>51</v>
      </c>
      <c r="D34" s="53">
        <v>336</v>
      </c>
      <c r="E34" s="53">
        <v>372</v>
      </c>
      <c r="F34" s="53">
        <v>360</v>
      </c>
      <c r="G34" s="53">
        <v>354</v>
      </c>
      <c r="H34" s="53">
        <v>348</v>
      </c>
      <c r="I34" s="53">
        <v>324</v>
      </c>
      <c r="K34" s="305">
        <f t="shared" si="20"/>
        <v>28</v>
      </c>
      <c r="L34" s="305">
        <f t="shared" si="21"/>
        <v>51</v>
      </c>
      <c r="M34" s="305">
        <f>ROUND(Ajustes!AK30,0)</f>
        <v>522</v>
      </c>
      <c r="N34" s="305">
        <f>ROUND(Ajustes!AL30,0)</f>
        <v>578</v>
      </c>
      <c r="O34" s="305">
        <f>ROUND(Ajustes!AM30,0)</f>
        <v>559</v>
      </c>
      <c r="P34" s="305">
        <f>ROUND(Ajustes!AN30,0)</f>
        <v>550</v>
      </c>
      <c r="Q34" s="305">
        <f>ROUND(Ajustes!AO30,0)</f>
        <v>541</v>
      </c>
      <c r="R34" s="305">
        <f>ROUND(Ajustes!AP30,0)</f>
        <v>503</v>
      </c>
      <c r="T34" s="305">
        <f t="shared" si="22"/>
        <v>28</v>
      </c>
      <c r="U34" s="305">
        <f t="shared" si="23"/>
        <v>51</v>
      </c>
      <c r="V34" s="305">
        <f>ROUND(Ajustes!AY30,0)</f>
        <v>443</v>
      </c>
      <c r="W34" s="305">
        <f>ROUND(Ajustes!AZ30,0)</f>
        <v>491</v>
      </c>
      <c r="X34" s="305">
        <f>ROUND(Ajustes!BA30,0)</f>
        <v>475</v>
      </c>
      <c r="Y34" s="305">
        <f>ROUND(Ajustes!BB30,0)</f>
        <v>467</v>
      </c>
      <c r="Z34" s="305">
        <f>ROUND(Ajustes!BC30,0)</f>
        <v>459</v>
      </c>
      <c r="AA34" s="305">
        <f>ROUND(Ajustes!BD30,0)</f>
        <v>427</v>
      </c>
      <c r="AC34" s="305">
        <f t="shared" si="24"/>
        <v>28</v>
      </c>
      <c r="AD34" s="305">
        <f t="shared" si="25"/>
        <v>51</v>
      </c>
      <c r="AE34" s="305">
        <f>ROUND(Ajustes!BM30,0)</f>
        <v>336</v>
      </c>
      <c r="AF34" s="305">
        <f>ROUND(Ajustes!BN30,0)</f>
        <v>372</v>
      </c>
      <c r="AG34" s="305">
        <f>ROUND(Ajustes!BO30,0)</f>
        <v>360</v>
      </c>
      <c r="AH34" s="305">
        <f>ROUND(Ajustes!BP30,0)</f>
        <v>354</v>
      </c>
      <c r="AI34" s="305">
        <f>ROUND(Ajustes!BQ30,0)</f>
        <v>348</v>
      </c>
      <c r="AJ34" s="305">
        <f>ROUND(Ajustes!BR30,0)</f>
        <v>324</v>
      </c>
    </row>
    <row r="35" spans="2:36" x14ac:dyDescent="0.25">
      <c r="B35" s="53">
        <v>29</v>
      </c>
      <c r="C35" s="53">
        <v>52</v>
      </c>
      <c r="D35" s="53">
        <v>349</v>
      </c>
      <c r="E35" s="53">
        <v>387</v>
      </c>
      <c r="F35" s="53">
        <v>375</v>
      </c>
      <c r="G35" s="53">
        <v>369</v>
      </c>
      <c r="H35" s="53">
        <v>363</v>
      </c>
      <c r="I35" s="53">
        <v>337</v>
      </c>
      <c r="K35" s="305">
        <f t="shared" si="20"/>
        <v>29</v>
      </c>
      <c r="L35" s="305">
        <f t="shared" si="21"/>
        <v>52</v>
      </c>
      <c r="M35" s="305">
        <f>ROUND(Ajustes!AK31,0)</f>
        <v>542</v>
      </c>
      <c r="N35" s="305">
        <f>ROUND(Ajustes!AL31,0)</f>
        <v>601</v>
      </c>
      <c r="O35" s="305">
        <f>ROUND(Ajustes!AM31,0)</f>
        <v>582</v>
      </c>
      <c r="P35" s="305">
        <f>ROUND(Ajustes!AN31,0)</f>
        <v>573</v>
      </c>
      <c r="Q35" s="305">
        <f>ROUND(Ajustes!AO31,0)</f>
        <v>564</v>
      </c>
      <c r="R35" s="305">
        <f>ROUND(Ajustes!AP31,0)</f>
        <v>523</v>
      </c>
      <c r="T35" s="305">
        <f t="shared" si="22"/>
        <v>29</v>
      </c>
      <c r="U35" s="305">
        <f t="shared" si="23"/>
        <v>52</v>
      </c>
      <c r="V35" s="305">
        <f>ROUND(Ajustes!AY31,0)</f>
        <v>460</v>
      </c>
      <c r="W35" s="305">
        <f>ROUND(Ajustes!AZ31,0)</f>
        <v>510</v>
      </c>
      <c r="X35" s="305">
        <f>ROUND(Ajustes!BA31,0)</f>
        <v>494</v>
      </c>
      <c r="Y35" s="305">
        <f>ROUND(Ajustes!BB31,0)</f>
        <v>487</v>
      </c>
      <c r="Z35" s="305">
        <f>ROUND(Ajustes!BC31,0)</f>
        <v>479</v>
      </c>
      <c r="AA35" s="305">
        <f>ROUND(Ajustes!BD31,0)</f>
        <v>444</v>
      </c>
      <c r="AC35" s="305">
        <f t="shared" si="24"/>
        <v>29</v>
      </c>
      <c r="AD35" s="305">
        <f t="shared" si="25"/>
        <v>52</v>
      </c>
      <c r="AE35" s="305">
        <f>ROUND(Ajustes!BM31,0)</f>
        <v>349</v>
      </c>
      <c r="AF35" s="305">
        <f>ROUND(Ajustes!BN31,0)</f>
        <v>387</v>
      </c>
      <c r="AG35" s="305">
        <f>ROUND(Ajustes!BO31,0)</f>
        <v>375</v>
      </c>
      <c r="AH35" s="305">
        <f>ROUND(Ajustes!BP31,0)</f>
        <v>369</v>
      </c>
      <c r="AI35" s="305">
        <f>ROUND(Ajustes!BQ31,0)</f>
        <v>363</v>
      </c>
      <c r="AJ35" s="305">
        <f>ROUND(Ajustes!BR31,0)</f>
        <v>337</v>
      </c>
    </row>
    <row r="36" spans="2:36" x14ac:dyDescent="0.25">
      <c r="B36" s="53">
        <v>30</v>
      </c>
      <c r="C36" s="53">
        <v>57</v>
      </c>
      <c r="D36" s="53">
        <v>179</v>
      </c>
      <c r="E36" s="53">
        <v>170</v>
      </c>
      <c r="F36" s="53">
        <v>147</v>
      </c>
      <c r="G36" s="53">
        <v>144</v>
      </c>
      <c r="H36" s="53">
        <v>164</v>
      </c>
      <c r="I36" s="53">
        <v>121</v>
      </c>
      <c r="K36" s="305">
        <f t="shared" si="20"/>
        <v>30</v>
      </c>
      <c r="L36" s="305">
        <f t="shared" si="21"/>
        <v>57</v>
      </c>
      <c r="M36" s="305">
        <f>ROUND(Ajustes!AK32,0)</f>
        <v>143</v>
      </c>
      <c r="N36" s="305">
        <f>ROUND(Ajustes!AL32,0)</f>
        <v>136</v>
      </c>
      <c r="O36" s="305">
        <f>ROUND(Ajustes!AM32,0)</f>
        <v>118</v>
      </c>
      <c r="P36" s="305">
        <f>ROUND(Ajustes!AN32,0)</f>
        <v>115</v>
      </c>
      <c r="Q36" s="305">
        <f>ROUND(Ajustes!AO32,0)</f>
        <v>131</v>
      </c>
      <c r="R36" s="305">
        <f>ROUND(Ajustes!AP32,0)</f>
        <v>97</v>
      </c>
      <c r="T36" s="305">
        <f t="shared" si="22"/>
        <v>30</v>
      </c>
      <c r="U36" s="305">
        <f t="shared" si="23"/>
        <v>57</v>
      </c>
      <c r="V36" s="305">
        <f>ROUND(Ajustes!AY32,0)</f>
        <v>143</v>
      </c>
      <c r="W36" s="305">
        <f>ROUND(Ajustes!AZ32,0)</f>
        <v>136</v>
      </c>
      <c r="X36" s="305">
        <f>ROUND(Ajustes!BA32,0)</f>
        <v>118</v>
      </c>
      <c r="Y36" s="305">
        <f>ROUND(Ajustes!BB32,0)</f>
        <v>115</v>
      </c>
      <c r="Z36" s="305">
        <f>ROUND(Ajustes!BC32,0)</f>
        <v>131</v>
      </c>
      <c r="AA36" s="305">
        <f>ROUND(Ajustes!BD32,0)</f>
        <v>97</v>
      </c>
      <c r="AC36" s="305">
        <f t="shared" si="24"/>
        <v>30</v>
      </c>
      <c r="AD36" s="305">
        <f t="shared" si="25"/>
        <v>57</v>
      </c>
      <c r="AE36" s="305">
        <f>ROUND(Ajustes!BM32,0)</f>
        <v>179</v>
      </c>
      <c r="AF36" s="305">
        <f>ROUND(Ajustes!BN32,0)</f>
        <v>170</v>
      </c>
      <c r="AG36" s="305">
        <f>ROUND(Ajustes!BO32,0)</f>
        <v>147</v>
      </c>
      <c r="AH36" s="305">
        <f>ROUND(Ajustes!BP32,0)</f>
        <v>144</v>
      </c>
      <c r="AI36" s="305">
        <f>ROUND(Ajustes!BQ32,0)</f>
        <v>164</v>
      </c>
      <c r="AJ36" s="305">
        <f>ROUND(Ajustes!BR32,0)</f>
        <v>121</v>
      </c>
    </row>
    <row r="37" spans="2:36" x14ac:dyDescent="0.25">
      <c r="B37" s="53">
        <v>31</v>
      </c>
      <c r="C37" s="53">
        <v>61</v>
      </c>
      <c r="D37" s="53">
        <v>793</v>
      </c>
      <c r="E37" s="53">
        <v>852</v>
      </c>
      <c r="F37" s="53">
        <v>886</v>
      </c>
      <c r="G37" s="53">
        <v>870</v>
      </c>
      <c r="H37" s="53">
        <v>694</v>
      </c>
      <c r="I37" s="53">
        <v>711</v>
      </c>
      <c r="K37" s="305">
        <f t="shared" si="20"/>
        <v>31</v>
      </c>
      <c r="L37" s="305">
        <f t="shared" si="21"/>
        <v>61</v>
      </c>
      <c r="M37" s="305">
        <f>ROUND(Ajustes!AK33,0)</f>
        <v>1097</v>
      </c>
      <c r="N37" s="305">
        <f>ROUND(Ajustes!AL33,0)</f>
        <v>1196</v>
      </c>
      <c r="O37" s="305">
        <f>ROUND(Ajustes!AM33,0)</f>
        <v>1266</v>
      </c>
      <c r="P37" s="305">
        <f>ROUND(Ajustes!AN33,0)</f>
        <v>1243</v>
      </c>
      <c r="Q37" s="305">
        <f>ROUND(Ajustes!AO33,0)</f>
        <v>955</v>
      </c>
      <c r="R37" s="305">
        <f>ROUND(Ajustes!AP33,0)</f>
        <v>1013</v>
      </c>
      <c r="T37" s="305">
        <f t="shared" si="22"/>
        <v>31</v>
      </c>
      <c r="U37" s="305">
        <f t="shared" si="23"/>
        <v>61</v>
      </c>
      <c r="V37" s="305">
        <f>ROUND(Ajustes!AY33,0)</f>
        <v>953</v>
      </c>
      <c r="W37" s="305">
        <f>ROUND(Ajustes!AZ33,0)</f>
        <v>1036</v>
      </c>
      <c r="X37" s="305">
        <f>ROUND(Ajustes!BA33,0)</f>
        <v>1092</v>
      </c>
      <c r="Y37" s="305">
        <f>ROUND(Ajustes!BB33,0)</f>
        <v>1073</v>
      </c>
      <c r="Z37" s="305">
        <f>ROUND(Ajustes!BC33,0)</f>
        <v>830</v>
      </c>
      <c r="AA37" s="305">
        <f>ROUND(Ajustes!BD33,0)</f>
        <v>875</v>
      </c>
      <c r="AC37" s="305">
        <f t="shared" si="24"/>
        <v>31</v>
      </c>
      <c r="AD37" s="305">
        <f t="shared" si="25"/>
        <v>61</v>
      </c>
      <c r="AE37" s="305">
        <f>ROUND(Ajustes!BM33,0)</f>
        <v>793</v>
      </c>
      <c r="AF37" s="305">
        <f>ROUND(Ajustes!BN33,0)</f>
        <v>852</v>
      </c>
      <c r="AG37" s="305">
        <f>ROUND(Ajustes!BO33,0)</f>
        <v>886</v>
      </c>
      <c r="AH37" s="305">
        <f>ROUND(Ajustes!BP33,0)</f>
        <v>870</v>
      </c>
      <c r="AI37" s="305">
        <f>ROUND(Ajustes!BQ33,0)</f>
        <v>694</v>
      </c>
      <c r="AJ37" s="305">
        <f>ROUND(Ajustes!BR33,0)</f>
        <v>711</v>
      </c>
    </row>
    <row r="38" spans="2:36" x14ac:dyDescent="0.25">
      <c r="B38" s="53">
        <v>32</v>
      </c>
      <c r="C38" s="53">
        <v>62</v>
      </c>
      <c r="D38" s="53">
        <v>844</v>
      </c>
      <c r="E38" s="53">
        <v>930</v>
      </c>
      <c r="F38" s="53">
        <v>962</v>
      </c>
      <c r="G38" s="53">
        <v>944</v>
      </c>
      <c r="H38" s="53">
        <v>760</v>
      </c>
      <c r="I38" s="53">
        <v>770</v>
      </c>
      <c r="K38" s="305">
        <f t="shared" ref="K38:K69" si="26">B38</f>
        <v>32</v>
      </c>
      <c r="L38" s="305">
        <f t="shared" ref="L38:L69" si="27">C38</f>
        <v>62</v>
      </c>
      <c r="M38" s="305">
        <f>ROUND(Ajustes!AK34,0)</f>
        <v>1176</v>
      </c>
      <c r="N38" s="305">
        <f>ROUND(Ajustes!AL34,0)</f>
        <v>1317</v>
      </c>
      <c r="O38" s="305">
        <f>ROUND(Ajustes!AM34,0)</f>
        <v>1384</v>
      </c>
      <c r="P38" s="305">
        <f>ROUND(Ajustes!AN34,0)</f>
        <v>1358</v>
      </c>
      <c r="Q38" s="305">
        <f>ROUND(Ajustes!AO34,0)</f>
        <v>1057</v>
      </c>
      <c r="R38" s="305">
        <f>ROUND(Ajustes!AP34,0)</f>
        <v>1105</v>
      </c>
      <c r="T38" s="305">
        <f t="shared" si="22"/>
        <v>32</v>
      </c>
      <c r="U38" s="305">
        <f t="shared" si="23"/>
        <v>62</v>
      </c>
      <c r="V38" s="305">
        <f>ROUND(Ajustes!AY34,0)</f>
        <v>1020</v>
      </c>
      <c r="W38" s="305">
        <f>ROUND(Ajustes!AZ34,0)</f>
        <v>1138</v>
      </c>
      <c r="X38" s="305">
        <f>ROUND(Ajustes!BA34,0)</f>
        <v>1193</v>
      </c>
      <c r="Y38" s="305">
        <f>ROUND(Ajustes!BB34,0)</f>
        <v>1170</v>
      </c>
      <c r="Z38" s="305">
        <f>ROUND(Ajustes!BC34,0)</f>
        <v>917</v>
      </c>
      <c r="AA38" s="305">
        <f>ROUND(Ajustes!BD34,0)</f>
        <v>953</v>
      </c>
      <c r="AC38" s="305">
        <f t="shared" si="24"/>
        <v>32</v>
      </c>
      <c r="AD38" s="305">
        <f t="shared" si="25"/>
        <v>62</v>
      </c>
      <c r="AE38" s="305">
        <f>ROUND(Ajustes!BM34,0)</f>
        <v>844</v>
      </c>
      <c r="AF38" s="305">
        <f>ROUND(Ajustes!BN34,0)</f>
        <v>930</v>
      </c>
      <c r="AG38" s="305">
        <f>ROUND(Ajustes!BO34,0)</f>
        <v>962</v>
      </c>
      <c r="AH38" s="305">
        <f>ROUND(Ajustes!BP34,0)</f>
        <v>944</v>
      </c>
      <c r="AI38" s="305">
        <f>ROUND(Ajustes!BQ34,0)</f>
        <v>760</v>
      </c>
      <c r="AJ38" s="305">
        <f>ROUND(Ajustes!BR34,0)</f>
        <v>770</v>
      </c>
    </row>
    <row r="39" spans="2:36" x14ac:dyDescent="0.25">
      <c r="B39" s="53">
        <v>33</v>
      </c>
      <c r="C39" s="53">
        <v>63</v>
      </c>
      <c r="D39" s="53">
        <v>967</v>
      </c>
      <c r="E39" s="53">
        <v>971</v>
      </c>
      <c r="F39" s="53">
        <v>1214</v>
      </c>
      <c r="G39" s="53">
        <v>1121</v>
      </c>
      <c r="H39" s="53">
        <v>856</v>
      </c>
      <c r="I39" s="53">
        <v>922</v>
      </c>
      <c r="K39" s="305">
        <f t="shared" si="26"/>
        <v>33</v>
      </c>
      <c r="L39" s="305">
        <f t="shared" si="27"/>
        <v>63</v>
      </c>
      <c r="M39" s="305">
        <f>ROUND(Ajustes!AK35,0)</f>
        <v>1367</v>
      </c>
      <c r="N39" s="305">
        <f>ROUND(Ajustes!AL35,0)</f>
        <v>1380</v>
      </c>
      <c r="O39" s="305">
        <f>ROUND(Ajustes!AM35,0)</f>
        <v>1775</v>
      </c>
      <c r="P39" s="305">
        <f>ROUND(Ajustes!AN35,0)</f>
        <v>1633</v>
      </c>
      <c r="Q39" s="305">
        <f>ROUND(Ajustes!AO35,0)</f>
        <v>1206</v>
      </c>
      <c r="R39" s="305">
        <f>ROUND(Ajustes!AP35,0)</f>
        <v>1341</v>
      </c>
      <c r="T39" s="305">
        <f t="shared" si="22"/>
        <v>33</v>
      </c>
      <c r="U39" s="305">
        <f t="shared" si="23"/>
        <v>63</v>
      </c>
      <c r="V39" s="305">
        <f>ROUND(Ajustes!AY35,0)</f>
        <v>1183</v>
      </c>
      <c r="W39" s="305">
        <f>ROUND(Ajustes!AZ35,0)</f>
        <v>1193</v>
      </c>
      <c r="X39" s="305">
        <f>ROUND(Ajustes!BA35,0)</f>
        <v>1525</v>
      </c>
      <c r="Y39" s="305">
        <f>ROUND(Ajustes!BB35,0)</f>
        <v>1404</v>
      </c>
      <c r="Z39" s="305">
        <f>ROUND(Ajustes!BC35,0)</f>
        <v>1044</v>
      </c>
      <c r="AA39" s="305">
        <f>ROUND(Ajustes!BD35,0)</f>
        <v>1153</v>
      </c>
      <c r="AC39" s="305">
        <f t="shared" si="24"/>
        <v>33</v>
      </c>
      <c r="AD39" s="305">
        <f t="shared" si="25"/>
        <v>63</v>
      </c>
      <c r="AE39" s="305">
        <f>ROUND(Ajustes!BM35,0)</f>
        <v>967</v>
      </c>
      <c r="AF39" s="305">
        <f>ROUND(Ajustes!BN35,0)</f>
        <v>971</v>
      </c>
      <c r="AG39" s="305">
        <f>ROUND(Ajustes!BO35,0)</f>
        <v>1214</v>
      </c>
      <c r="AH39" s="305">
        <f>ROUND(Ajustes!BP35,0)</f>
        <v>1121</v>
      </c>
      <c r="AI39" s="305">
        <f>ROUND(Ajustes!BQ35,0)</f>
        <v>856</v>
      </c>
      <c r="AJ39" s="305">
        <f>ROUND(Ajustes!BR35,0)</f>
        <v>922</v>
      </c>
    </row>
    <row r="40" spans="2:36" x14ac:dyDescent="0.25">
      <c r="B40" s="53">
        <v>34</v>
      </c>
      <c r="C40" s="53">
        <v>71</v>
      </c>
      <c r="D40" s="53">
        <v>126</v>
      </c>
      <c r="E40" s="53">
        <v>137</v>
      </c>
      <c r="F40" s="53">
        <v>95</v>
      </c>
      <c r="G40" s="53">
        <v>65</v>
      </c>
      <c r="H40" s="53">
        <v>58</v>
      </c>
      <c r="I40" s="53">
        <v>50</v>
      </c>
      <c r="K40" s="305">
        <f t="shared" si="26"/>
        <v>34</v>
      </c>
      <c r="L40" s="305">
        <f t="shared" si="27"/>
        <v>71</v>
      </c>
      <c r="M40" s="305">
        <f>ROUND(Ajustes!AK36,0)</f>
        <v>101</v>
      </c>
      <c r="N40" s="305">
        <f>ROUND(Ajustes!AL36,0)</f>
        <v>110</v>
      </c>
      <c r="O40" s="305">
        <f>ROUND(Ajustes!AM36,0)</f>
        <v>76</v>
      </c>
      <c r="P40" s="305">
        <f>ROUND(Ajustes!AN36,0)</f>
        <v>52</v>
      </c>
      <c r="Q40" s="305">
        <f>ROUND(Ajustes!AO36,0)</f>
        <v>46</v>
      </c>
      <c r="R40" s="305">
        <f>ROUND(Ajustes!AP36,0)</f>
        <v>40</v>
      </c>
      <c r="T40" s="305">
        <f t="shared" si="22"/>
        <v>34</v>
      </c>
      <c r="U40" s="305">
        <f t="shared" si="23"/>
        <v>71</v>
      </c>
      <c r="V40" s="305">
        <f>ROUND(Ajustes!AY36,0)</f>
        <v>101</v>
      </c>
      <c r="W40" s="305">
        <f>ROUND(Ajustes!AZ36,0)</f>
        <v>110</v>
      </c>
      <c r="X40" s="305">
        <f>ROUND(Ajustes!BA36,0)</f>
        <v>76</v>
      </c>
      <c r="Y40" s="305">
        <f>ROUND(Ajustes!BB36,0)</f>
        <v>52</v>
      </c>
      <c r="Z40" s="305">
        <f>ROUND(Ajustes!BC36,0)</f>
        <v>46</v>
      </c>
      <c r="AA40" s="305">
        <f>ROUND(Ajustes!BD36,0)</f>
        <v>40</v>
      </c>
      <c r="AC40" s="305">
        <f t="shared" si="24"/>
        <v>34</v>
      </c>
      <c r="AD40" s="305">
        <f t="shared" si="25"/>
        <v>71</v>
      </c>
      <c r="AE40" s="305">
        <f>ROUND(Ajustes!BM36,0)</f>
        <v>126</v>
      </c>
      <c r="AF40" s="305">
        <f>ROUND(Ajustes!BN36,0)</f>
        <v>137</v>
      </c>
      <c r="AG40" s="305">
        <f>ROUND(Ajustes!BO36,0)</f>
        <v>95</v>
      </c>
      <c r="AH40" s="305">
        <f>ROUND(Ajustes!BP36,0)</f>
        <v>65</v>
      </c>
      <c r="AI40" s="305">
        <f>ROUND(Ajustes!BQ36,0)</f>
        <v>58</v>
      </c>
      <c r="AJ40" s="305">
        <f>ROUND(Ajustes!BR36,0)</f>
        <v>50</v>
      </c>
    </row>
    <row r="41" spans="2:36" x14ac:dyDescent="0.25">
      <c r="B41" s="53">
        <v>35</v>
      </c>
      <c r="C41" s="53">
        <v>72</v>
      </c>
      <c r="D41" s="53">
        <v>132</v>
      </c>
      <c r="E41" s="53">
        <v>143</v>
      </c>
      <c r="F41" s="53">
        <v>99</v>
      </c>
      <c r="G41" s="53">
        <v>68</v>
      </c>
      <c r="H41" s="53">
        <v>60</v>
      </c>
      <c r="I41" s="53">
        <v>52</v>
      </c>
      <c r="K41" s="305">
        <f t="shared" si="26"/>
        <v>35</v>
      </c>
      <c r="L41" s="305">
        <f t="shared" si="27"/>
        <v>72</v>
      </c>
      <c r="M41" s="305">
        <f>ROUND(Ajustes!AK37,0)</f>
        <v>106</v>
      </c>
      <c r="N41" s="305">
        <f>ROUND(Ajustes!AL37,0)</f>
        <v>115</v>
      </c>
      <c r="O41" s="305">
        <f>ROUND(Ajustes!AM37,0)</f>
        <v>79</v>
      </c>
      <c r="P41" s="305">
        <f>ROUND(Ajustes!AN37,0)</f>
        <v>55</v>
      </c>
      <c r="Q41" s="305">
        <f>ROUND(Ajustes!AO37,0)</f>
        <v>48</v>
      </c>
      <c r="R41" s="305">
        <f>ROUND(Ajustes!AP37,0)</f>
        <v>42</v>
      </c>
      <c r="T41" s="305">
        <f t="shared" si="22"/>
        <v>35</v>
      </c>
      <c r="U41" s="305">
        <f t="shared" si="23"/>
        <v>72</v>
      </c>
      <c r="V41" s="305">
        <f>ROUND(Ajustes!AY37,0)</f>
        <v>106</v>
      </c>
      <c r="W41" s="305">
        <f>ROUND(Ajustes!AZ37,0)</f>
        <v>115</v>
      </c>
      <c r="X41" s="305">
        <f>ROUND(Ajustes!BA37,0)</f>
        <v>79</v>
      </c>
      <c r="Y41" s="305">
        <f>ROUND(Ajustes!BB37,0)</f>
        <v>55</v>
      </c>
      <c r="Z41" s="305">
        <f>ROUND(Ajustes!BC37,0)</f>
        <v>48</v>
      </c>
      <c r="AA41" s="305">
        <f>ROUND(Ajustes!BD37,0)</f>
        <v>42</v>
      </c>
      <c r="AC41" s="305">
        <f t="shared" si="24"/>
        <v>35</v>
      </c>
      <c r="AD41" s="305">
        <f t="shared" si="25"/>
        <v>72</v>
      </c>
      <c r="AE41" s="305">
        <f>ROUND(Ajustes!BM37,0)</f>
        <v>132</v>
      </c>
      <c r="AF41" s="305">
        <f>ROUND(Ajustes!BN37,0)</f>
        <v>143</v>
      </c>
      <c r="AG41" s="305">
        <f>ROUND(Ajustes!BO37,0)</f>
        <v>99</v>
      </c>
      <c r="AH41" s="305">
        <f>ROUND(Ajustes!BP37,0)</f>
        <v>68</v>
      </c>
      <c r="AI41" s="305">
        <f>ROUND(Ajustes!BQ37,0)</f>
        <v>60</v>
      </c>
      <c r="AJ41" s="305">
        <f>ROUND(Ajustes!BR37,0)</f>
        <v>52</v>
      </c>
    </row>
    <row r="42" spans="2:36" x14ac:dyDescent="0.25">
      <c r="B42" s="53">
        <v>36</v>
      </c>
      <c r="C42" s="53">
        <v>73</v>
      </c>
      <c r="D42" s="53">
        <v>151</v>
      </c>
      <c r="E42" s="53">
        <v>280</v>
      </c>
      <c r="F42" s="53">
        <v>178</v>
      </c>
      <c r="G42" s="53">
        <v>83</v>
      </c>
      <c r="H42" s="53">
        <v>73</v>
      </c>
      <c r="I42" s="53">
        <v>64</v>
      </c>
      <c r="K42" s="305">
        <f t="shared" si="26"/>
        <v>36</v>
      </c>
      <c r="L42" s="305">
        <f t="shared" si="27"/>
        <v>73</v>
      </c>
      <c r="M42" s="305">
        <f>ROUND(Ajustes!AK38,0)</f>
        <v>121</v>
      </c>
      <c r="N42" s="305">
        <f>ROUND(Ajustes!AL38,0)</f>
        <v>224</v>
      </c>
      <c r="O42" s="305">
        <f>ROUND(Ajustes!AM38,0)</f>
        <v>143</v>
      </c>
      <c r="P42" s="305">
        <f>ROUND(Ajustes!AN38,0)</f>
        <v>67</v>
      </c>
      <c r="Q42" s="305">
        <f>ROUND(Ajustes!AO38,0)</f>
        <v>59</v>
      </c>
      <c r="R42" s="305">
        <f>ROUND(Ajustes!AP38,0)</f>
        <v>51</v>
      </c>
      <c r="T42" s="305">
        <f t="shared" si="22"/>
        <v>36</v>
      </c>
      <c r="U42" s="305">
        <f t="shared" si="23"/>
        <v>73</v>
      </c>
      <c r="V42" s="305">
        <f>ROUND(Ajustes!AY38,0)</f>
        <v>121</v>
      </c>
      <c r="W42" s="305">
        <f>ROUND(Ajustes!AZ38,0)</f>
        <v>224</v>
      </c>
      <c r="X42" s="305">
        <f>ROUND(Ajustes!BA38,0)</f>
        <v>143</v>
      </c>
      <c r="Y42" s="305">
        <f>ROUND(Ajustes!BB38,0)</f>
        <v>67</v>
      </c>
      <c r="Z42" s="305">
        <f>ROUND(Ajustes!BC38,0)</f>
        <v>59</v>
      </c>
      <c r="AA42" s="305">
        <f>ROUND(Ajustes!BD38,0)</f>
        <v>51</v>
      </c>
      <c r="AC42" s="305">
        <f t="shared" si="24"/>
        <v>36</v>
      </c>
      <c r="AD42" s="305">
        <f t="shared" si="25"/>
        <v>73</v>
      </c>
      <c r="AE42" s="305">
        <f>ROUND(Ajustes!BM38,0)</f>
        <v>151</v>
      </c>
      <c r="AF42" s="305">
        <f>ROUND(Ajustes!BN38,0)</f>
        <v>280</v>
      </c>
      <c r="AG42" s="305">
        <f>ROUND(Ajustes!BO38,0)</f>
        <v>178</v>
      </c>
      <c r="AH42" s="305">
        <f>ROUND(Ajustes!BP38,0)</f>
        <v>83</v>
      </c>
      <c r="AI42" s="305">
        <f>ROUND(Ajustes!BQ38,0)</f>
        <v>73</v>
      </c>
      <c r="AJ42" s="305">
        <f>ROUND(Ajustes!BR38,0)</f>
        <v>64</v>
      </c>
    </row>
    <row r="43" spans="2:36" x14ac:dyDescent="0.25">
      <c r="B43" s="53">
        <v>37</v>
      </c>
      <c r="C43" s="53">
        <v>74</v>
      </c>
      <c r="D43" s="53">
        <v>1065</v>
      </c>
      <c r="E43" s="53">
        <v>1059</v>
      </c>
      <c r="F43" s="53">
        <v>793</v>
      </c>
      <c r="G43" s="53">
        <v>638</v>
      </c>
      <c r="H43" s="53">
        <v>492</v>
      </c>
      <c r="I43" s="53">
        <v>431</v>
      </c>
      <c r="K43" s="305">
        <f t="shared" si="26"/>
        <v>37</v>
      </c>
      <c r="L43" s="305">
        <f t="shared" si="27"/>
        <v>74</v>
      </c>
      <c r="M43" s="305">
        <f>ROUND(Ajustes!AK39,0)</f>
        <v>854</v>
      </c>
      <c r="N43" s="305">
        <f>ROUND(Ajustes!AL39,0)</f>
        <v>849</v>
      </c>
      <c r="O43" s="305">
        <f>ROUND(Ajustes!AM39,0)</f>
        <v>636</v>
      </c>
      <c r="P43" s="305">
        <f>ROUND(Ajustes!AN39,0)</f>
        <v>511</v>
      </c>
      <c r="Q43" s="305">
        <f>ROUND(Ajustes!AO39,0)</f>
        <v>394</v>
      </c>
      <c r="R43" s="305">
        <f>ROUND(Ajustes!AP39,0)</f>
        <v>345</v>
      </c>
      <c r="T43" s="305">
        <f t="shared" si="22"/>
        <v>37</v>
      </c>
      <c r="U43" s="305">
        <f t="shared" si="23"/>
        <v>74</v>
      </c>
      <c r="V43" s="305">
        <f>ROUND(Ajustes!AY39,0)</f>
        <v>854</v>
      </c>
      <c r="W43" s="305">
        <f>ROUND(Ajustes!AZ39,0)</f>
        <v>849</v>
      </c>
      <c r="X43" s="305">
        <f>ROUND(Ajustes!BA39,0)</f>
        <v>636</v>
      </c>
      <c r="Y43" s="305">
        <f>ROUND(Ajustes!BB39,0)</f>
        <v>511</v>
      </c>
      <c r="Z43" s="305">
        <f>ROUND(Ajustes!BC39,0)</f>
        <v>394</v>
      </c>
      <c r="AA43" s="305">
        <f>ROUND(Ajustes!BD39,0)</f>
        <v>345</v>
      </c>
      <c r="AC43" s="305">
        <f t="shared" si="24"/>
        <v>37</v>
      </c>
      <c r="AD43" s="305">
        <f t="shared" si="25"/>
        <v>74</v>
      </c>
      <c r="AE43" s="305">
        <f>ROUND(Ajustes!BM39,0)</f>
        <v>1065</v>
      </c>
      <c r="AF43" s="305">
        <f>ROUND(Ajustes!BN39,0)</f>
        <v>1059</v>
      </c>
      <c r="AG43" s="305">
        <f>ROUND(Ajustes!BO39,0)</f>
        <v>793</v>
      </c>
      <c r="AH43" s="305">
        <f>ROUND(Ajustes!BP39,0)</f>
        <v>638</v>
      </c>
      <c r="AI43" s="305">
        <f>ROUND(Ajustes!BQ39,0)</f>
        <v>492</v>
      </c>
      <c r="AJ43" s="305">
        <f>ROUND(Ajustes!BR39,0)</f>
        <v>431</v>
      </c>
    </row>
    <row r="44" spans="2:36" x14ac:dyDescent="0.25">
      <c r="B44" s="53">
        <v>38</v>
      </c>
      <c r="C44" s="53">
        <v>76</v>
      </c>
      <c r="D44" s="53">
        <v>1173</v>
      </c>
      <c r="E44" s="53">
        <v>1213</v>
      </c>
      <c r="F44" s="53">
        <v>909</v>
      </c>
      <c r="G44" s="53">
        <v>733</v>
      </c>
      <c r="H44" s="53">
        <v>566</v>
      </c>
      <c r="I44" s="53">
        <v>488</v>
      </c>
      <c r="K44" s="305">
        <f t="shared" si="26"/>
        <v>38</v>
      </c>
      <c r="L44" s="305">
        <f t="shared" si="27"/>
        <v>76</v>
      </c>
      <c r="M44" s="305">
        <f>ROUND(Ajustes!AK40,0)</f>
        <v>940</v>
      </c>
      <c r="N44" s="305">
        <f>ROUND(Ajustes!AL40,0)</f>
        <v>972</v>
      </c>
      <c r="O44" s="305">
        <f>ROUND(Ajustes!AM40,0)</f>
        <v>729</v>
      </c>
      <c r="P44" s="305">
        <f>ROUND(Ajustes!AN40,0)</f>
        <v>588</v>
      </c>
      <c r="Q44" s="305">
        <f>ROUND(Ajustes!AO40,0)</f>
        <v>454</v>
      </c>
      <c r="R44" s="305">
        <f>ROUND(Ajustes!AP40,0)</f>
        <v>391</v>
      </c>
      <c r="T44" s="305">
        <f t="shared" si="22"/>
        <v>38</v>
      </c>
      <c r="U44" s="305">
        <f t="shared" si="23"/>
        <v>76</v>
      </c>
      <c r="V44" s="305">
        <f>ROUND(Ajustes!AY40,0)</f>
        <v>940</v>
      </c>
      <c r="W44" s="305">
        <f>ROUND(Ajustes!AZ40,0)</f>
        <v>972</v>
      </c>
      <c r="X44" s="305">
        <f>ROUND(Ajustes!BA40,0)</f>
        <v>729</v>
      </c>
      <c r="Y44" s="305">
        <f>ROUND(Ajustes!BB40,0)</f>
        <v>588</v>
      </c>
      <c r="Z44" s="305">
        <f>ROUND(Ajustes!BC40,0)</f>
        <v>454</v>
      </c>
      <c r="AA44" s="305">
        <f>ROUND(Ajustes!BD40,0)</f>
        <v>391</v>
      </c>
      <c r="AC44" s="305">
        <f t="shared" si="24"/>
        <v>38</v>
      </c>
      <c r="AD44" s="305">
        <f t="shared" si="25"/>
        <v>76</v>
      </c>
      <c r="AE44" s="305">
        <f>ROUND(Ajustes!BM40,0)</f>
        <v>1173</v>
      </c>
      <c r="AF44" s="305">
        <f>ROUND(Ajustes!BN40,0)</f>
        <v>1213</v>
      </c>
      <c r="AG44" s="305">
        <f>ROUND(Ajustes!BO40,0)</f>
        <v>909</v>
      </c>
      <c r="AH44" s="305">
        <f>ROUND(Ajustes!BP40,0)</f>
        <v>733</v>
      </c>
      <c r="AI44" s="305">
        <f>ROUND(Ajustes!BQ40,0)</f>
        <v>566</v>
      </c>
      <c r="AJ44" s="305">
        <f>ROUND(Ajustes!BR40,0)</f>
        <v>488</v>
      </c>
    </row>
    <row r="45" spans="2:36" x14ac:dyDescent="0.25">
      <c r="B45" s="53">
        <v>39</v>
      </c>
      <c r="C45" s="53">
        <v>77</v>
      </c>
      <c r="D45" s="53">
        <v>1508</v>
      </c>
      <c r="E45" s="53">
        <v>2501</v>
      </c>
      <c r="F45" s="53">
        <v>2329</v>
      </c>
      <c r="G45" s="53">
        <v>1206</v>
      </c>
      <c r="H45" s="53">
        <v>708</v>
      </c>
      <c r="I45" s="53">
        <v>862</v>
      </c>
      <c r="K45" s="305">
        <f t="shared" si="26"/>
        <v>39</v>
      </c>
      <c r="L45" s="305">
        <f t="shared" si="27"/>
        <v>77</v>
      </c>
      <c r="M45" s="305">
        <f>ROUND(Ajustes!AK41,0)</f>
        <v>1209</v>
      </c>
      <c r="N45" s="305">
        <f>ROUND(Ajustes!AL41,0)</f>
        <v>2005</v>
      </c>
      <c r="O45" s="305">
        <f>ROUND(Ajustes!AM41,0)</f>
        <v>1867</v>
      </c>
      <c r="P45" s="305">
        <f>ROUND(Ajustes!AN41,0)</f>
        <v>967</v>
      </c>
      <c r="Q45" s="305">
        <f>ROUND(Ajustes!AO41,0)</f>
        <v>568</v>
      </c>
      <c r="R45" s="305">
        <f>ROUND(Ajustes!AP41,0)</f>
        <v>691</v>
      </c>
      <c r="T45" s="305">
        <f t="shared" si="22"/>
        <v>39</v>
      </c>
      <c r="U45" s="305">
        <f t="shared" si="23"/>
        <v>77</v>
      </c>
      <c r="V45" s="305">
        <f>ROUND(Ajustes!AY41,0)</f>
        <v>1209</v>
      </c>
      <c r="W45" s="305">
        <f>ROUND(Ajustes!AZ41,0)</f>
        <v>2005</v>
      </c>
      <c r="X45" s="305">
        <f>ROUND(Ajustes!BA41,0)</f>
        <v>1867</v>
      </c>
      <c r="Y45" s="305">
        <f>ROUND(Ajustes!BB41,0)</f>
        <v>967</v>
      </c>
      <c r="Z45" s="305">
        <f>ROUND(Ajustes!BC41,0)</f>
        <v>568</v>
      </c>
      <c r="AA45" s="305">
        <f>ROUND(Ajustes!BD41,0)</f>
        <v>691</v>
      </c>
      <c r="AC45" s="305">
        <f t="shared" si="24"/>
        <v>39</v>
      </c>
      <c r="AD45" s="305">
        <f t="shared" si="25"/>
        <v>77</v>
      </c>
      <c r="AE45" s="305">
        <f>ROUND(Ajustes!BM41,0)</f>
        <v>1508</v>
      </c>
      <c r="AF45" s="305">
        <f>ROUND(Ajustes!BN41,0)</f>
        <v>2501</v>
      </c>
      <c r="AG45" s="305">
        <f>ROUND(Ajustes!BO41,0)</f>
        <v>2329</v>
      </c>
      <c r="AH45" s="305">
        <f>ROUND(Ajustes!BP41,0)</f>
        <v>1206</v>
      </c>
      <c r="AI45" s="305">
        <f>ROUND(Ajustes!BQ41,0)</f>
        <v>708</v>
      </c>
      <c r="AJ45" s="305">
        <f>ROUND(Ajustes!BR41,0)</f>
        <v>862</v>
      </c>
    </row>
    <row r="46" spans="2:36" x14ac:dyDescent="0.25">
      <c r="B46" s="53">
        <v>40</v>
      </c>
      <c r="C46" s="53">
        <v>78</v>
      </c>
      <c r="D46" s="53">
        <v>1565</v>
      </c>
      <c r="E46" s="53">
        <v>2585</v>
      </c>
      <c r="F46" s="53">
        <v>2408</v>
      </c>
      <c r="G46" s="53">
        <v>1249</v>
      </c>
      <c r="H46" s="53">
        <v>736</v>
      </c>
      <c r="I46" s="53">
        <v>898</v>
      </c>
      <c r="K46" s="305">
        <f t="shared" si="26"/>
        <v>40</v>
      </c>
      <c r="L46" s="305">
        <f t="shared" si="27"/>
        <v>78</v>
      </c>
      <c r="M46" s="305">
        <f>ROUND(Ajustes!AK42,0)</f>
        <v>1255</v>
      </c>
      <c r="N46" s="305">
        <f>ROUND(Ajustes!AL42,0)</f>
        <v>2072</v>
      </c>
      <c r="O46" s="305">
        <f>ROUND(Ajustes!AM42,0)</f>
        <v>1930</v>
      </c>
      <c r="P46" s="305">
        <f>ROUND(Ajustes!AN42,0)</f>
        <v>1001</v>
      </c>
      <c r="Q46" s="305">
        <f>ROUND(Ajustes!AO42,0)</f>
        <v>590</v>
      </c>
      <c r="R46" s="305">
        <f>ROUND(Ajustes!AP42,0)</f>
        <v>720</v>
      </c>
      <c r="T46" s="305">
        <f t="shared" si="22"/>
        <v>40</v>
      </c>
      <c r="U46" s="305">
        <f t="shared" si="23"/>
        <v>78</v>
      </c>
      <c r="V46" s="305">
        <f>ROUND(Ajustes!AY42,0)</f>
        <v>1255</v>
      </c>
      <c r="W46" s="305">
        <f>ROUND(Ajustes!AZ42,0)</f>
        <v>2072</v>
      </c>
      <c r="X46" s="305">
        <f>ROUND(Ajustes!BA42,0)</f>
        <v>1930</v>
      </c>
      <c r="Y46" s="305">
        <f>ROUND(Ajustes!BB42,0)</f>
        <v>1001</v>
      </c>
      <c r="Z46" s="305">
        <f>ROUND(Ajustes!BC42,0)</f>
        <v>590</v>
      </c>
      <c r="AA46" s="305">
        <f>ROUND(Ajustes!BD42,0)</f>
        <v>720</v>
      </c>
      <c r="AC46" s="305">
        <f t="shared" si="24"/>
        <v>40</v>
      </c>
      <c r="AD46" s="305">
        <f t="shared" si="25"/>
        <v>78</v>
      </c>
      <c r="AE46" s="305">
        <f>ROUND(Ajustes!BM42,0)</f>
        <v>1565</v>
      </c>
      <c r="AF46" s="305">
        <f>ROUND(Ajustes!BN42,0)</f>
        <v>2585</v>
      </c>
      <c r="AG46" s="305">
        <f>ROUND(Ajustes!BO42,0)</f>
        <v>2408</v>
      </c>
      <c r="AH46" s="305">
        <f>ROUND(Ajustes!BP42,0)</f>
        <v>1249</v>
      </c>
      <c r="AI46" s="305">
        <f>ROUND(Ajustes!BQ42,0)</f>
        <v>736</v>
      </c>
      <c r="AJ46" s="305">
        <f>ROUND(Ajustes!BR42,0)</f>
        <v>898</v>
      </c>
    </row>
    <row r="47" spans="2:36" x14ac:dyDescent="0.25">
      <c r="B47" s="53">
        <v>41</v>
      </c>
      <c r="C47" s="53">
        <v>89</v>
      </c>
      <c r="D47" s="53">
        <v>541</v>
      </c>
      <c r="E47" s="53">
        <v>258</v>
      </c>
      <c r="F47" s="53">
        <v>293</v>
      </c>
      <c r="G47" s="53">
        <v>318</v>
      </c>
      <c r="H47" s="53">
        <v>199</v>
      </c>
      <c r="I47" s="53">
        <v>203</v>
      </c>
      <c r="K47" s="305">
        <f t="shared" si="26"/>
        <v>41</v>
      </c>
      <c r="L47" s="305">
        <f t="shared" si="27"/>
        <v>89</v>
      </c>
      <c r="M47" s="305">
        <f>ROUND(Ajustes!AK43,0)</f>
        <v>434</v>
      </c>
      <c r="N47" s="305">
        <f>ROUND(Ajustes!AL43,0)</f>
        <v>207</v>
      </c>
      <c r="O47" s="305">
        <f>ROUND(Ajustes!AM43,0)</f>
        <v>235</v>
      </c>
      <c r="P47" s="305">
        <f>ROUND(Ajustes!AN43,0)</f>
        <v>255</v>
      </c>
      <c r="Q47" s="305">
        <f>ROUND(Ajustes!AO43,0)</f>
        <v>160</v>
      </c>
      <c r="R47" s="305">
        <f>ROUND(Ajustes!AP43,0)</f>
        <v>163</v>
      </c>
      <c r="T47" s="305">
        <f t="shared" si="22"/>
        <v>41</v>
      </c>
      <c r="U47" s="305">
        <f t="shared" si="23"/>
        <v>89</v>
      </c>
      <c r="V47" s="305">
        <f>ROUND(Ajustes!AY43,0)</f>
        <v>434</v>
      </c>
      <c r="W47" s="305">
        <f>ROUND(Ajustes!AZ43,0)</f>
        <v>207</v>
      </c>
      <c r="X47" s="305">
        <f>ROUND(Ajustes!BA43,0)</f>
        <v>235</v>
      </c>
      <c r="Y47" s="305">
        <f>ROUND(Ajustes!BB43,0)</f>
        <v>255</v>
      </c>
      <c r="Z47" s="305">
        <f>ROUND(Ajustes!BC43,0)</f>
        <v>160</v>
      </c>
      <c r="AA47" s="305">
        <f>ROUND(Ajustes!BD43,0)</f>
        <v>163</v>
      </c>
      <c r="AC47" s="305">
        <f t="shared" si="24"/>
        <v>41</v>
      </c>
      <c r="AD47" s="305">
        <f t="shared" si="25"/>
        <v>89</v>
      </c>
      <c r="AE47" s="305">
        <f>ROUND(Ajustes!BM43,0)</f>
        <v>541</v>
      </c>
      <c r="AF47" s="305">
        <f>ROUND(Ajustes!BN43,0)</f>
        <v>258</v>
      </c>
      <c r="AG47" s="305">
        <f>ROUND(Ajustes!BO43,0)</f>
        <v>293</v>
      </c>
      <c r="AH47" s="305">
        <f>ROUND(Ajustes!BP43,0)</f>
        <v>318</v>
      </c>
      <c r="AI47" s="305">
        <f>ROUND(Ajustes!BQ43,0)</f>
        <v>199</v>
      </c>
      <c r="AJ47" s="305">
        <f>ROUND(Ajustes!BR43,0)</f>
        <v>203</v>
      </c>
    </row>
    <row r="48" spans="2:36" x14ac:dyDescent="0.25">
      <c r="B48" s="53">
        <v>42</v>
      </c>
      <c r="C48" s="53">
        <v>92</v>
      </c>
      <c r="D48" s="53">
        <v>1034</v>
      </c>
      <c r="E48" s="53">
        <v>2221</v>
      </c>
      <c r="F48" s="53">
        <v>771</v>
      </c>
      <c r="G48" s="53">
        <v>1379</v>
      </c>
      <c r="H48" s="53">
        <v>542</v>
      </c>
      <c r="I48" s="53">
        <v>645</v>
      </c>
      <c r="K48" s="305">
        <f t="shared" si="26"/>
        <v>42</v>
      </c>
      <c r="L48" s="305">
        <f t="shared" si="27"/>
        <v>92</v>
      </c>
      <c r="M48" s="305">
        <f>ROUND(Ajustes!AK44,0)</f>
        <v>829</v>
      </c>
      <c r="N48" s="305">
        <f>ROUND(Ajustes!AL44,0)</f>
        <v>1780</v>
      </c>
      <c r="O48" s="305">
        <f>ROUND(Ajustes!AM44,0)</f>
        <v>618</v>
      </c>
      <c r="P48" s="305">
        <f>ROUND(Ajustes!AN44,0)</f>
        <v>1105</v>
      </c>
      <c r="Q48" s="305">
        <f>ROUND(Ajustes!AO44,0)</f>
        <v>434</v>
      </c>
      <c r="R48" s="305">
        <f>ROUND(Ajustes!AP44,0)</f>
        <v>517</v>
      </c>
      <c r="T48" s="305">
        <f t="shared" si="22"/>
        <v>42</v>
      </c>
      <c r="U48" s="305">
        <f t="shared" si="23"/>
        <v>92</v>
      </c>
      <c r="V48" s="305">
        <f>ROUND(Ajustes!AY44,0)</f>
        <v>829</v>
      </c>
      <c r="W48" s="305">
        <f>ROUND(Ajustes!AZ44,0)</f>
        <v>1780</v>
      </c>
      <c r="X48" s="305">
        <f>ROUND(Ajustes!BA44,0)</f>
        <v>618</v>
      </c>
      <c r="Y48" s="305">
        <f>ROUND(Ajustes!BB44,0)</f>
        <v>1105</v>
      </c>
      <c r="Z48" s="305">
        <f>ROUND(Ajustes!BC44,0)</f>
        <v>434</v>
      </c>
      <c r="AA48" s="305">
        <f>ROUND(Ajustes!BD44,0)</f>
        <v>517</v>
      </c>
      <c r="AC48" s="305">
        <f t="shared" si="24"/>
        <v>42</v>
      </c>
      <c r="AD48" s="305">
        <f t="shared" si="25"/>
        <v>92</v>
      </c>
      <c r="AE48" s="305">
        <f>ROUND(Ajustes!BM44,0)</f>
        <v>1034</v>
      </c>
      <c r="AF48" s="305">
        <f>ROUND(Ajustes!BN44,0)</f>
        <v>2221</v>
      </c>
      <c r="AG48" s="305">
        <f>ROUND(Ajustes!BO44,0)</f>
        <v>771</v>
      </c>
      <c r="AH48" s="305">
        <f>ROUND(Ajustes!BP44,0)</f>
        <v>1379</v>
      </c>
      <c r="AI48" s="305">
        <f>ROUND(Ajustes!BQ44,0)</f>
        <v>542</v>
      </c>
      <c r="AJ48" s="305">
        <f>ROUND(Ajustes!BR44,0)</f>
        <v>645</v>
      </c>
    </row>
    <row r="49" spans="2:36" x14ac:dyDescent="0.25">
      <c r="B49" s="53">
        <v>43</v>
      </c>
      <c r="C49" s="53">
        <v>93</v>
      </c>
      <c r="D49" s="53">
        <v>168</v>
      </c>
      <c r="E49" s="53">
        <v>49</v>
      </c>
      <c r="F49" s="53">
        <v>35</v>
      </c>
      <c r="G49" s="53">
        <v>49</v>
      </c>
      <c r="H49" s="53">
        <v>29</v>
      </c>
      <c r="I49" s="53">
        <v>29</v>
      </c>
      <c r="K49" s="305">
        <f t="shared" si="26"/>
        <v>43</v>
      </c>
      <c r="L49" s="305">
        <f t="shared" si="27"/>
        <v>93</v>
      </c>
      <c r="M49" s="305">
        <f>ROUND(Ajustes!AK45,0)</f>
        <v>135</v>
      </c>
      <c r="N49" s="305">
        <f>ROUND(Ajustes!AL45,0)</f>
        <v>39</v>
      </c>
      <c r="O49" s="305">
        <f>ROUND(Ajustes!AM45,0)</f>
        <v>28</v>
      </c>
      <c r="P49" s="305">
        <f>ROUND(Ajustes!AN45,0)</f>
        <v>39</v>
      </c>
      <c r="Q49" s="305">
        <f>ROUND(Ajustes!AO45,0)</f>
        <v>23</v>
      </c>
      <c r="R49" s="305">
        <f>ROUND(Ajustes!AP45,0)</f>
        <v>23</v>
      </c>
      <c r="T49" s="305">
        <f t="shared" si="22"/>
        <v>43</v>
      </c>
      <c r="U49" s="305">
        <f t="shared" si="23"/>
        <v>93</v>
      </c>
      <c r="V49" s="305">
        <f>ROUND(Ajustes!AY45,0)</f>
        <v>135</v>
      </c>
      <c r="W49" s="305">
        <f>ROUND(Ajustes!AZ45,0)</f>
        <v>39</v>
      </c>
      <c r="X49" s="305">
        <f>ROUND(Ajustes!BA45,0)</f>
        <v>28</v>
      </c>
      <c r="Y49" s="305">
        <f>ROUND(Ajustes!BB45,0)</f>
        <v>39</v>
      </c>
      <c r="Z49" s="305">
        <f>ROUND(Ajustes!BC45,0)</f>
        <v>23</v>
      </c>
      <c r="AA49" s="305">
        <f>ROUND(Ajustes!BD45,0)</f>
        <v>23</v>
      </c>
      <c r="AC49" s="305">
        <f t="shared" si="24"/>
        <v>43</v>
      </c>
      <c r="AD49" s="305">
        <f t="shared" si="25"/>
        <v>93</v>
      </c>
      <c r="AE49" s="305">
        <f>ROUND(Ajustes!BM45,0)</f>
        <v>168</v>
      </c>
      <c r="AF49" s="305">
        <f>ROUND(Ajustes!BN45,0)</f>
        <v>49</v>
      </c>
      <c r="AG49" s="305">
        <f>ROUND(Ajustes!BO45,0)</f>
        <v>35</v>
      </c>
      <c r="AH49" s="305">
        <f>ROUND(Ajustes!BP45,0)</f>
        <v>49</v>
      </c>
      <c r="AI49" s="305">
        <f>ROUND(Ajustes!BQ45,0)</f>
        <v>29</v>
      </c>
      <c r="AJ49" s="305">
        <f>ROUND(Ajustes!BR45,0)</f>
        <v>29</v>
      </c>
    </row>
    <row r="50" spans="2:36" x14ac:dyDescent="0.25">
      <c r="B50" s="53">
        <v>44</v>
      </c>
      <c r="C50" s="53">
        <v>94</v>
      </c>
      <c r="D50" s="53">
        <v>1267</v>
      </c>
      <c r="E50" s="53">
        <v>2715</v>
      </c>
      <c r="F50" s="53">
        <v>946</v>
      </c>
      <c r="G50" s="53">
        <v>1688</v>
      </c>
      <c r="H50" s="53">
        <v>667</v>
      </c>
      <c r="I50" s="53">
        <v>784</v>
      </c>
      <c r="K50" s="305">
        <f t="shared" si="26"/>
        <v>44</v>
      </c>
      <c r="L50" s="305">
        <f t="shared" si="27"/>
        <v>94</v>
      </c>
      <c r="M50" s="305">
        <f>ROUND(Ajustes!AK46,0)</f>
        <v>1016</v>
      </c>
      <c r="N50" s="305">
        <f>ROUND(Ajustes!AL46,0)</f>
        <v>2176</v>
      </c>
      <c r="O50" s="305">
        <f>ROUND(Ajustes!AM46,0)</f>
        <v>758</v>
      </c>
      <c r="P50" s="305">
        <f>ROUND(Ajustes!AN46,0)</f>
        <v>1353</v>
      </c>
      <c r="Q50" s="305">
        <f>ROUND(Ajustes!AO46,0)</f>
        <v>535</v>
      </c>
      <c r="R50" s="305">
        <f>ROUND(Ajustes!AP46,0)</f>
        <v>628</v>
      </c>
      <c r="T50" s="305">
        <f t="shared" si="22"/>
        <v>44</v>
      </c>
      <c r="U50" s="305">
        <f t="shared" si="23"/>
        <v>94</v>
      </c>
      <c r="V50" s="305">
        <f>ROUND(Ajustes!AY46,0)</f>
        <v>1016</v>
      </c>
      <c r="W50" s="305">
        <f>ROUND(Ajustes!AZ46,0)</f>
        <v>2176</v>
      </c>
      <c r="X50" s="305">
        <f>ROUND(Ajustes!BA46,0)</f>
        <v>758</v>
      </c>
      <c r="Y50" s="305">
        <f>ROUND(Ajustes!BB46,0)</f>
        <v>1353</v>
      </c>
      <c r="Z50" s="305">
        <f>ROUND(Ajustes!BC46,0)</f>
        <v>535</v>
      </c>
      <c r="AA50" s="305">
        <f>ROUND(Ajustes!BD46,0)</f>
        <v>628</v>
      </c>
      <c r="AC50" s="305">
        <f t="shared" si="24"/>
        <v>44</v>
      </c>
      <c r="AD50" s="305">
        <f t="shared" si="25"/>
        <v>94</v>
      </c>
      <c r="AE50" s="305">
        <f>ROUND(Ajustes!BM46,0)</f>
        <v>1267</v>
      </c>
      <c r="AF50" s="305">
        <f>ROUND(Ajustes!BN46,0)</f>
        <v>2715</v>
      </c>
      <c r="AG50" s="305">
        <f>ROUND(Ajustes!BO46,0)</f>
        <v>946</v>
      </c>
      <c r="AH50" s="305">
        <f>ROUND(Ajustes!BP46,0)</f>
        <v>1688</v>
      </c>
      <c r="AI50" s="305">
        <f>ROUND(Ajustes!BQ46,0)</f>
        <v>667</v>
      </c>
      <c r="AJ50" s="305">
        <f>ROUND(Ajustes!BR46,0)</f>
        <v>784</v>
      </c>
    </row>
    <row r="51" spans="2:36" x14ac:dyDescent="0.25">
      <c r="B51" s="53">
        <v>45</v>
      </c>
      <c r="C51" s="53">
        <v>97</v>
      </c>
      <c r="D51" s="53">
        <v>261</v>
      </c>
      <c r="E51" s="53">
        <v>100</v>
      </c>
      <c r="F51" s="53">
        <v>168</v>
      </c>
      <c r="G51" s="53">
        <v>276</v>
      </c>
      <c r="H51" s="53">
        <v>123</v>
      </c>
      <c r="I51" s="53">
        <v>144</v>
      </c>
      <c r="K51" s="305">
        <f t="shared" si="26"/>
        <v>45</v>
      </c>
      <c r="L51" s="305">
        <f t="shared" si="27"/>
        <v>97</v>
      </c>
      <c r="M51" s="305">
        <f>ROUND(Ajustes!AK47,0)</f>
        <v>209</v>
      </c>
      <c r="N51" s="305">
        <f>ROUND(Ajustes!AL47,0)</f>
        <v>80</v>
      </c>
      <c r="O51" s="305">
        <f>ROUND(Ajustes!AM47,0)</f>
        <v>135</v>
      </c>
      <c r="P51" s="305">
        <f>ROUND(Ajustes!AN47,0)</f>
        <v>221</v>
      </c>
      <c r="Q51" s="305">
        <f>ROUND(Ajustes!AO47,0)</f>
        <v>99</v>
      </c>
      <c r="R51" s="305">
        <f>ROUND(Ajustes!AP47,0)</f>
        <v>115</v>
      </c>
      <c r="T51" s="305">
        <f t="shared" si="22"/>
        <v>45</v>
      </c>
      <c r="U51" s="305">
        <f t="shared" si="23"/>
        <v>97</v>
      </c>
      <c r="V51" s="305">
        <f>ROUND(Ajustes!AY47,0)</f>
        <v>209</v>
      </c>
      <c r="W51" s="305">
        <f>ROUND(Ajustes!AZ47,0)</f>
        <v>80</v>
      </c>
      <c r="X51" s="305">
        <f>ROUND(Ajustes!BA47,0)</f>
        <v>135</v>
      </c>
      <c r="Y51" s="305">
        <f>ROUND(Ajustes!BB47,0)</f>
        <v>221</v>
      </c>
      <c r="Z51" s="305">
        <f>ROUND(Ajustes!BC47,0)</f>
        <v>99</v>
      </c>
      <c r="AA51" s="305">
        <f>ROUND(Ajustes!BD47,0)</f>
        <v>115</v>
      </c>
      <c r="AC51" s="305">
        <f t="shared" si="24"/>
        <v>45</v>
      </c>
      <c r="AD51" s="305">
        <f t="shared" si="25"/>
        <v>97</v>
      </c>
      <c r="AE51" s="305">
        <f>ROUND(Ajustes!BM47,0)</f>
        <v>261</v>
      </c>
      <c r="AF51" s="305">
        <f>ROUND(Ajustes!BN47,0)</f>
        <v>100</v>
      </c>
      <c r="AG51" s="305">
        <f>ROUND(Ajustes!BO47,0)</f>
        <v>168</v>
      </c>
      <c r="AH51" s="305">
        <f>ROUND(Ajustes!BP47,0)</f>
        <v>276</v>
      </c>
      <c r="AI51" s="305">
        <f>ROUND(Ajustes!BQ47,0)</f>
        <v>123</v>
      </c>
      <c r="AJ51" s="305">
        <f>ROUND(Ajustes!BR47,0)</f>
        <v>144</v>
      </c>
    </row>
    <row r="52" spans="2:36" x14ac:dyDescent="0.25">
      <c r="B52" s="53">
        <v>46</v>
      </c>
      <c r="C52" s="53">
        <v>98</v>
      </c>
      <c r="D52" s="53">
        <v>141</v>
      </c>
      <c r="E52" s="53">
        <v>54</v>
      </c>
      <c r="F52" s="53">
        <v>91</v>
      </c>
      <c r="G52" s="53">
        <v>149</v>
      </c>
      <c r="H52" s="53">
        <v>66</v>
      </c>
      <c r="I52" s="53">
        <v>79</v>
      </c>
      <c r="K52" s="305">
        <f t="shared" si="26"/>
        <v>46</v>
      </c>
      <c r="L52" s="305">
        <f t="shared" si="27"/>
        <v>98</v>
      </c>
      <c r="M52" s="305">
        <f>ROUND(Ajustes!AK48,0)</f>
        <v>113</v>
      </c>
      <c r="N52" s="305">
        <f>ROUND(Ajustes!AL48,0)</f>
        <v>43</v>
      </c>
      <c r="O52" s="305">
        <f>ROUND(Ajustes!AM48,0)</f>
        <v>73</v>
      </c>
      <c r="P52" s="305">
        <f>ROUND(Ajustes!AN48,0)</f>
        <v>119</v>
      </c>
      <c r="Q52" s="305">
        <f>ROUND(Ajustes!AO48,0)</f>
        <v>53</v>
      </c>
      <c r="R52" s="305">
        <f>ROUND(Ajustes!AP48,0)</f>
        <v>63</v>
      </c>
      <c r="T52" s="305">
        <f t="shared" si="22"/>
        <v>46</v>
      </c>
      <c r="U52" s="305">
        <f t="shared" si="23"/>
        <v>98</v>
      </c>
      <c r="V52" s="305">
        <f>ROUND(Ajustes!AY48,0)</f>
        <v>113</v>
      </c>
      <c r="W52" s="305">
        <f>ROUND(Ajustes!AZ48,0)</f>
        <v>43</v>
      </c>
      <c r="X52" s="305">
        <f>ROUND(Ajustes!BA48,0)</f>
        <v>73</v>
      </c>
      <c r="Y52" s="305">
        <f>ROUND(Ajustes!BB48,0)</f>
        <v>119</v>
      </c>
      <c r="Z52" s="305">
        <f>ROUND(Ajustes!BC48,0)</f>
        <v>53</v>
      </c>
      <c r="AA52" s="305">
        <f>ROUND(Ajustes!BD48,0)</f>
        <v>63</v>
      </c>
      <c r="AC52" s="305">
        <f t="shared" si="24"/>
        <v>46</v>
      </c>
      <c r="AD52" s="305">
        <f t="shared" si="25"/>
        <v>98</v>
      </c>
      <c r="AE52" s="305">
        <f>ROUND(Ajustes!BM48,0)</f>
        <v>141</v>
      </c>
      <c r="AF52" s="305">
        <f>ROUND(Ajustes!BN48,0)</f>
        <v>54</v>
      </c>
      <c r="AG52" s="305">
        <f>ROUND(Ajustes!BO48,0)</f>
        <v>91</v>
      </c>
      <c r="AH52" s="305">
        <f>ROUND(Ajustes!BP48,0)</f>
        <v>149</v>
      </c>
      <c r="AI52" s="305">
        <f>ROUND(Ajustes!BQ48,0)</f>
        <v>66</v>
      </c>
      <c r="AJ52" s="305">
        <f>ROUND(Ajustes!BR48,0)</f>
        <v>79</v>
      </c>
    </row>
    <row r="53" spans="2:36" x14ac:dyDescent="0.25">
      <c r="B53" s="53">
        <v>47</v>
      </c>
      <c r="C53" s="53">
        <v>99</v>
      </c>
      <c r="D53" s="53">
        <v>60</v>
      </c>
      <c r="E53" s="53">
        <v>59</v>
      </c>
      <c r="F53" s="53">
        <v>58</v>
      </c>
      <c r="G53" s="53">
        <v>57</v>
      </c>
      <c r="H53" s="53">
        <v>56</v>
      </c>
      <c r="I53" s="53">
        <v>56</v>
      </c>
      <c r="K53" s="305">
        <f t="shared" si="26"/>
        <v>47</v>
      </c>
      <c r="L53" s="305">
        <f t="shared" si="27"/>
        <v>99</v>
      </c>
      <c r="M53" s="305">
        <f>ROUND(Ajustes!AK49,0)</f>
        <v>93</v>
      </c>
      <c r="N53" s="305">
        <f>ROUND(Ajustes!AL49,0)</f>
        <v>92</v>
      </c>
      <c r="O53" s="305">
        <f>ROUND(Ajustes!AM49,0)</f>
        <v>90</v>
      </c>
      <c r="P53" s="305">
        <f>ROUND(Ajustes!AN49,0)</f>
        <v>89</v>
      </c>
      <c r="Q53" s="305">
        <f>ROUND(Ajustes!AO49,0)</f>
        <v>87</v>
      </c>
      <c r="R53" s="305">
        <f>ROUND(Ajustes!AP49,0)</f>
        <v>87</v>
      </c>
      <c r="T53" s="305">
        <f t="shared" si="22"/>
        <v>47</v>
      </c>
      <c r="U53" s="305">
        <f t="shared" si="23"/>
        <v>99</v>
      </c>
      <c r="V53" s="305">
        <f>ROUND(Ajustes!AY49,0)</f>
        <v>79</v>
      </c>
      <c r="W53" s="305">
        <f>ROUND(Ajustes!AZ49,0)</f>
        <v>78</v>
      </c>
      <c r="X53" s="305">
        <f>ROUND(Ajustes!BA49,0)</f>
        <v>76</v>
      </c>
      <c r="Y53" s="305">
        <f>ROUND(Ajustes!BB49,0)</f>
        <v>75</v>
      </c>
      <c r="Z53" s="305">
        <f>ROUND(Ajustes!BC49,0)</f>
        <v>74</v>
      </c>
      <c r="AA53" s="305">
        <f>ROUND(Ajustes!BD49,0)</f>
        <v>74</v>
      </c>
      <c r="AC53" s="305">
        <f t="shared" si="24"/>
        <v>47</v>
      </c>
      <c r="AD53" s="305">
        <f t="shared" si="25"/>
        <v>99</v>
      </c>
      <c r="AE53" s="305">
        <f>ROUND(Ajustes!BM49,0)</f>
        <v>60</v>
      </c>
      <c r="AF53" s="305">
        <f>ROUND(Ajustes!BN49,0)</f>
        <v>59</v>
      </c>
      <c r="AG53" s="305">
        <f>ROUND(Ajustes!BO49,0)</f>
        <v>58</v>
      </c>
      <c r="AH53" s="305">
        <f>ROUND(Ajustes!BP49,0)</f>
        <v>57</v>
      </c>
      <c r="AI53" s="305">
        <f>ROUND(Ajustes!BQ49,0)</f>
        <v>56</v>
      </c>
      <c r="AJ53" s="305">
        <f>ROUND(Ajustes!BR49,0)</f>
        <v>56</v>
      </c>
    </row>
    <row r="54" spans="2:36" x14ac:dyDescent="0.25">
      <c r="B54" s="53">
        <v>48</v>
      </c>
      <c r="C54" s="53">
        <v>101</v>
      </c>
      <c r="D54" s="53">
        <v>56</v>
      </c>
      <c r="E54" s="53">
        <v>48</v>
      </c>
      <c r="F54" s="53">
        <v>48</v>
      </c>
      <c r="G54" s="53">
        <v>50</v>
      </c>
      <c r="H54" s="53">
        <v>36</v>
      </c>
      <c r="I54" s="53">
        <v>41</v>
      </c>
      <c r="K54" s="305">
        <f t="shared" si="26"/>
        <v>48</v>
      </c>
      <c r="L54" s="305">
        <f t="shared" si="27"/>
        <v>101</v>
      </c>
      <c r="M54" s="305">
        <f>ROUND(Ajustes!AK50,0)</f>
        <v>45</v>
      </c>
      <c r="N54" s="305">
        <f>ROUND(Ajustes!AL50,0)</f>
        <v>38</v>
      </c>
      <c r="O54" s="305">
        <f>ROUND(Ajustes!AM50,0)</f>
        <v>38</v>
      </c>
      <c r="P54" s="305">
        <f>ROUND(Ajustes!AN50,0)</f>
        <v>40</v>
      </c>
      <c r="Q54" s="305">
        <f>ROUND(Ajustes!AO50,0)</f>
        <v>29</v>
      </c>
      <c r="R54" s="305">
        <f>ROUND(Ajustes!AP50,0)</f>
        <v>33</v>
      </c>
      <c r="T54" s="305">
        <f t="shared" si="22"/>
        <v>48</v>
      </c>
      <c r="U54" s="305">
        <f t="shared" si="23"/>
        <v>101</v>
      </c>
      <c r="V54" s="305">
        <f>ROUND(Ajustes!AY50,0)</f>
        <v>45</v>
      </c>
      <c r="W54" s="305">
        <f>ROUND(Ajustes!AZ50,0)</f>
        <v>38</v>
      </c>
      <c r="X54" s="305">
        <f>ROUND(Ajustes!BA50,0)</f>
        <v>38</v>
      </c>
      <c r="Y54" s="305">
        <f>ROUND(Ajustes!BB50,0)</f>
        <v>40</v>
      </c>
      <c r="Z54" s="305">
        <f>ROUND(Ajustes!BC50,0)</f>
        <v>29</v>
      </c>
      <c r="AA54" s="305">
        <f>ROUND(Ajustes!BD50,0)</f>
        <v>33</v>
      </c>
      <c r="AC54" s="305">
        <f t="shared" si="24"/>
        <v>48</v>
      </c>
      <c r="AD54" s="305">
        <f t="shared" si="25"/>
        <v>101</v>
      </c>
      <c r="AE54" s="305">
        <f>ROUND(Ajustes!BM50,0)</f>
        <v>56</v>
      </c>
      <c r="AF54" s="305">
        <f>ROUND(Ajustes!BN50,0)</f>
        <v>48</v>
      </c>
      <c r="AG54" s="305">
        <f>ROUND(Ajustes!BO50,0)</f>
        <v>48</v>
      </c>
      <c r="AH54" s="305">
        <f>ROUND(Ajustes!BP50,0)</f>
        <v>50</v>
      </c>
      <c r="AI54" s="305">
        <f>ROUND(Ajustes!BQ50,0)</f>
        <v>36</v>
      </c>
      <c r="AJ54" s="305">
        <f>ROUND(Ajustes!BR50,0)</f>
        <v>41</v>
      </c>
    </row>
    <row r="55" spans="2:36" x14ac:dyDescent="0.25">
      <c r="B55" s="53">
        <v>49</v>
      </c>
      <c r="C55" s="53">
        <v>102</v>
      </c>
      <c r="D55" s="53">
        <v>245</v>
      </c>
      <c r="E55" s="53">
        <v>211</v>
      </c>
      <c r="F55" s="53">
        <v>155</v>
      </c>
      <c r="G55" s="53">
        <v>161</v>
      </c>
      <c r="H55" s="53">
        <v>112</v>
      </c>
      <c r="I55" s="53">
        <v>120</v>
      </c>
      <c r="K55" s="305">
        <f t="shared" si="26"/>
        <v>49</v>
      </c>
      <c r="L55" s="305">
        <f t="shared" si="27"/>
        <v>102</v>
      </c>
      <c r="M55" s="305">
        <f>ROUND(Ajustes!AK51,0)</f>
        <v>196</v>
      </c>
      <c r="N55" s="305">
        <f>ROUND(Ajustes!AL51,0)</f>
        <v>169</v>
      </c>
      <c r="O55" s="305">
        <f>ROUND(Ajustes!AM51,0)</f>
        <v>124</v>
      </c>
      <c r="P55" s="305">
        <f>ROUND(Ajustes!AN51,0)</f>
        <v>129</v>
      </c>
      <c r="Q55" s="305">
        <f>ROUND(Ajustes!AO51,0)</f>
        <v>90</v>
      </c>
      <c r="R55" s="305">
        <f>ROUND(Ajustes!AP51,0)</f>
        <v>96</v>
      </c>
      <c r="T55" s="305">
        <f t="shared" si="22"/>
        <v>49</v>
      </c>
      <c r="U55" s="305">
        <f t="shared" si="23"/>
        <v>102</v>
      </c>
      <c r="V55" s="305">
        <f>ROUND(Ajustes!AY51,0)</f>
        <v>196</v>
      </c>
      <c r="W55" s="305">
        <f>ROUND(Ajustes!AZ51,0)</f>
        <v>169</v>
      </c>
      <c r="X55" s="305">
        <f>ROUND(Ajustes!BA51,0)</f>
        <v>124</v>
      </c>
      <c r="Y55" s="305">
        <f>ROUND(Ajustes!BB51,0)</f>
        <v>129</v>
      </c>
      <c r="Z55" s="305">
        <f>ROUND(Ajustes!BC51,0)</f>
        <v>90</v>
      </c>
      <c r="AA55" s="305">
        <f>ROUND(Ajustes!BD51,0)</f>
        <v>96</v>
      </c>
      <c r="AC55" s="305">
        <f t="shared" si="24"/>
        <v>49</v>
      </c>
      <c r="AD55" s="305">
        <f t="shared" si="25"/>
        <v>102</v>
      </c>
      <c r="AE55" s="305">
        <f>ROUND(Ajustes!BM51,0)</f>
        <v>245</v>
      </c>
      <c r="AF55" s="305">
        <f>ROUND(Ajustes!BN51,0)</f>
        <v>211</v>
      </c>
      <c r="AG55" s="305">
        <f>ROUND(Ajustes!BO51,0)</f>
        <v>155</v>
      </c>
      <c r="AH55" s="305">
        <f>ROUND(Ajustes!BP51,0)</f>
        <v>161</v>
      </c>
      <c r="AI55" s="305">
        <f>ROUND(Ajustes!BQ51,0)</f>
        <v>112</v>
      </c>
      <c r="AJ55" s="305">
        <f>ROUND(Ajustes!BR51,0)</f>
        <v>120</v>
      </c>
    </row>
    <row r="56" spans="2:36" x14ac:dyDescent="0.25">
      <c r="B56" s="53">
        <v>50</v>
      </c>
      <c r="C56" s="53">
        <v>103</v>
      </c>
      <c r="D56" s="53">
        <v>254</v>
      </c>
      <c r="E56" s="53">
        <v>219</v>
      </c>
      <c r="F56" s="53">
        <v>160</v>
      </c>
      <c r="G56" s="53">
        <v>167</v>
      </c>
      <c r="H56" s="53">
        <v>116</v>
      </c>
      <c r="I56" s="53">
        <v>124</v>
      </c>
      <c r="K56" s="305">
        <f t="shared" si="26"/>
        <v>50</v>
      </c>
      <c r="L56" s="305">
        <f t="shared" si="27"/>
        <v>103</v>
      </c>
      <c r="M56" s="305">
        <f>ROUND(Ajustes!AK52,0)</f>
        <v>204</v>
      </c>
      <c r="N56" s="305">
        <f>ROUND(Ajustes!AL52,0)</f>
        <v>176</v>
      </c>
      <c r="O56" s="305">
        <f>ROUND(Ajustes!AM52,0)</f>
        <v>128</v>
      </c>
      <c r="P56" s="305">
        <f>ROUND(Ajustes!AN52,0)</f>
        <v>134</v>
      </c>
      <c r="Q56" s="305">
        <f>ROUND(Ajustes!AO52,0)</f>
        <v>93</v>
      </c>
      <c r="R56" s="305">
        <f>ROUND(Ajustes!AP52,0)</f>
        <v>99</v>
      </c>
      <c r="T56" s="305">
        <f t="shared" si="22"/>
        <v>50</v>
      </c>
      <c r="U56" s="305">
        <f t="shared" si="23"/>
        <v>103</v>
      </c>
      <c r="V56" s="305">
        <f>ROUND(Ajustes!AY52,0)</f>
        <v>204</v>
      </c>
      <c r="W56" s="305">
        <f>ROUND(Ajustes!AZ52,0)</f>
        <v>176</v>
      </c>
      <c r="X56" s="305">
        <f>ROUND(Ajustes!BA52,0)</f>
        <v>128</v>
      </c>
      <c r="Y56" s="305">
        <f>ROUND(Ajustes!BB52,0)</f>
        <v>134</v>
      </c>
      <c r="Z56" s="305">
        <f>ROUND(Ajustes!BC52,0)</f>
        <v>93</v>
      </c>
      <c r="AA56" s="305">
        <f>ROUND(Ajustes!BD52,0)</f>
        <v>99</v>
      </c>
      <c r="AC56" s="305">
        <f t="shared" si="24"/>
        <v>50</v>
      </c>
      <c r="AD56" s="305">
        <f t="shared" si="25"/>
        <v>103</v>
      </c>
      <c r="AE56" s="305">
        <f>ROUND(Ajustes!BM52,0)</f>
        <v>254</v>
      </c>
      <c r="AF56" s="305">
        <f>ROUND(Ajustes!BN52,0)</f>
        <v>219</v>
      </c>
      <c r="AG56" s="305">
        <f>ROUND(Ajustes!BO52,0)</f>
        <v>160</v>
      </c>
      <c r="AH56" s="305">
        <f>ROUND(Ajustes!BP52,0)</f>
        <v>167</v>
      </c>
      <c r="AI56" s="305">
        <f>ROUND(Ajustes!BQ52,0)</f>
        <v>116</v>
      </c>
      <c r="AJ56" s="305">
        <f>ROUND(Ajustes!BR52,0)</f>
        <v>124</v>
      </c>
    </row>
    <row r="57" spans="2:36" x14ac:dyDescent="0.25">
      <c r="B57" s="53">
        <v>51</v>
      </c>
      <c r="C57" s="53">
        <v>104</v>
      </c>
      <c r="D57" s="53">
        <v>29</v>
      </c>
      <c r="E57" s="53">
        <v>27</v>
      </c>
      <c r="F57" s="53">
        <v>24</v>
      </c>
      <c r="G57" s="53">
        <v>22</v>
      </c>
      <c r="H57" s="53">
        <v>21</v>
      </c>
      <c r="I57" s="53">
        <v>19</v>
      </c>
      <c r="K57" s="305">
        <f t="shared" si="26"/>
        <v>51</v>
      </c>
      <c r="L57" s="305">
        <f t="shared" si="27"/>
        <v>104</v>
      </c>
      <c r="M57" s="305">
        <f>ROUND(Ajustes!AK53,0)</f>
        <v>45</v>
      </c>
      <c r="N57" s="305">
        <f>ROUND(Ajustes!AL53,0)</f>
        <v>42</v>
      </c>
      <c r="O57" s="305">
        <f>ROUND(Ajustes!AM53,0)</f>
        <v>37</v>
      </c>
      <c r="P57" s="305">
        <f>ROUND(Ajustes!AN53,0)</f>
        <v>34</v>
      </c>
      <c r="Q57" s="305">
        <f>ROUND(Ajustes!AO53,0)</f>
        <v>33</v>
      </c>
      <c r="R57" s="305">
        <f>ROUND(Ajustes!AP53,0)</f>
        <v>30</v>
      </c>
      <c r="T57" s="305">
        <f t="shared" si="22"/>
        <v>51</v>
      </c>
      <c r="U57" s="305">
        <f t="shared" si="23"/>
        <v>104</v>
      </c>
      <c r="V57" s="305">
        <f>ROUND(Ajustes!AY53,0)</f>
        <v>38</v>
      </c>
      <c r="W57" s="305">
        <f>ROUND(Ajustes!AZ53,0)</f>
        <v>36</v>
      </c>
      <c r="X57" s="305">
        <f>ROUND(Ajustes!BA53,0)</f>
        <v>32</v>
      </c>
      <c r="Y57" s="305">
        <f>ROUND(Ajustes!BB53,0)</f>
        <v>29</v>
      </c>
      <c r="Z57" s="305">
        <f>ROUND(Ajustes!BC53,0)</f>
        <v>28</v>
      </c>
      <c r="AA57" s="305">
        <f>ROUND(Ajustes!BD53,0)</f>
        <v>25</v>
      </c>
      <c r="AC57" s="305">
        <f t="shared" si="24"/>
        <v>51</v>
      </c>
      <c r="AD57" s="305">
        <f t="shared" si="25"/>
        <v>104</v>
      </c>
      <c r="AE57" s="305">
        <f>ROUND(Ajustes!BM53,0)</f>
        <v>29</v>
      </c>
      <c r="AF57" s="305">
        <f>ROUND(Ajustes!BN53,0)</f>
        <v>27</v>
      </c>
      <c r="AG57" s="305">
        <f>ROUND(Ajustes!BO53,0)</f>
        <v>24</v>
      </c>
      <c r="AH57" s="305">
        <f>ROUND(Ajustes!BP53,0)</f>
        <v>22</v>
      </c>
      <c r="AI57" s="305">
        <f>ROUND(Ajustes!BQ53,0)</f>
        <v>21</v>
      </c>
      <c r="AJ57" s="305">
        <f>ROUND(Ajustes!BR53,0)</f>
        <v>19</v>
      </c>
    </row>
    <row r="58" spans="2:36" x14ac:dyDescent="0.25">
      <c r="B58" s="53">
        <v>52</v>
      </c>
      <c r="C58" s="53">
        <v>109</v>
      </c>
      <c r="D58" s="53">
        <v>14</v>
      </c>
      <c r="E58" s="53">
        <v>13</v>
      </c>
      <c r="F58" s="53">
        <v>12</v>
      </c>
      <c r="G58" s="53">
        <v>11</v>
      </c>
      <c r="H58" s="53">
        <v>11</v>
      </c>
      <c r="I58" s="53">
        <v>10</v>
      </c>
      <c r="K58" s="305">
        <f t="shared" si="26"/>
        <v>52</v>
      </c>
      <c r="L58" s="305">
        <f t="shared" si="27"/>
        <v>109</v>
      </c>
      <c r="M58" s="305">
        <f>ROUND(Ajustes!AK54,0)</f>
        <v>22</v>
      </c>
      <c r="N58" s="305">
        <f>ROUND(Ajustes!AL54,0)</f>
        <v>20</v>
      </c>
      <c r="O58" s="305">
        <f>ROUND(Ajustes!AM54,0)</f>
        <v>19</v>
      </c>
      <c r="P58" s="305">
        <f>ROUND(Ajustes!AN54,0)</f>
        <v>17</v>
      </c>
      <c r="Q58" s="305">
        <f>ROUND(Ajustes!AO54,0)</f>
        <v>17</v>
      </c>
      <c r="R58" s="305">
        <f>ROUND(Ajustes!AP54,0)</f>
        <v>16</v>
      </c>
      <c r="T58" s="305">
        <f t="shared" si="22"/>
        <v>52</v>
      </c>
      <c r="U58" s="305">
        <f t="shared" si="23"/>
        <v>109</v>
      </c>
      <c r="V58" s="305">
        <f>ROUND(Ajustes!AY54,0)</f>
        <v>18</v>
      </c>
      <c r="W58" s="305">
        <f>ROUND(Ajustes!AZ54,0)</f>
        <v>17</v>
      </c>
      <c r="X58" s="305">
        <f>ROUND(Ajustes!BA54,0)</f>
        <v>16</v>
      </c>
      <c r="Y58" s="305">
        <f>ROUND(Ajustes!BB54,0)</f>
        <v>15</v>
      </c>
      <c r="Z58" s="305">
        <f>ROUND(Ajustes!BC54,0)</f>
        <v>15</v>
      </c>
      <c r="AA58" s="305">
        <f>ROUND(Ajustes!BD54,0)</f>
        <v>13</v>
      </c>
      <c r="AC58" s="305">
        <f t="shared" si="24"/>
        <v>52</v>
      </c>
      <c r="AD58" s="305">
        <f t="shared" si="25"/>
        <v>109</v>
      </c>
      <c r="AE58" s="305">
        <f>ROUND(Ajustes!BM54,0)</f>
        <v>14</v>
      </c>
      <c r="AF58" s="305">
        <f>ROUND(Ajustes!BN54,0)</f>
        <v>13</v>
      </c>
      <c r="AG58" s="305">
        <f>ROUND(Ajustes!BO54,0)</f>
        <v>12</v>
      </c>
      <c r="AH58" s="305">
        <f>ROUND(Ajustes!BP54,0)</f>
        <v>11</v>
      </c>
      <c r="AI58" s="305">
        <f>ROUND(Ajustes!BQ54,0)</f>
        <v>11</v>
      </c>
      <c r="AJ58" s="305">
        <f>ROUND(Ajustes!BR54,0)</f>
        <v>10</v>
      </c>
    </row>
    <row r="59" spans="2:36" x14ac:dyDescent="0.25">
      <c r="B59" s="53">
        <v>53</v>
      </c>
      <c r="C59" s="53">
        <v>110</v>
      </c>
      <c r="D59" s="53">
        <v>27</v>
      </c>
      <c r="E59" s="53">
        <v>27</v>
      </c>
      <c r="F59" s="53">
        <v>36</v>
      </c>
      <c r="G59" s="53">
        <v>37</v>
      </c>
      <c r="H59" s="53">
        <v>18</v>
      </c>
      <c r="I59" s="53">
        <v>17</v>
      </c>
      <c r="K59" s="305">
        <f t="shared" si="26"/>
        <v>53</v>
      </c>
      <c r="L59" s="305">
        <f t="shared" si="27"/>
        <v>110</v>
      </c>
      <c r="M59" s="305">
        <f>ROUND(Ajustes!AK55,0)</f>
        <v>22</v>
      </c>
      <c r="N59" s="305">
        <f>ROUND(Ajustes!AL55,0)</f>
        <v>22</v>
      </c>
      <c r="O59" s="305">
        <f>ROUND(Ajustes!AM55,0)</f>
        <v>29</v>
      </c>
      <c r="P59" s="305">
        <f>ROUND(Ajustes!AN55,0)</f>
        <v>30</v>
      </c>
      <c r="Q59" s="305">
        <f>ROUND(Ajustes!AO55,0)</f>
        <v>14</v>
      </c>
      <c r="R59" s="305">
        <f>ROUND(Ajustes!AP55,0)</f>
        <v>14</v>
      </c>
      <c r="T59" s="305">
        <f t="shared" si="22"/>
        <v>53</v>
      </c>
      <c r="U59" s="305">
        <f t="shared" si="23"/>
        <v>110</v>
      </c>
      <c r="V59" s="305">
        <f>ROUND(Ajustes!AY55,0)</f>
        <v>22</v>
      </c>
      <c r="W59" s="305">
        <f>ROUND(Ajustes!AZ55,0)</f>
        <v>22</v>
      </c>
      <c r="X59" s="305">
        <f>ROUND(Ajustes!BA55,0)</f>
        <v>29</v>
      </c>
      <c r="Y59" s="305">
        <f>ROUND(Ajustes!BB55,0)</f>
        <v>30</v>
      </c>
      <c r="Z59" s="305">
        <f>ROUND(Ajustes!BC55,0)</f>
        <v>14</v>
      </c>
      <c r="AA59" s="305">
        <f>ROUND(Ajustes!BD55,0)</f>
        <v>14</v>
      </c>
      <c r="AC59" s="305">
        <f t="shared" si="24"/>
        <v>53</v>
      </c>
      <c r="AD59" s="305">
        <f t="shared" si="25"/>
        <v>110</v>
      </c>
      <c r="AE59" s="305">
        <f>ROUND(Ajustes!BM55,0)</f>
        <v>27</v>
      </c>
      <c r="AF59" s="305">
        <f>ROUND(Ajustes!BN55,0)</f>
        <v>27</v>
      </c>
      <c r="AG59" s="305">
        <f>ROUND(Ajustes!BO55,0)</f>
        <v>36</v>
      </c>
      <c r="AH59" s="305">
        <f>ROUND(Ajustes!BP55,0)</f>
        <v>37</v>
      </c>
      <c r="AI59" s="305">
        <f>ROUND(Ajustes!BQ55,0)</f>
        <v>18</v>
      </c>
      <c r="AJ59" s="305">
        <f>ROUND(Ajustes!BR55,0)</f>
        <v>17</v>
      </c>
    </row>
    <row r="60" spans="2:36" x14ac:dyDescent="0.25">
      <c r="B60" s="53">
        <v>54</v>
      </c>
      <c r="C60" s="53">
        <v>111</v>
      </c>
      <c r="D60" s="53">
        <v>176</v>
      </c>
      <c r="E60" s="53">
        <v>182</v>
      </c>
      <c r="F60" s="53">
        <v>237</v>
      </c>
      <c r="G60" s="53">
        <v>243</v>
      </c>
      <c r="H60" s="53">
        <v>121</v>
      </c>
      <c r="I60" s="53">
        <v>116</v>
      </c>
      <c r="K60" s="305">
        <f t="shared" si="26"/>
        <v>54</v>
      </c>
      <c r="L60" s="305">
        <f t="shared" si="27"/>
        <v>111</v>
      </c>
      <c r="M60" s="305">
        <f>ROUND(Ajustes!AK56,0)</f>
        <v>141</v>
      </c>
      <c r="N60" s="305">
        <f>ROUND(Ajustes!AL56,0)</f>
        <v>146</v>
      </c>
      <c r="O60" s="305">
        <f>ROUND(Ajustes!AM56,0)</f>
        <v>190</v>
      </c>
      <c r="P60" s="305">
        <f>ROUND(Ajustes!AN56,0)</f>
        <v>195</v>
      </c>
      <c r="Q60" s="305">
        <f>ROUND(Ajustes!AO56,0)</f>
        <v>97</v>
      </c>
      <c r="R60" s="305">
        <f>ROUND(Ajustes!AP56,0)</f>
        <v>93</v>
      </c>
      <c r="T60" s="305">
        <f t="shared" si="22"/>
        <v>54</v>
      </c>
      <c r="U60" s="305">
        <f t="shared" si="23"/>
        <v>111</v>
      </c>
      <c r="V60" s="305">
        <f>ROUND(Ajustes!AY56,0)</f>
        <v>141</v>
      </c>
      <c r="W60" s="305">
        <f>ROUND(Ajustes!AZ56,0)</f>
        <v>146</v>
      </c>
      <c r="X60" s="305">
        <f>ROUND(Ajustes!BA56,0)</f>
        <v>190</v>
      </c>
      <c r="Y60" s="305">
        <f>ROUND(Ajustes!BB56,0)</f>
        <v>195</v>
      </c>
      <c r="Z60" s="305">
        <f>ROUND(Ajustes!BC56,0)</f>
        <v>97</v>
      </c>
      <c r="AA60" s="305">
        <f>ROUND(Ajustes!BD56,0)</f>
        <v>93</v>
      </c>
      <c r="AC60" s="305">
        <f t="shared" si="24"/>
        <v>54</v>
      </c>
      <c r="AD60" s="305">
        <f t="shared" si="25"/>
        <v>111</v>
      </c>
      <c r="AE60" s="305">
        <f>ROUND(Ajustes!BM56,0)</f>
        <v>176</v>
      </c>
      <c r="AF60" s="305">
        <f>ROUND(Ajustes!BN56,0)</f>
        <v>182</v>
      </c>
      <c r="AG60" s="305">
        <f>ROUND(Ajustes!BO56,0)</f>
        <v>237</v>
      </c>
      <c r="AH60" s="305">
        <f>ROUND(Ajustes!BP56,0)</f>
        <v>243</v>
      </c>
      <c r="AI60" s="305">
        <f>ROUND(Ajustes!BQ56,0)</f>
        <v>121</v>
      </c>
      <c r="AJ60" s="305">
        <f>ROUND(Ajustes!BR56,0)</f>
        <v>116</v>
      </c>
    </row>
    <row r="61" spans="2:36" x14ac:dyDescent="0.25">
      <c r="B61" s="53">
        <v>55</v>
      </c>
      <c r="C61" s="53">
        <v>112</v>
      </c>
      <c r="D61" s="53">
        <v>178</v>
      </c>
      <c r="E61" s="53">
        <v>183</v>
      </c>
      <c r="F61" s="53">
        <v>239</v>
      </c>
      <c r="G61" s="53">
        <v>245</v>
      </c>
      <c r="H61" s="53">
        <v>122</v>
      </c>
      <c r="I61" s="53">
        <v>117</v>
      </c>
      <c r="K61" s="305">
        <f t="shared" si="26"/>
        <v>55</v>
      </c>
      <c r="L61" s="305">
        <f t="shared" si="27"/>
        <v>112</v>
      </c>
      <c r="M61" s="305">
        <f>ROUND(Ajustes!AK57,0)</f>
        <v>143</v>
      </c>
      <c r="N61" s="305">
        <f>ROUND(Ajustes!AL57,0)</f>
        <v>147</v>
      </c>
      <c r="O61" s="305">
        <f>ROUND(Ajustes!AM57,0)</f>
        <v>192</v>
      </c>
      <c r="P61" s="305">
        <f>ROUND(Ajustes!AN57,0)</f>
        <v>196</v>
      </c>
      <c r="Q61" s="305">
        <f>ROUND(Ajustes!AO57,0)</f>
        <v>98</v>
      </c>
      <c r="R61" s="305">
        <f>ROUND(Ajustes!AP57,0)</f>
        <v>94</v>
      </c>
      <c r="T61" s="305">
        <f t="shared" si="22"/>
        <v>55</v>
      </c>
      <c r="U61" s="305">
        <f t="shared" si="23"/>
        <v>112</v>
      </c>
      <c r="V61" s="305">
        <f>ROUND(Ajustes!AY57,0)</f>
        <v>143</v>
      </c>
      <c r="W61" s="305">
        <f>ROUND(Ajustes!AZ57,0)</f>
        <v>147</v>
      </c>
      <c r="X61" s="305">
        <f>ROUND(Ajustes!BA57,0)</f>
        <v>192</v>
      </c>
      <c r="Y61" s="305">
        <f>ROUND(Ajustes!BB57,0)</f>
        <v>196</v>
      </c>
      <c r="Z61" s="305">
        <f>ROUND(Ajustes!BC57,0)</f>
        <v>98</v>
      </c>
      <c r="AA61" s="305">
        <f>ROUND(Ajustes!BD57,0)</f>
        <v>94</v>
      </c>
      <c r="AC61" s="305">
        <f t="shared" si="24"/>
        <v>55</v>
      </c>
      <c r="AD61" s="305">
        <f t="shared" si="25"/>
        <v>112</v>
      </c>
      <c r="AE61" s="305">
        <f>ROUND(Ajustes!BM57,0)</f>
        <v>178</v>
      </c>
      <c r="AF61" s="305">
        <f>ROUND(Ajustes!BN57,0)</f>
        <v>183</v>
      </c>
      <c r="AG61" s="305">
        <f>ROUND(Ajustes!BO57,0)</f>
        <v>239</v>
      </c>
      <c r="AH61" s="305">
        <f>ROUND(Ajustes!BP57,0)</f>
        <v>245</v>
      </c>
      <c r="AI61" s="305">
        <f>ROUND(Ajustes!BQ57,0)</f>
        <v>122</v>
      </c>
      <c r="AJ61" s="305">
        <f>ROUND(Ajustes!BR57,0)</f>
        <v>117</v>
      </c>
    </row>
    <row r="62" spans="2:36" x14ac:dyDescent="0.25">
      <c r="B62" s="53">
        <v>56</v>
      </c>
      <c r="C62" s="53">
        <v>113</v>
      </c>
      <c r="D62" s="53">
        <v>233</v>
      </c>
      <c r="E62" s="53">
        <v>240</v>
      </c>
      <c r="F62" s="53">
        <v>314</v>
      </c>
      <c r="G62" s="53">
        <v>322</v>
      </c>
      <c r="H62" s="53">
        <v>159</v>
      </c>
      <c r="I62" s="53">
        <v>148</v>
      </c>
      <c r="K62" s="305">
        <f t="shared" si="26"/>
        <v>56</v>
      </c>
      <c r="L62" s="305">
        <f t="shared" si="27"/>
        <v>113</v>
      </c>
      <c r="M62" s="305">
        <f>ROUND(Ajustes!AK58,0)</f>
        <v>187</v>
      </c>
      <c r="N62" s="305">
        <f>ROUND(Ajustes!AL58,0)</f>
        <v>192</v>
      </c>
      <c r="O62" s="305">
        <f>ROUND(Ajustes!AM58,0)</f>
        <v>252</v>
      </c>
      <c r="P62" s="305">
        <f>ROUND(Ajustes!AN58,0)</f>
        <v>258</v>
      </c>
      <c r="Q62" s="305">
        <f>ROUND(Ajustes!AO58,0)</f>
        <v>127</v>
      </c>
      <c r="R62" s="305">
        <f>ROUND(Ajustes!AP58,0)</f>
        <v>119</v>
      </c>
      <c r="T62" s="305">
        <f t="shared" si="22"/>
        <v>56</v>
      </c>
      <c r="U62" s="305">
        <f t="shared" si="23"/>
        <v>113</v>
      </c>
      <c r="V62" s="305">
        <f>ROUND(Ajustes!AY58,0)</f>
        <v>187</v>
      </c>
      <c r="W62" s="305">
        <f>ROUND(Ajustes!AZ58,0)</f>
        <v>192</v>
      </c>
      <c r="X62" s="305">
        <f>ROUND(Ajustes!BA58,0)</f>
        <v>252</v>
      </c>
      <c r="Y62" s="305">
        <f>ROUND(Ajustes!BB58,0)</f>
        <v>258</v>
      </c>
      <c r="Z62" s="305">
        <f>ROUND(Ajustes!BC58,0)</f>
        <v>127</v>
      </c>
      <c r="AA62" s="305">
        <f>ROUND(Ajustes!BD58,0)</f>
        <v>119</v>
      </c>
      <c r="AC62" s="305">
        <f t="shared" si="24"/>
        <v>56</v>
      </c>
      <c r="AD62" s="305">
        <f t="shared" si="25"/>
        <v>113</v>
      </c>
      <c r="AE62" s="305">
        <f>ROUND(Ajustes!BM58,0)</f>
        <v>233</v>
      </c>
      <c r="AF62" s="305">
        <f>ROUND(Ajustes!BN58,0)</f>
        <v>240</v>
      </c>
      <c r="AG62" s="305">
        <f>ROUND(Ajustes!BO58,0)</f>
        <v>314</v>
      </c>
      <c r="AH62" s="305">
        <f>ROUND(Ajustes!BP58,0)</f>
        <v>322</v>
      </c>
      <c r="AI62" s="305">
        <f>ROUND(Ajustes!BQ58,0)</f>
        <v>159</v>
      </c>
      <c r="AJ62" s="305">
        <f>ROUND(Ajustes!BR58,0)</f>
        <v>148</v>
      </c>
    </row>
    <row r="63" spans="2:36" x14ac:dyDescent="0.25">
      <c r="B63" s="53">
        <v>57</v>
      </c>
      <c r="C63" s="53">
        <v>114</v>
      </c>
      <c r="D63" s="53">
        <v>286</v>
      </c>
      <c r="E63" s="53">
        <v>294</v>
      </c>
      <c r="F63" s="53">
        <v>383</v>
      </c>
      <c r="G63" s="53">
        <v>393</v>
      </c>
      <c r="H63" s="53">
        <v>197</v>
      </c>
      <c r="I63" s="53">
        <v>179</v>
      </c>
      <c r="K63" s="305">
        <f t="shared" si="26"/>
        <v>57</v>
      </c>
      <c r="L63" s="305">
        <f t="shared" si="27"/>
        <v>114</v>
      </c>
      <c r="M63" s="305">
        <f>ROUND(Ajustes!AK59,0)</f>
        <v>229</v>
      </c>
      <c r="N63" s="305">
        <f>ROUND(Ajustes!AL59,0)</f>
        <v>236</v>
      </c>
      <c r="O63" s="305">
        <f>ROUND(Ajustes!AM59,0)</f>
        <v>307</v>
      </c>
      <c r="P63" s="305">
        <f>ROUND(Ajustes!AN59,0)</f>
        <v>315</v>
      </c>
      <c r="Q63" s="305">
        <f>ROUND(Ajustes!AO59,0)</f>
        <v>158</v>
      </c>
      <c r="R63" s="305">
        <f>ROUND(Ajustes!AP59,0)</f>
        <v>143</v>
      </c>
      <c r="T63" s="305">
        <f t="shared" si="22"/>
        <v>57</v>
      </c>
      <c r="U63" s="305">
        <f t="shared" si="23"/>
        <v>114</v>
      </c>
      <c r="V63" s="305">
        <f>ROUND(Ajustes!AY59,0)</f>
        <v>229</v>
      </c>
      <c r="W63" s="305">
        <f>ROUND(Ajustes!AZ59,0)</f>
        <v>236</v>
      </c>
      <c r="X63" s="305">
        <f>ROUND(Ajustes!BA59,0)</f>
        <v>307</v>
      </c>
      <c r="Y63" s="305">
        <f>ROUND(Ajustes!BB59,0)</f>
        <v>315</v>
      </c>
      <c r="Z63" s="305">
        <f>ROUND(Ajustes!BC59,0)</f>
        <v>158</v>
      </c>
      <c r="AA63" s="305">
        <f>ROUND(Ajustes!BD59,0)</f>
        <v>143</v>
      </c>
      <c r="AC63" s="305">
        <f t="shared" si="24"/>
        <v>57</v>
      </c>
      <c r="AD63" s="305">
        <f t="shared" si="25"/>
        <v>114</v>
      </c>
      <c r="AE63" s="305">
        <f>ROUND(Ajustes!BM59,0)</f>
        <v>286</v>
      </c>
      <c r="AF63" s="305">
        <f>ROUND(Ajustes!BN59,0)</f>
        <v>294</v>
      </c>
      <c r="AG63" s="305">
        <f>ROUND(Ajustes!BO59,0)</f>
        <v>383</v>
      </c>
      <c r="AH63" s="305">
        <f>ROUND(Ajustes!BP59,0)</f>
        <v>393</v>
      </c>
      <c r="AI63" s="305">
        <f>ROUND(Ajustes!BQ59,0)</f>
        <v>197</v>
      </c>
      <c r="AJ63" s="305">
        <f>ROUND(Ajustes!BR59,0)</f>
        <v>179</v>
      </c>
    </row>
    <row r="64" spans="2:36" x14ac:dyDescent="0.25">
      <c r="B64" s="53">
        <v>58</v>
      </c>
      <c r="C64" s="53">
        <v>115</v>
      </c>
      <c r="D64" s="53">
        <v>7</v>
      </c>
      <c r="E64" s="53">
        <v>9</v>
      </c>
      <c r="F64" s="53">
        <v>8</v>
      </c>
      <c r="G64" s="53">
        <v>6</v>
      </c>
      <c r="H64" s="53">
        <v>6</v>
      </c>
      <c r="I64" s="53">
        <v>5</v>
      </c>
      <c r="K64" s="305">
        <f t="shared" si="26"/>
        <v>58</v>
      </c>
      <c r="L64" s="305">
        <f t="shared" si="27"/>
        <v>115</v>
      </c>
      <c r="M64" s="305">
        <f>ROUND(Ajustes!AK60,0)</f>
        <v>6</v>
      </c>
      <c r="N64" s="305">
        <f>ROUND(Ajustes!AL60,0)</f>
        <v>7</v>
      </c>
      <c r="O64" s="305">
        <f>ROUND(Ajustes!AM60,0)</f>
        <v>6</v>
      </c>
      <c r="P64" s="305">
        <f>ROUND(Ajustes!AN60,0)</f>
        <v>5</v>
      </c>
      <c r="Q64" s="305">
        <f>ROUND(Ajustes!AO60,0)</f>
        <v>5</v>
      </c>
      <c r="R64" s="305">
        <f>ROUND(Ajustes!AP60,0)</f>
        <v>4</v>
      </c>
      <c r="T64" s="305">
        <f t="shared" si="22"/>
        <v>58</v>
      </c>
      <c r="U64" s="305">
        <f t="shared" si="23"/>
        <v>115</v>
      </c>
      <c r="V64" s="305">
        <f>ROUND(Ajustes!AY60,0)</f>
        <v>6</v>
      </c>
      <c r="W64" s="305">
        <f>ROUND(Ajustes!AZ60,0)</f>
        <v>7</v>
      </c>
      <c r="X64" s="305">
        <f>ROUND(Ajustes!BA60,0)</f>
        <v>6</v>
      </c>
      <c r="Y64" s="305">
        <f>ROUND(Ajustes!BB60,0)</f>
        <v>5</v>
      </c>
      <c r="Z64" s="305">
        <f>ROUND(Ajustes!BC60,0)</f>
        <v>5</v>
      </c>
      <c r="AA64" s="305">
        <f>ROUND(Ajustes!BD60,0)</f>
        <v>4</v>
      </c>
      <c r="AC64" s="305">
        <f t="shared" si="24"/>
        <v>58</v>
      </c>
      <c r="AD64" s="305">
        <f t="shared" si="25"/>
        <v>115</v>
      </c>
      <c r="AE64" s="305">
        <f>ROUND(Ajustes!BM60,0)</f>
        <v>7</v>
      </c>
      <c r="AF64" s="305">
        <f>ROUND(Ajustes!BN60,0)</f>
        <v>9</v>
      </c>
      <c r="AG64" s="305">
        <f>ROUND(Ajustes!BO60,0)</f>
        <v>8</v>
      </c>
      <c r="AH64" s="305">
        <f>ROUND(Ajustes!BP60,0)</f>
        <v>6</v>
      </c>
      <c r="AI64" s="305">
        <f>ROUND(Ajustes!BQ60,0)</f>
        <v>6</v>
      </c>
      <c r="AJ64" s="305">
        <f>ROUND(Ajustes!BR60,0)</f>
        <v>5</v>
      </c>
    </row>
    <row r="65" spans="2:36" x14ac:dyDescent="0.25">
      <c r="B65" s="53">
        <v>59</v>
      </c>
      <c r="C65" s="53">
        <v>116</v>
      </c>
      <c r="D65" s="53">
        <v>2</v>
      </c>
      <c r="E65" s="53">
        <v>3</v>
      </c>
      <c r="F65" s="53">
        <v>2</v>
      </c>
      <c r="G65" s="53">
        <v>2</v>
      </c>
      <c r="H65" s="53">
        <v>2</v>
      </c>
      <c r="I65" s="53">
        <v>2</v>
      </c>
      <c r="K65" s="305">
        <f t="shared" si="26"/>
        <v>59</v>
      </c>
      <c r="L65" s="305">
        <f t="shared" si="27"/>
        <v>116</v>
      </c>
      <c r="M65" s="305">
        <f>ROUND(Ajustes!AK61,0)</f>
        <v>3</v>
      </c>
      <c r="N65" s="305">
        <f>ROUND(Ajustes!AL61,0)</f>
        <v>5</v>
      </c>
      <c r="O65" s="305">
        <f>ROUND(Ajustes!AM61,0)</f>
        <v>3</v>
      </c>
      <c r="P65" s="305">
        <f>ROUND(Ajustes!AN61,0)</f>
        <v>3</v>
      </c>
      <c r="Q65" s="305">
        <f>ROUND(Ajustes!AO61,0)</f>
        <v>3</v>
      </c>
      <c r="R65" s="305">
        <f>ROUND(Ajustes!AP61,0)</f>
        <v>3</v>
      </c>
      <c r="T65" s="305">
        <f t="shared" si="22"/>
        <v>59</v>
      </c>
      <c r="U65" s="305">
        <f t="shared" si="23"/>
        <v>116</v>
      </c>
      <c r="V65" s="305">
        <f>ROUND(Ajustes!AY61,0)</f>
        <v>3</v>
      </c>
      <c r="W65" s="305">
        <f>ROUND(Ajustes!AZ61,0)</f>
        <v>4</v>
      </c>
      <c r="X65" s="305">
        <f>ROUND(Ajustes!BA61,0)</f>
        <v>3</v>
      </c>
      <c r="Y65" s="305">
        <f>ROUND(Ajustes!BB61,0)</f>
        <v>3</v>
      </c>
      <c r="Z65" s="305">
        <f>ROUND(Ajustes!BC61,0)</f>
        <v>3</v>
      </c>
      <c r="AA65" s="305">
        <f>ROUND(Ajustes!BD61,0)</f>
        <v>3</v>
      </c>
      <c r="AC65" s="305">
        <f t="shared" si="24"/>
        <v>59</v>
      </c>
      <c r="AD65" s="305">
        <f t="shared" si="25"/>
        <v>116</v>
      </c>
      <c r="AE65" s="305">
        <f>ROUND(Ajustes!BM61,0)</f>
        <v>2</v>
      </c>
      <c r="AF65" s="305">
        <f>ROUND(Ajustes!BN61,0)</f>
        <v>3</v>
      </c>
      <c r="AG65" s="305">
        <f>ROUND(Ajustes!BO61,0)</f>
        <v>2</v>
      </c>
      <c r="AH65" s="305">
        <f>ROUND(Ajustes!BP61,0)</f>
        <v>2</v>
      </c>
      <c r="AI65" s="305">
        <f>ROUND(Ajustes!BQ61,0)</f>
        <v>2</v>
      </c>
      <c r="AJ65" s="305">
        <f>ROUND(Ajustes!BR61,0)</f>
        <v>2</v>
      </c>
    </row>
    <row r="66" spans="2:36" x14ac:dyDescent="0.25">
      <c r="B66" s="53">
        <v>60</v>
      </c>
      <c r="C66" s="53">
        <v>117</v>
      </c>
      <c r="D66" s="53">
        <v>15</v>
      </c>
      <c r="E66" s="53">
        <v>14</v>
      </c>
      <c r="F66" s="53">
        <v>12</v>
      </c>
      <c r="G66" s="53">
        <v>12</v>
      </c>
      <c r="H66" s="53">
        <v>11</v>
      </c>
      <c r="I66" s="53">
        <v>10</v>
      </c>
      <c r="K66" s="305">
        <f t="shared" si="26"/>
        <v>60</v>
      </c>
      <c r="L66" s="305">
        <f t="shared" si="27"/>
        <v>117</v>
      </c>
      <c r="M66" s="305">
        <f>ROUND(Ajustes!AK62,0)</f>
        <v>23</v>
      </c>
      <c r="N66" s="305">
        <f>ROUND(Ajustes!AL62,0)</f>
        <v>22</v>
      </c>
      <c r="O66" s="305">
        <f>ROUND(Ajustes!AM62,0)</f>
        <v>19</v>
      </c>
      <c r="P66" s="305">
        <f>ROUND(Ajustes!AN62,0)</f>
        <v>19</v>
      </c>
      <c r="Q66" s="305">
        <f>ROUND(Ajustes!AO62,0)</f>
        <v>17</v>
      </c>
      <c r="R66" s="305">
        <f>ROUND(Ajustes!AP62,0)</f>
        <v>16</v>
      </c>
      <c r="T66" s="305">
        <f t="shared" si="22"/>
        <v>60</v>
      </c>
      <c r="U66" s="305">
        <f t="shared" si="23"/>
        <v>117</v>
      </c>
      <c r="V66" s="305">
        <f>ROUND(Ajustes!AY62,0)</f>
        <v>20</v>
      </c>
      <c r="W66" s="305">
        <f>ROUND(Ajustes!AZ62,0)</f>
        <v>18</v>
      </c>
      <c r="X66" s="305">
        <f>ROUND(Ajustes!BA62,0)</f>
        <v>16</v>
      </c>
      <c r="Y66" s="305">
        <f>ROUND(Ajustes!BB62,0)</f>
        <v>16</v>
      </c>
      <c r="Z66" s="305">
        <f>ROUND(Ajustes!BC62,0)</f>
        <v>15</v>
      </c>
      <c r="AA66" s="305">
        <f>ROUND(Ajustes!BD62,0)</f>
        <v>13</v>
      </c>
      <c r="AC66" s="305">
        <f t="shared" si="24"/>
        <v>60</v>
      </c>
      <c r="AD66" s="305">
        <f t="shared" si="25"/>
        <v>117</v>
      </c>
      <c r="AE66" s="305">
        <f>ROUND(Ajustes!BM62,0)</f>
        <v>15</v>
      </c>
      <c r="AF66" s="305">
        <f>ROUND(Ajustes!BN62,0)</f>
        <v>14</v>
      </c>
      <c r="AG66" s="305">
        <f>ROUND(Ajustes!BO62,0)</f>
        <v>12</v>
      </c>
      <c r="AH66" s="305">
        <f>ROUND(Ajustes!BP62,0)</f>
        <v>12</v>
      </c>
      <c r="AI66" s="305">
        <f>ROUND(Ajustes!BQ62,0)</f>
        <v>11</v>
      </c>
      <c r="AJ66" s="305">
        <f>ROUND(Ajustes!BR62,0)</f>
        <v>10</v>
      </c>
    </row>
    <row r="67" spans="2:36" x14ac:dyDescent="0.25">
      <c r="B67" s="53">
        <v>61</v>
      </c>
      <c r="C67" s="53">
        <v>118</v>
      </c>
      <c r="D67" s="53">
        <v>14</v>
      </c>
      <c r="E67" s="53">
        <v>13</v>
      </c>
      <c r="F67" s="53">
        <v>12</v>
      </c>
      <c r="G67" s="53">
        <v>11</v>
      </c>
      <c r="H67" s="53">
        <v>11</v>
      </c>
      <c r="I67" s="53">
        <v>10</v>
      </c>
      <c r="K67" s="305">
        <f t="shared" si="26"/>
        <v>61</v>
      </c>
      <c r="L67" s="305">
        <f t="shared" si="27"/>
        <v>118</v>
      </c>
      <c r="M67" s="305">
        <f>ROUND(Ajustes!AK63,0)</f>
        <v>22</v>
      </c>
      <c r="N67" s="305">
        <f>ROUND(Ajustes!AL63,0)</f>
        <v>20</v>
      </c>
      <c r="O67" s="305">
        <f>ROUND(Ajustes!AM63,0)</f>
        <v>19</v>
      </c>
      <c r="P67" s="305">
        <f>ROUND(Ajustes!AN63,0)</f>
        <v>17</v>
      </c>
      <c r="Q67" s="305">
        <f>ROUND(Ajustes!AO63,0)</f>
        <v>17</v>
      </c>
      <c r="R67" s="305">
        <f>ROUND(Ajustes!AP63,0)</f>
        <v>16</v>
      </c>
      <c r="T67" s="305">
        <f t="shared" si="22"/>
        <v>61</v>
      </c>
      <c r="U67" s="305">
        <f t="shared" si="23"/>
        <v>118</v>
      </c>
      <c r="V67" s="305">
        <f>ROUND(Ajustes!AY63,0)</f>
        <v>18</v>
      </c>
      <c r="W67" s="305">
        <f>ROUND(Ajustes!AZ63,0)</f>
        <v>17</v>
      </c>
      <c r="X67" s="305">
        <f>ROUND(Ajustes!BA63,0)</f>
        <v>16</v>
      </c>
      <c r="Y67" s="305">
        <f>ROUND(Ajustes!BB63,0)</f>
        <v>15</v>
      </c>
      <c r="Z67" s="305">
        <f>ROUND(Ajustes!BC63,0)</f>
        <v>15</v>
      </c>
      <c r="AA67" s="305">
        <f>ROUND(Ajustes!BD63,0)</f>
        <v>13</v>
      </c>
      <c r="AC67" s="305">
        <f t="shared" si="24"/>
        <v>61</v>
      </c>
      <c r="AD67" s="305">
        <f t="shared" si="25"/>
        <v>118</v>
      </c>
      <c r="AE67" s="305">
        <f>ROUND(Ajustes!BM63,0)</f>
        <v>14</v>
      </c>
      <c r="AF67" s="305">
        <f>ROUND(Ajustes!BN63,0)</f>
        <v>13</v>
      </c>
      <c r="AG67" s="305">
        <f>ROUND(Ajustes!BO63,0)</f>
        <v>12</v>
      </c>
      <c r="AH67" s="305">
        <f>ROUND(Ajustes!BP63,0)</f>
        <v>11</v>
      </c>
      <c r="AI67" s="305">
        <f>ROUND(Ajustes!BQ63,0)</f>
        <v>11</v>
      </c>
      <c r="AJ67" s="305">
        <f>ROUND(Ajustes!BR63,0)</f>
        <v>10</v>
      </c>
    </row>
    <row r="68" spans="2:36" x14ac:dyDescent="0.25">
      <c r="B68" s="53">
        <v>62</v>
      </c>
      <c r="C68" s="53">
        <v>119</v>
      </c>
      <c r="D68" s="53">
        <v>16</v>
      </c>
      <c r="E68" s="53">
        <v>16</v>
      </c>
      <c r="F68" s="53">
        <v>14</v>
      </c>
      <c r="G68" s="53">
        <v>13</v>
      </c>
      <c r="H68" s="53">
        <v>13</v>
      </c>
      <c r="I68" s="53">
        <v>12</v>
      </c>
      <c r="K68" s="305">
        <f t="shared" si="26"/>
        <v>62</v>
      </c>
      <c r="L68" s="305">
        <f t="shared" si="27"/>
        <v>119</v>
      </c>
      <c r="M68" s="305">
        <f>ROUND(Ajustes!AK64,0)</f>
        <v>25</v>
      </c>
      <c r="N68" s="305">
        <f>ROUND(Ajustes!AL64,0)</f>
        <v>25</v>
      </c>
      <c r="O68" s="305">
        <f>ROUND(Ajustes!AM64,0)</f>
        <v>22</v>
      </c>
      <c r="P68" s="305">
        <f>ROUND(Ajustes!AN64,0)</f>
        <v>20</v>
      </c>
      <c r="Q68" s="305">
        <f>ROUND(Ajustes!AO64,0)</f>
        <v>20</v>
      </c>
      <c r="R68" s="305">
        <f>ROUND(Ajustes!AP64,0)</f>
        <v>19</v>
      </c>
      <c r="T68" s="305">
        <f t="shared" si="22"/>
        <v>62</v>
      </c>
      <c r="U68" s="305">
        <f t="shared" si="23"/>
        <v>119</v>
      </c>
      <c r="V68" s="305">
        <f>ROUND(Ajustes!AY64,0)</f>
        <v>21</v>
      </c>
      <c r="W68" s="305">
        <f>ROUND(Ajustes!AZ64,0)</f>
        <v>21</v>
      </c>
      <c r="X68" s="305">
        <f>ROUND(Ajustes!BA64,0)</f>
        <v>18</v>
      </c>
      <c r="Y68" s="305">
        <f>ROUND(Ajustes!BB64,0)</f>
        <v>17</v>
      </c>
      <c r="Z68" s="305">
        <f>ROUND(Ajustes!BC64,0)</f>
        <v>17</v>
      </c>
      <c r="AA68" s="305">
        <f>ROUND(Ajustes!BD64,0)</f>
        <v>16</v>
      </c>
      <c r="AC68" s="305">
        <f t="shared" si="24"/>
        <v>62</v>
      </c>
      <c r="AD68" s="305">
        <f t="shared" si="25"/>
        <v>119</v>
      </c>
      <c r="AE68" s="305">
        <f>ROUND(Ajustes!BM64,0)</f>
        <v>16</v>
      </c>
      <c r="AF68" s="305">
        <f>ROUND(Ajustes!BN64,0)</f>
        <v>16</v>
      </c>
      <c r="AG68" s="305">
        <f>ROUND(Ajustes!BO64,0)</f>
        <v>14</v>
      </c>
      <c r="AH68" s="305">
        <f>ROUND(Ajustes!BP64,0)</f>
        <v>13</v>
      </c>
      <c r="AI68" s="305">
        <f>ROUND(Ajustes!BQ64,0)</f>
        <v>13</v>
      </c>
      <c r="AJ68" s="305">
        <f>ROUND(Ajustes!BR64,0)</f>
        <v>12</v>
      </c>
    </row>
    <row r="69" spans="2:36" x14ac:dyDescent="0.25">
      <c r="B69" s="53">
        <v>63</v>
      </c>
      <c r="C69" s="53">
        <v>120</v>
      </c>
      <c r="D69" s="53">
        <v>11</v>
      </c>
      <c r="E69" s="53">
        <v>12</v>
      </c>
      <c r="F69" s="53">
        <v>11</v>
      </c>
      <c r="G69" s="53">
        <v>12</v>
      </c>
      <c r="H69" s="53">
        <v>13</v>
      </c>
      <c r="I69" s="53">
        <v>11</v>
      </c>
      <c r="K69" s="305">
        <f t="shared" si="26"/>
        <v>63</v>
      </c>
      <c r="L69" s="305">
        <f t="shared" si="27"/>
        <v>120</v>
      </c>
      <c r="M69" s="305">
        <f>ROUND(Ajustes!AK65,0)</f>
        <v>17</v>
      </c>
      <c r="N69" s="305">
        <f>ROUND(Ajustes!AL65,0)</f>
        <v>19</v>
      </c>
      <c r="O69" s="305">
        <f>ROUND(Ajustes!AM65,0)</f>
        <v>17</v>
      </c>
      <c r="P69" s="305">
        <f>ROUND(Ajustes!AN65,0)</f>
        <v>19</v>
      </c>
      <c r="Q69" s="305">
        <f>ROUND(Ajustes!AO65,0)</f>
        <v>20</v>
      </c>
      <c r="R69" s="305">
        <f>ROUND(Ajustes!AP65,0)</f>
        <v>17</v>
      </c>
      <c r="T69" s="305">
        <f t="shared" si="22"/>
        <v>63</v>
      </c>
      <c r="U69" s="305">
        <f t="shared" si="23"/>
        <v>120</v>
      </c>
      <c r="V69" s="305">
        <f>ROUND(Ajustes!AY65,0)</f>
        <v>15</v>
      </c>
      <c r="W69" s="305">
        <f>ROUND(Ajustes!AZ65,0)</f>
        <v>16</v>
      </c>
      <c r="X69" s="305">
        <f>ROUND(Ajustes!BA65,0)</f>
        <v>15</v>
      </c>
      <c r="Y69" s="305">
        <f>ROUND(Ajustes!BB65,0)</f>
        <v>16</v>
      </c>
      <c r="Z69" s="305">
        <f>ROUND(Ajustes!BC65,0)</f>
        <v>17</v>
      </c>
      <c r="AA69" s="305">
        <f>ROUND(Ajustes!BD65,0)</f>
        <v>15</v>
      </c>
      <c r="AC69" s="305">
        <f t="shared" si="24"/>
        <v>63</v>
      </c>
      <c r="AD69" s="305">
        <f t="shared" si="25"/>
        <v>120</v>
      </c>
      <c r="AE69" s="305">
        <f>ROUND(Ajustes!BM65,0)</f>
        <v>11</v>
      </c>
      <c r="AF69" s="305">
        <f>ROUND(Ajustes!BN65,0)</f>
        <v>12</v>
      </c>
      <c r="AG69" s="305">
        <f>ROUND(Ajustes!BO65,0)</f>
        <v>11</v>
      </c>
      <c r="AH69" s="305">
        <f>ROUND(Ajustes!BP65,0)</f>
        <v>12</v>
      </c>
      <c r="AI69" s="305">
        <f>ROUND(Ajustes!BQ65,0)</f>
        <v>13</v>
      </c>
      <c r="AJ69" s="305">
        <f>ROUND(Ajustes!BR65,0)</f>
        <v>11</v>
      </c>
    </row>
    <row r="70" spans="2:36" x14ac:dyDescent="0.25">
      <c r="B70" s="53">
        <v>64</v>
      </c>
      <c r="C70" s="53">
        <v>121</v>
      </c>
      <c r="D70" s="53">
        <v>33</v>
      </c>
      <c r="E70" s="53">
        <v>34</v>
      </c>
      <c r="F70" s="53">
        <v>35</v>
      </c>
      <c r="G70" s="53">
        <v>32</v>
      </c>
      <c r="H70" s="53">
        <v>39</v>
      </c>
      <c r="I70" s="53">
        <v>36</v>
      </c>
      <c r="K70" s="305">
        <f t="shared" ref="K70:K101" si="28">B70</f>
        <v>64</v>
      </c>
      <c r="L70" s="305">
        <f t="shared" ref="L70:L101" si="29">C70</f>
        <v>121</v>
      </c>
      <c r="M70" s="305">
        <f>ROUND(Ajustes!AK66,0)</f>
        <v>51</v>
      </c>
      <c r="N70" s="305">
        <f>ROUND(Ajustes!AL66,0)</f>
        <v>53</v>
      </c>
      <c r="O70" s="305">
        <f>ROUND(Ajustes!AM66,0)</f>
        <v>54</v>
      </c>
      <c r="P70" s="305">
        <f>ROUND(Ajustes!AN66,0)</f>
        <v>50</v>
      </c>
      <c r="Q70" s="305">
        <f>ROUND(Ajustes!AO66,0)</f>
        <v>61</v>
      </c>
      <c r="R70" s="305">
        <f>ROUND(Ajustes!AP66,0)</f>
        <v>56</v>
      </c>
      <c r="T70" s="305">
        <f t="shared" ref="T70:T133" si="30">K70</f>
        <v>64</v>
      </c>
      <c r="U70" s="305">
        <f t="shared" ref="U70:U133" si="31">L70</f>
        <v>121</v>
      </c>
      <c r="V70" s="305">
        <f>ROUND(Ajustes!AY66,0)</f>
        <v>44</v>
      </c>
      <c r="W70" s="305">
        <f>ROUND(Ajustes!AZ66,0)</f>
        <v>45</v>
      </c>
      <c r="X70" s="305">
        <f>ROUND(Ajustes!BA66,0)</f>
        <v>46</v>
      </c>
      <c r="Y70" s="305">
        <f>ROUND(Ajustes!BB66,0)</f>
        <v>42</v>
      </c>
      <c r="Z70" s="305">
        <f>ROUND(Ajustes!BC66,0)</f>
        <v>51</v>
      </c>
      <c r="AA70" s="305">
        <f>ROUND(Ajustes!BD66,0)</f>
        <v>47</v>
      </c>
      <c r="AC70" s="305">
        <f t="shared" ref="AC70:AC133" si="32">T70</f>
        <v>64</v>
      </c>
      <c r="AD70" s="305">
        <f t="shared" ref="AD70:AD133" si="33">U70</f>
        <v>121</v>
      </c>
      <c r="AE70" s="305">
        <f>ROUND(Ajustes!BM66,0)</f>
        <v>33</v>
      </c>
      <c r="AF70" s="305">
        <f>ROUND(Ajustes!BN66,0)</f>
        <v>34</v>
      </c>
      <c r="AG70" s="305">
        <f>ROUND(Ajustes!BO66,0)</f>
        <v>35</v>
      </c>
      <c r="AH70" s="305">
        <f>ROUND(Ajustes!BP66,0)</f>
        <v>32</v>
      </c>
      <c r="AI70" s="305">
        <f>ROUND(Ajustes!BQ66,0)</f>
        <v>39</v>
      </c>
      <c r="AJ70" s="305">
        <f>ROUND(Ajustes!BR66,0)</f>
        <v>36</v>
      </c>
    </row>
    <row r="71" spans="2:36" x14ac:dyDescent="0.25">
      <c r="B71" s="53">
        <v>65</v>
      </c>
      <c r="C71" s="53">
        <v>122</v>
      </c>
      <c r="D71" s="53">
        <v>41</v>
      </c>
      <c r="E71" s="53">
        <v>41</v>
      </c>
      <c r="F71" s="53">
        <v>43</v>
      </c>
      <c r="G71" s="53">
        <v>39</v>
      </c>
      <c r="H71" s="53">
        <v>46</v>
      </c>
      <c r="I71" s="53">
        <v>43</v>
      </c>
      <c r="K71" s="305">
        <f t="shared" si="28"/>
        <v>65</v>
      </c>
      <c r="L71" s="305">
        <f t="shared" si="29"/>
        <v>122</v>
      </c>
      <c r="M71" s="305">
        <f>ROUND(Ajustes!AK67,0)</f>
        <v>64</v>
      </c>
      <c r="N71" s="305">
        <f>ROUND(Ajustes!AL67,0)</f>
        <v>64</v>
      </c>
      <c r="O71" s="305">
        <f>ROUND(Ajustes!AM67,0)</f>
        <v>67</v>
      </c>
      <c r="P71" s="305">
        <f>ROUND(Ajustes!AN67,0)</f>
        <v>61</v>
      </c>
      <c r="Q71" s="305">
        <f>ROUND(Ajustes!AO67,0)</f>
        <v>71</v>
      </c>
      <c r="R71" s="305">
        <f>ROUND(Ajustes!AP67,0)</f>
        <v>67</v>
      </c>
      <c r="T71" s="305">
        <f t="shared" si="30"/>
        <v>65</v>
      </c>
      <c r="U71" s="305">
        <f t="shared" si="31"/>
        <v>122</v>
      </c>
      <c r="V71" s="305">
        <f>ROUND(Ajustes!AY67,0)</f>
        <v>54</v>
      </c>
      <c r="W71" s="305">
        <f>ROUND(Ajustes!AZ67,0)</f>
        <v>54</v>
      </c>
      <c r="X71" s="305">
        <f>ROUND(Ajustes!BA67,0)</f>
        <v>57</v>
      </c>
      <c r="Y71" s="305">
        <f>ROUND(Ajustes!BB67,0)</f>
        <v>51</v>
      </c>
      <c r="Z71" s="305">
        <f>ROUND(Ajustes!BC67,0)</f>
        <v>61</v>
      </c>
      <c r="AA71" s="305">
        <f>ROUND(Ajustes!BD67,0)</f>
        <v>57</v>
      </c>
      <c r="AC71" s="305">
        <f t="shared" si="32"/>
        <v>65</v>
      </c>
      <c r="AD71" s="305">
        <f t="shared" si="33"/>
        <v>122</v>
      </c>
      <c r="AE71" s="305">
        <f>ROUND(Ajustes!BM67,0)</f>
        <v>41</v>
      </c>
      <c r="AF71" s="305">
        <f>ROUND(Ajustes!BN67,0)</f>
        <v>41</v>
      </c>
      <c r="AG71" s="305">
        <f>ROUND(Ajustes!BO67,0)</f>
        <v>43</v>
      </c>
      <c r="AH71" s="305">
        <f>ROUND(Ajustes!BP67,0)</f>
        <v>39</v>
      </c>
      <c r="AI71" s="305">
        <f>ROUND(Ajustes!BQ67,0)</f>
        <v>46</v>
      </c>
      <c r="AJ71" s="305">
        <f>ROUND(Ajustes!BR67,0)</f>
        <v>43</v>
      </c>
    </row>
    <row r="72" spans="2:36" x14ac:dyDescent="0.25">
      <c r="B72" s="53">
        <v>66</v>
      </c>
      <c r="C72" s="53">
        <v>123</v>
      </c>
      <c r="D72" s="53">
        <v>95</v>
      </c>
      <c r="E72" s="53">
        <v>96</v>
      </c>
      <c r="F72" s="53">
        <v>96</v>
      </c>
      <c r="G72" s="53">
        <v>69</v>
      </c>
      <c r="H72" s="53">
        <v>105</v>
      </c>
      <c r="I72" s="53">
        <v>106</v>
      </c>
      <c r="K72" s="305">
        <f t="shared" si="28"/>
        <v>66</v>
      </c>
      <c r="L72" s="305">
        <f t="shared" si="29"/>
        <v>123</v>
      </c>
      <c r="M72" s="305">
        <f>ROUND(Ajustes!AK68,0)</f>
        <v>148</v>
      </c>
      <c r="N72" s="305">
        <f>ROUND(Ajustes!AL68,0)</f>
        <v>149</v>
      </c>
      <c r="O72" s="305">
        <f>ROUND(Ajustes!AM68,0)</f>
        <v>149</v>
      </c>
      <c r="P72" s="305">
        <f>ROUND(Ajustes!AN68,0)</f>
        <v>107</v>
      </c>
      <c r="Q72" s="305">
        <f>ROUND(Ajustes!AO68,0)</f>
        <v>163</v>
      </c>
      <c r="R72" s="305">
        <f>ROUND(Ajustes!AP68,0)</f>
        <v>165</v>
      </c>
      <c r="T72" s="305">
        <f t="shared" si="30"/>
        <v>66</v>
      </c>
      <c r="U72" s="305">
        <f t="shared" si="31"/>
        <v>123</v>
      </c>
      <c r="V72" s="305">
        <f>ROUND(Ajustes!AY68,0)</f>
        <v>125</v>
      </c>
      <c r="W72" s="305">
        <f>ROUND(Ajustes!AZ68,0)</f>
        <v>127</v>
      </c>
      <c r="X72" s="305">
        <f>ROUND(Ajustes!BA68,0)</f>
        <v>127</v>
      </c>
      <c r="Y72" s="305">
        <f>ROUND(Ajustes!BB68,0)</f>
        <v>91</v>
      </c>
      <c r="Z72" s="305">
        <f>ROUND(Ajustes!BC68,0)</f>
        <v>138</v>
      </c>
      <c r="AA72" s="305">
        <f>ROUND(Ajustes!BD68,0)</f>
        <v>140</v>
      </c>
      <c r="AC72" s="305">
        <f t="shared" si="32"/>
        <v>66</v>
      </c>
      <c r="AD72" s="305">
        <f t="shared" si="33"/>
        <v>123</v>
      </c>
      <c r="AE72" s="305">
        <f>ROUND(Ajustes!BM68,0)</f>
        <v>95</v>
      </c>
      <c r="AF72" s="305">
        <f>ROUND(Ajustes!BN68,0)</f>
        <v>96</v>
      </c>
      <c r="AG72" s="305">
        <f>ROUND(Ajustes!BO68,0)</f>
        <v>96</v>
      </c>
      <c r="AH72" s="305">
        <f>ROUND(Ajustes!BP68,0)</f>
        <v>69</v>
      </c>
      <c r="AI72" s="305">
        <f>ROUND(Ajustes!BQ68,0)</f>
        <v>105</v>
      </c>
      <c r="AJ72" s="305">
        <f>ROUND(Ajustes!BR68,0)</f>
        <v>106</v>
      </c>
    </row>
    <row r="73" spans="2:36" x14ac:dyDescent="0.25">
      <c r="B73" s="53">
        <v>67</v>
      </c>
      <c r="C73" s="53">
        <v>125</v>
      </c>
      <c r="D73" s="53">
        <v>125</v>
      </c>
      <c r="E73" s="53">
        <v>126</v>
      </c>
      <c r="F73" s="53">
        <v>127</v>
      </c>
      <c r="G73" s="53">
        <v>92</v>
      </c>
      <c r="H73" s="53">
        <v>137</v>
      </c>
      <c r="I73" s="53">
        <v>137</v>
      </c>
      <c r="K73" s="305">
        <f t="shared" si="28"/>
        <v>67</v>
      </c>
      <c r="L73" s="305">
        <f t="shared" si="29"/>
        <v>125</v>
      </c>
      <c r="M73" s="305">
        <f>ROUND(Ajustes!AK69,0)</f>
        <v>194</v>
      </c>
      <c r="N73" s="305">
        <f>ROUND(Ajustes!AL69,0)</f>
        <v>196</v>
      </c>
      <c r="O73" s="305">
        <f>ROUND(Ajustes!AM69,0)</f>
        <v>197</v>
      </c>
      <c r="P73" s="305">
        <f>ROUND(Ajustes!AN69,0)</f>
        <v>143</v>
      </c>
      <c r="Q73" s="305">
        <f>ROUND(Ajustes!AO69,0)</f>
        <v>213</v>
      </c>
      <c r="R73" s="305">
        <f>ROUND(Ajustes!AP69,0)</f>
        <v>213</v>
      </c>
      <c r="T73" s="305">
        <f t="shared" si="30"/>
        <v>67</v>
      </c>
      <c r="U73" s="305">
        <f t="shared" si="31"/>
        <v>125</v>
      </c>
      <c r="V73" s="305">
        <f>ROUND(Ajustes!AY69,0)</f>
        <v>165</v>
      </c>
      <c r="W73" s="305">
        <f>ROUND(Ajustes!AZ69,0)</f>
        <v>166</v>
      </c>
      <c r="X73" s="305">
        <f>ROUND(Ajustes!BA69,0)</f>
        <v>167</v>
      </c>
      <c r="Y73" s="305">
        <f>ROUND(Ajustes!BB69,0)</f>
        <v>121</v>
      </c>
      <c r="Z73" s="305">
        <f>ROUND(Ajustes!BC69,0)</f>
        <v>181</v>
      </c>
      <c r="AA73" s="305">
        <f>ROUND(Ajustes!BD69,0)</f>
        <v>181</v>
      </c>
      <c r="AC73" s="305">
        <f t="shared" si="32"/>
        <v>67</v>
      </c>
      <c r="AD73" s="305">
        <f t="shared" si="33"/>
        <v>125</v>
      </c>
      <c r="AE73" s="305">
        <f>ROUND(Ajustes!BM69,0)</f>
        <v>125</v>
      </c>
      <c r="AF73" s="305">
        <f>ROUND(Ajustes!BN69,0)</f>
        <v>126</v>
      </c>
      <c r="AG73" s="305">
        <f>ROUND(Ajustes!BO69,0)</f>
        <v>127</v>
      </c>
      <c r="AH73" s="305">
        <f>ROUND(Ajustes!BP69,0)</f>
        <v>92</v>
      </c>
      <c r="AI73" s="305">
        <f>ROUND(Ajustes!BQ69,0)</f>
        <v>137</v>
      </c>
      <c r="AJ73" s="305">
        <f>ROUND(Ajustes!BR69,0)</f>
        <v>137</v>
      </c>
    </row>
    <row r="74" spans="2:36" x14ac:dyDescent="0.25">
      <c r="B74" s="53">
        <v>68</v>
      </c>
      <c r="C74" s="53">
        <v>129</v>
      </c>
      <c r="D74" s="53">
        <v>253</v>
      </c>
      <c r="E74" s="53">
        <v>253</v>
      </c>
      <c r="F74" s="53">
        <v>259</v>
      </c>
      <c r="G74" s="53">
        <v>239</v>
      </c>
      <c r="H74" s="53">
        <v>254</v>
      </c>
      <c r="I74" s="53">
        <v>234</v>
      </c>
      <c r="K74" s="305">
        <f t="shared" si="28"/>
        <v>68</v>
      </c>
      <c r="L74" s="305">
        <f t="shared" si="29"/>
        <v>129</v>
      </c>
      <c r="M74" s="305">
        <f>ROUND(Ajustes!AK70,0)</f>
        <v>393</v>
      </c>
      <c r="N74" s="305">
        <f>ROUND(Ajustes!AL70,0)</f>
        <v>393</v>
      </c>
      <c r="O74" s="305">
        <f>ROUND(Ajustes!AM70,0)</f>
        <v>402</v>
      </c>
      <c r="P74" s="305">
        <f>ROUND(Ajustes!AN70,0)</f>
        <v>371</v>
      </c>
      <c r="Q74" s="305">
        <f>ROUND(Ajustes!AO70,0)</f>
        <v>395</v>
      </c>
      <c r="R74" s="305">
        <f>ROUND(Ajustes!AP70,0)</f>
        <v>363</v>
      </c>
      <c r="T74" s="305">
        <f t="shared" si="30"/>
        <v>68</v>
      </c>
      <c r="U74" s="305">
        <f t="shared" si="31"/>
        <v>129</v>
      </c>
      <c r="V74" s="305">
        <f>ROUND(Ajustes!AY70,0)</f>
        <v>334</v>
      </c>
      <c r="W74" s="305">
        <f>ROUND(Ajustes!AZ70,0)</f>
        <v>334</v>
      </c>
      <c r="X74" s="305">
        <f>ROUND(Ajustes!BA70,0)</f>
        <v>342</v>
      </c>
      <c r="Y74" s="305">
        <f>ROUND(Ajustes!BB70,0)</f>
        <v>315</v>
      </c>
      <c r="Z74" s="305">
        <f>ROUND(Ajustes!BC70,0)</f>
        <v>335</v>
      </c>
      <c r="AA74" s="305">
        <f>ROUND(Ajustes!BD70,0)</f>
        <v>309</v>
      </c>
      <c r="AC74" s="305">
        <f t="shared" si="32"/>
        <v>68</v>
      </c>
      <c r="AD74" s="305">
        <f t="shared" si="33"/>
        <v>129</v>
      </c>
      <c r="AE74" s="305">
        <f>ROUND(Ajustes!BM70,0)</f>
        <v>253</v>
      </c>
      <c r="AF74" s="305">
        <f>ROUND(Ajustes!BN70,0)</f>
        <v>253</v>
      </c>
      <c r="AG74" s="305">
        <f>ROUND(Ajustes!BO70,0)</f>
        <v>259</v>
      </c>
      <c r="AH74" s="305">
        <f>ROUND(Ajustes!BP70,0)</f>
        <v>239</v>
      </c>
      <c r="AI74" s="305">
        <f>ROUND(Ajustes!BQ70,0)</f>
        <v>254</v>
      </c>
      <c r="AJ74" s="305">
        <f>ROUND(Ajustes!BR70,0)</f>
        <v>234</v>
      </c>
    </row>
    <row r="75" spans="2:36" x14ac:dyDescent="0.25">
      <c r="B75" s="53">
        <v>69</v>
      </c>
      <c r="C75" s="53">
        <v>130</v>
      </c>
      <c r="D75" s="53">
        <v>261</v>
      </c>
      <c r="E75" s="53">
        <v>261</v>
      </c>
      <c r="F75" s="53">
        <v>268</v>
      </c>
      <c r="G75" s="53">
        <v>245</v>
      </c>
      <c r="H75" s="53">
        <v>262</v>
      </c>
      <c r="I75" s="53">
        <v>243</v>
      </c>
      <c r="K75" s="305">
        <f t="shared" si="28"/>
        <v>69</v>
      </c>
      <c r="L75" s="305">
        <f t="shared" si="29"/>
        <v>130</v>
      </c>
      <c r="M75" s="305">
        <f>ROUND(Ajustes!AK71,0)</f>
        <v>405</v>
      </c>
      <c r="N75" s="305">
        <f>ROUND(Ajustes!AL71,0)</f>
        <v>405</v>
      </c>
      <c r="O75" s="305">
        <f>ROUND(Ajustes!AM71,0)</f>
        <v>416</v>
      </c>
      <c r="P75" s="305">
        <f>ROUND(Ajustes!AN71,0)</f>
        <v>381</v>
      </c>
      <c r="Q75" s="305">
        <f>ROUND(Ajustes!AO71,0)</f>
        <v>407</v>
      </c>
      <c r="R75" s="305">
        <f>ROUND(Ajustes!AP71,0)</f>
        <v>377</v>
      </c>
      <c r="T75" s="305">
        <f t="shared" si="30"/>
        <v>69</v>
      </c>
      <c r="U75" s="305">
        <f t="shared" si="31"/>
        <v>130</v>
      </c>
      <c r="V75" s="305">
        <f>ROUND(Ajustes!AY71,0)</f>
        <v>344</v>
      </c>
      <c r="W75" s="305">
        <f>ROUND(Ajustes!AZ71,0)</f>
        <v>344</v>
      </c>
      <c r="X75" s="305">
        <f>ROUND(Ajustes!BA71,0)</f>
        <v>353</v>
      </c>
      <c r="Y75" s="305">
        <f>ROUND(Ajustes!BB71,0)</f>
        <v>323</v>
      </c>
      <c r="Z75" s="305">
        <f>ROUND(Ajustes!BC71,0)</f>
        <v>345</v>
      </c>
      <c r="AA75" s="305">
        <f>ROUND(Ajustes!BD71,0)</f>
        <v>320</v>
      </c>
      <c r="AC75" s="305">
        <f t="shared" si="32"/>
        <v>69</v>
      </c>
      <c r="AD75" s="305">
        <f t="shared" si="33"/>
        <v>130</v>
      </c>
      <c r="AE75" s="305">
        <f>ROUND(Ajustes!BM71,0)</f>
        <v>261</v>
      </c>
      <c r="AF75" s="305">
        <f>ROUND(Ajustes!BN71,0)</f>
        <v>261</v>
      </c>
      <c r="AG75" s="305">
        <f>ROUND(Ajustes!BO71,0)</f>
        <v>268</v>
      </c>
      <c r="AH75" s="305">
        <f>ROUND(Ajustes!BP71,0)</f>
        <v>245</v>
      </c>
      <c r="AI75" s="305">
        <f>ROUND(Ajustes!BQ71,0)</f>
        <v>262</v>
      </c>
      <c r="AJ75" s="305">
        <f>ROUND(Ajustes!BR71,0)</f>
        <v>243</v>
      </c>
    </row>
    <row r="76" spans="2:36" x14ac:dyDescent="0.25">
      <c r="B76" s="53">
        <v>70</v>
      </c>
      <c r="C76" s="53">
        <v>134</v>
      </c>
      <c r="D76" s="53">
        <v>42</v>
      </c>
      <c r="E76" s="53">
        <v>41</v>
      </c>
      <c r="F76" s="53">
        <v>40</v>
      </c>
      <c r="G76" s="53">
        <v>39</v>
      </c>
      <c r="H76" s="53">
        <v>36</v>
      </c>
      <c r="I76" s="53">
        <v>34</v>
      </c>
      <c r="K76" s="305">
        <f t="shared" si="28"/>
        <v>70</v>
      </c>
      <c r="L76" s="305">
        <f t="shared" si="29"/>
        <v>134</v>
      </c>
      <c r="M76" s="305">
        <f>ROUND(Ajustes!AK72,0)</f>
        <v>65</v>
      </c>
      <c r="N76" s="305">
        <f>ROUND(Ajustes!AL72,0)</f>
        <v>64</v>
      </c>
      <c r="O76" s="305">
        <f>ROUND(Ajustes!AM72,0)</f>
        <v>62</v>
      </c>
      <c r="P76" s="305">
        <f>ROUND(Ajustes!AN72,0)</f>
        <v>61</v>
      </c>
      <c r="Q76" s="305">
        <f>ROUND(Ajustes!AO72,0)</f>
        <v>56</v>
      </c>
      <c r="R76" s="305">
        <f>ROUND(Ajustes!AP72,0)</f>
        <v>53</v>
      </c>
      <c r="T76" s="305">
        <f t="shared" si="30"/>
        <v>70</v>
      </c>
      <c r="U76" s="305">
        <f t="shared" si="31"/>
        <v>134</v>
      </c>
      <c r="V76" s="305">
        <f>ROUND(Ajustes!AY72,0)</f>
        <v>55</v>
      </c>
      <c r="W76" s="305">
        <f>ROUND(Ajustes!AZ72,0)</f>
        <v>54</v>
      </c>
      <c r="X76" s="305">
        <f>ROUND(Ajustes!BA72,0)</f>
        <v>53</v>
      </c>
      <c r="Y76" s="305">
        <f>ROUND(Ajustes!BB72,0)</f>
        <v>51</v>
      </c>
      <c r="Z76" s="305">
        <f>ROUND(Ajustes!BC72,0)</f>
        <v>47</v>
      </c>
      <c r="AA76" s="305">
        <f>ROUND(Ajustes!BD72,0)</f>
        <v>45</v>
      </c>
      <c r="AC76" s="305">
        <f t="shared" si="32"/>
        <v>70</v>
      </c>
      <c r="AD76" s="305">
        <f t="shared" si="33"/>
        <v>134</v>
      </c>
      <c r="AE76" s="305">
        <f>ROUND(Ajustes!BM72,0)</f>
        <v>42</v>
      </c>
      <c r="AF76" s="305">
        <f>ROUND(Ajustes!BN72,0)</f>
        <v>41</v>
      </c>
      <c r="AG76" s="305">
        <f>ROUND(Ajustes!BO72,0)</f>
        <v>40</v>
      </c>
      <c r="AH76" s="305">
        <f>ROUND(Ajustes!BP72,0)</f>
        <v>39</v>
      </c>
      <c r="AI76" s="305">
        <f>ROUND(Ajustes!BQ72,0)</f>
        <v>36</v>
      </c>
      <c r="AJ76" s="305">
        <f>ROUND(Ajustes!BR72,0)</f>
        <v>34</v>
      </c>
    </row>
    <row r="77" spans="2:36" x14ac:dyDescent="0.25">
      <c r="B77" s="53">
        <v>71</v>
      </c>
      <c r="C77" s="53">
        <v>141</v>
      </c>
      <c r="D77" s="53">
        <v>242</v>
      </c>
      <c r="E77" s="53">
        <v>242</v>
      </c>
      <c r="F77" s="53">
        <v>232</v>
      </c>
      <c r="G77" s="53">
        <v>229</v>
      </c>
      <c r="H77" s="53">
        <v>226</v>
      </c>
      <c r="I77" s="53">
        <v>224</v>
      </c>
      <c r="K77" s="305">
        <f t="shared" si="28"/>
        <v>71</v>
      </c>
      <c r="L77" s="305">
        <f t="shared" si="29"/>
        <v>141</v>
      </c>
      <c r="M77" s="305">
        <f>ROUND(Ajustes!AK73,0)</f>
        <v>376</v>
      </c>
      <c r="N77" s="305">
        <f>ROUND(Ajustes!AL73,0)</f>
        <v>376</v>
      </c>
      <c r="O77" s="305">
        <f>ROUND(Ajustes!AM73,0)</f>
        <v>360</v>
      </c>
      <c r="P77" s="305">
        <f>ROUND(Ajustes!AN73,0)</f>
        <v>356</v>
      </c>
      <c r="Q77" s="305">
        <f>ROUND(Ajustes!AO73,0)</f>
        <v>351</v>
      </c>
      <c r="R77" s="305">
        <f>ROUND(Ajustes!AP73,0)</f>
        <v>348</v>
      </c>
      <c r="T77" s="305">
        <f t="shared" si="30"/>
        <v>71</v>
      </c>
      <c r="U77" s="305">
        <f t="shared" si="31"/>
        <v>141</v>
      </c>
      <c r="V77" s="305">
        <f>ROUND(Ajustes!AY73,0)</f>
        <v>319</v>
      </c>
      <c r="W77" s="305">
        <f>ROUND(Ajustes!AZ73,0)</f>
        <v>319</v>
      </c>
      <c r="X77" s="305">
        <f>ROUND(Ajustes!BA73,0)</f>
        <v>306</v>
      </c>
      <c r="Y77" s="305">
        <f>ROUND(Ajustes!BB73,0)</f>
        <v>302</v>
      </c>
      <c r="Z77" s="305">
        <f>ROUND(Ajustes!BC73,0)</f>
        <v>298</v>
      </c>
      <c r="AA77" s="305">
        <f>ROUND(Ajustes!BD73,0)</f>
        <v>295</v>
      </c>
      <c r="AC77" s="305">
        <f t="shared" si="32"/>
        <v>71</v>
      </c>
      <c r="AD77" s="305">
        <f t="shared" si="33"/>
        <v>141</v>
      </c>
      <c r="AE77" s="305">
        <f>ROUND(Ajustes!BM73,0)</f>
        <v>242</v>
      </c>
      <c r="AF77" s="305">
        <f>ROUND(Ajustes!BN73,0)</f>
        <v>242</v>
      </c>
      <c r="AG77" s="305">
        <f>ROUND(Ajustes!BO73,0)</f>
        <v>232</v>
      </c>
      <c r="AH77" s="305">
        <f>ROUND(Ajustes!BP73,0)</f>
        <v>229</v>
      </c>
      <c r="AI77" s="305">
        <f>ROUND(Ajustes!BQ73,0)</f>
        <v>226</v>
      </c>
      <c r="AJ77" s="305">
        <f>ROUND(Ajustes!BR73,0)</f>
        <v>224</v>
      </c>
    </row>
    <row r="78" spans="2:36" x14ac:dyDescent="0.25">
      <c r="B78" s="53">
        <v>72</v>
      </c>
      <c r="C78" s="53">
        <v>144</v>
      </c>
      <c r="D78" s="53">
        <v>317</v>
      </c>
      <c r="E78" s="53">
        <v>319</v>
      </c>
      <c r="F78" s="53">
        <v>298</v>
      </c>
      <c r="G78" s="53">
        <v>290</v>
      </c>
      <c r="H78" s="53">
        <v>284</v>
      </c>
      <c r="I78" s="53">
        <v>287</v>
      </c>
      <c r="K78" s="305">
        <f t="shared" si="28"/>
        <v>72</v>
      </c>
      <c r="L78" s="305">
        <f t="shared" si="29"/>
        <v>144</v>
      </c>
      <c r="M78" s="305">
        <f>ROUND(Ajustes!AK74,0)</f>
        <v>492</v>
      </c>
      <c r="N78" s="305">
        <f>ROUND(Ajustes!AL74,0)</f>
        <v>495</v>
      </c>
      <c r="O78" s="305">
        <f>ROUND(Ajustes!AM74,0)</f>
        <v>463</v>
      </c>
      <c r="P78" s="305">
        <f>ROUND(Ajustes!AN74,0)</f>
        <v>450</v>
      </c>
      <c r="Q78" s="305">
        <f>ROUND(Ajustes!AO74,0)</f>
        <v>441</v>
      </c>
      <c r="R78" s="305">
        <f>ROUND(Ajustes!AP74,0)</f>
        <v>446</v>
      </c>
      <c r="T78" s="305">
        <f t="shared" si="30"/>
        <v>72</v>
      </c>
      <c r="U78" s="305">
        <f t="shared" si="31"/>
        <v>144</v>
      </c>
      <c r="V78" s="305">
        <f>ROUND(Ajustes!AY74,0)</f>
        <v>418</v>
      </c>
      <c r="W78" s="305">
        <f>ROUND(Ajustes!AZ74,0)</f>
        <v>421</v>
      </c>
      <c r="X78" s="305">
        <f>ROUND(Ajustes!BA74,0)</f>
        <v>393</v>
      </c>
      <c r="Y78" s="305">
        <f>ROUND(Ajustes!BB74,0)</f>
        <v>382</v>
      </c>
      <c r="Z78" s="305">
        <f>ROUND(Ajustes!BC74,0)</f>
        <v>374</v>
      </c>
      <c r="AA78" s="305">
        <f>ROUND(Ajustes!BD74,0)</f>
        <v>378</v>
      </c>
      <c r="AC78" s="305">
        <f t="shared" si="32"/>
        <v>72</v>
      </c>
      <c r="AD78" s="305">
        <f t="shared" si="33"/>
        <v>144</v>
      </c>
      <c r="AE78" s="305">
        <f>ROUND(Ajustes!BM74,0)</f>
        <v>317</v>
      </c>
      <c r="AF78" s="305">
        <f>ROUND(Ajustes!BN74,0)</f>
        <v>319</v>
      </c>
      <c r="AG78" s="305">
        <f>ROUND(Ajustes!BO74,0)</f>
        <v>298</v>
      </c>
      <c r="AH78" s="305">
        <f>ROUND(Ajustes!BP74,0)</f>
        <v>290</v>
      </c>
      <c r="AI78" s="305">
        <f>ROUND(Ajustes!BQ74,0)</f>
        <v>284</v>
      </c>
      <c r="AJ78" s="305">
        <f>ROUND(Ajustes!BR74,0)</f>
        <v>287</v>
      </c>
    </row>
    <row r="79" spans="2:36" x14ac:dyDescent="0.25">
      <c r="B79" s="53">
        <v>73</v>
      </c>
      <c r="C79" s="53">
        <v>145</v>
      </c>
      <c r="D79" s="53">
        <v>59</v>
      </c>
      <c r="E79" s="53">
        <v>62</v>
      </c>
      <c r="F79" s="53">
        <v>60</v>
      </c>
      <c r="G79" s="53">
        <v>58</v>
      </c>
      <c r="H79" s="53">
        <v>52</v>
      </c>
      <c r="I79" s="53">
        <v>52</v>
      </c>
      <c r="K79" s="305">
        <f t="shared" si="28"/>
        <v>73</v>
      </c>
      <c r="L79" s="305">
        <f t="shared" si="29"/>
        <v>145</v>
      </c>
      <c r="M79" s="305">
        <f>ROUND(Ajustes!AK75,0)</f>
        <v>92</v>
      </c>
      <c r="N79" s="305">
        <f>ROUND(Ajustes!AL75,0)</f>
        <v>96</v>
      </c>
      <c r="O79" s="305">
        <f>ROUND(Ajustes!AM75,0)</f>
        <v>93</v>
      </c>
      <c r="P79" s="305">
        <f>ROUND(Ajustes!AN75,0)</f>
        <v>90</v>
      </c>
      <c r="Q79" s="305">
        <f>ROUND(Ajustes!AO75,0)</f>
        <v>81</v>
      </c>
      <c r="R79" s="305">
        <f>ROUND(Ajustes!AP75,0)</f>
        <v>81</v>
      </c>
      <c r="T79" s="305">
        <f t="shared" si="30"/>
        <v>73</v>
      </c>
      <c r="U79" s="305">
        <f t="shared" si="31"/>
        <v>145</v>
      </c>
      <c r="V79" s="305">
        <f>ROUND(Ajustes!AY75,0)</f>
        <v>78</v>
      </c>
      <c r="W79" s="305">
        <f>ROUND(Ajustes!AZ75,0)</f>
        <v>82</v>
      </c>
      <c r="X79" s="305">
        <f>ROUND(Ajustes!BA75,0)</f>
        <v>79</v>
      </c>
      <c r="Y79" s="305">
        <f>ROUND(Ajustes!BB75,0)</f>
        <v>76</v>
      </c>
      <c r="Z79" s="305">
        <f>ROUND(Ajustes!BC75,0)</f>
        <v>69</v>
      </c>
      <c r="AA79" s="305">
        <f>ROUND(Ajustes!BD75,0)</f>
        <v>69</v>
      </c>
      <c r="AC79" s="305">
        <f t="shared" si="32"/>
        <v>73</v>
      </c>
      <c r="AD79" s="305">
        <f t="shared" si="33"/>
        <v>145</v>
      </c>
      <c r="AE79" s="305">
        <f>ROUND(Ajustes!BM75,0)</f>
        <v>59</v>
      </c>
      <c r="AF79" s="305">
        <f>ROUND(Ajustes!BN75,0)</f>
        <v>62</v>
      </c>
      <c r="AG79" s="305">
        <f>ROUND(Ajustes!BO75,0)</f>
        <v>60</v>
      </c>
      <c r="AH79" s="305">
        <f>ROUND(Ajustes!BP75,0)</f>
        <v>58</v>
      </c>
      <c r="AI79" s="305">
        <f>ROUND(Ajustes!BQ75,0)</f>
        <v>52</v>
      </c>
      <c r="AJ79" s="305">
        <f>ROUND(Ajustes!BR75,0)</f>
        <v>52</v>
      </c>
    </row>
    <row r="80" spans="2:36" x14ac:dyDescent="0.25">
      <c r="B80" s="53">
        <v>74</v>
      </c>
      <c r="C80" s="53">
        <v>148</v>
      </c>
      <c r="D80" s="53">
        <v>281</v>
      </c>
      <c r="E80" s="53">
        <v>282</v>
      </c>
      <c r="F80" s="53">
        <v>264</v>
      </c>
      <c r="G80" s="53">
        <v>258</v>
      </c>
      <c r="H80" s="53">
        <v>252</v>
      </c>
      <c r="I80" s="53">
        <v>256</v>
      </c>
      <c r="K80" s="305">
        <f t="shared" si="28"/>
        <v>74</v>
      </c>
      <c r="L80" s="305">
        <f t="shared" si="29"/>
        <v>148</v>
      </c>
      <c r="M80" s="305">
        <f>ROUND(Ajustes!AK76,0)</f>
        <v>436</v>
      </c>
      <c r="N80" s="305">
        <f>ROUND(Ajustes!AL76,0)</f>
        <v>438</v>
      </c>
      <c r="O80" s="305">
        <f>ROUND(Ajustes!AM76,0)</f>
        <v>410</v>
      </c>
      <c r="P80" s="305">
        <f>ROUND(Ajustes!AN76,0)</f>
        <v>401</v>
      </c>
      <c r="Q80" s="305">
        <f>ROUND(Ajustes!AO76,0)</f>
        <v>391</v>
      </c>
      <c r="R80" s="305">
        <f>ROUND(Ajustes!AP76,0)</f>
        <v>398</v>
      </c>
      <c r="T80" s="305">
        <f t="shared" si="30"/>
        <v>74</v>
      </c>
      <c r="U80" s="305">
        <f t="shared" si="31"/>
        <v>148</v>
      </c>
      <c r="V80" s="305">
        <f>ROUND(Ajustes!AY76,0)</f>
        <v>371</v>
      </c>
      <c r="W80" s="305">
        <f>ROUND(Ajustes!AZ76,0)</f>
        <v>372</v>
      </c>
      <c r="X80" s="305">
        <f>ROUND(Ajustes!BA76,0)</f>
        <v>348</v>
      </c>
      <c r="Y80" s="305">
        <f>ROUND(Ajustes!BB76,0)</f>
        <v>340</v>
      </c>
      <c r="Z80" s="305">
        <f>ROUND(Ajustes!BC76,0)</f>
        <v>332</v>
      </c>
      <c r="AA80" s="305">
        <f>ROUND(Ajustes!BD76,0)</f>
        <v>338</v>
      </c>
      <c r="AC80" s="305">
        <f t="shared" si="32"/>
        <v>74</v>
      </c>
      <c r="AD80" s="305">
        <f t="shared" si="33"/>
        <v>148</v>
      </c>
      <c r="AE80" s="305">
        <f>ROUND(Ajustes!BM76,0)</f>
        <v>281</v>
      </c>
      <c r="AF80" s="305">
        <f>ROUND(Ajustes!BN76,0)</f>
        <v>282</v>
      </c>
      <c r="AG80" s="305">
        <f>ROUND(Ajustes!BO76,0)</f>
        <v>264</v>
      </c>
      <c r="AH80" s="305">
        <f>ROUND(Ajustes!BP76,0)</f>
        <v>258</v>
      </c>
      <c r="AI80" s="305">
        <f>ROUND(Ajustes!BQ76,0)</f>
        <v>252</v>
      </c>
      <c r="AJ80" s="305">
        <f>ROUND(Ajustes!BR76,0)</f>
        <v>256</v>
      </c>
    </row>
    <row r="81" spans="2:36" x14ac:dyDescent="0.25">
      <c r="B81" s="53">
        <v>75</v>
      </c>
      <c r="C81" s="53">
        <v>149</v>
      </c>
      <c r="D81" s="53">
        <v>50</v>
      </c>
      <c r="E81" s="53">
        <v>51</v>
      </c>
      <c r="F81" s="53">
        <v>48</v>
      </c>
      <c r="G81" s="53">
        <v>47</v>
      </c>
      <c r="H81" s="53">
        <v>51</v>
      </c>
      <c r="I81" s="53">
        <v>49</v>
      </c>
      <c r="K81" s="305">
        <f t="shared" si="28"/>
        <v>75</v>
      </c>
      <c r="L81" s="305">
        <f t="shared" si="29"/>
        <v>149</v>
      </c>
      <c r="M81" s="305">
        <f>ROUND(Ajustes!AK77,0)</f>
        <v>78</v>
      </c>
      <c r="N81" s="305">
        <f>ROUND(Ajustes!AL77,0)</f>
        <v>79</v>
      </c>
      <c r="O81" s="305">
        <f>ROUND(Ajustes!AM77,0)</f>
        <v>75</v>
      </c>
      <c r="P81" s="305">
        <f>ROUND(Ajustes!AN77,0)</f>
        <v>73</v>
      </c>
      <c r="Q81" s="305">
        <f>ROUND(Ajustes!AO77,0)</f>
        <v>79</v>
      </c>
      <c r="R81" s="305">
        <f>ROUND(Ajustes!AP77,0)</f>
        <v>76</v>
      </c>
      <c r="T81" s="305">
        <f t="shared" si="30"/>
        <v>75</v>
      </c>
      <c r="U81" s="305">
        <f t="shared" si="31"/>
        <v>149</v>
      </c>
      <c r="V81" s="305">
        <f>ROUND(Ajustes!AY77,0)</f>
        <v>66</v>
      </c>
      <c r="W81" s="305">
        <f>ROUND(Ajustes!AZ77,0)</f>
        <v>67</v>
      </c>
      <c r="X81" s="305">
        <f>ROUND(Ajustes!BA77,0)</f>
        <v>63</v>
      </c>
      <c r="Y81" s="305">
        <f>ROUND(Ajustes!BB77,0)</f>
        <v>62</v>
      </c>
      <c r="Z81" s="305">
        <f>ROUND(Ajustes!BC77,0)</f>
        <v>67</v>
      </c>
      <c r="AA81" s="305">
        <f>ROUND(Ajustes!BD77,0)</f>
        <v>65</v>
      </c>
      <c r="AC81" s="305">
        <f t="shared" si="32"/>
        <v>75</v>
      </c>
      <c r="AD81" s="305">
        <f t="shared" si="33"/>
        <v>149</v>
      </c>
      <c r="AE81" s="305">
        <f>ROUND(Ajustes!BM77,0)</f>
        <v>50</v>
      </c>
      <c r="AF81" s="305">
        <f>ROUND(Ajustes!BN77,0)</f>
        <v>51</v>
      </c>
      <c r="AG81" s="305">
        <f>ROUND(Ajustes!BO77,0)</f>
        <v>48</v>
      </c>
      <c r="AH81" s="305">
        <f>ROUND(Ajustes!BP77,0)</f>
        <v>47</v>
      </c>
      <c r="AI81" s="305">
        <f>ROUND(Ajustes!BQ77,0)</f>
        <v>51</v>
      </c>
      <c r="AJ81" s="305">
        <f>ROUND(Ajustes!BR77,0)</f>
        <v>49</v>
      </c>
    </row>
    <row r="82" spans="2:36" x14ac:dyDescent="0.25">
      <c r="B82" s="53">
        <v>76</v>
      </c>
      <c r="C82" s="53">
        <v>155</v>
      </c>
      <c r="D82" s="53">
        <v>27</v>
      </c>
      <c r="E82" s="53">
        <v>28</v>
      </c>
      <c r="F82" s="53">
        <v>27</v>
      </c>
      <c r="G82" s="53">
        <v>26</v>
      </c>
      <c r="H82" s="53">
        <v>26</v>
      </c>
      <c r="I82" s="53">
        <v>26</v>
      </c>
      <c r="K82" s="305">
        <f t="shared" si="28"/>
        <v>76</v>
      </c>
      <c r="L82" s="305">
        <f t="shared" si="29"/>
        <v>155</v>
      </c>
      <c r="M82" s="305">
        <f>ROUND(Ajustes!AK78,0)</f>
        <v>42</v>
      </c>
      <c r="N82" s="305">
        <f>ROUND(Ajustes!AL78,0)</f>
        <v>43</v>
      </c>
      <c r="O82" s="305">
        <f>ROUND(Ajustes!AM78,0)</f>
        <v>42</v>
      </c>
      <c r="P82" s="305">
        <f>ROUND(Ajustes!AN78,0)</f>
        <v>40</v>
      </c>
      <c r="Q82" s="305">
        <f>ROUND(Ajustes!AO78,0)</f>
        <v>40</v>
      </c>
      <c r="R82" s="305">
        <f>ROUND(Ajustes!AP78,0)</f>
        <v>40</v>
      </c>
      <c r="T82" s="305">
        <f t="shared" si="30"/>
        <v>76</v>
      </c>
      <c r="U82" s="305">
        <f t="shared" si="31"/>
        <v>155</v>
      </c>
      <c r="V82" s="305">
        <f>ROUND(Ajustes!AY78,0)</f>
        <v>36</v>
      </c>
      <c r="W82" s="305">
        <f>ROUND(Ajustes!AZ78,0)</f>
        <v>37</v>
      </c>
      <c r="X82" s="305">
        <f>ROUND(Ajustes!BA78,0)</f>
        <v>36</v>
      </c>
      <c r="Y82" s="305">
        <f>ROUND(Ajustes!BB78,0)</f>
        <v>34</v>
      </c>
      <c r="Z82" s="305">
        <f>ROUND(Ajustes!BC78,0)</f>
        <v>34</v>
      </c>
      <c r="AA82" s="305">
        <f>ROUND(Ajustes!BD78,0)</f>
        <v>34</v>
      </c>
      <c r="AC82" s="305">
        <f t="shared" si="32"/>
        <v>76</v>
      </c>
      <c r="AD82" s="305">
        <f t="shared" si="33"/>
        <v>155</v>
      </c>
      <c r="AE82" s="305">
        <f>ROUND(Ajustes!BM78,0)</f>
        <v>27</v>
      </c>
      <c r="AF82" s="305">
        <f>ROUND(Ajustes!BN78,0)</f>
        <v>28</v>
      </c>
      <c r="AG82" s="305">
        <f>ROUND(Ajustes!BO78,0)</f>
        <v>27</v>
      </c>
      <c r="AH82" s="305">
        <f>ROUND(Ajustes!BP78,0)</f>
        <v>26</v>
      </c>
      <c r="AI82" s="305">
        <f>ROUND(Ajustes!BQ78,0)</f>
        <v>26</v>
      </c>
      <c r="AJ82" s="305">
        <f>ROUND(Ajustes!BR78,0)</f>
        <v>26</v>
      </c>
    </row>
    <row r="83" spans="2:36" x14ac:dyDescent="0.25">
      <c r="B83" s="53">
        <v>77</v>
      </c>
      <c r="C83" s="53">
        <v>156</v>
      </c>
      <c r="D83" s="53">
        <v>97</v>
      </c>
      <c r="E83" s="53">
        <v>97</v>
      </c>
      <c r="F83" s="53">
        <v>90</v>
      </c>
      <c r="G83" s="53">
        <v>94</v>
      </c>
      <c r="H83" s="53">
        <v>94</v>
      </c>
      <c r="I83" s="53">
        <v>95</v>
      </c>
      <c r="K83" s="305">
        <f t="shared" si="28"/>
        <v>77</v>
      </c>
      <c r="L83" s="305">
        <f t="shared" si="29"/>
        <v>156</v>
      </c>
      <c r="M83" s="305">
        <f>ROUND(Ajustes!AK79,0)</f>
        <v>151</v>
      </c>
      <c r="N83" s="305">
        <f>ROUND(Ajustes!AL79,0)</f>
        <v>151</v>
      </c>
      <c r="O83" s="305">
        <f>ROUND(Ajustes!AM79,0)</f>
        <v>140</v>
      </c>
      <c r="P83" s="305">
        <f>ROUND(Ajustes!AN79,0)</f>
        <v>146</v>
      </c>
      <c r="Q83" s="305">
        <f>ROUND(Ajustes!AO79,0)</f>
        <v>146</v>
      </c>
      <c r="R83" s="305">
        <f>ROUND(Ajustes!AP79,0)</f>
        <v>148</v>
      </c>
      <c r="T83" s="305">
        <f t="shared" si="30"/>
        <v>77</v>
      </c>
      <c r="U83" s="305">
        <f t="shared" si="31"/>
        <v>156</v>
      </c>
      <c r="V83" s="305">
        <f>ROUND(Ajustes!AY79,0)</f>
        <v>128</v>
      </c>
      <c r="W83" s="305">
        <f>ROUND(Ajustes!AZ79,0)</f>
        <v>128</v>
      </c>
      <c r="X83" s="305">
        <f>ROUND(Ajustes!BA79,0)</f>
        <v>119</v>
      </c>
      <c r="Y83" s="305">
        <f>ROUND(Ajustes!BB79,0)</f>
        <v>124</v>
      </c>
      <c r="Z83" s="305">
        <f>ROUND(Ajustes!BC79,0)</f>
        <v>124</v>
      </c>
      <c r="AA83" s="305">
        <f>ROUND(Ajustes!BD79,0)</f>
        <v>125</v>
      </c>
      <c r="AC83" s="305">
        <f t="shared" si="32"/>
        <v>77</v>
      </c>
      <c r="AD83" s="305">
        <f t="shared" si="33"/>
        <v>156</v>
      </c>
      <c r="AE83" s="305">
        <f>ROUND(Ajustes!BM79,0)</f>
        <v>97</v>
      </c>
      <c r="AF83" s="305">
        <f>ROUND(Ajustes!BN79,0)</f>
        <v>97</v>
      </c>
      <c r="AG83" s="305">
        <f>ROUND(Ajustes!BO79,0)</f>
        <v>90</v>
      </c>
      <c r="AH83" s="305">
        <f>ROUND(Ajustes!BP79,0)</f>
        <v>94</v>
      </c>
      <c r="AI83" s="305">
        <f>ROUND(Ajustes!BQ79,0)</f>
        <v>94</v>
      </c>
      <c r="AJ83" s="305">
        <f>ROUND(Ajustes!BR79,0)</f>
        <v>95</v>
      </c>
    </row>
    <row r="84" spans="2:36" x14ac:dyDescent="0.25">
      <c r="B84" s="53">
        <v>78</v>
      </c>
      <c r="C84" s="53">
        <v>158</v>
      </c>
      <c r="D84" s="53">
        <v>30</v>
      </c>
      <c r="E84" s="53">
        <v>29</v>
      </c>
      <c r="F84" s="53">
        <v>28</v>
      </c>
      <c r="G84" s="53">
        <v>27</v>
      </c>
      <c r="H84" s="53">
        <v>25</v>
      </c>
      <c r="I84" s="53">
        <v>25</v>
      </c>
      <c r="K84" s="305">
        <f t="shared" si="28"/>
        <v>78</v>
      </c>
      <c r="L84" s="305">
        <f t="shared" si="29"/>
        <v>158</v>
      </c>
      <c r="M84" s="305">
        <f>ROUND(Ajustes!AK80,0)</f>
        <v>47</v>
      </c>
      <c r="N84" s="305">
        <f>ROUND(Ajustes!AL80,0)</f>
        <v>45</v>
      </c>
      <c r="O84" s="305">
        <f>ROUND(Ajustes!AM80,0)</f>
        <v>43</v>
      </c>
      <c r="P84" s="305">
        <f>ROUND(Ajustes!AN80,0)</f>
        <v>42</v>
      </c>
      <c r="Q84" s="305">
        <f>ROUND(Ajustes!AO80,0)</f>
        <v>39</v>
      </c>
      <c r="R84" s="305">
        <f>ROUND(Ajustes!AP80,0)</f>
        <v>39</v>
      </c>
      <c r="T84" s="305">
        <f t="shared" si="30"/>
        <v>78</v>
      </c>
      <c r="U84" s="305">
        <f t="shared" si="31"/>
        <v>158</v>
      </c>
      <c r="V84" s="305">
        <f>ROUND(Ajustes!AY80,0)</f>
        <v>40</v>
      </c>
      <c r="W84" s="305">
        <f>ROUND(Ajustes!AZ80,0)</f>
        <v>38</v>
      </c>
      <c r="X84" s="305">
        <f>ROUND(Ajustes!BA80,0)</f>
        <v>37</v>
      </c>
      <c r="Y84" s="305">
        <f>ROUND(Ajustes!BB80,0)</f>
        <v>36</v>
      </c>
      <c r="Z84" s="305">
        <f>ROUND(Ajustes!BC80,0)</f>
        <v>33</v>
      </c>
      <c r="AA84" s="305">
        <f>ROUND(Ajustes!BD80,0)</f>
        <v>33</v>
      </c>
      <c r="AC84" s="305">
        <f t="shared" si="32"/>
        <v>78</v>
      </c>
      <c r="AD84" s="305">
        <f t="shared" si="33"/>
        <v>158</v>
      </c>
      <c r="AE84" s="305">
        <f>ROUND(Ajustes!BM80,0)</f>
        <v>30</v>
      </c>
      <c r="AF84" s="305">
        <f>ROUND(Ajustes!BN80,0)</f>
        <v>29</v>
      </c>
      <c r="AG84" s="305">
        <f>ROUND(Ajustes!BO80,0)</f>
        <v>28</v>
      </c>
      <c r="AH84" s="305">
        <f>ROUND(Ajustes!BP80,0)</f>
        <v>27</v>
      </c>
      <c r="AI84" s="305">
        <f>ROUND(Ajustes!BQ80,0)</f>
        <v>25</v>
      </c>
      <c r="AJ84" s="305">
        <f>ROUND(Ajustes!BR80,0)</f>
        <v>25</v>
      </c>
    </row>
    <row r="85" spans="2:36" x14ac:dyDescent="0.25">
      <c r="B85" s="53">
        <v>79</v>
      </c>
      <c r="C85" s="53">
        <v>160</v>
      </c>
      <c r="D85" s="53">
        <v>6</v>
      </c>
      <c r="E85" s="53">
        <v>6</v>
      </c>
      <c r="F85" s="53">
        <v>5</v>
      </c>
      <c r="G85" s="53">
        <v>6</v>
      </c>
      <c r="H85" s="53">
        <v>6</v>
      </c>
      <c r="I85" s="53">
        <v>5</v>
      </c>
      <c r="K85" s="305">
        <f t="shared" si="28"/>
        <v>79</v>
      </c>
      <c r="L85" s="305">
        <f t="shared" si="29"/>
        <v>160</v>
      </c>
      <c r="M85" s="305">
        <f>ROUND(Ajustes!AK81,0)</f>
        <v>9</v>
      </c>
      <c r="N85" s="305">
        <f>ROUND(Ajustes!AL81,0)</f>
        <v>9</v>
      </c>
      <c r="O85" s="305">
        <f>ROUND(Ajustes!AM81,0)</f>
        <v>8</v>
      </c>
      <c r="P85" s="305">
        <f>ROUND(Ajustes!AN81,0)</f>
        <v>9</v>
      </c>
      <c r="Q85" s="305">
        <f>ROUND(Ajustes!AO81,0)</f>
        <v>9</v>
      </c>
      <c r="R85" s="305">
        <f>ROUND(Ajustes!AP81,0)</f>
        <v>8</v>
      </c>
      <c r="T85" s="305">
        <f t="shared" si="30"/>
        <v>79</v>
      </c>
      <c r="U85" s="305">
        <f t="shared" si="31"/>
        <v>160</v>
      </c>
      <c r="V85" s="305">
        <f>ROUND(Ajustes!AY81,0)</f>
        <v>8</v>
      </c>
      <c r="W85" s="305">
        <f>ROUND(Ajustes!AZ81,0)</f>
        <v>8</v>
      </c>
      <c r="X85" s="305">
        <f>ROUND(Ajustes!BA81,0)</f>
        <v>7</v>
      </c>
      <c r="Y85" s="305">
        <f>ROUND(Ajustes!BB81,0)</f>
        <v>8</v>
      </c>
      <c r="Z85" s="305">
        <f>ROUND(Ajustes!BC81,0)</f>
        <v>8</v>
      </c>
      <c r="AA85" s="305">
        <f>ROUND(Ajustes!BD81,0)</f>
        <v>7</v>
      </c>
      <c r="AC85" s="305">
        <f t="shared" si="32"/>
        <v>79</v>
      </c>
      <c r="AD85" s="305">
        <f t="shared" si="33"/>
        <v>160</v>
      </c>
      <c r="AE85" s="305">
        <f>ROUND(Ajustes!BM81,0)</f>
        <v>6</v>
      </c>
      <c r="AF85" s="305">
        <f>ROUND(Ajustes!BN81,0)</f>
        <v>6</v>
      </c>
      <c r="AG85" s="305">
        <f>ROUND(Ajustes!BO81,0)</f>
        <v>5</v>
      </c>
      <c r="AH85" s="305">
        <f>ROUND(Ajustes!BP81,0)</f>
        <v>6</v>
      </c>
      <c r="AI85" s="305">
        <f>ROUND(Ajustes!BQ81,0)</f>
        <v>6</v>
      </c>
      <c r="AJ85" s="305">
        <f>ROUND(Ajustes!BR81,0)</f>
        <v>5</v>
      </c>
    </row>
    <row r="86" spans="2:36" x14ac:dyDescent="0.25">
      <c r="B86" s="53">
        <v>80</v>
      </c>
      <c r="C86" s="53">
        <v>161</v>
      </c>
      <c r="D86" s="53">
        <v>52</v>
      </c>
      <c r="E86" s="53">
        <v>44</v>
      </c>
      <c r="F86" s="53">
        <v>43</v>
      </c>
      <c r="G86" s="53">
        <v>41</v>
      </c>
      <c r="H86" s="53">
        <v>40</v>
      </c>
      <c r="I86" s="53">
        <v>39</v>
      </c>
      <c r="K86" s="305">
        <f t="shared" si="28"/>
        <v>80</v>
      </c>
      <c r="L86" s="305">
        <f t="shared" si="29"/>
        <v>161</v>
      </c>
      <c r="M86" s="305">
        <f>ROUND(Ajustes!AK82,0)</f>
        <v>81</v>
      </c>
      <c r="N86" s="305">
        <f>ROUND(Ajustes!AL82,0)</f>
        <v>68</v>
      </c>
      <c r="O86" s="305">
        <f>ROUND(Ajustes!AM82,0)</f>
        <v>67</v>
      </c>
      <c r="P86" s="305">
        <f>ROUND(Ajustes!AN82,0)</f>
        <v>64</v>
      </c>
      <c r="Q86" s="305">
        <f>ROUND(Ajustes!AO82,0)</f>
        <v>62</v>
      </c>
      <c r="R86" s="305">
        <f>ROUND(Ajustes!AP82,0)</f>
        <v>61</v>
      </c>
      <c r="T86" s="305">
        <f t="shared" si="30"/>
        <v>80</v>
      </c>
      <c r="U86" s="305">
        <f t="shared" si="31"/>
        <v>161</v>
      </c>
      <c r="V86" s="305">
        <f>ROUND(Ajustes!AY82,0)</f>
        <v>69</v>
      </c>
      <c r="W86" s="305">
        <f>ROUND(Ajustes!AZ82,0)</f>
        <v>58</v>
      </c>
      <c r="X86" s="305">
        <f>ROUND(Ajustes!BA82,0)</f>
        <v>57</v>
      </c>
      <c r="Y86" s="305">
        <f>ROUND(Ajustes!BB82,0)</f>
        <v>54</v>
      </c>
      <c r="Z86" s="305">
        <f>ROUND(Ajustes!BC82,0)</f>
        <v>53</v>
      </c>
      <c r="AA86" s="305">
        <f>ROUND(Ajustes!BD82,0)</f>
        <v>51</v>
      </c>
      <c r="AC86" s="305">
        <f t="shared" si="32"/>
        <v>80</v>
      </c>
      <c r="AD86" s="305">
        <f t="shared" si="33"/>
        <v>161</v>
      </c>
      <c r="AE86" s="305">
        <f>ROUND(Ajustes!BM82,0)</f>
        <v>52</v>
      </c>
      <c r="AF86" s="305">
        <f>ROUND(Ajustes!BN82,0)</f>
        <v>44</v>
      </c>
      <c r="AG86" s="305">
        <f>ROUND(Ajustes!BO82,0)</f>
        <v>43</v>
      </c>
      <c r="AH86" s="305">
        <f>ROUND(Ajustes!BP82,0)</f>
        <v>41</v>
      </c>
      <c r="AI86" s="305">
        <f>ROUND(Ajustes!BQ82,0)</f>
        <v>40</v>
      </c>
      <c r="AJ86" s="305">
        <f>ROUND(Ajustes!BR82,0)</f>
        <v>39</v>
      </c>
    </row>
    <row r="87" spans="2:36" x14ac:dyDescent="0.25">
      <c r="B87" s="53">
        <v>81</v>
      </c>
      <c r="C87" s="53">
        <v>168</v>
      </c>
      <c r="D87" s="53">
        <v>556</v>
      </c>
      <c r="E87" s="53">
        <v>596</v>
      </c>
      <c r="F87" s="53">
        <v>597</v>
      </c>
      <c r="G87" s="53">
        <v>594</v>
      </c>
      <c r="H87" s="53">
        <v>578</v>
      </c>
      <c r="I87" s="53">
        <v>578</v>
      </c>
      <c r="K87" s="305">
        <f t="shared" si="28"/>
        <v>81</v>
      </c>
      <c r="L87" s="305">
        <f t="shared" si="29"/>
        <v>168</v>
      </c>
      <c r="M87" s="305">
        <f>ROUND(Ajustes!AK83,0)</f>
        <v>1037</v>
      </c>
      <c r="N87" s="305">
        <f>ROUND(Ajustes!AL83,0)</f>
        <v>1111</v>
      </c>
      <c r="O87" s="305">
        <f>ROUND(Ajustes!AM83,0)</f>
        <v>1113</v>
      </c>
      <c r="P87" s="305">
        <f>ROUND(Ajustes!AN83,0)</f>
        <v>1108</v>
      </c>
      <c r="Q87" s="305">
        <f>ROUND(Ajustes!AO83,0)</f>
        <v>1078</v>
      </c>
      <c r="R87" s="305">
        <f>ROUND(Ajustes!AP83,0)</f>
        <v>1078</v>
      </c>
      <c r="T87" s="305">
        <f t="shared" si="30"/>
        <v>81</v>
      </c>
      <c r="U87" s="305">
        <f t="shared" si="31"/>
        <v>168</v>
      </c>
      <c r="V87" s="305">
        <f>ROUND(Ajustes!AY83,0)</f>
        <v>1050</v>
      </c>
      <c r="W87" s="305">
        <f>ROUND(Ajustes!AZ83,0)</f>
        <v>1126</v>
      </c>
      <c r="X87" s="305">
        <f>ROUND(Ajustes!BA83,0)</f>
        <v>1128</v>
      </c>
      <c r="Y87" s="305">
        <f>ROUND(Ajustes!BB83,0)</f>
        <v>1122</v>
      </c>
      <c r="Z87" s="305">
        <f>ROUND(Ajustes!BC83,0)</f>
        <v>1092</v>
      </c>
      <c r="AA87" s="305">
        <f>ROUND(Ajustes!BD83,0)</f>
        <v>1092</v>
      </c>
      <c r="AC87" s="305">
        <f t="shared" si="32"/>
        <v>81</v>
      </c>
      <c r="AD87" s="305">
        <f t="shared" si="33"/>
        <v>168</v>
      </c>
      <c r="AE87" s="305">
        <f>ROUND(Ajustes!BM83,0)</f>
        <v>556</v>
      </c>
      <c r="AF87" s="305">
        <f>ROUND(Ajustes!BN83,0)</f>
        <v>596</v>
      </c>
      <c r="AG87" s="305">
        <f>ROUND(Ajustes!BO83,0)</f>
        <v>597</v>
      </c>
      <c r="AH87" s="305">
        <f>ROUND(Ajustes!BP83,0)</f>
        <v>594</v>
      </c>
      <c r="AI87" s="305">
        <f>ROUND(Ajustes!BQ83,0)</f>
        <v>578</v>
      </c>
      <c r="AJ87" s="305">
        <f>ROUND(Ajustes!BR83,0)</f>
        <v>578</v>
      </c>
    </row>
    <row r="88" spans="2:36" x14ac:dyDescent="0.25">
      <c r="B88" s="53">
        <v>82</v>
      </c>
      <c r="C88" s="53">
        <v>169</v>
      </c>
      <c r="D88" s="53">
        <v>666</v>
      </c>
      <c r="E88" s="53">
        <v>723</v>
      </c>
      <c r="F88" s="53">
        <v>725</v>
      </c>
      <c r="G88" s="53">
        <v>720</v>
      </c>
      <c r="H88" s="53">
        <v>696</v>
      </c>
      <c r="I88" s="53">
        <v>696</v>
      </c>
      <c r="K88" s="305">
        <f t="shared" si="28"/>
        <v>82</v>
      </c>
      <c r="L88" s="305">
        <f t="shared" si="29"/>
        <v>169</v>
      </c>
      <c r="M88" s="305">
        <f>ROUND(Ajustes!AK84,0)</f>
        <v>1202</v>
      </c>
      <c r="N88" s="305">
        <f>ROUND(Ajustes!AL84,0)</f>
        <v>1309</v>
      </c>
      <c r="O88" s="305">
        <f>ROUND(Ajustes!AM84,0)</f>
        <v>1315</v>
      </c>
      <c r="P88" s="305">
        <f>ROUND(Ajustes!AN84,0)</f>
        <v>1305</v>
      </c>
      <c r="Q88" s="305">
        <f>ROUND(Ajustes!AO84,0)</f>
        <v>1261</v>
      </c>
      <c r="R88" s="305">
        <f>ROUND(Ajustes!AP84,0)</f>
        <v>1260</v>
      </c>
      <c r="T88" s="305">
        <f t="shared" si="30"/>
        <v>82</v>
      </c>
      <c r="U88" s="305">
        <f t="shared" si="31"/>
        <v>169</v>
      </c>
      <c r="V88" s="305">
        <f>ROUND(Ajustes!AY84,0)</f>
        <v>1186</v>
      </c>
      <c r="W88" s="305">
        <f>ROUND(Ajustes!AZ84,0)</f>
        <v>1294</v>
      </c>
      <c r="X88" s="305">
        <f>ROUND(Ajustes!BA84,0)</f>
        <v>1302</v>
      </c>
      <c r="Y88" s="305">
        <f>ROUND(Ajustes!BB84,0)</f>
        <v>1291</v>
      </c>
      <c r="Z88" s="305">
        <f>ROUND(Ajustes!BC84,0)</f>
        <v>1247</v>
      </c>
      <c r="AA88" s="305">
        <f>ROUND(Ajustes!BD84,0)</f>
        <v>1246</v>
      </c>
      <c r="AC88" s="305">
        <f t="shared" si="32"/>
        <v>82</v>
      </c>
      <c r="AD88" s="305">
        <f t="shared" si="33"/>
        <v>169</v>
      </c>
      <c r="AE88" s="305">
        <f>ROUND(Ajustes!BM84,0)</f>
        <v>666</v>
      </c>
      <c r="AF88" s="305">
        <f>ROUND(Ajustes!BN84,0)</f>
        <v>723</v>
      </c>
      <c r="AG88" s="305">
        <f>ROUND(Ajustes!BO84,0)</f>
        <v>725</v>
      </c>
      <c r="AH88" s="305">
        <f>ROUND(Ajustes!BP84,0)</f>
        <v>720</v>
      </c>
      <c r="AI88" s="305">
        <f>ROUND(Ajustes!BQ84,0)</f>
        <v>696</v>
      </c>
      <c r="AJ88" s="305">
        <f>ROUND(Ajustes!BR84,0)</f>
        <v>696</v>
      </c>
    </row>
    <row r="89" spans="2:36" x14ac:dyDescent="0.25">
      <c r="B89" s="53">
        <v>83</v>
      </c>
      <c r="C89" s="53">
        <v>171</v>
      </c>
      <c r="D89" s="53">
        <v>0</v>
      </c>
      <c r="E89" s="53">
        <v>0</v>
      </c>
      <c r="F89" s="53">
        <v>0</v>
      </c>
      <c r="G89" s="53">
        <v>0</v>
      </c>
      <c r="H89" s="53">
        <v>0</v>
      </c>
      <c r="I89" s="53">
        <v>0</v>
      </c>
      <c r="K89" s="305">
        <f t="shared" si="28"/>
        <v>83</v>
      </c>
      <c r="L89" s="305">
        <f t="shared" si="29"/>
        <v>171</v>
      </c>
      <c r="M89" s="305">
        <f>ROUND(Ajustes!AK85,0)</f>
        <v>0</v>
      </c>
      <c r="N89" s="305">
        <f>ROUND(Ajustes!AL85,0)</f>
        <v>0</v>
      </c>
      <c r="O89" s="305">
        <f>ROUND(Ajustes!AM85,0)</f>
        <v>0</v>
      </c>
      <c r="P89" s="305">
        <f>ROUND(Ajustes!AN85,0)</f>
        <v>0</v>
      </c>
      <c r="Q89" s="305">
        <f>ROUND(Ajustes!AO85,0)</f>
        <v>0</v>
      </c>
      <c r="R89" s="305">
        <f>ROUND(Ajustes!AP85,0)</f>
        <v>0</v>
      </c>
      <c r="T89" s="305">
        <f t="shared" si="30"/>
        <v>83</v>
      </c>
      <c r="U89" s="305">
        <f t="shared" si="31"/>
        <v>171</v>
      </c>
      <c r="V89" s="305">
        <f>ROUND(Ajustes!AY85,0)</f>
        <v>0</v>
      </c>
      <c r="W89" s="305">
        <f>ROUND(Ajustes!AZ85,0)</f>
        <v>0</v>
      </c>
      <c r="X89" s="305">
        <f>ROUND(Ajustes!BA85,0)</f>
        <v>0</v>
      </c>
      <c r="Y89" s="305">
        <f>ROUND(Ajustes!BB85,0)</f>
        <v>0</v>
      </c>
      <c r="Z89" s="305">
        <f>ROUND(Ajustes!BC85,0)</f>
        <v>0</v>
      </c>
      <c r="AA89" s="305">
        <f>ROUND(Ajustes!BD85,0)</f>
        <v>0</v>
      </c>
      <c r="AC89" s="305">
        <f t="shared" si="32"/>
        <v>83</v>
      </c>
      <c r="AD89" s="305">
        <f t="shared" si="33"/>
        <v>171</v>
      </c>
      <c r="AE89" s="305">
        <f>ROUND(Ajustes!BM85,0)</f>
        <v>0</v>
      </c>
      <c r="AF89" s="305">
        <f>ROUND(Ajustes!BN85,0)</f>
        <v>0</v>
      </c>
      <c r="AG89" s="305">
        <f>ROUND(Ajustes!BO85,0)</f>
        <v>0</v>
      </c>
      <c r="AH89" s="305">
        <f>ROUND(Ajustes!BP85,0)</f>
        <v>0</v>
      </c>
      <c r="AI89" s="305">
        <f>ROUND(Ajustes!BQ85,0)</f>
        <v>0</v>
      </c>
      <c r="AJ89" s="305">
        <f>ROUND(Ajustes!BR85,0)</f>
        <v>0</v>
      </c>
    </row>
    <row r="90" spans="2:36" x14ac:dyDescent="0.25">
      <c r="B90" s="53">
        <v>84</v>
      </c>
      <c r="C90" s="53">
        <v>172</v>
      </c>
      <c r="D90" s="53">
        <v>666</v>
      </c>
      <c r="E90" s="53">
        <v>723</v>
      </c>
      <c r="F90" s="53">
        <v>725</v>
      </c>
      <c r="G90" s="53">
        <v>720</v>
      </c>
      <c r="H90" s="53">
        <v>696</v>
      </c>
      <c r="I90" s="53">
        <v>696</v>
      </c>
      <c r="K90" s="305">
        <f t="shared" si="28"/>
        <v>84</v>
      </c>
      <c r="L90" s="305">
        <f t="shared" si="29"/>
        <v>172</v>
      </c>
      <c r="M90" s="305">
        <f>ROUND(Ajustes!AK86,0)</f>
        <v>1202</v>
      </c>
      <c r="N90" s="305">
        <f>ROUND(Ajustes!AL86,0)</f>
        <v>1309</v>
      </c>
      <c r="O90" s="305">
        <f>ROUND(Ajustes!AM86,0)</f>
        <v>1315</v>
      </c>
      <c r="P90" s="305">
        <f>ROUND(Ajustes!AN86,0)</f>
        <v>1305</v>
      </c>
      <c r="Q90" s="305">
        <f>ROUND(Ajustes!AO86,0)</f>
        <v>1261</v>
      </c>
      <c r="R90" s="305">
        <f>ROUND(Ajustes!AP86,0)</f>
        <v>1260</v>
      </c>
      <c r="T90" s="305">
        <f t="shared" si="30"/>
        <v>84</v>
      </c>
      <c r="U90" s="305">
        <f t="shared" si="31"/>
        <v>172</v>
      </c>
      <c r="V90" s="305">
        <f>ROUND(Ajustes!AY86,0)</f>
        <v>1186</v>
      </c>
      <c r="W90" s="305">
        <f>ROUND(Ajustes!AZ86,0)</f>
        <v>1294</v>
      </c>
      <c r="X90" s="305">
        <f>ROUND(Ajustes!BA86,0)</f>
        <v>1302</v>
      </c>
      <c r="Y90" s="305">
        <f>ROUND(Ajustes!BB86,0)</f>
        <v>1291</v>
      </c>
      <c r="Z90" s="305">
        <f>ROUND(Ajustes!BC86,0)</f>
        <v>1247</v>
      </c>
      <c r="AA90" s="305">
        <f>ROUND(Ajustes!BD86,0)</f>
        <v>1246</v>
      </c>
      <c r="AC90" s="305">
        <f t="shared" si="32"/>
        <v>84</v>
      </c>
      <c r="AD90" s="305">
        <f t="shared" si="33"/>
        <v>172</v>
      </c>
      <c r="AE90" s="305">
        <f>ROUND(Ajustes!BM86,0)</f>
        <v>666</v>
      </c>
      <c r="AF90" s="305">
        <f>ROUND(Ajustes!BN86,0)</f>
        <v>723</v>
      </c>
      <c r="AG90" s="305">
        <f>ROUND(Ajustes!BO86,0)</f>
        <v>725</v>
      </c>
      <c r="AH90" s="305">
        <f>ROUND(Ajustes!BP86,0)</f>
        <v>720</v>
      </c>
      <c r="AI90" s="305">
        <f>ROUND(Ajustes!BQ86,0)</f>
        <v>696</v>
      </c>
      <c r="AJ90" s="305">
        <f>ROUND(Ajustes!BR86,0)</f>
        <v>696</v>
      </c>
    </row>
    <row r="91" spans="2:36" x14ac:dyDescent="0.25">
      <c r="B91" s="53">
        <v>85</v>
      </c>
      <c r="C91" s="53">
        <v>173</v>
      </c>
      <c r="D91" s="53">
        <v>673</v>
      </c>
      <c r="E91" s="53">
        <v>730</v>
      </c>
      <c r="F91" s="53">
        <v>732</v>
      </c>
      <c r="G91" s="53">
        <v>727</v>
      </c>
      <c r="H91" s="53">
        <v>703</v>
      </c>
      <c r="I91" s="53">
        <v>703</v>
      </c>
      <c r="K91" s="305">
        <f t="shared" si="28"/>
        <v>85</v>
      </c>
      <c r="L91" s="305">
        <f t="shared" si="29"/>
        <v>173</v>
      </c>
      <c r="M91" s="305">
        <f>ROUND(Ajustes!AK87,0)</f>
        <v>1255</v>
      </c>
      <c r="N91" s="305">
        <f>ROUND(Ajustes!AL87,0)</f>
        <v>1361</v>
      </c>
      <c r="O91" s="305">
        <f>ROUND(Ajustes!AM87,0)</f>
        <v>1365</v>
      </c>
      <c r="P91" s="305">
        <f>ROUND(Ajustes!AN87,0)</f>
        <v>1356</v>
      </c>
      <c r="Q91" s="305">
        <f>ROUND(Ajustes!AO87,0)</f>
        <v>1311</v>
      </c>
      <c r="R91" s="305">
        <f>ROUND(Ajustes!AP87,0)</f>
        <v>1311</v>
      </c>
      <c r="T91" s="305">
        <f t="shared" si="30"/>
        <v>85</v>
      </c>
      <c r="U91" s="305">
        <f t="shared" si="31"/>
        <v>173</v>
      </c>
      <c r="V91" s="305">
        <f>ROUND(Ajustes!AY87,0)</f>
        <v>1271</v>
      </c>
      <c r="W91" s="305">
        <f>ROUND(Ajustes!AZ87,0)</f>
        <v>1379</v>
      </c>
      <c r="X91" s="305">
        <f>ROUND(Ajustes!BA87,0)</f>
        <v>1383</v>
      </c>
      <c r="Y91" s="305">
        <f>ROUND(Ajustes!BB87,0)</f>
        <v>1373</v>
      </c>
      <c r="Z91" s="305">
        <f>ROUND(Ajustes!BC87,0)</f>
        <v>1328</v>
      </c>
      <c r="AA91" s="305">
        <f>ROUND(Ajustes!BD87,0)</f>
        <v>1328</v>
      </c>
      <c r="AC91" s="305">
        <f t="shared" si="32"/>
        <v>85</v>
      </c>
      <c r="AD91" s="305">
        <f t="shared" si="33"/>
        <v>173</v>
      </c>
      <c r="AE91" s="305">
        <f>ROUND(Ajustes!BM87,0)</f>
        <v>673</v>
      </c>
      <c r="AF91" s="305">
        <f>ROUND(Ajustes!BN87,0)</f>
        <v>730</v>
      </c>
      <c r="AG91" s="305">
        <f>ROUND(Ajustes!BO87,0)</f>
        <v>732</v>
      </c>
      <c r="AH91" s="305">
        <f>ROUND(Ajustes!BP87,0)</f>
        <v>727</v>
      </c>
      <c r="AI91" s="305">
        <f>ROUND(Ajustes!BQ87,0)</f>
        <v>703</v>
      </c>
      <c r="AJ91" s="305">
        <f>ROUND(Ajustes!BR87,0)</f>
        <v>703</v>
      </c>
    </row>
    <row r="92" spans="2:36" x14ac:dyDescent="0.25">
      <c r="B92" s="53">
        <v>86</v>
      </c>
      <c r="C92" s="53">
        <v>175</v>
      </c>
      <c r="D92" s="53">
        <v>673</v>
      </c>
      <c r="E92" s="53">
        <v>730</v>
      </c>
      <c r="F92" s="53">
        <v>732</v>
      </c>
      <c r="G92" s="53">
        <v>727</v>
      </c>
      <c r="H92" s="53">
        <v>703</v>
      </c>
      <c r="I92" s="53">
        <v>703</v>
      </c>
      <c r="K92" s="305">
        <f t="shared" si="28"/>
        <v>86</v>
      </c>
      <c r="L92" s="305">
        <f t="shared" si="29"/>
        <v>175</v>
      </c>
      <c r="M92" s="305">
        <f>ROUND(Ajustes!AK88,0)</f>
        <v>1255</v>
      </c>
      <c r="N92" s="305">
        <f>ROUND(Ajustes!AL88,0)</f>
        <v>1361</v>
      </c>
      <c r="O92" s="305">
        <f>ROUND(Ajustes!AM88,0)</f>
        <v>1365</v>
      </c>
      <c r="P92" s="305">
        <f>ROUND(Ajustes!AN88,0)</f>
        <v>1356</v>
      </c>
      <c r="Q92" s="305">
        <f>ROUND(Ajustes!AO88,0)</f>
        <v>1311</v>
      </c>
      <c r="R92" s="305">
        <f>ROUND(Ajustes!AP88,0)</f>
        <v>1311</v>
      </c>
      <c r="T92" s="305">
        <f t="shared" si="30"/>
        <v>86</v>
      </c>
      <c r="U92" s="305">
        <f t="shared" si="31"/>
        <v>175</v>
      </c>
      <c r="V92" s="305">
        <f>ROUND(Ajustes!AY88,0)</f>
        <v>1271</v>
      </c>
      <c r="W92" s="305">
        <f>ROUND(Ajustes!AZ88,0)</f>
        <v>1379</v>
      </c>
      <c r="X92" s="305">
        <f>ROUND(Ajustes!BA88,0)</f>
        <v>1383</v>
      </c>
      <c r="Y92" s="305">
        <f>ROUND(Ajustes!BB88,0)</f>
        <v>1373</v>
      </c>
      <c r="Z92" s="305">
        <f>ROUND(Ajustes!BC88,0)</f>
        <v>1328</v>
      </c>
      <c r="AA92" s="305">
        <f>ROUND(Ajustes!BD88,0)</f>
        <v>1328</v>
      </c>
      <c r="AC92" s="305">
        <f t="shared" si="32"/>
        <v>86</v>
      </c>
      <c r="AD92" s="305">
        <f t="shared" si="33"/>
        <v>175</v>
      </c>
      <c r="AE92" s="305">
        <f>ROUND(Ajustes!BM88,0)</f>
        <v>673</v>
      </c>
      <c r="AF92" s="305">
        <f>ROUND(Ajustes!BN88,0)</f>
        <v>730</v>
      </c>
      <c r="AG92" s="305">
        <f>ROUND(Ajustes!BO88,0)</f>
        <v>732</v>
      </c>
      <c r="AH92" s="305">
        <f>ROUND(Ajustes!BP88,0)</f>
        <v>727</v>
      </c>
      <c r="AI92" s="305">
        <f>ROUND(Ajustes!BQ88,0)</f>
        <v>703</v>
      </c>
      <c r="AJ92" s="305">
        <f>ROUND(Ajustes!BR88,0)</f>
        <v>703</v>
      </c>
    </row>
    <row r="93" spans="2:36" x14ac:dyDescent="0.25">
      <c r="B93" s="53">
        <v>87</v>
      </c>
      <c r="C93" s="53">
        <v>176</v>
      </c>
      <c r="D93" s="53">
        <v>666</v>
      </c>
      <c r="E93" s="53">
        <v>723</v>
      </c>
      <c r="F93" s="53">
        <v>725</v>
      </c>
      <c r="G93" s="53">
        <v>720</v>
      </c>
      <c r="H93" s="53">
        <v>696</v>
      </c>
      <c r="I93" s="53">
        <v>696</v>
      </c>
      <c r="K93" s="305">
        <f t="shared" si="28"/>
        <v>87</v>
      </c>
      <c r="L93" s="305">
        <f t="shared" si="29"/>
        <v>176</v>
      </c>
      <c r="M93" s="305">
        <f>ROUND(Ajustes!AK89,0)</f>
        <v>1202</v>
      </c>
      <c r="N93" s="305">
        <f>ROUND(Ajustes!AL89,0)</f>
        <v>1309</v>
      </c>
      <c r="O93" s="305">
        <f>ROUND(Ajustes!AM89,0)</f>
        <v>1315</v>
      </c>
      <c r="P93" s="305">
        <f>ROUND(Ajustes!AN89,0)</f>
        <v>1305</v>
      </c>
      <c r="Q93" s="305">
        <f>ROUND(Ajustes!AO89,0)</f>
        <v>1261</v>
      </c>
      <c r="R93" s="305">
        <f>ROUND(Ajustes!AP89,0)</f>
        <v>1260</v>
      </c>
      <c r="T93" s="305">
        <f t="shared" si="30"/>
        <v>87</v>
      </c>
      <c r="U93" s="305">
        <f t="shared" si="31"/>
        <v>176</v>
      </c>
      <c r="V93" s="305">
        <f>ROUND(Ajustes!AY89,0)</f>
        <v>1186</v>
      </c>
      <c r="W93" s="305">
        <f>ROUND(Ajustes!AZ89,0)</f>
        <v>1294</v>
      </c>
      <c r="X93" s="305">
        <f>ROUND(Ajustes!BA89,0)</f>
        <v>1302</v>
      </c>
      <c r="Y93" s="305">
        <f>ROUND(Ajustes!BB89,0)</f>
        <v>1291</v>
      </c>
      <c r="Z93" s="305">
        <f>ROUND(Ajustes!BC89,0)</f>
        <v>1247</v>
      </c>
      <c r="AA93" s="305">
        <f>ROUND(Ajustes!BD89,0)</f>
        <v>1246</v>
      </c>
      <c r="AC93" s="305">
        <f t="shared" si="32"/>
        <v>87</v>
      </c>
      <c r="AD93" s="305">
        <f t="shared" si="33"/>
        <v>176</v>
      </c>
      <c r="AE93" s="305">
        <f>ROUND(Ajustes!BM89,0)</f>
        <v>666</v>
      </c>
      <c r="AF93" s="305">
        <f>ROUND(Ajustes!BN89,0)</f>
        <v>723</v>
      </c>
      <c r="AG93" s="305">
        <f>ROUND(Ajustes!BO89,0)</f>
        <v>725</v>
      </c>
      <c r="AH93" s="305">
        <f>ROUND(Ajustes!BP89,0)</f>
        <v>720</v>
      </c>
      <c r="AI93" s="305">
        <f>ROUND(Ajustes!BQ89,0)</f>
        <v>696</v>
      </c>
      <c r="AJ93" s="305">
        <f>ROUND(Ajustes!BR89,0)</f>
        <v>696</v>
      </c>
    </row>
    <row r="94" spans="2:36" x14ac:dyDescent="0.25">
      <c r="B94" s="53">
        <v>88</v>
      </c>
      <c r="C94" s="53">
        <v>178</v>
      </c>
      <c r="D94" s="53">
        <v>673</v>
      </c>
      <c r="E94" s="53">
        <v>730</v>
      </c>
      <c r="F94" s="53">
        <v>732</v>
      </c>
      <c r="G94" s="53">
        <v>727</v>
      </c>
      <c r="H94" s="53">
        <v>703</v>
      </c>
      <c r="I94" s="53">
        <v>703</v>
      </c>
      <c r="K94" s="305">
        <f t="shared" si="28"/>
        <v>88</v>
      </c>
      <c r="L94" s="305">
        <f t="shared" si="29"/>
        <v>178</v>
      </c>
      <c r="M94" s="305">
        <f>ROUND(Ajustes!AK90,0)</f>
        <v>1255</v>
      </c>
      <c r="N94" s="305">
        <f>ROUND(Ajustes!AL90,0)</f>
        <v>1361</v>
      </c>
      <c r="O94" s="305">
        <f>ROUND(Ajustes!AM90,0)</f>
        <v>1365</v>
      </c>
      <c r="P94" s="305">
        <f>ROUND(Ajustes!AN90,0)</f>
        <v>1356</v>
      </c>
      <c r="Q94" s="305">
        <f>ROUND(Ajustes!AO90,0)</f>
        <v>1311</v>
      </c>
      <c r="R94" s="305">
        <f>ROUND(Ajustes!AP90,0)</f>
        <v>1311</v>
      </c>
      <c r="T94" s="305">
        <f t="shared" si="30"/>
        <v>88</v>
      </c>
      <c r="U94" s="305">
        <f t="shared" si="31"/>
        <v>178</v>
      </c>
      <c r="V94" s="305">
        <f>ROUND(Ajustes!AY90,0)</f>
        <v>1271</v>
      </c>
      <c r="W94" s="305">
        <f>ROUND(Ajustes!AZ90,0)</f>
        <v>1379</v>
      </c>
      <c r="X94" s="305">
        <f>ROUND(Ajustes!BA90,0)</f>
        <v>1383</v>
      </c>
      <c r="Y94" s="305">
        <f>ROUND(Ajustes!BB90,0)</f>
        <v>1373</v>
      </c>
      <c r="Z94" s="305">
        <f>ROUND(Ajustes!BC90,0)</f>
        <v>1328</v>
      </c>
      <c r="AA94" s="305">
        <f>ROUND(Ajustes!BD90,0)</f>
        <v>1328</v>
      </c>
      <c r="AC94" s="305">
        <f t="shared" si="32"/>
        <v>88</v>
      </c>
      <c r="AD94" s="305">
        <f t="shared" si="33"/>
        <v>178</v>
      </c>
      <c r="AE94" s="305">
        <f>ROUND(Ajustes!BM90,0)</f>
        <v>673</v>
      </c>
      <c r="AF94" s="305">
        <f>ROUND(Ajustes!BN90,0)</f>
        <v>730</v>
      </c>
      <c r="AG94" s="305">
        <f>ROUND(Ajustes!BO90,0)</f>
        <v>732</v>
      </c>
      <c r="AH94" s="305">
        <f>ROUND(Ajustes!BP90,0)</f>
        <v>727</v>
      </c>
      <c r="AI94" s="305">
        <f>ROUND(Ajustes!BQ90,0)</f>
        <v>703</v>
      </c>
      <c r="AJ94" s="305">
        <f>ROUND(Ajustes!BR90,0)</f>
        <v>703</v>
      </c>
    </row>
    <row r="95" spans="2:36" x14ac:dyDescent="0.25">
      <c r="B95" s="53">
        <v>89</v>
      </c>
      <c r="C95" s="53">
        <v>183</v>
      </c>
      <c r="D95" s="53">
        <v>35</v>
      </c>
      <c r="E95" s="53">
        <v>35</v>
      </c>
      <c r="F95" s="53">
        <v>34</v>
      </c>
      <c r="G95" s="53">
        <v>34</v>
      </c>
      <c r="H95" s="53">
        <v>33</v>
      </c>
      <c r="I95" s="53">
        <v>33</v>
      </c>
      <c r="K95" s="305">
        <f t="shared" si="28"/>
        <v>89</v>
      </c>
      <c r="L95" s="305">
        <f t="shared" si="29"/>
        <v>183</v>
      </c>
      <c r="M95" s="305">
        <f>ROUND(Ajustes!AK91,0)</f>
        <v>54</v>
      </c>
      <c r="N95" s="305">
        <f>ROUND(Ajustes!AL91,0)</f>
        <v>54</v>
      </c>
      <c r="O95" s="305">
        <f>ROUND(Ajustes!AM91,0)</f>
        <v>53</v>
      </c>
      <c r="P95" s="305">
        <f>ROUND(Ajustes!AN91,0)</f>
        <v>53</v>
      </c>
      <c r="Q95" s="305">
        <f>ROUND(Ajustes!AO91,0)</f>
        <v>51</v>
      </c>
      <c r="R95" s="305">
        <f>ROUND(Ajustes!AP91,0)</f>
        <v>51</v>
      </c>
      <c r="T95" s="305">
        <f t="shared" si="30"/>
        <v>89</v>
      </c>
      <c r="U95" s="305">
        <f t="shared" si="31"/>
        <v>183</v>
      </c>
      <c r="V95" s="305">
        <f>ROUND(Ajustes!AY91,0)</f>
        <v>46</v>
      </c>
      <c r="W95" s="305">
        <f>ROUND(Ajustes!AZ91,0)</f>
        <v>46</v>
      </c>
      <c r="X95" s="305">
        <f>ROUND(Ajustes!BA91,0)</f>
        <v>45</v>
      </c>
      <c r="Y95" s="305">
        <f>ROUND(Ajustes!BB91,0)</f>
        <v>45</v>
      </c>
      <c r="Z95" s="305">
        <f>ROUND(Ajustes!BC91,0)</f>
        <v>44</v>
      </c>
      <c r="AA95" s="305">
        <f>ROUND(Ajustes!BD91,0)</f>
        <v>44</v>
      </c>
      <c r="AC95" s="305">
        <f t="shared" si="32"/>
        <v>89</v>
      </c>
      <c r="AD95" s="305">
        <f t="shared" si="33"/>
        <v>183</v>
      </c>
      <c r="AE95" s="305">
        <f>ROUND(Ajustes!BM91,0)</f>
        <v>35</v>
      </c>
      <c r="AF95" s="305">
        <f>ROUND(Ajustes!BN91,0)</f>
        <v>35</v>
      </c>
      <c r="AG95" s="305">
        <f>ROUND(Ajustes!BO91,0)</f>
        <v>34</v>
      </c>
      <c r="AH95" s="305">
        <f>ROUND(Ajustes!BP91,0)</f>
        <v>34</v>
      </c>
      <c r="AI95" s="305">
        <f>ROUND(Ajustes!BQ91,0)</f>
        <v>33</v>
      </c>
      <c r="AJ95" s="305">
        <f>ROUND(Ajustes!BR91,0)</f>
        <v>33</v>
      </c>
    </row>
    <row r="96" spans="2:36" x14ac:dyDescent="0.25">
      <c r="B96" s="53">
        <v>90</v>
      </c>
      <c r="C96" s="53">
        <v>188</v>
      </c>
      <c r="D96" s="53">
        <v>94</v>
      </c>
      <c r="E96" s="53">
        <v>91</v>
      </c>
      <c r="F96" s="53">
        <v>88</v>
      </c>
      <c r="G96" s="53">
        <v>88</v>
      </c>
      <c r="H96" s="53">
        <v>84</v>
      </c>
      <c r="I96" s="53">
        <v>82</v>
      </c>
      <c r="K96" s="305">
        <f t="shared" si="28"/>
        <v>90</v>
      </c>
      <c r="L96" s="305">
        <f t="shared" si="29"/>
        <v>188</v>
      </c>
      <c r="M96" s="305">
        <f>ROUND(Ajustes!AK92,0)</f>
        <v>175</v>
      </c>
      <c r="N96" s="305">
        <f>ROUND(Ajustes!AL92,0)</f>
        <v>170</v>
      </c>
      <c r="O96" s="305">
        <f>ROUND(Ajustes!AM92,0)</f>
        <v>164</v>
      </c>
      <c r="P96" s="305">
        <f>ROUND(Ajustes!AN92,0)</f>
        <v>164</v>
      </c>
      <c r="Q96" s="305">
        <f>ROUND(Ajustes!AO92,0)</f>
        <v>157</v>
      </c>
      <c r="R96" s="305">
        <f>ROUND(Ajustes!AP92,0)</f>
        <v>153</v>
      </c>
      <c r="T96" s="305">
        <f t="shared" si="30"/>
        <v>90</v>
      </c>
      <c r="U96" s="305">
        <f t="shared" si="31"/>
        <v>188</v>
      </c>
      <c r="V96" s="305">
        <f>ROUND(Ajustes!AY92,0)</f>
        <v>178</v>
      </c>
      <c r="W96" s="305">
        <f>ROUND(Ajustes!AZ92,0)</f>
        <v>172</v>
      </c>
      <c r="X96" s="305">
        <f>ROUND(Ajustes!BA92,0)</f>
        <v>166</v>
      </c>
      <c r="Y96" s="305">
        <f>ROUND(Ajustes!BB92,0)</f>
        <v>166</v>
      </c>
      <c r="Z96" s="305">
        <f>ROUND(Ajustes!BC92,0)</f>
        <v>159</v>
      </c>
      <c r="AA96" s="305">
        <f>ROUND(Ajustes!BD92,0)</f>
        <v>155</v>
      </c>
      <c r="AC96" s="305">
        <f t="shared" si="32"/>
        <v>90</v>
      </c>
      <c r="AD96" s="305">
        <f t="shared" si="33"/>
        <v>188</v>
      </c>
      <c r="AE96" s="305">
        <f>ROUND(Ajustes!BM92,0)</f>
        <v>94</v>
      </c>
      <c r="AF96" s="305">
        <f>ROUND(Ajustes!BN92,0)</f>
        <v>91</v>
      </c>
      <c r="AG96" s="305">
        <f>ROUND(Ajustes!BO92,0)</f>
        <v>88</v>
      </c>
      <c r="AH96" s="305">
        <f>ROUND(Ajustes!BP92,0)</f>
        <v>88</v>
      </c>
      <c r="AI96" s="305">
        <f>ROUND(Ajustes!BQ92,0)</f>
        <v>84</v>
      </c>
      <c r="AJ96" s="305">
        <f>ROUND(Ajustes!BR92,0)</f>
        <v>82</v>
      </c>
    </row>
    <row r="97" spans="2:36" x14ac:dyDescent="0.25">
      <c r="B97" s="53">
        <v>91</v>
      </c>
      <c r="C97" s="53">
        <v>190</v>
      </c>
      <c r="D97" s="53">
        <v>278</v>
      </c>
      <c r="E97" s="53">
        <v>270</v>
      </c>
      <c r="F97" s="53">
        <v>260</v>
      </c>
      <c r="G97" s="53">
        <v>257</v>
      </c>
      <c r="H97" s="53">
        <v>253</v>
      </c>
      <c r="I97" s="53">
        <v>254</v>
      </c>
      <c r="K97" s="305">
        <f t="shared" si="28"/>
        <v>91</v>
      </c>
      <c r="L97" s="305">
        <f t="shared" si="29"/>
        <v>190</v>
      </c>
      <c r="M97" s="305">
        <f>ROUND(Ajustes!AK93,0)</f>
        <v>518</v>
      </c>
      <c r="N97" s="305">
        <f>ROUND(Ajustes!AL93,0)</f>
        <v>503</v>
      </c>
      <c r="O97" s="305">
        <f>ROUND(Ajustes!AM93,0)</f>
        <v>485</v>
      </c>
      <c r="P97" s="305">
        <f>ROUND(Ajustes!AN93,0)</f>
        <v>479</v>
      </c>
      <c r="Q97" s="305">
        <f>ROUND(Ajustes!AO93,0)</f>
        <v>472</v>
      </c>
      <c r="R97" s="305">
        <f>ROUND(Ajustes!AP93,0)</f>
        <v>474</v>
      </c>
      <c r="T97" s="305">
        <f t="shared" si="30"/>
        <v>91</v>
      </c>
      <c r="U97" s="305">
        <f t="shared" si="31"/>
        <v>190</v>
      </c>
      <c r="V97" s="305">
        <f>ROUND(Ajustes!AY93,0)</f>
        <v>525</v>
      </c>
      <c r="W97" s="305">
        <f>ROUND(Ajustes!AZ93,0)</f>
        <v>510</v>
      </c>
      <c r="X97" s="305">
        <f>ROUND(Ajustes!BA93,0)</f>
        <v>491</v>
      </c>
      <c r="Y97" s="305">
        <f>ROUND(Ajustes!BB93,0)</f>
        <v>486</v>
      </c>
      <c r="Z97" s="305">
        <f>ROUND(Ajustes!BC93,0)</f>
        <v>478</v>
      </c>
      <c r="AA97" s="305">
        <f>ROUND(Ajustes!BD93,0)</f>
        <v>480</v>
      </c>
      <c r="AC97" s="305">
        <f t="shared" si="32"/>
        <v>91</v>
      </c>
      <c r="AD97" s="305">
        <f t="shared" si="33"/>
        <v>190</v>
      </c>
      <c r="AE97" s="305">
        <f>ROUND(Ajustes!BM93,0)</f>
        <v>278</v>
      </c>
      <c r="AF97" s="305">
        <f>ROUND(Ajustes!BN93,0)</f>
        <v>270</v>
      </c>
      <c r="AG97" s="305">
        <f>ROUND(Ajustes!BO93,0)</f>
        <v>260</v>
      </c>
      <c r="AH97" s="305">
        <f>ROUND(Ajustes!BP93,0)</f>
        <v>257</v>
      </c>
      <c r="AI97" s="305">
        <f>ROUND(Ajustes!BQ93,0)</f>
        <v>253</v>
      </c>
      <c r="AJ97" s="305">
        <f>ROUND(Ajustes!BR93,0)</f>
        <v>254</v>
      </c>
    </row>
    <row r="98" spans="2:36" x14ac:dyDescent="0.25">
      <c r="B98" s="53">
        <v>92</v>
      </c>
      <c r="C98" s="53">
        <v>191</v>
      </c>
      <c r="D98" s="53">
        <v>324</v>
      </c>
      <c r="E98" s="53">
        <v>306</v>
      </c>
      <c r="F98" s="53">
        <v>264</v>
      </c>
      <c r="G98" s="53">
        <v>256</v>
      </c>
      <c r="H98" s="53">
        <v>240</v>
      </c>
      <c r="I98" s="53">
        <v>241</v>
      </c>
      <c r="K98" s="305">
        <f t="shared" si="28"/>
        <v>92</v>
      </c>
      <c r="L98" s="305">
        <f t="shared" si="29"/>
        <v>191</v>
      </c>
      <c r="M98" s="305">
        <f>ROUND(Ajustes!AK94,0)</f>
        <v>503</v>
      </c>
      <c r="N98" s="305">
        <f>ROUND(Ajustes!AL94,0)</f>
        <v>475</v>
      </c>
      <c r="O98" s="305">
        <f>ROUND(Ajustes!AM94,0)</f>
        <v>410</v>
      </c>
      <c r="P98" s="305">
        <f>ROUND(Ajustes!AN94,0)</f>
        <v>398</v>
      </c>
      <c r="Q98" s="305">
        <f>ROUND(Ajustes!AO94,0)</f>
        <v>373</v>
      </c>
      <c r="R98" s="305">
        <f>ROUND(Ajustes!AP94,0)</f>
        <v>374</v>
      </c>
      <c r="T98" s="305">
        <f t="shared" si="30"/>
        <v>92</v>
      </c>
      <c r="U98" s="305">
        <f t="shared" si="31"/>
        <v>191</v>
      </c>
      <c r="V98" s="305">
        <f>ROUND(Ajustes!AY94,0)</f>
        <v>427</v>
      </c>
      <c r="W98" s="305">
        <f>ROUND(Ajustes!AZ94,0)</f>
        <v>404</v>
      </c>
      <c r="X98" s="305">
        <f>ROUND(Ajustes!BA94,0)</f>
        <v>348</v>
      </c>
      <c r="Y98" s="305">
        <f>ROUND(Ajustes!BB94,0)</f>
        <v>338</v>
      </c>
      <c r="Z98" s="305">
        <f>ROUND(Ajustes!BC94,0)</f>
        <v>316</v>
      </c>
      <c r="AA98" s="305">
        <f>ROUND(Ajustes!BD94,0)</f>
        <v>318</v>
      </c>
      <c r="AC98" s="305">
        <f t="shared" si="32"/>
        <v>92</v>
      </c>
      <c r="AD98" s="305">
        <f t="shared" si="33"/>
        <v>191</v>
      </c>
      <c r="AE98" s="305">
        <f>ROUND(Ajustes!BM94,0)</f>
        <v>324</v>
      </c>
      <c r="AF98" s="305">
        <f>ROUND(Ajustes!BN94,0)</f>
        <v>306</v>
      </c>
      <c r="AG98" s="305">
        <f>ROUND(Ajustes!BO94,0)</f>
        <v>264</v>
      </c>
      <c r="AH98" s="305">
        <f>ROUND(Ajustes!BP94,0)</f>
        <v>256</v>
      </c>
      <c r="AI98" s="305">
        <f>ROUND(Ajustes!BQ94,0)</f>
        <v>240</v>
      </c>
      <c r="AJ98" s="305">
        <f>ROUND(Ajustes!BR94,0)</f>
        <v>241</v>
      </c>
    </row>
    <row r="99" spans="2:36" x14ac:dyDescent="0.25">
      <c r="B99" s="53">
        <v>93</v>
      </c>
      <c r="C99" s="53">
        <v>196</v>
      </c>
      <c r="D99" s="53">
        <v>13</v>
      </c>
      <c r="E99" s="53">
        <v>14</v>
      </c>
      <c r="F99" s="53">
        <v>14</v>
      </c>
      <c r="G99" s="53">
        <v>14</v>
      </c>
      <c r="H99" s="53">
        <v>13</v>
      </c>
      <c r="I99" s="53">
        <v>12</v>
      </c>
      <c r="K99" s="305">
        <f t="shared" si="28"/>
        <v>93</v>
      </c>
      <c r="L99" s="305">
        <f t="shared" si="29"/>
        <v>196</v>
      </c>
      <c r="M99" s="305">
        <f>ROUND(Ajustes!AK95,0)</f>
        <v>20</v>
      </c>
      <c r="N99" s="305">
        <f>ROUND(Ajustes!AL95,0)</f>
        <v>22</v>
      </c>
      <c r="O99" s="305">
        <f>ROUND(Ajustes!AM95,0)</f>
        <v>22</v>
      </c>
      <c r="P99" s="305">
        <f>ROUND(Ajustes!AN95,0)</f>
        <v>22</v>
      </c>
      <c r="Q99" s="305">
        <f>ROUND(Ajustes!AO95,0)</f>
        <v>20</v>
      </c>
      <c r="R99" s="305">
        <f>ROUND(Ajustes!AP95,0)</f>
        <v>19</v>
      </c>
      <c r="T99" s="305">
        <f t="shared" si="30"/>
        <v>93</v>
      </c>
      <c r="U99" s="305">
        <f t="shared" si="31"/>
        <v>196</v>
      </c>
      <c r="V99" s="305">
        <f>ROUND(Ajustes!AY95,0)</f>
        <v>17</v>
      </c>
      <c r="W99" s="305">
        <f>ROUND(Ajustes!AZ95,0)</f>
        <v>18</v>
      </c>
      <c r="X99" s="305">
        <f>ROUND(Ajustes!BA95,0)</f>
        <v>18</v>
      </c>
      <c r="Y99" s="305">
        <f>ROUND(Ajustes!BB95,0)</f>
        <v>18</v>
      </c>
      <c r="Z99" s="305">
        <f>ROUND(Ajustes!BC95,0)</f>
        <v>17</v>
      </c>
      <c r="AA99" s="305">
        <f>ROUND(Ajustes!BD95,0)</f>
        <v>16</v>
      </c>
      <c r="AC99" s="305">
        <f t="shared" si="32"/>
        <v>93</v>
      </c>
      <c r="AD99" s="305">
        <f t="shared" si="33"/>
        <v>196</v>
      </c>
      <c r="AE99" s="305">
        <f>ROUND(Ajustes!BM95,0)</f>
        <v>13</v>
      </c>
      <c r="AF99" s="305">
        <f>ROUND(Ajustes!BN95,0)</f>
        <v>14</v>
      </c>
      <c r="AG99" s="305">
        <f>ROUND(Ajustes!BO95,0)</f>
        <v>14</v>
      </c>
      <c r="AH99" s="305">
        <f>ROUND(Ajustes!BP95,0)</f>
        <v>14</v>
      </c>
      <c r="AI99" s="305">
        <f>ROUND(Ajustes!BQ95,0)</f>
        <v>13</v>
      </c>
      <c r="AJ99" s="305">
        <f>ROUND(Ajustes!BR95,0)</f>
        <v>12</v>
      </c>
    </row>
    <row r="100" spans="2:36" x14ac:dyDescent="0.25">
      <c r="B100" s="53">
        <v>94</v>
      </c>
      <c r="C100" s="53">
        <v>197</v>
      </c>
      <c r="D100" s="53">
        <v>15</v>
      </c>
      <c r="E100" s="53">
        <v>14</v>
      </c>
      <c r="F100" s="53">
        <v>13</v>
      </c>
      <c r="G100" s="53">
        <v>14</v>
      </c>
      <c r="H100" s="53">
        <v>12</v>
      </c>
      <c r="I100" s="53">
        <v>13</v>
      </c>
      <c r="K100" s="305">
        <f t="shared" si="28"/>
        <v>94</v>
      </c>
      <c r="L100" s="305">
        <f t="shared" si="29"/>
        <v>197</v>
      </c>
      <c r="M100" s="305">
        <f>ROUND(Ajustes!AK96,0)</f>
        <v>23</v>
      </c>
      <c r="N100" s="305">
        <f>ROUND(Ajustes!AL96,0)</f>
        <v>22</v>
      </c>
      <c r="O100" s="305">
        <f>ROUND(Ajustes!AM96,0)</f>
        <v>20</v>
      </c>
      <c r="P100" s="305">
        <f>ROUND(Ajustes!AN96,0)</f>
        <v>22</v>
      </c>
      <c r="Q100" s="305">
        <f>ROUND(Ajustes!AO96,0)</f>
        <v>19</v>
      </c>
      <c r="R100" s="305">
        <f>ROUND(Ajustes!AP96,0)</f>
        <v>20</v>
      </c>
      <c r="T100" s="305">
        <f t="shared" si="30"/>
        <v>94</v>
      </c>
      <c r="U100" s="305">
        <f t="shared" si="31"/>
        <v>197</v>
      </c>
      <c r="V100" s="305">
        <f>ROUND(Ajustes!AY96,0)</f>
        <v>20</v>
      </c>
      <c r="W100" s="305">
        <f>ROUND(Ajustes!AZ96,0)</f>
        <v>18</v>
      </c>
      <c r="X100" s="305">
        <f>ROUND(Ajustes!BA96,0)</f>
        <v>17</v>
      </c>
      <c r="Y100" s="305">
        <f>ROUND(Ajustes!BB96,0)</f>
        <v>18</v>
      </c>
      <c r="Z100" s="305">
        <f>ROUND(Ajustes!BC96,0)</f>
        <v>16</v>
      </c>
      <c r="AA100" s="305">
        <f>ROUND(Ajustes!BD96,0)</f>
        <v>17</v>
      </c>
      <c r="AC100" s="305">
        <f t="shared" si="32"/>
        <v>94</v>
      </c>
      <c r="AD100" s="305">
        <f t="shared" si="33"/>
        <v>197</v>
      </c>
      <c r="AE100" s="305">
        <f>ROUND(Ajustes!BM96,0)</f>
        <v>15</v>
      </c>
      <c r="AF100" s="305">
        <f>ROUND(Ajustes!BN96,0)</f>
        <v>14</v>
      </c>
      <c r="AG100" s="305">
        <f>ROUND(Ajustes!BO96,0)</f>
        <v>13</v>
      </c>
      <c r="AH100" s="305">
        <f>ROUND(Ajustes!BP96,0)</f>
        <v>14</v>
      </c>
      <c r="AI100" s="305">
        <f>ROUND(Ajustes!BQ96,0)</f>
        <v>12</v>
      </c>
      <c r="AJ100" s="305">
        <f>ROUND(Ajustes!BR96,0)</f>
        <v>13</v>
      </c>
    </row>
    <row r="101" spans="2:36" x14ac:dyDescent="0.25">
      <c r="B101" s="53">
        <v>95</v>
      </c>
      <c r="C101" s="53">
        <v>198</v>
      </c>
      <c r="D101" s="53">
        <v>34</v>
      </c>
      <c r="E101" s="53">
        <v>33</v>
      </c>
      <c r="F101" s="53">
        <v>31</v>
      </c>
      <c r="G101" s="53">
        <v>33</v>
      </c>
      <c r="H101" s="53">
        <v>30</v>
      </c>
      <c r="I101" s="53">
        <v>31</v>
      </c>
      <c r="K101" s="305">
        <f t="shared" si="28"/>
        <v>95</v>
      </c>
      <c r="L101" s="305">
        <f t="shared" si="29"/>
        <v>198</v>
      </c>
      <c r="M101" s="305">
        <f>ROUND(Ajustes!AK97,0)</f>
        <v>53</v>
      </c>
      <c r="N101" s="305">
        <f>ROUND(Ajustes!AL97,0)</f>
        <v>51</v>
      </c>
      <c r="O101" s="305">
        <f>ROUND(Ajustes!AM97,0)</f>
        <v>48</v>
      </c>
      <c r="P101" s="305">
        <f>ROUND(Ajustes!AN97,0)</f>
        <v>51</v>
      </c>
      <c r="Q101" s="305">
        <f>ROUND(Ajustes!AO97,0)</f>
        <v>47</v>
      </c>
      <c r="R101" s="305">
        <f>ROUND(Ajustes!AP97,0)</f>
        <v>48</v>
      </c>
      <c r="T101" s="305">
        <f t="shared" si="30"/>
        <v>95</v>
      </c>
      <c r="U101" s="305">
        <f t="shared" si="31"/>
        <v>198</v>
      </c>
      <c r="V101" s="305">
        <f>ROUND(Ajustes!AY97,0)</f>
        <v>45</v>
      </c>
      <c r="W101" s="305">
        <f>ROUND(Ajustes!AZ97,0)</f>
        <v>44</v>
      </c>
      <c r="X101" s="305">
        <f>ROUND(Ajustes!BA97,0)</f>
        <v>41</v>
      </c>
      <c r="Y101" s="305">
        <f>ROUND(Ajustes!BB97,0)</f>
        <v>44</v>
      </c>
      <c r="Z101" s="305">
        <f>ROUND(Ajustes!BC97,0)</f>
        <v>40</v>
      </c>
      <c r="AA101" s="305">
        <f>ROUND(Ajustes!BD97,0)</f>
        <v>41</v>
      </c>
      <c r="AC101" s="305">
        <f t="shared" si="32"/>
        <v>95</v>
      </c>
      <c r="AD101" s="305">
        <f t="shared" si="33"/>
        <v>198</v>
      </c>
      <c r="AE101" s="305">
        <f>ROUND(Ajustes!BM97,0)</f>
        <v>34</v>
      </c>
      <c r="AF101" s="305">
        <f>ROUND(Ajustes!BN97,0)</f>
        <v>33</v>
      </c>
      <c r="AG101" s="305">
        <f>ROUND(Ajustes!BO97,0)</f>
        <v>31</v>
      </c>
      <c r="AH101" s="305">
        <f>ROUND(Ajustes!BP97,0)</f>
        <v>33</v>
      </c>
      <c r="AI101" s="305">
        <f>ROUND(Ajustes!BQ97,0)</f>
        <v>30</v>
      </c>
      <c r="AJ101" s="305">
        <f>ROUND(Ajustes!BR97,0)</f>
        <v>31</v>
      </c>
    </row>
    <row r="102" spans="2:36" x14ac:dyDescent="0.25">
      <c r="B102" s="53">
        <v>96</v>
      </c>
      <c r="C102" s="53">
        <v>201</v>
      </c>
      <c r="D102" s="53">
        <v>5</v>
      </c>
      <c r="E102" s="53">
        <v>6</v>
      </c>
      <c r="F102" s="53">
        <v>5</v>
      </c>
      <c r="G102" s="53">
        <v>5</v>
      </c>
      <c r="H102" s="53">
        <v>5</v>
      </c>
      <c r="I102" s="53">
        <v>5</v>
      </c>
      <c r="K102" s="305">
        <f t="shared" ref="K102:K133" si="34">B102</f>
        <v>96</v>
      </c>
      <c r="L102" s="305">
        <f t="shared" ref="L102:L133" si="35">C102</f>
        <v>201</v>
      </c>
      <c r="M102" s="305">
        <f>ROUND(Ajustes!AK98,0)</f>
        <v>8</v>
      </c>
      <c r="N102" s="305">
        <f>ROUND(Ajustes!AL98,0)</f>
        <v>9</v>
      </c>
      <c r="O102" s="305">
        <f>ROUND(Ajustes!AM98,0)</f>
        <v>8</v>
      </c>
      <c r="P102" s="305">
        <f>ROUND(Ajustes!AN98,0)</f>
        <v>8</v>
      </c>
      <c r="Q102" s="305">
        <f>ROUND(Ajustes!AO98,0)</f>
        <v>8</v>
      </c>
      <c r="R102" s="305">
        <f>ROUND(Ajustes!AP98,0)</f>
        <v>8</v>
      </c>
      <c r="T102" s="305">
        <f t="shared" si="30"/>
        <v>96</v>
      </c>
      <c r="U102" s="305">
        <f t="shared" si="31"/>
        <v>201</v>
      </c>
      <c r="V102" s="305">
        <f>ROUND(Ajustes!AY98,0)</f>
        <v>7</v>
      </c>
      <c r="W102" s="305">
        <f>ROUND(Ajustes!AZ98,0)</f>
        <v>8</v>
      </c>
      <c r="X102" s="305">
        <f>ROUND(Ajustes!BA98,0)</f>
        <v>7</v>
      </c>
      <c r="Y102" s="305">
        <f>ROUND(Ajustes!BB98,0)</f>
        <v>7</v>
      </c>
      <c r="Z102" s="305">
        <f>ROUND(Ajustes!BC98,0)</f>
        <v>7</v>
      </c>
      <c r="AA102" s="305">
        <f>ROUND(Ajustes!BD98,0)</f>
        <v>7</v>
      </c>
      <c r="AC102" s="305">
        <f t="shared" si="32"/>
        <v>96</v>
      </c>
      <c r="AD102" s="305">
        <f t="shared" si="33"/>
        <v>201</v>
      </c>
      <c r="AE102" s="305">
        <f>ROUND(Ajustes!BM98,0)</f>
        <v>5</v>
      </c>
      <c r="AF102" s="305">
        <f>ROUND(Ajustes!BN98,0)</f>
        <v>6</v>
      </c>
      <c r="AG102" s="305">
        <f>ROUND(Ajustes!BO98,0)</f>
        <v>5</v>
      </c>
      <c r="AH102" s="305">
        <f>ROUND(Ajustes!BP98,0)</f>
        <v>5</v>
      </c>
      <c r="AI102" s="305">
        <f>ROUND(Ajustes!BQ98,0)</f>
        <v>5</v>
      </c>
      <c r="AJ102" s="305">
        <f>ROUND(Ajustes!BR98,0)</f>
        <v>5</v>
      </c>
    </row>
    <row r="103" spans="2:36" x14ac:dyDescent="0.25">
      <c r="B103" s="53">
        <v>97</v>
      </c>
      <c r="C103" s="53">
        <v>202</v>
      </c>
      <c r="D103" s="53">
        <v>2</v>
      </c>
      <c r="E103" s="53">
        <v>2</v>
      </c>
      <c r="F103" s="53">
        <v>2</v>
      </c>
      <c r="G103" s="53">
        <v>2</v>
      </c>
      <c r="H103" s="53">
        <v>1</v>
      </c>
      <c r="I103" s="53">
        <v>2</v>
      </c>
      <c r="K103" s="305">
        <f t="shared" si="34"/>
        <v>97</v>
      </c>
      <c r="L103" s="305">
        <f t="shared" si="35"/>
        <v>202</v>
      </c>
      <c r="M103" s="305">
        <f>ROUND(Ajustes!AK99,0)</f>
        <v>3</v>
      </c>
      <c r="N103" s="305">
        <f>ROUND(Ajustes!AL99,0)</f>
        <v>3</v>
      </c>
      <c r="O103" s="305">
        <f>ROUND(Ajustes!AM99,0)</f>
        <v>3</v>
      </c>
      <c r="P103" s="305">
        <f>ROUND(Ajustes!AN99,0)</f>
        <v>3</v>
      </c>
      <c r="Q103" s="305">
        <f>ROUND(Ajustes!AO99,0)</f>
        <v>2</v>
      </c>
      <c r="R103" s="305">
        <f>ROUND(Ajustes!AP99,0)</f>
        <v>3</v>
      </c>
      <c r="T103" s="305">
        <f t="shared" si="30"/>
        <v>97</v>
      </c>
      <c r="U103" s="305">
        <f t="shared" si="31"/>
        <v>202</v>
      </c>
      <c r="V103" s="305">
        <f>ROUND(Ajustes!AY99,0)</f>
        <v>3</v>
      </c>
      <c r="W103" s="305">
        <f>ROUND(Ajustes!AZ99,0)</f>
        <v>3</v>
      </c>
      <c r="X103" s="305">
        <f>ROUND(Ajustes!BA99,0)</f>
        <v>3</v>
      </c>
      <c r="Y103" s="305">
        <f>ROUND(Ajustes!BB99,0)</f>
        <v>3</v>
      </c>
      <c r="Z103" s="305">
        <f>ROUND(Ajustes!BC99,0)</f>
        <v>1</v>
      </c>
      <c r="AA103" s="305">
        <f>ROUND(Ajustes!BD99,0)</f>
        <v>3</v>
      </c>
      <c r="AC103" s="305">
        <f t="shared" si="32"/>
        <v>97</v>
      </c>
      <c r="AD103" s="305">
        <f t="shared" si="33"/>
        <v>202</v>
      </c>
      <c r="AE103" s="305">
        <f>ROUND(Ajustes!BM99,0)</f>
        <v>2</v>
      </c>
      <c r="AF103" s="305">
        <f>ROUND(Ajustes!BN99,0)</f>
        <v>2</v>
      </c>
      <c r="AG103" s="305">
        <f>ROUND(Ajustes!BO99,0)</f>
        <v>2</v>
      </c>
      <c r="AH103" s="305">
        <f>ROUND(Ajustes!BP99,0)</f>
        <v>2</v>
      </c>
      <c r="AI103" s="305">
        <f>ROUND(Ajustes!BQ99,0)</f>
        <v>1</v>
      </c>
      <c r="AJ103" s="305">
        <f>ROUND(Ajustes!BR99,0)</f>
        <v>2</v>
      </c>
    </row>
    <row r="104" spans="2:36" x14ac:dyDescent="0.25">
      <c r="B104" s="53">
        <v>98</v>
      </c>
      <c r="C104" s="53">
        <v>203</v>
      </c>
      <c r="D104" s="53">
        <v>9</v>
      </c>
      <c r="E104" s="53">
        <v>10</v>
      </c>
      <c r="F104" s="53">
        <v>9</v>
      </c>
      <c r="G104" s="53">
        <v>7</v>
      </c>
      <c r="H104" s="53">
        <v>7</v>
      </c>
      <c r="I104" s="53">
        <v>9</v>
      </c>
      <c r="K104" s="305">
        <f t="shared" si="34"/>
        <v>98</v>
      </c>
      <c r="L104" s="305">
        <f t="shared" si="35"/>
        <v>203</v>
      </c>
      <c r="M104" s="305">
        <f>ROUND(Ajustes!AK100,0)</f>
        <v>14</v>
      </c>
      <c r="N104" s="305">
        <f>ROUND(Ajustes!AL100,0)</f>
        <v>16</v>
      </c>
      <c r="O104" s="305">
        <f>ROUND(Ajustes!AM100,0)</f>
        <v>14</v>
      </c>
      <c r="P104" s="305">
        <f>ROUND(Ajustes!AN100,0)</f>
        <v>11</v>
      </c>
      <c r="Q104" s="305">
        <f>ROUND(Ajustes!AO100,0)</f>
        <v>11</v>
      </c>
      <c r="R104" s="305">
        <f>ROUND(Ajustes!AP100,0)</f>
        <v>14</v>
      </c>
      <c r="T104" s="305">
        <f t="shared" si="30"/>
        <v>98</v>
      </c>
      <c r="U104" s="305">
        <f t="shared" si="31"/>
        <v>203</v>
      </c>
      <c r="V104" s="305">
        <f>ROUND(Ajustes!AY100,0)</f>
        <v>12</v>
      </c>
      <c r="W104" s="305">
        <f>ROUND(Ajustes!AZ100,0)</f>
        <v>13</v>
      </c>
      <c r="X104" s="305">
        <f>ROUND(Ajustes!BA100,0)</f>
        <v>12</v>
      </c>
      <c r="Y104" s="305">
        <f>ROUND(Ajustes!BB100,0)</f>
        <v>9</v>
      </c>
      <c r="Z104" s="305">
        <f>ROUND(Ajustes!BC100,0)</f>
        <v>9</v>
      </c>
      <c r="AA104" s="305">
        <f>ROUND(Ajustes!BD100,0)</f>
        <v>12</v>
      </c>
      <c r="AC104" s="305">
        <f t="shared" si="32"/>
        <v>98</v>
      </c>
      <c r="AD104" s="305">
        <f t="shared" si="33"/>
        <v>203</v>
      </c>
      <c r="AE104" s="305">
        <f>ROUND(Ajustes!BM100,0)</f>
        <v>9</v>
      </c>
      <c r="AF104" s="305">
        <f>ROUND(Ajustes!BN100,0)</f>
        <v>10</v>
      </c>
      <c r="AG104" s="305">
        <f>ROUND(Ajustes!BO100,0)</f>
        <v>9</v>
      </c>
      <c r="AH104" s="305">
        <f>ROUND(Ajustes!BP100,0)</f>
        <v>7</v>
      </c>
      <c r="AI104" s="305">
        <f>ROUND(Ajustes!BQ100,0)</f>
        <v>7</v>
      </c>
      <c r="AJ104" s="305">
        <f>ROUND(Ajustes!BR100,0)</f>
        <v>9</v>
      </c>
    </row>
    <row r="105" spans="2:36" x14ac:dyDescent="0.25">
      <c r="B105" s="53">
        <v>99</v>
      </c>
      <c r="C105" s="53">
        <v>205</v>
      </c>
      <c r="D105" s="53">
        <v>71</v>
      </c>
      <c r="E105" s="53">
        <v>66</v>
      </c>
      <c r="F105" s="53">
        <v>63</v>
      </c>
      <c r="G105" s="53">
        <v>59</v>
      </c>
      <c r="H105" s="53">
        <v>57</v>
      </c>
      <c r="I105" s="53">
        <v>55</v>
      </c>
      <c r="K105" s="305">
        <f t="shared" si="34"/>
        <v>99</v>
      </c>
      <c r="L105" s="305">
        <f t="shared" si="35"/>
        <v>205</v>
      </c>
      <c r="M105" s="305">
        <f>ROUND(Ajustes!AK101,0)</f>
        <v>110</v>
      </c>
      <c r="N105" s="305">
        <f>ROUND(Ajustes!AL101,0)</f>
        <v>103</v>
      </c>
      <c r="O105" s="305">
        <f>ROUND(Ajustes!AM101,0)</f>
        <v>98</v>
      </c>
      <c r="P105" s="305">
        <f>ROUND(Ajustes!AN101,0)</f>
        <v>92</v>
      </c>
      <c r="Q105" s="305">
        <f>ROUND(Ajustes!AO101,0)</f>
        <v>89</v>
      </c>
      <c r="R105" s="305">
        <f>ROUND(Ajustes!AP101,0)</f>
        <v>85</v>
      </c>
      <c r="T105" s="305">
        <f t="shared" si="30"/>
        <v>99</v>
      </c>
      <c r="U105" s="305">
        <f t="shared" si="31"/>
        <v>205</v>
      </c>
      <c r="V105" s="305">
        <f>ROUND(Ajustes!AY101,0)</f>
        <v>94</v>
      </c>
      <c r="W105" s="305">
        <f>ROUND(Ajustes!AZ101,0)</f>
        <v>87</v>
      </c>
      <c r="X105" s="305">
        <f>ROUND(Ajustes!BA101,0)</f>
        <v>83</v>
      </c>
      <c r="Y105" s="305">
        <f>ROUND(Ajustes!BB101,0)</f>
        <v>78</v>
      </c>
      <c r="Z105" s="305">
        <f>ROUND(Ajustes!BC101,0)</f>
        <v>75</v>
      </c>
      <c r="AA105" s="305">
        <f>ROUND(Ajustes!BD101,0)</f>
        <v>73</v>
      </c>
      <c r="AC105" s="305">
        <f t="shared" si="32"/>
        <v>99</v>
      </c>
      <c r="AD105" s="305">
        <f t="shared" si="33"/>
        <v>205</v>
      </c>
      <c r="AE105" s="305">
        <f>ROUND(Ajustes!BM101,0)</f>
        <v>71</v>
      </c>
      <c r="AF105" s="305">
        <f>ROUND(Ajustes!BN101,0)</f>
        <v>66</v>
      </c>
      <c r="AG105" s="305">
        <f>ROUND(Ajustes!BO101,0)</f>
        <v>63</v>
      </c>
      <c r="AH105" s="305">
        <f>ROUND(Ajustes!BP101,0)</f>
        <v>59</v>
      </c>
      <c r="AI105" s="305">
        <f>ROUND(Ajustes!BQ101,0)</f>
        <v>57</v>
      </c>
      <c r="AJ105" s="305">
        <f>ROUND(Ajustes!BR101,0)</f>
        <v>55</v>
      </c>
    </row>
    <row r="106" spans="2:36" x14ac:dyDescent="0.25">
      <c r="B106" s="53">
        <v>100</v>
      </c>
      <c r="C106" s="53">
        <v>206</v>
      </c>
      <c r="D106" s="53">
        <v>93</v>
      </c>
      <c r="E106" s="53">
        <v>99</v>
      </c>
      <c r="F106" s="53">
        <v>103</v>
      </c>
      <c r="G106" s="53">
        <v>87</v>
      </c>
      <c r="H106" s="53">
        <v>88</v>
      </c>
      <c r="I106" s="53">
        <v>91</v>
      </c>
      <c r="K106" s="305">
        <f t="shared" si="34"/>
        <v>100</v>
      </c>
      <c r="L106" s="305">
        <f t="shared" si="35"/>
        <v>206</v>
      </c>
      <c r="M106" s="305">
        <f>ROUND(Ajustes!AK102,0)</f>
        <v>144</v>
      </c>
      <c r="N106" s="305">
        <f>ROUND(Ajustes!AL102,0)</f>
        <v>154</v>
      </c>
      <c r="O106" s="305">
        <f>ROUND(Ajustes!AM102,0)</f>
        <v>160</v>
      </c>
      <c r="P106" s="305">
        <f>ROUND(Ajustes!AN102,0)</f>
        <v>135</v>
      </c>
      <c r="Q106" s="305">
        <f>ROUND(Ajustes!AO102,0)</f>
        <v>137</v>
      </c>
      <c r="R106" s="305">
        <f>ROUND(Ajustes!AP102,0)</f>
        <v>141</v>
      </c>
      <c r="T106" s="305">
        <f t="shared" si="30"/>
        <v>100</v>
      </c>
      <c r="U106" s="305">
        <f t="shared" si="31"/>
        <v>206</v>
      </c>
      <c r="V106" s="305">
        <f>ROUND(Ajustes!AY102,0)</f>
        <v>123</v>
      </c>
      <c r="W106" s="305">
        <f>ROUND(Ajustes!AZ102,0)</f>
        <v>131</v>
      </c>
      <c r="X106" s="305">
        <f>ROUND(Ajustes!BA102,0)</f>
        <v>136</v>
      </c>
      <c r="Y106" s="305">
        <f>ROUND(Ajustes!BB102,0)</f>
        <v>115</v>
      </c>
      <c r="Z106" s="305">
        <f>ROUND(Ajustes!BC102,0)</f>
        <v>116</v>
      </c>
      <c r="AA106" s="305">
        <f>ROUND(Ajustes!BD102,0)</f>
        <v>120</v>
      </c>
      <c r="AC106" s="305">
        <f t="shared" si="32"/>
        <v>100</v>
      </c>
      <c r="AD106" s="305">
        <f t="shared" si="33"/>
        <v>206</v>
      </c>
      <c r="AE106" s="305">
        <f>ROUND(Ajustes!BM102,0)</f>
        <v>93</v>
      </c>
      <c r="AF106" s="305">
        <f>ROUND(Ajustes!BN102,0)</f>
        <v>99</v>
      </c>
      <c r="AG106" s="305">
        <f>ROUND(Ajustes!BO102,0)</f>
        <v>103</v>
      </c>
      <c r="AH106" s="305">
        <f>ROUND(Ajustes!BP102,0)</f>
        <v>87</v>
      </c>
      <c r="AI106" s="305">
        <f>ROUND(Ajustes!BQ102,0)</f>
        <v>88</v>
      </c>
      <c r="AJ106" s="305">
        <f>ROUND(Ajustes!BR102,0)</f>
        <v>91</v>
      </c>
    </row>
    <row r="107" spans="2:36" x14ac:dyDescent="0.25">
      <c r="B107" s="53">
        <v>101</v>
      </c>
      <c r="C107" s="53">
        <v>207</v>
      </c>
      <c r="D107" s="53">
        <v>94</v>
      </c>
      <c r="E107" s="53">
        <v>102</v>
      </c>
      <c r="F107" s="53">
        <v>106</v>
      </c>
      <c r="G107" s="53">
        <v>90</v>
      </c>
      <c r="H107" s="53">
        <v>90</v>
      </c>
      <c r="I107" s="53">
        <v>94</v>
      </c>
      <c r="K107" s="305">
        <f t="shared" si="34"/>
        <v>101</v>
      </c>
      <c r="L107" s="305">
        <f t="shared" si="35"/>
        <v>207</v>
      </c>
      <c r="M107" s="305">
        <f>ROUND(Ajustes!AK103,0)</f>
        <v>146</v>
      </c>
      <c r="N107" s="305">
        <f>ROUND(Ajustes!AL103,0)</f>
        <v>158</v>
      </c>
      <c r="O107" s="305">
        <f>ROUND(Ajustes!AM103,0)</f>
        <v>165</v>
      </c>
      <c r="P107" s="305">
        <f>ROUND(Ajustes!AN103,0)</f>
        <v>140</v>
      </c>
      <c r="Q107" s="305">
        <f>ROUND(Ajustes!AO103,0)</f>
        <v>140</v>
      </c>
      <c r="R107" s="305">
        <f>ROUND(Ajustes!AP103,0)</f>
        <v>146</v>
      </c>
      <c r="T107" s="305">
        <f t="shared" si="30"/>
        <v>101</v>
      </c>
      <c r="U107" s="305">
        <f t="shared" si="31"/>
        <v>207</v>
      </c>
      <c r="V107" s="305">
        <f>ROUND(Ajustes!AY103,0)</f>
        <v>124</v>
      </c>
      <c r="W107" s="305">
        <f>ROUND(Ajustes!AZ103,0)</f>
        <v>135</v>
      </c>
      <c r="X107" s="305">
        <f>ROUND(Ajustes!BA103,0)</f>
        <v>140</v>
      </c>
      <c r="Y107" s="305">
        <f>ROUND(Ajustes!BB103,0)</f>
        <v>119</v>
      </c>
      <c r="Z107" s="305">
        <f>ROUND(Ajustes!BC103,0)</f>
        <v>119</v>
      </c>
      <c r="AA107" s="305">
        <f>ROUND(Ajustes!BD103,0)</f>
        <v>124</v>
      </c>
      <c r="AC107" s="305">
        <f t="shared" si="32"/>
        <v>101</v>
      </c>
      <c r="AD107" s="305">
        <f t="shared" si="33"/>
        <v>207</v>
      </c>
      <c r="AE107" s="305">
        <f>ROUND(Ajustes!BM103,0)</f>
        <v>94</v>
      </c>
      <c r="AF107" s="305">
        <f>ROUND(Ajustes!BN103,0)</f>
        <v>102</v>
      </c>
      <c r="AG107" s="305">
        <f>ROUND(Ajustes!BO103,0)</f>
        <v>106</v>
      </c>
      <c r="AH107" s="305">
        <f>ROUND(Ajustes!BP103,0)</f>
        <v>90</v>
      </c>
      <c r="AI107" s="305">
        <f>ROUND(Ajustes!BQ103,0)</f>
        <v>90</v>
      </c>
      <c r="AJ107" s="305">
        <f>ROUND(Ajustes!BR103,0)</f>
        <v>94</v>
      </c>
    </row>
    <row r="108" spans="2:36" x14ac:dyDescent="0.25">
      <c r="B108" s="53">
        <v>102</v>
      </c>
      <c r="C108" s="53">
        <v>209</v>
      </c>
      <c r="D108" s="53">
        <v>228</v>
      </c>
      <c r="E108" s="53">
        <v>215</v>
      </c>
      <c r="F108" s="53">
        <v>208</v>
      </c>
      <c r="G108" s="53">
        <v>193</v>
      </c>
      <c r="H108" s="53">
        <v>192</v>
      </c>
      <c r="I108" s="53">
        <v>180</v>
      </c>
      <c r="K108" s="305">
        <f t="shared" si="34"/>
        <v>102</v>
      </c>
      <c r="L108" s="305">
        <f t="shared" si="35"/>
        <v>209</v>
      </c>
      <c r="M108" s="305">
        <f>ROUND(Ajustes!AK104,0)</f>
        <v>354</v>
      </c>
      <c r="N108" s="305">
        <f>ROUND(Ajustes!AL104,0)</f>
        <v>334</v>
      </c>
      <c r="O108" s="305">
        <f>ROUND(Ajustes!AM104,0)</f>
        <v>323</v>
      </c>
      <c r="P108" s="305">
        <f>ROUND(Ajustes!AN104,0)</f>
        <v>300</v>
      </c>
      <c r="Q108" s="305">
        <f>ROUND(Ajustes!AO104,0)</f>
        <v>298</v>
      </c>
      <c r="R108" s="305">
        <f>ROUND(Ajustes!AP104,0)</f>
        <v>280</v>
      </c>
      <c r="T108" s="305">
        <f t="shared" si="30"/>
        <v>102</v>
      </c>
      <c r="U108" s="305">
        <f t="shared" si="31"/>
        <v>209</v>
      </c>
      <c r="V108" s="305">
        <f>ROUND(Ajustes!AY104,0)</f>
        <v>301</v>
      </c>
      <c r="W108" s="305">
        <f>ROUND(Ajustes!AZ104,0)</f>
        <v>284</v>
      </c>
      <c r="X108" s="305">
        <f>ROUND(Ajustes!BA104,0)</f>
        <v>274</v>
      </c>
      <c r="Y108" s="305">
        <f>ROUND(Ajustes!BB104,0)</f>
        <v>254</v>
      </c>
      <c r="Z108" s="305">
        <f>ROUND(Ajustes!BC104,0)</f>
        <v>253</v>
      </c>
      <c r="AA108" s="305">
        <f>ROUND(Ajustes!BD104,0)</f>
        <v>237</v>
      </c>
      <c r="AC108" s="305">
        <f t="shared" si="32"/>
        <v>102</v>
      </c>
      <c r="AD108" s="305">
        <f t="shared" si="33"/>
        <v>209</v>
      </c>
      <c r="AE108" s="305">
        <f>ROUND(Ajustes!BM104,0)</f>
        <v>228</v>
      </c>
      <c r="AF108" s="305">
        <f>ROUND(Ajustes!BN104,0)</f>
        <v>215</v>
      </c>
      <c r="AG108" s="305">
        <f>ROUND(Ajustes!BO104,0)</f>
        <v>208</v>
      </c>
      <c r="AH108" s="305">
        <f>ROUND(Ajustes!BP104,0)</f>
        <v>193</v>
      </c>
      <c r="AI108" s="305">
        <f>ROUND(Ajustes!BQ104,0)</f>
        <v>192</v>
      </c>
      <c r="AJ108" s="305">
        <f>ROUND(Ajustes!BR104,0)</f>
        <v>180</v>
      </c>
    </row>
    <row r="109" spans="2:36" x14ac:dyDescent="0.25">
      <c r="B109" s="53">
        <v>103</v>
      </c>
      <c r="C109" s="53">
        <v>211</v>
      </c>
      <c r="D109" s="53">
        <v>85</v>
      </c>
      <c r="E109" s="53">
        <v>84</v>
      </c>
      <c r="F109" s="53">
        <v>85</v>
      </c>
      <c r="G109" s="53">
        <v>89</v>
      </c>
      <c r="H109" s="53">
        <v>79</v>
      </c>
      <c r="I109" s="53">
        <v>77</v>
      </c>
      <c r="K109" s="305">
        <f t="shared" si="34"/>
        <v>103</v>
      </c>
      <c r="L109" s="305">
        <f t="shared" si="35"/>
        <v>211</v>
      </c>
      <c r="M109" s="305">
        <f>ROUND(Ajustes!AK105,0)</f>
        <v>132</v>
      </c>
      <c r="N109" s="305">
        <f>ROUND(Ajustes!AL105,0)</f>
        <v>130</v>
      </c>
      <c r="O109" s="305">
        <f>ROUND(Ajustes!AM105,0)</f>
        <v>132</v>
      </c>
      <c r="P109" s="305">
        <f>ROUND(Ajustes!AN105,0)</f>
        <v>138</v>
      </c>
      <c r="Q109" s="305">
        <f>ROUND(Ajustes!AO105,0)</f>
        <v>123</v>
      </c>
      <c r="R109" s="305">
        <f>ROUND(Ajustes!AP105,0)</f>
        <v>120</v>
      </c>
      <c r="T109" s="305">
        <f t="shared" si="30"/>
        <v>103</v>
      </c>
      <c r="U109" s="305">
        <f t="shared" si="31"/>
        <v>211</v>
      </c>
      <c r="V109" s="305">
        <f>ROUND(Ajustes!AY105,0)</f>
        <v>112</v>
      </c>
      <c r="W109" s="305">
        <f>ROUND(Ajustes!AZ105,0)</f>
        <v>111</v>
      </c>
      <c r="X109" s="305">
        <f>ROUND(Ajustes!BA105,0)</f>
        <v>112</v>
      </c>
      <c r="Y109" s="305">
        <f>ROUND(Ajustes!BB105,0)</f>
        <v>117</v>
      </c>
      <c r="Z109" s="305">
        <f>ROUND(Ajustes!BC105,0)</f>
        <v>104</v>
      </c>
      <c r="AA109" s="305">
        <f>ROUND(Ajustes!BD105,0)</f>
        <v>102</v>
      </c>
      <c r="AC109" s="305">
        <f t="shared" si="32"/>
        <v>103</v>
      </c>
      <c r="AD109" s="305">
        <f t="shared" si="33"/>
        <v>211</v>
      </c>
      <c r="AE109" s="305">
        <f>ROUND(Ajustes!BM105,0)</f>
        <v>85</v>
      </c>
      <c r="AF109" s="305">
        <f>ROUND(Ajustes!BN105,0)</f>
        <v>84</v>
      </c>
      <c r="AG109" s="305">
        <f>ROUND(Ajustes!BO105,0)</f>
        <v>85</v>
      </c>
      <c r="AH109" s="305">
        <f>ROUND(Ajustes!BP105,0)</f>
        <v>89</v>
      </c>
      <c r="AI109" s="305">
        <f>ROUND(Ajustes!BQ105,0)</f>
        <v>79</v>
      </c>
      <c r="AJ109" s="305">
        <f>ROUND(Ajustes!BR105,0)</f>
        <v>77</v>
      </c>
    </row>
    <row r="110" spans="2:36" x14ac:dyDescent="0.25">
      <c r="B110" s="53">
        <v>104</v>
      </c>
      <c r="C110" s="53">
        <v>215</v>
      </c>
      <c r="D110" s="53">
        <v>247</v>
      </c>
      <c r="E110" s="53">
        <v>448</v>
      </c>
      <c r="F110" s="53">
        <v>157</v>
      </c>
      <c r="G110" s="53">
        <v>321</v>
      </c>
      <c r="H110" s="53">
        <v>141</v>
      </c>
      <c r="I110" s="53">
        <v>135</v>
      </c>
      <c r="K110" s="305">
        <f t="shared" si="34"/>
        <v>104</v>
      </c>
      <c r="L110" s="305">
        <f t="shared" si="35"/>
        <v>215</v>
      </c>
      <c r="M110" s="305">
        <f>ROUND(Ajustes!AK106,0)</f>
        <v>198</v>
      </c>
      <c r="N110" s="305">
        <f>ROUND(Ajustes!AL106,0)</f>
        <v>359</v>
      </c>
      <c r="O110" s="305">
        <f>ROUND(Ajustes!AM106,0)</f>
        <v>126</v>
      </c>
      <c r="P110" s="305">
        <f>ROUND(Ajustes!AN106,0)</f>
        <v>257</v>
      </c>
      <c r="Q110" s="305">
        <f>ROUND(Ajustes!AO106,0)</f>
        <v>113</v>
      </c>
      <c r="R110" s="305">
        <f>ROUND(Ajustes!AP106,0)</f>
        <v>108</v>
      </c>
      <c r="T110" s="305">
        <f t="shared" si="30"/>
        <v>104</v>
      </c>
      <c r="U110" s="305">
        <f t="shared" si="31"/>
        <v>215</v>
      </c>
      <c r="V110" s="305">
        <f>ROUND(Ajustes!AY106,0)</f>
        <v>198</v>
      </c>
      <c r="W110" s="305">
        <f>ROUND(Ajustes!AZ106,0)</f>
        <v>359</v>
      </c>
      <c r="X110" s="305">
        <f>ROUND(Ajustes!BA106,0)</f>
        <v>126</v>
      </c>
      <c r="Y110" s="305">
        <f>ROUND(Ajustes!BB106,0)</f>
        <v>257</v>
      </c>
      <c r="Z110" s="305">
        <f>ROUND(Ajustes!BC106,0)</f>
        <v>113</v>
      </c>
      <c r="AA110" s="305">
        <f>ROUND(Ajustes!BD106,0)</f>
        <v>108</v>
      </c>
      <c r="AC110" s="305">
        <f t="shared" si="32"/>
        <v>104</v>
      </c>
      <c r="AD110" s="305">
        <f t="shared" si="33"/>
        <v>215</v>
      </c>
      <c r="AE110" s="305">
        <f>ROUND(Ajustes!BM106,0)</f>
        <v>247</v>
      </c>
      <c r="AF110" s="305">
        <f>ROUND(Ajustes!BN106,0)</f>
        <v>448</v>
      </c>
      <c r="AG110" s="305">
        <f>ROUND(Ajustes!BO106,0)</f>
        <v>157</v>
      </c>
      <c r="AH110" s="305">
        <f>ROUND(Ajustes!BP106,0)</f>
        <v>321</v>
      </c>
      <c r="AI110" s="305">
        <f>ROUND(Ajustes!BQ106,0)</f>
        <v>141</v>
      </c>
      <c r="AJ110" s="305">
        <f>ROUND(Ajustes!BR106,0)</f>
        <v>135</v>
      </c>
    </row>
    <row r="111" spans="2:36" x14ac:dyDescent="0.25">
      <c r="B111" s="53">
        <v>105</v>
      </c>
      <c r="C111" s="53">
        <v>216</v>
      </c>
      <c r="D111" s="53">
        <v>589</v>
      </c>
      <c r="E111" s="53">
        <v>283</v>
      </c>
      <c r="F111" s="53">
        <v>336</v>
      </c>
      <c r="G111" s="53">
        <v>348</v>
      </c>
      <c r="H111" s="53">
        <v>219</v>
      </c>
      <c r="I111" s="53">
        <v>225</v>
      </c>
      <c r="K111" s="305">
        <f t="shared" si="34"/>
        <v>105</v>
      </c>
      <c r="L111" s="305">
        <f t="shared" si="35"/>
        <v>216</v>
      </c>
      <c r="M111" s="305">
        <f>ROUND(Ajustes!AK107,0)</f>
        <v>472</v>
      </c>
      <c r="N111" s="305">
        <f>ROUND(Ajustes!AL107,0)</f>
        <v>227</v>
      </c>
      <c r="O111" s="305">
        <f>ROUND(Ajustes!AM107,0)</f>
        <v>269</v>
      </c>
      <c r="P111" s="305">
        <f>ROUND(Ajustes!AN107,0)</f>
        <v>279</v>
      </c>
      <c r="Q111" s="305">
        <f>ROUND(Ajustes!AO107,0)</f>
        <v>176</v>
      </c>
      <c r="R111" s="305">
        <f>ROUND(Ajustes!AP107,0)</f>
        <v>180</v>
      </c>
      <c r="T111" s="305">
        <f t="shared" si="30"/>
        <v>105</v>
      </c>
      <c r="U111" s="305">
        <f t="shared" si="31"/>
        <v>216</v>
      </c>
      <c r="V111" s="305">
        <f>ROUND(Ajustes!AY107,0)</f>
        <v>472</v>
      </c>
      <c r="W111" s="305">
        <f>ROUND(Ajustes!AZ107,0)</f>
        <v>227</v>
      </c>
      <c r="X111" s="305">
        <f>ROUND(Ajustes!BA107,0)</f>
        <v>269</v>
      </c>
      <c r="Y111" s="305">
        <f>ROUND(Ajustes!BB107,0)</f>
        <v>279</v>
      </c>
      <c r="Z111" s="305">
        <f>ROUND(Ajustes!BC107,0)</f>
        <v>176</v>
      </c>
      <c r="AA111" s="305">
        <f>ROUND(Ajustes!BD107,0)</f>
        <v>180</v>
      </c>
      <c r="AC111" s="305">
        <f t="shared" si="32"/>
        <v>105</v>
      </c>
      <c r="AD111" s="305">
        <f t="shared" si="33"/>
        <v>216</v>
      </c>
      <c r="AE111" s="305">
        <f>ROUND(Ajustes!BM107,0)</f>
        <v>589</v>
      </c>
      <c r="AF111" s="305">
        <f>ROUND(Ajustes!BN107,0)</f>
        <v>283</v>
      </c>
      <c r="AG111" s="305">
        <f>ROUND(Ajustes!BO107,0)</f>
        <v>336</v>
      </c>
      <c r="AH111" s="305">
        <f>ROUND(Ajustes!BP107,0)</f>
        <v>348</v>
      </c>
      <c r="AI111" s="305">
        <f>ROUND(Ajustes!BQ107,0)</f>
        <v>219</v>
      </c>
      <c r="AJ111" s="305">
        <f>ROUND(Ajustes!BR107,0)</f>
        <v>225</v>
      </c>
    </row>
    <row r="112" spans="2:36" x14ac:dyDescent="0.25">
      <c r="B112" s="53">
        <v>106</v>
      </c>
      <c r="C112" s="53">
        <v>217</v>
      </c>
      <c r="D112" s="53">
        <v>898</v>
      </c>
      <c r="E112" s="53">
        <v>1564</v>
      </c>
      <c r="F112" s="53">
        <v>543</v>
      </c>
      <c r="G112" s="53">
        <v>972</v>
      </c>
      <c r="H112" s="53">
        <v>382</v>
      </c>
      <c r="I112" s="53">
        <v>449</v>
      </c>
      <c r="K112" s="305">
        <f t="shared" si="34"/>
        <v>106</v>
      </c>
      <c r="L112" s="305">
        <f t="shared" si="35"/>
        <v>217</v>
      </c>
      <c r="M112" s="305">
        <f>ROUND(Ajustes!AK108,0)</f>
        <v>720</v>
      </c>
      <c r="N112" s="305">
        <f>ROUND(Ajustes!AL108,0)</f>
        <v>1254</v>
      </c>
      <c r="O112" s="305">
        <f>ROUND(Ajustes!AM108,0)</f>
        <v>435</v>
      </c>
      <c r="P112" s="305">
        <f>ROUND(Ajustes!AN108,0)</f>
        <v>779</v>
      </c>
      <c r="Q112" s="305">
        <f>ROUND(Ajustes!AO108,0)</f>
        <v>306</v>
      </c>
      <c r="R112" s="305">
        <f>ROUND(Ajustes!AP108,0)</f>
        <v>360</v>
      </c>
      <c r="T112" s="305">
        <f t="shared" si="30"/>
        <v>106</v>
      </c>
      <c r="U112" s="305">
        <f t="shared" si="31"/>
        <v>217</v>
      </c>
      <c r="V112" s="305">
        <f>ROUND(Ajustes!AY108,0)</f>
        <v>720</v>
      </c>
      <c r="W112" s="305">
        <f>ROUND(Ajustes!AZ108,0)</f>
        <v>1254</v>
      </c>
      <c r="X112" s="305">
        <f>ROUND(Ajustes!BA108,0)</f>
        <v>435</v>
      </c>
      <c r="Y112" s="305">
        <f>ROUND(Ajustes!BB108,0)</f>
        <v>779</v>
      </c>
      <c r="Z112" s="305">
        <f>ROUND(Ajustes!BC108,0)</f>
        <v>306</v>
      </c>
      <c r="AA112" s="305">
        <f>ROUND(Ajustes!BD108,0)</f>
        <v>360</v>
      </c>
      <c r="AC112" s="305">
        <f t="shared" si="32"/>
        <v>106</v>
      </c>
      <c r="AD112" s="305">
        <f t="shared" si="33"/>
        <v>217</v>
      </c>
      <c r="AE112" s="305">
        <f>ROUND(Ajustes!BM108,0)</f>
        <v>898</v>
      </c>
      <c r="AF112" s="305">
        <f>ROUND(Ajustes!BN108,0)</f>
        <v>1564</v>
      </c>
      <c r="AG112" s="305">
        <f>ROUND(Ajustes!BO108,0)</f>
        <v>543</v>
      </c>
      <c r="AH112" s="305">
        <f>ROUND(Ajustes!BP108,0)</f>
        <v>972</v>
      </c>
      <c r="AI112" s="305">
        <f>ROUND(Ajustes!BQ108,0)</f>
        <v>382</v>
      </c>
      <c r="AJ112" s="305">
        <f>ROUND(Ajustes!BR108,0)</f>
        <v>449</v>
      </c>
    </row>
    <row r="113" spans="2:36" x14ac:dyDescent="0.25">
      <c r="B113" s="53">
        <v>107</v>
      </c>
      <c r="C113" s="53">
        <v>220</v>
      </c>
      <c r="D113" s="53">
        <v>223</v>
      </c>
      <c r="E113" s="53">
        <v>383</v>
      </c>
      <c r="F113" s="53">
        <v>143</v>
      </c>
      <c r="G113" s="53">
        <v>114</v>
      </c>
      <c r="H113" s="53">
        <v>44</v>
      </c>
      <c r="I113" s="53">
        <v>63</v>
      </c>
      <c r="K113" s="305">
        <f t="shared" si="34"/>
        <v>107</v>
      </c>
      <c r="L113" s="305">
        <f t="shared" si="35"/>
        <v>220</v>
      </c>
      <c r="M113" s="305">
        <f>ROUND(Ajustes!AK109,0)</f>
        <v>179</v>
      </c>
      <c r="N113" s="305">
        <f>ROUND(Ajustes!AL109,0)</f>
        <v>307</v>
      </c>
      <c r="O113" s="305">
        <f>ROUND(Ajustes!AM109,0)</f>
        <v>115</v>
      </c>
      <c r="P113" s="305">
        <f>ROUND(Ajustes!AN109,0)</f>
        <v>91</v>
      </c>
      <c r="Q113" s="305">
        <f>ROUND(Ajustes!AO109,0)</f>
        <v>35</v>
      </c>
      <c r="R113" s="305">
        <f>ROUND(Ajustes!AP109,0)</f>
        <v>51</v>
      </c>
      <c r="T113" s="305">
        <f t="shared" si="30"/>
        <v>107</v>
      </c>
      <c r="U113" s="305">
        <f t="shared" si="31"/>
        <v>220</v>
      </c>
      <c r="V113" s="305">
        <f>ROUND(Ajustes!AY109,0)</f>
        <v>179</v>
      </c>
      <c r="W113" s="305">
        <f>ROUND(Ajustes!AZ109,0)</f>
        <v>307</v>
      </c>
      <c r="X113" s="305">
        <f>ROUND(Ajustes!BA109,0)</f>
        <v>115</v>
      </c>
      <c r="Y113" s="305">
        <f>ROUND(Ajustes!BB109,0)</f>
        <v>91</v>
      </c>
      <c r="Z113" s="305">
        <f>ROUND(Ajustes!BC109,0)</f>
        <v>35</v>
      </c>
      <c r="AA113" s="305">
        <f>ROUND(Ajustes!BD109,0)</f>
        <v>51</v>
      </c>
      <c r="AC113" s="305">
        <f t="shared" si="32"/>
        <v>107</v>
      </c>
      <c r="AD113" s="305">
        <f t="shared" si="33"/>
        <v>220</v>
      </c>
      <c r="AE113" s="305">
        <f>ROUND(Ajustes!BM109,0)</f>
        <v>223</v>
      </c>
      <c r="AF113" s="305">
        <f>ROUND(Ajustes!BN109,0)</f>
        <v>383</v>
      </c>
      <c r="AG113" s="305">
        <f>ROUND(Ajustes!BO109,0)</f>
        <v>143</v>
      </c>
      <c r="AH113" s="305">
        <f>ROUND(Ajustes!BP109,0)</f>
        <v>114</v>
      </c>
      <c r="AI113" s="305">
        <f>ROUND(Ajustes!BQ109,0)</f>
        <v>44</v>
      </c>
      <c r="AJ113" s="305">
        <f>ROUND(Ajustes!BR109,0)</f>
        <v>63</v>
      </c>
    </row>
    <row r="114" spans="2:36" x14ac:dyDescent="0.25">
      <c r="B114" s="53">
        <v>108</v>
      </c>
      <c r="C114" s="53">
        <v>222</v>
      </c>
      <c r="D114" s="53">
        <v>1976</v>
      </c>
      <c r="E114" s="53">
        <v>3267</v>
      </c>
      <c r="F114" s="53">
        <v>3043</v>
      </c>
      <c r="G114" s="53">
        <v>1584</v>
      </c>
      <c r="H114" s="53">
        <v>937</v>
      </c>
      <c r="I114" s="53">
        <v>1161</v>
      </c>
      <c r="K114" s="305">
        <f t="shared" si="34"/>
        <v>108</v>
      </c>
      <c r="L114" s="305">
        <f t="shared" si="35"/>
        <v>222</v>
      </c>
      <c r="M114" s="305">
        <f>ROUND(Ajustes!AK110,0)</f>
        <v>1584</v>
      </c>
      <c r="N114" s="305">
        <f>ROUND(Ajustes!AL110,0)</f>
        <v>2619</v>
      </c>
      <c r="O114" s="305">
        <f>ROUND(Ajustes!AM110,0)</f>
        <v>2439</v>
      </c>
      <c r="P114" s="305">
        <f>ROUND(Ajustes!AN110,0)</f>
        <v>1270</v>
      </c>
      <c r="Q114" s="305">
        <f>ROUND(Ajustes!AO110,0)</f>
        <v>751</v>
      </c>
      <c r="R114" s="305">
        <f>ROUND(Ajustes!AP110,0)</f>
        <v>931</v>
      </c>
      <c r="T114" s="305">
        <f t="shared" si="30"/>
        <v>108</v>
      </c>
      <c r="U114" s="305">
        <f t="shared" si="31"/>
        <v>222</v>
      </c>
      <c r="V114" s="305">
        <f>ROUND(Ajustes!AY110,0)</f>
        <v>1584</v>
      </c>
      <c r="W114" s="305">
        <f>ROUND(Ajustes!AZ110,0)</f>
        <v>2619</v>
      </c>
      <c r="X114" s="305">
        <f>ROUND(Ajustes!BA110,0)</f>
        <v>2439</v>
      </c>
      <c r="Y114" s="305">
        <f>ROUND(Ajustes!BB110,0)</f>
        <v>1270</v>
      </c>
      <c r="Z114" s="305">
        <f>ROUND(Ajustes!BC110,0)</f>
        <v>751</v>
      </c>
      <c r="AA114" s="305">
        <f>ROUND(Ajustes!BD110,0)</f>
        <v>931</v>
      </c>
      <c r="AC114" s="305">
        <f t="shared" si="32"/>
        <v>108</v>
      </c>
      <c r="AD114" s="305">
        <f t="shared" si="33"/>
        <v>222</v>
      </c>
      <c r="AE114" s="305">
        <f>ROUND(Ajustes!BM110,0)</f>
        <v>1976</v>
      </c>
      <c r="AF114" s="305">
        <f>ROUND(Ajustes!BN110,0)</f>
        <v>3267</v>
      </c>
      <c r="AG114" s="305">
        <f>ROUND(Ajustes!BO110,0)</f>
        <v>3043</v>
      </c>
      <c r="AH114" s="305">
        <f>ROUND(Ajustes!BP110,0)</f>
        <v>1584</v>
      </c>
      <c r="AI114" s="305">
        <f>ROUND(Ajustes!BQ110,0)</f>
        <v>937</v>
      </c>
      <c r="AJ114" s="305">
        <f>ROUND(Ajustes!BR110,0)</f>
        <v>1161</v>
      </c>
    </row>
    <row r="115" spans="2:36" x14ac:dyDescent="0.25">
      <c r="B115" s="53">
        <v>109</v>
      </c>
      <c r="C115" s="53">
        <v>237</v>
      </c>
      <c r="D115" s="53">
        <v>163</v>
      </c>
      <c r="E115" s="53">
        <v>179</v>
      </c>
      <c r="F115" s="53">
        <v>157</v>
      </c>
      <c r="G115" s="53">
        <v>161</v>
      </c>
      <c r="H115" s="53">
        <v>187</v>
      </c>
      <c r="I115" s="53">
        <v>155</v>
      </c>
      <c r="K115" s="305">
        <f t="shared" si="34"/>
        <v>109</v>
      </c>
      <c r="L115" s="305">
        <f t="shared" si="35"/>
        <v>237</v>
      </c>
      <c r="M115" s="305">
        <f>ROUND(Ajustes!AK111,0)</f>
        <v>253</v>
      </c>
      <c r="N115" s="305">
        <f>ROUND(Ajustes!AL111,0)</f>
        <v>278</v>
      </c>
      <c r="O115" s="305">
        <f>ROUND(Ajustes!AM111,0)</f>
        <v>244</v>
      </c>
      <c r="P115" s="305">
        <f>ROUND(Ajustes!AN111,0)</f>
        <v>250</v>
      </c>
      <c r="Q115" s="305">
        <f>ROUND(Ajustes!AO111,0)</f>
        <v>290</v>
      </c>
      <c r="R115" s="305">
        <f>ROUND(Ajustes!AP111,0)</f>
        <v>241</v>
      </c>
      <c r="T115" s="305">
        <f t="shared" si="30"/>
        <v>109</v>
      </c>
      <c r="U115" s="305">
        <f t="shared" si="31"/>
        <v>237</v>
      </c>
      <c r="V115" s="305">
        <f>ROUND(Ajustes!AY111,0)</f>
        <v>215</v>
      </c>
      <c r="W115" s="305">
        <f>ROUND(Ajustes!AZ111,0)</f>
        <v>236</v>
      </c>
      <c r="X115" s="305">
        <f>ROUND(Ajustes!BA111,0)</f>
        <v>207</v>
      </c>
      <c r="Y115" s="305">
        <f>ROUND(Ajustes!BB111,0)</f>
        <v>212</v>
      </c>
      <c r="Z115" s="305">
        <f>ROUND(Ajustes!BC111,0)</f>
        <v>247</v>
      </c>
      <c r="AA115" s="305">
        <f>ROUND(Ajustes!BD111,0)</f>
        <v>204</v>
      </c>
      <c r="AC115" s="305">
        <f t="shared" si="32"/>
        <v>109</v>
      </c>
      <c r="AD115" s="305">
        <f t="shared" si="33"/>
        <v>237</v>
      </c>
      <c r="AE115" s="305">
        <f>ROUND(Ajustes!BM111,0)</f>
        <v>163</v>
      </c>
      <c r="AF115" s="305">
        <f>ROUND(Ajustes!BN111,0)</f>
        <v>179</v>
      </c>
      <c r="AG115" s="305">
        <f>ROUND(Ajustes!BO111,0)</f>
        <v>157</v>
      </c>
      <c r="AH115" s="305">
        <f>ROUND(Ajustes!BP111,0)</f>
        <v>161</v>
      </c>
      <c r="AI115" s="305">
        <f>ROUND(Ajustes!BQ111,0)</f>
        <v>187</v>
      </c>
      <c r="AJ115" s="305">
        <f>ROUND(Ajustes!BR111,0)</f>
        <v>155</v>
      </c>
    </row>
    <row r="116" spans="2:36" x14ac:dyDescent="0.25">
      <c r="B116" s="53">
        <v>110</v>
      </c>
      <c r="C116" s="53">
        <v>238</v>
      </c>
      <c r="D116" s="53">
        <v>190</v>
      </c>
      <c r="E116" s="53">
        <v>206</v>
      </c>
      <c r="F116" s="53">
        <v>183</v>
      </c>
      <c r="G116" s="53">
        <v>187</v>
      </c>
      <c r="H116" s="53">
        <v>215</v>
      </c>
      <c r="I116" s="53">
        <v>180</v>
      </c>
      <c r="K116" s="305">
        <f t="shared" si="34"/>
        <v>110</v>
      </c>
      <c r="L116" s="305">
        <f t="shared" si="35"/>
        <v>238</v>
      </c>
      <c r="M116" s="305">
        <f>ROUND(Ajustes!AK112,0)</f>
        <v>295</v>
      </c>
      <c r="N116" s="305">
        <f>ROUND(Ajustes!AL112,0)</f>
        <v>320</v>
      </c>
      <c r="O116" s="305">
        <f>ROUND(Ajustes!AM112,0)</f>
        <v>284</v>
      </c>
      <c r="P116" s="305">
        <f>ROUND(Ajustes!AN112,0)</f>
        <v>290</v>
      </c>
      <c r="Q116" s="305">
        <f>ROUND(Ajustes!AO112,0)</f>
        <v>334</v>
      </c>
      <c r="R116" s="305">
        <f>ROUND(Ajustes!AP112,0)</f>
        <v>280</v>
      </c>
      <c r="T116" s="305">
        <f t="shared" si="30"/>
        <v>110</v>
      </c>
      <c r="U116" s="305">
        <f t="shared" si="31"/>
        <v>238</v>
      </c>
      <c r="V116" s="305">
        <f>ROUND(Ajustes!AY112,0)</f>
        <v>251</v>
      </c>
      <c r="W116" s="305">
        <f>ROUND(Ajustes!AZ112,0)</f>
        <v>272</v>
      </c>
      <c r="X116" s="305">
        <f>ROUND(Ajustes!BA112,0)</f>
        <v>241</v>
      </c>
      <c r="Y116" s="305">
        <f>ROUND(Ajustes!BB112,0)</f>
        <v>247</v>
      </c>
      <c r="Z116" s="305">
        <f>ROUND(Ajustes!BC112,0)</f>
        <v>284</v>
      </c>
      <c r="AA116" s="305">
        <f>ROUND(Ajustes!BD112,0)</f>
        <v>237</v>
      </c>
      <c r="AC116" s="305">
        <f t="shared" si="32"/>
        <v>110</v>
      </c>
      <c r="AD116" s="305">
        <f t="shared" si="33"/>
        <v>238</v>
      </c>
      <c r="AE116" s="305">
        <f>ROUND(Ajustes!BM112,0)</f>
        <v>190</v>
      </c>
      <c r="AF116" s="305">
        <f>ROUND(Ajustes!BN112,0)</f>
        <v>206</v>
      </c>
      <c r="AG116" s="305">
        <f>ROUND(Ajustes!BO112,0)</f>
        <v>183</v>
      </c>
      <c r="AH116" s="305">
        <f>ROUND(Ajustes!BP112,0)</f>
        <v>187</v>
      </c>
      <c r="AI116" s="305">
        <f>ROUND(Ajustes!BQ112,0)</f>
        <v>215</v>
      </c>
      <c r="AJ116" s="305">
        <f>ROUND(Ajustes!BR112,0)</f>
        <v>180</v>
      </c>
    </row>
    <row r="117" spans="2:36" x14ac:dyDescent="0.25">
      <c r="B117" s="53">
        <v>111</v>
      </c>
      <c r="C117" s="53">
        <v>239</v>
      </c>
      <c r="D117" s="53">
        <v>245</v>
      </c>
      <c r="E117" s="53">
        <v>264</v>
      </c>
      <c r="F117" s="53">
        <v>239</v>
      </c>
      <c r="G117" s="53">
        <v>243</v>
      </c>
      <c r="H117" s="53">
        <v>275</v>
      </c>
      <c r="I117" s="53">
        <v>234</v>
      </c>
      <c r="K117" s="305">
        <f t="shared" si="34"/>
        <v>111</v>
      </c>
      <c r="L117" s="305">
        <f t="shared" si="35"/>
        <v>239</v>
      </c>
      <c r="M117" s="305">
        <f>ROUND(Ajustes!AK113,0)</f>
        <v>381</v>
      </c>
      <c r="N117" s="305">
        <f>ROUND(Ajustes!AL113,0)</f>
        <v>410</v>
      </c>
      <c r="O117" s="305">
        <f>ROUND(Ajustes!AM113,0)</f>
        <v>371</v>
      </c>
      <c r="P117" s="305">
        <f>ROUND(Ajustes!AN113,0)</f>
        <v>377</v>
      </c>
      <c r="Q117" s="305">
        <f>ROUND(Ajustes!AO113,0)</f>
        <v>427</v>
      </c>
      <c r="R117" s="305">
        <f>ROUND(Ajustes!AP113,0)</f>
        <v>363</v>
      </c>
      <c r="T117" s="305">
        <f t="shared" si="30"/>
        <v>111</v>
      </c>
      <c r="U117" s="305">
        <f t="shared" si="31"/>
        <v>239</v>
      </c>
      <c r="V117" s="305">
        <f>ROUND(Ajustes!AY113,0)</f>
        <v>323</v>
      </c>
      <c r="W117" s="305">
        <f>ROUND(Ajustes!AZ113,0)</f>
        <v>348</v>
      </c>
      <c r="X117" s="305">
        <f>ROUND(Ajustes!BA113,0)</f>
        <v>315</v>
      </c>
      <c r="Y117" s="305">
        <f>ROUND(Ajustes!BB113,0)</f>
        <v>320</v>
      </c>
      <c r="Z117" s="305">
        <f>ROUND(Ajustes!BC113,0)</f>
        <v>363</v>
      </c>
      <c r="AA117" s="305">
        <f>ROUND(Ajustes!BD113,0)</f>
        <v>309</v>
      </c>
      <c r="AC117" s="305">
        <f t="shared" si="32"/>
        <v>111</v>
      </c>
      <c r="AD117" s="305">
        <f t="shared" si="33"/>
        <v>239</v>
      </c>
      <c r="AE117" s="305">
        <f>ROUND(Ajustes!BM113,0)</f>
        <v>245</v>
      </c>
      <c r="AF117" s="305">
        <f>ROUND(Ajustes!BN113,0)</f>
        <v>264</v>
      </c>
      <c r="AG117" s="305">
        <f>ROUND(Ajustes!BO113,0)</f>
        <v>239</v>
      </c>
      <c r="AH117" s="305">
        <f>ROUND(Ajustes!BP113,0)</f>
        <v>243</v>
      </c>
      <c r="AI117" s="305">
        <f>ROUND(Ajustes!BQ113,0)</f>
        <v>275</v>
      </c>
      <c r="AJ117" s="305">
        <f>ROUND(Ajustes!BR113,0)</f>
        <v>234</v>
      </c>
    </row>
    <row r="118" spans="2:36" x14ac:dyDescent="0.25">
      <c r="B118" s="53">
        <v>112</v>
      </c>
      <c r="C118" s="53">
        <v>240</v>
      </c>
      <c r="D118" s="53">
        <v>303</v>
      </c>
      <c r="E118" s="53">
        <v>340</v>
      </c>
      <c r="F118" s="53">
        <v>324</v>
      </c>
      <c r="G118" s="53">
        <v>315</v>
      </c>
      <c r="H118" s="53">
        <v>313</v>
      </c>
      <c r="I118" s="53">
        <v>382</v>
      </c>
      <c r="K118" s="305">
        <f t="shared" si="34"/>
        <v>112</v>
      </c>
      <c r="L118" s="305">
        <f t="shared" si="35"/>
        <v>240</v>
      </c>
      <c r="M118" s="305">
        <f>ROUND(Ajustes!AK114,0)</f>
        <v>471</v>
      </c>
      <c r="N118" s="305">
        <f>ROUND(Ajustes!AL114,0)</f>
        <v>528</v>
      </c>
      <c r="O118" s="305">
        <f>ROUND(Ajustes!AM114,0)</f>
        <v>503</v>
      </c>
      <c r="P118" s="305">
        <f>ROUND(Ajustes!AN114,0)</f>
        <v>489</v>
      </c>
      <c r="Q118" s="305">
        <f>ROUND(Ajustes!AO114,0)</f>
        <v>486</v>
      </c>
      <c r="R118" s="305">
        <f>ROUND(Ajustes!AP114,0)</f>
        <v>593</v>
      </c>
      <c r="T118" s="305">
        <f t="shared" si="30"/>
        <v>112</v>
      </c>
      <c r="U118" s="305">
        <f t="shared" si="31"/>
        <v>240</v>
      </c>
      <c r="V118" s="305">
        <f>ROUND(Ajustes!AY114,0)</f>
        <v>400</v>
      </c>
      <c r="W118" s="305">
        <f>ROUND(Ajustes!AZ114,0)</f>
        <v>448</v>
      </c>
      <c r="X118" s="305">
        <f>ROUND(Ajustes!BA114,0)</f>
        <v>427</v>
      </c>
      <c r="Y118" s="305">
        <f>ROUND(Ajustes!BB114,0)</f>
        <v>415</v>
      </c>
      <c r="Z118" s="305">
        <f>ROUND(Ajustes!BC114,0)</f>
        <v>413</v>
      </c>
      <c r="AA118" s="305">
        <f>ROUND(Ajustes!BD114,0)</f>
        <v>504</v>
      </c>
      <c r="AC118" s="305">
        <f t="shared" si="32"/>
        <v>112</v>
      </c>
      <c r="AD118" s="305">
        <f t="shared" si="33"/>
        <v>240</v>
      </c>
      <c r="AE118" s="305">
        <f>ROUND(Ajustes!BM114,0)</f>
        <v>303</v>
      </c>
      <c r="AF118" s="305">
        <f>ROUND(Ajustes!BN114,0)</f>
        <v>340</v>
      </c>
      <c r="AG118" s="305">
        <f>ROUND(Ajustes!BO114,0)</f>
        <v>324</v>
      </c>
      <c r="AH118" s="305">
        <f>ROUND(Ajustes!BP114,0)</f>
        <v>315</v>
      </c>
      <c r="AI118" s="305">
        <f>ROUND(Ajustes!BQ114,0)</f>
        <v>313</v>
      </c>
      <c r="AJ118" s="305">
        <f>ROUND(Ajustes!BR114,0)</f>
        <v>382</v>
      </c>
    </row>
    <row r="119" spans="2:36" x14ac:dyDescent="0.25">
      <c r="B119" s="53">
        <v>113</v>
      </c>
      <c r="C119" s="53">
        <v>241</v>
      </c>
      <c r="D119" s="53">
        <v>134</v>
      </c>
      <c r="E119" s="53">
        <v>136</v>
      </c>
      <c r="F119" s="53">
        <v>134</v>
      </c>
      <c r="G119" s="53">
        <v>127</v>
      </c>
      <c r="H119" s="53">
        <v>127</v>
      </c>
      <c r="I119" s="53">
        <v>121</v>
      </c>
      <c r="K119" s="305">
        <f t="shared" si="34"/>
        <v>113</v>
      </c>
      <c r="L119" s="305">
        <f t="shared" si="35"/>
        <v>241</v>
      </c>
      <c r="M119" s="305">
        <f>ROUND(Ajustes!AK115,0)</f>
        <v>208</v>
      </c>
      <c r="N119" s="305">
        <f>ROUND(Ajustes!AL115,0)</f>
        <v>211</v>
      </c>
      <c r="O119" s="305">
        <f>ROUND(Ajustes!AM115,0)</f>
        <v>208</v>
      </c>
      <c r="P119" s="305">
        <f>ROUND(Ajustes!AN115,0)</f>
        <v>197</v>
      </c>
      <c r="Q119" s="305">
        <f>ROUND(Ajustes!AO115,0)</f>
        <v>197</v>
      </c>
      <c r="R119" s="305">
        <f>ROUND(Ajustes!AP115,0)</f>
        <v>188</v>
      </c>
      <c r="T119" s="305">
        <f t="shared" si="30"/>
        <v>113</v>
      </c>
      <c r="U119" s="305">
        <f t="shared" si="31"/>
        <v>241</v>
      </c>
      <c r="V119" s="305">
        <f>ROUND(Ajustes!AY115,0)</f>
        <v>177</v>
      </c>
      <c r="W119" s="305">
        <f>ROUND(Ajustes!AZ115,0)</f>
        <v>179</v>
      </c>
      <c r="X119" s="305">
        <f>ROUND(Ajustes!BA115,0)</f>
        <v>177</v>
      </c>
      <c r="Y119" s="305">
        <f>ROUND(Ajustes!BB115,0)</f>
        <v>167</v>
      </c>
      <c r="Z119" s="305">
        <f>ROUND(Ajustes!BC115,0)</f>
        <v>167</v>
      </c>
      <c r="AA119" s="305">
        <f>ROUND(Ajustes!BD115,0)</f>
        <v>160</v>
      </c>
      <c r="AC119" s="305">
        <f t="shared" si="32"/>
        <v>113</v>
      </c>
      <c r="AD119" s="305">
        <f t="shared" si="33"/>
        <v>241</v>
      </c>
      <c r="AE119" s="305">
        <f>ROUND(Ajustes!BM115,0)</f>
        <v>134</v>
      </c>
      <c r="AF119" s="305">
        <f>ROUND(Ajustes!BN115,0)</f>
        <v>136</v>
      </c>
      <c r="AG119" s="305">
        <f>ROUND(Ajustes!BO115,0)</f>
        <v>134</v>
      </c>
      <c r="AH119" s="305">
        <f>ROUND(Ajustes!BP115,0)</f>
        <v>127</v>
      </c>
      <c r="AI119" s="305">
        <f>ROUND(Ajustes!BQ115,0)</f>
        <v>127</v>
      </c>
      <c r="AJ119" s="305">
        <f>ROUND(Ajustes!BR115,0)</f>
        <v>121</v>
      </c>
    </row>
    <row r="120" spans="2:36" x14ac:dyDescent="0.25">
      <c r="B120" s="53">
        <v>114</v>
      </c>
      <c r="C120" s="53">
        <v>242</v>
      </c>
      <c r="D120" s="53">
        <v>319</v>
      </c>
      <c r="E120" s="53">
        <v>360</v>
      </c>
      <c r="F120" s="53">
        <v>333</v>
      </c>
      <c r="G120" s="53">
        <v>324</v>
      </c>
      <c r="H120" s="53">
        <v>320</v>
      </c>
      <c r="I120" s="53">
        <v>405</v>
      </c>
      <c r="K120" s="305">
        <f t="shared" si="34"/>
        <v>114</v>
      </c>
      <c r="L120" s="305">
        <f t="shared" si="35"/>
        <v>242</v>
      </c>
      <c r="M120" s="305">
        <f>ROUND(Ajustes!AK116,0)</f>
        <v>495</v>
      </c>
      <c r="N120" s="305">
        <f>ROUND(Ajustes!AL116,0)</f>
        <v>559</v>
      </c>
      <c r="O120" s="305">
        <f>ROUND(Ajustes!AM116,0)</f>
        <v>517</v>
      </c>
      <c r="P120" s="305">
        <f>ROUND(Ajustes!AN116,0)</f>
        <v>503</v>
      </c>
      <c r="Q120" s="305">
        <f>ROUND(Ajustes!AO116,0)</f>
        <v>497</v>
      </c>
      <c r="R120" s="305">
        <f>ROUND(Ajustes!AP116,0)</f>
        <v>629</v>
      </c>
      <c r="T120" s="305">
        <f t="shared" si="30"/>
        <v>114</v>
      </c>
      <c r="U120" s="305">
        <f t="shared" si="31"/>
        <v>242</v>
      </c>
      <c r="V120" s="305">
        <f>ROUND(Ajustes!AY116,0)</f>
        <v>421</v>
      </c>
      <c r="W120" s="305">
        <f>ROUND(Ajustes!AZ116,0)</f>
        <v>475</v>
      </c>
      <c r="X120" s="305">
        <f>ROUND(Ajustes!BA116,0)</f>
        <v>439</v>
      </c>
      <c r="Y120" s="305">
        <f>ROUND(Ajustes!BB116,0)</f>
        <v>427</v>
      </c>
      <c r="Z120" s="305">
        <f>ROUND(Ajustes!BC116,0)</f>
        <v>422</v>
      </c>
      <c r="AA120" s="305">
        <f>ROUND(Ajustes!BD116,0)</f>
        <v>534</v>
      </c>
      <c r="AC120" s="305">
        <f t="shared" si="32"/>
        <v>114</v>
      </c>
      <c r="AD120" s="305">
        <f t="shared" si="33"/>
        <v>242</v>
      </c>
      <c r="AE120" s="305">
        <f>ROUND(Ajustes!BM116,0)</f>
        <v>319</v>
      </c>
      <c r="AF120" s="305">
        <f>ROUND(Ajustes!BN116,0)</f>
        <v>360</v>
      </c>
      <c r="AG120" s="305">
        <f>ROUND(Ajustes!BO116,0)</f>
        <v>333</v>
      </c>
      <c r="AH120" s="305">
        <f>ROUND(Ajustes!BP116,0)</f>
        <v>324</v>
      </c>
      <c r="AI120" s="305">
        <f>ROUND(Ajustes!BQ116,0)</f>
        <v>320</v>
      </c>
      <c r="AJ120" s="305">
        <f>ROUND(Ajustes!BR116,0)</f>
        <v>405</v>
      </c>
    </row>
    <row r="121" spans="2:36" x14ac:dyDescent="0.25">
      <c r="B121" s="53">
        <v>115</v>
      </c>
      <c r="C121" s="53">
        <v>243</v>
      </c>
      <c r="D121" s="53">
        <v>343</v>
      </c>
      <c r="E121" s="53">
        <v>396</v>
      </c>
      <c r="F121" s="53">
        <v>344</v>
      </c>
      <c r="G121" s="53">
        <v>330</v>
      </c>
      <c r="H121" s="53">
        <v>329</v>
      </c>
      <c r="I121" s="53">
        <v>422</v>
      </c>
      <c r="K121" s="305">
        <f t="shared" si="34"/>
        <v>115</v>
      </c>
      <c r="L121" s="305">
        <f t="shared" si="35"/>
        <v>243</v>
      </c>
      <c r="M121" s="305">
        <f>ROUND(Ajustes!AK117,0)</f>
        <v>533</v>
      </c>
      <c r="N121" s="305">
        <f>ROUND(Ajustes!AL117,0)</f>
        <v>615</v>
      </c>
      <c r="O121" s="305">
        <f>ROUND(Ajustes!AM117,0)</f>
        <v>534</v>
      </c>
      <c r="P121" s="305">
        <f>ROUND(Ajustes!AN117,0)</f>
        <v>513</v>
      </c>
      <c r="Q121" s="305">
        <f>ROUND(Ajustes!AO117,0)</f>
        <v>511</v>
      </c>
      <c r="R121" s="305">
        <f>ROUND(Ajustes!AP117,0)</f>
        <v>655</v>
      </c>
      <c r="T121" s="305">
        <f t="shared" si="30"/>
        <v>115</v>
      </c>
      <c r="U121" s="305">
        <f t="shared" si="31"/>
        <v>243</v>
      </c>
      <c r="V121" s="305">
        <f>ROUND(Ajustes!AY117,0)</f>
        <v>452</v>
      </c>
      <c r="W121" s="305">
        <f>ROUND(Ajustes!AZ117,0)</f>
        <v>522</v>
      </c>
      <c r="X121" s="305">
        <f>ROUND(Ajustes!BA117,0)</f>
        <v>454</v>
      </c>
      <c r="Y121" s="305">
        <f>ROUND(Ajustes!BB117,0)</f>
        <v>435</v>
      </c>
      <c r="Z121" s="305">
        <f>ROUND(Ajustes!BC117,0)</f>
        <v>434</v>
      </c>
      <c r="AA121" s="305">
        <f>ROUND(Ajustes!BD117,0)</f>
        <v>556</v>
      </c>
      <c r="AC121" s="305">
        <f t="shared" si="32"/>
        <v>115</v>
      </c>
      <c r="AD121" s="305">
        <f t="shared" si="33"/>
        <v>243</v>
      </c>
      <c r="AE121" s="305">
        <f>ROUND(Ajustes!BM117,0)</f>
        <v>343</v>
      </c>
      <c r="AF121" s="305">
        <f>ROUND(Ajustes!BN117,0)</f>
        <v>396</v>
      </c>
      <c r="AG121" s="305">
        <f>ROUND(Ajustes!BO117,0)</f>
        <v>344</v>
      </c>
      <c r="AH121" s="305">
        <f>ROUND(Ajustes!BP117,0)</f>
        <v>330</v>
      </c>
      <c r="AI121" s="305">
        <f>ROUND(Ajustes!BQ117,0)</f>
        <v>329</v>
      </c>
      <c r="AJ121" s="305">
        <f>ROUND(Ajustes!BR117,0)</f>
        <v>422</v>
      </c>
    </row>
    <row r="122" spans="2:36" x14ac:dyDescent="0.25">
      <c r="B122" s="53">
        <v>116</v>
      </c>
      <c r="C122" s="53">
        <v>244</v>
      </c>
      <c r="D122" s="53">
        <v>2478</v>
      </c>
      <c r="E122" s="53">
        <v>2493</v>
      </c>
      <c r="F122" s="53">
        <v>2402</v>
      </c>
      <c r="G122" s="53">
        <v>2348</v>
      </c>
      <c r="H122" s="53">
        <v>2360</v>
      </c>
      <c r="I122" s="53">
        <v>2342</v>
      </c>
      <c r="K122" s="305">
        <f t="shared" si="34"/>
        <v>116</v>
      </c>
      <c r="L122" s="305">
        <f t="shared" si="35"/>
        <v>244</v>
      </c>
      <c r="M122" s="305">
        <f>ROUND(Ajustes!AK118,0)</f>
        <v>3849</v>
      </c>
      <c r="N122" s="305">
        <f>ROUND(Ajustes!AL118,0)</f>
        <v>3872</v>
      </c>
      <c r="O122" s="305">
        <f>ROUND(Ajustes!AM118,0)</f>
        <v>3731</v>
      </c>
      <c r="P122" s="305">
        <f>ROUND(Ajustes!AN118,0)</f>
        <v>3647</v>
      </c>
      <c r="Q122" s="305">
        <f>ROUND(Ajustes!AO118,0)</f>
        <v>3665</v>
      </c>
      <c r="R122" s="305">
        <f>ROUND(Ajustes!AP118,0)</f>
        <v>3638</v>
      </c>
      <c r="T122" s="305">
        <f t="shared" si="30"/>
        <v>116</v>
      </c>
      <c r="U122" s="305">
        <f t="shared" si="31"/>
        <v>244</v>
      </c>
      <c r="V122" s="305">
        <f>ROUND(Ajustes!AY118,0)</f>
        <v>3268</v>
      </c>
      <c r="W122" s="305">
        <f>ROUND(Ajustes!AZ118,0)</f>
        <v>3287</v>
      </c>
      <c r="X122" s="305">
        <f>ROUND(Ajustes!BA118,0)</f>
        <v>3167</v>
      </c>
      <c r="Y122" s="305">
        <f>ROUND(Ajustes!BB118,0)</f>
        <v>3096</v>
      </c>
      <c r="Z122" s="305">
        <f>ROUND(Ajustes!BC118,0)</f>
        <v>3112</v>
      </c>
      <c r="AA122" s="305">
        <f>ROUND(Ajustes!BD118,0)</f>
        <v>3088</v>
      </c>
      <c r="AC122" s="305">
        <f t="shared" si="32"/>
        <v>116</v>
      </c>
      <c r="AD122" s="305">
        <f t="shared" si="33"/>
        <v>244</v>
      </c>
      <c r="AE122" s="305">
        <f>ROUND(Ajustes!BM118,0)</f>
        <v>2478</v>
      </c>
      <c r="AF122" s="305">
        <f>ROUND(Ajustes!BN118,0)</f>
        <v>2493</v>
      </c>
      <c r="AG122" s="305">
        <f>ROUND(Ajustes!BO118,0)</f>
        <v>2402</v>
      </c>
      <c r="AH122" s="305">
        <f>ROUND(Ajustes!BP118,0)</f>
        <v>2348</v>
      </c>
      <c r="AI122" s="305">
        <f>ROUND(Ajustes!BQ118,0)</f>
        <v>2360</v>
      </c>
      <c r="AJ122" s="305">
        <f>ROUND(Ajustes!BR118,0)</f>
        <v>2342</v>
      </c>
    </row>
    <row r="123" spans="2:36" x14ac:dyDescent="0.25">
      <c r="B123" s="53">
        <v>117</v>
      </c>
      <c r="C123" s="53">
        <v>245</v>
      </c>
      <c r="D123" s="53">
        <v>2986</v>
      </c>
      <c r="E123" s="53">
        <v>2955</v>
      </c>
      <c r="F123" s="53">
        <v>2904</v>
      </c>
      <c r="G123" s="53">
        <v>2842</v>
      </c>
      <c r="H123" s="53">
        <v>2789</v>
      </c>
      <c r="I123" s="53">
        <v>2713</v>
      </c>
      <c r="K123" s="305">
        <f t="shared" si="34"/>
        <v>117</v>
      </c>
      <c r="L123" s="305">
        <f t="shared" si="35"/>
        <v>245</v>
      </c>
      <c r="M123" s="305">
        <f>ROUND(Ajustes!AK119,0)</f>
        <v>4638</v>
      </c>
      <c r="N123" s="305">
        <f>ROUND(Ajustes!AL119,0)</f>
        <v>4590</v>
      </c>
      <c r="O123" s="305">
        <f>ROUND(Ajustes!AM119,0)</f>
        <v>4510</v>
      </c>
      <c r="P123" s="305">
        <f>ROUND(Ajustes!AN119,0)</f>
        <v>4414</v>
      </c>
      <c r="Q123" s="305">
        <f>ROUND(Ajustes!AO119,0)</f>
        <v>4332</v>
      </c>
      <c r="R123" s="305">
        <f>ROUND(Ajustes!AP119,0)</f>
        <v>4214</v>
      </c>
      <c r="T123" s="305">
        <f t="shared" si="30"/>
        <v>117</v>
      </c>
      <c r="U123" s="305">
        <f t="shared" si="31"/>
        <v>245</v>
      </c>
      <c r="V123" s="305">
        <f>ROUND(Ajustes!AY119,0)</f>
        <v>3937</v>
      </c>
      <c r="W123" s="305">
        <f>ROUND(Ajustes!AZ119,0)</f>
        <v>3897</v>
      </c>
      <c r="X123" s="305">
        <f>ROUND(Ajustes!BA119,0)</f>
        <v>3829</v>
      </c>
      <c r="Y123" s="305">
        <f>ROUND(Ajustes!BB119,0)</f>
        <v>3748</v>
      </c>
      <c r="Z123" s="305">
        <f>ROUND(Ajustes!BC119,0)</f>
        <v>3678</v>
      </c>
      <c r="AA123" s="305">
        <f>ROUND(Ajustes!BD119,0)</f>
        <v>3577</v>
      </c>
      <c r="AC123" s="305">
        <f t="shared" si="32"/>
        <v>117</v>
      </c>
      <c r="AD123" s="305">
        <f t="shared" si="33"/>
        <v>245</v>
      </c>
      <c r="AE123" s="305">
        <f>ROUND(Ajustes!BM119,0)</f>
        <v>2986</v>
      </c>
      <c r="AF123" s="305">
        <f>ROUND(Ajustes!BN119,0)</f>
        <v>2955</v>
      </c>
      <c r="AG123" s="305">
        <f>ROUND(Ajustes!BO119,0)</f>
        <v>2904</v>
      </c>
      <c r="AH123" s="305">
        <f>ROUND(Ajustes!BP119,0)</f>
        <v>2842</v>
      </c>
      <c r="AI123" s="305">
        <f>ROUND(Ajustes!BQ119,0)</f>
        <v>2789</v>
      </c>
      <c r="AJ123" s="305">
        <f>ROUND(Ajustes!BR119,0)</f>
        <v>2713</v>
      </c>
    </row>
    <row r="124" spans="2:36" x14ac:dyDescent="0.25">
      <c r="B124" s="53">
        <v>118</v>
      </c>
      <c r="C124" s="53">
        <v>246</v>
      </c>
      <c r="D124" s="53">
        <v>3764</v>
      </c>
      <c r="E124" s="53">
        <v>3742</v>
      </c>
      <c r="F124" s="53">
        <v>3719</v>
      </c>
      <c r="G124" s="53">
        <v>3577</v>
      </c>
      <c r="H124" s="53">
        <v>3493</v>
      </c>
      <c r="I124" s="53">
        <v>3456</v>
      </c>
      <c r="K124" s="305">
        <f t="shared" si="34"/>
        <v>118</v>
      </c>
      <c r="L124" s="305">
        <f t="shared" si="35"/>
        <v>246</v>
      </c>
      <c r="M124" s="305">
        <f>ROUND(Ajustes!AK120,0)</f>
        <v>5846</v>
      </c>
      <c r="N124" s="305">
        <f>ROUND(Ajustes!AL120,0)</f>
        <v>5812</v>
      </c>
      <c r="O124" s="305">
        <f>ROUND(Ajustes!AM120,0)</f>
        <v>5776</v>
      </c>
      <c r="P124" s="305">
        <f>ROUND(Ajustes!AN120,0)</f>
        <v>5556</v>
      </c>
      <c r="Q124" s="305">
        <f>ROUND(Ajustes!AO120,0)</f>
        <v>5425</v>
      </c>
      <c r="R124" s="305">
        <f>ROUND(Ajustes!AP120,0)</f>
        <v>5368</v>
      </c>
      <c r="T124" s="305">
        <f t="shared" si="30"/>
        <v>118</v>
      </c>
      <c r="U124" s="305">
        <f t="shared" si="31"/>
        <v>246</v>
      </c>
      <c r="V124" s="305">
        <f>ROUND(Ajustes!AY120,0)</f>
        <v>4963</v>
      </c>
      <c r="W124" s="305">
        <f>ROUND(Ajustes!AZ120,0)</f>
        <v>4934</v>
      </c>
      <c r="X124" s="305">
        <f>ROUND(Ajustes!BA120,0)</f>
        <v>4904</v>
      </c>
      <c r="Y124" s="305">
        <f>ROUND(Ajustes!BB120,0)</f>
        <v>4717</v>
      </c>
      <c r="Z124" s="305">
        <f>ROUND(Ajustes!BC120,0)</f>
        <v>4606</v>
      </c>
      <c r="AA124" s="305">
        <f>ROUND(Ajustes!BD120,0)</f>
        <v>4557</v>
      </c>
      <c r="AC124" s="305">
        <f t="shared" si="32"/>
        <v>118</v>
      </c>
      <c r="AD124" s="305">
        <f t="shared" si="33"/>
        <v>246</v>
      </c>
      <c r="AE124" s="305">
        <f>ROUND(Ajustes!BM120,0)</f>
        <v>3764</v>
      </c>
      <c r="AF124" s="305">
        <f>ROUND(Ajustes!BN120,0)</f>
        <v>3742</v>
      </c>
      <c r="AG124" s="305">
        <f>ROUND(Ajustes!BO120,0)</f>
        <v>3719</v>
      </c>
      <c r="AH124" s="305">
        <f>ROUND(Ajustes!BP120,0)</f>
        <v>3577</v>
      </c>
      <c r="AI124" s="305">
        <f>ROUND(Ajustes!BQ120,0)</f>
        <v>3493</v>
      </c>
      <c r="AJ124" s="305">
        <f>ROUND(Ajustes!BR120,0)</f>
        <v>3456</v>
      </c>
    </row>
    <row r="125" spans="2:36" x14ac:dyDescent="0.25">
      <c r="B125" s="53">
        <v>119</v>
      </c>
      <c r="C125" s="53">
        <v>247</v>
      </c>
      <c r="D125" s="53">
        <v>111</v>
      </c>
      <c r="E125" s="53">
        <v>108</v>
      </c>
      <c r="F125" s="53">
        <v>108</v>
      </c>
      <c r="G125" s="53">
        <v>104</v>
      </c>
      <c r="H125" s="53">
        <v>102</v>
      </c>
      <c r="I125" s="53">
        <v>96</v>
      </c>
      <c r="K125" s="305">
        <f t="shared" si="34"/>
        <v>119</v>
      </c>
      <c r="L125" s="305">
        <f t="shared" si="35"/>
        <v>247</v>
      </c>
      <c r="M125" s="305">
        <f>ROUND(Ajustes!AK121,0)</f>
        <v>172</v>
      </c>
      <c r="N125" s="305">
        <f>ROUND(Ajustes!AL121,0)</f>
        <v>168</v>
      </c>
      <c r="O125" s="305">
        <f>ROUND(Ajustes!AM121,0)</f>
        <v>168</v>
      </c>
      <c r="P125" s="305">
        <f>ROUND(Ajustes!AN121,0)</f>
        <v>162</v>
      </c>
      <c r="Q125" s="305">
        <f>ROUND(Ajustes!AO121,0)</f>
        <v>158</v>
      </c>
      <c r="R125" s="305">
        <f>ROUND(Ajustes!AP121,0)</f>
        <v>149</v>
      </c>
      <c r="T125" s="305">
        <f t="shared" si="30"/>
        <v>119</v>
      </c>
      <c r="U125" s="305">
        <f t="shared" si="31"/>
        <v>247</v>
      </c>
      <c r="V125" s="305">
        <f>ROUND(Ajustes!AY121,0)</f>
        <v>146</v>
      </c>
      <c r="W125" s="305">
        <f>ROUND(Ajustes!AZ121,0)</f>
        <v>142</v>
      </c>
      <c r="X125" s="305">
        <f>ROUND(Ajustes!BA121,0)</f>
        <v>142</v>
      </c>
      <c r="Y125" s="305">
        <f>ROUND(Ajustes!BB121,0)</f>
        <v>137</v>
      </c>
      <c r="Z125" s="305">
        <f>ROUND(Ajustes!BC121,0)</f>
        <v>135</v>
      </c>
      <c r="AA125" s="305">
        <f>ROUND(Ajustes!BD121,0)</f>
        <v>127</v>
      </c>
      <c r="AC125" s="305">
        <f t="shared" si="32"/>
        <v>119</v>
      </c>
      <c r="AD125" s="305">
        <f t="shared" si="33"/>
        <v>247</v>
      </c>
      <c r="AE125" s="305">
        <f>ROUND(Ajustes!BM121,0)</f>
        <v>111</v>
      </c>
      <c r="AF125" s="305">
        <f>ROUND(Ajustes!BN121,0)</f>
        <v>108</v>
      </c>
      <c r="AG125" s="305">
        <f>ROUND(Ajustes!BO121,0)</f>
        <v>108</v>
      </c>
      <c r="AH125" s="305">
        <f>ROUND(Ajustes!BP121,0)</f>
        <v>104</v>
      </c>
      <c r="AI125" s="305">
        <f>ROUND(Ajustes!BQ121,0)</f>
        <v>102</v>
      </c>
      <c r="AJ125" s="305">
        <f>ROUND(Ajustes!BR121,0)</f>
        <v>96</v>
      </c>
    </row>
    <row r="126" spans="2:36" x14ac:dyDescent="0.25">
      <c r="B126" s="53">
        <v>120</v>
      </c>
      <c r="C126" s="53">
        <v>248</v>
      </c>
      <c r="D126" s="53">
        <v>117</v>
      </c>
      <c r="E126" s="53">
        <v>113</v>
      </c>
      <c r="F126" s="53">
        <v>112</v>
      </c>
      <c r="G126" s="53">
        <v>108</v>
      </c>
      <c r="H126" s="53">
        <v>106</v>
      </c>
      <c r="I126" s="53">
        <v>100</v>
      </c>
      <c r="K126" s="305">
        <f t="shared" si="34"/>
        <v>120</v>
      </c>
      <c r="L126" s="305">
        <f t="shared" si="35"/>
        <v>248</v>
      </c>
      <c r="M126" s="305">
        <f>ROUND(Ajustes!AK122,0)</f>
        <v>182</v>
      </c>
      <c r="N126" s="305">
        <f>ROUND(Ajustes!AL122,0)</f>
        <v>176</v>
      </c>
      <c r="O126" s="305">
        <f>ROUND(Ajustes!AM122,0)</f>
        <v>174</v>
      </c>
      <c r="P126" s="305">
        <f>ROUND(Ajustes!AN122,0)</f>
        <v>168</v>
      </c>
      <c r="Q126" s="305">
        <f>ROUND(Ajustes!AO122,0)</f>
        <v>165</v>
      </c>
      <c r="R126" s="305">
        <f>ROUND(Ajustes!AP122,0)</f>
        <v>155</v>
      </c>
      <c r="T126" s="305">
        <f t="shared" si="30"/>
        <v>120</v>
      </c>
      <c r="U126" s="305">
        <f t="shared" si="31"/>
        <v>248</v>
      </c>
      <c r="V126" s="305">
        <f>ROUND(Ajustes!AY122,0)</f>
        <v>154</v>
      </c>
      <c r="W126" s="305">
        <f>ROUND(Ajustes!AZ122,0)</f>
        <v>149</v>
      </c>
      <c r="X126" s="305">
        <f>ROUND(Ajustes!BA122,0)</f>
        <v>148</v>
      </c>
      <c r="Y126" s="305">
        <f>ROUND(Ajustes!BB122,0)</f>
        <v>142</v>
      </c>
      <c r="Z126" s="305">
        <f>ROUND(Ajustes!BC122,0)</f>
        <v>140</v>
      </c>
      <c r="AA126" s="305">
        <f>ROUND(Ajustes!BD122,0)</f>
        <v>132</v>
      </c>
      <c r="AC126" s="305">
        <f t="shared" si="32"/>
        <v>120</v>
      </c>
      <c r="AD126" s="305">
        <f t="shared" si="33"/>
        <v>248</v>
      </c>
      <c r="AE126" s="305">
        <f>ROUND(Ajustes!BM122,0)</f>
        <v>117</v>
      </c>
      <c r="AF126" s="305">
        <f>ROUND(Ajustes!BN122,0)</f>
        <v>113</v>
      </c>
      <c r="AG126" s="305">
        <f>ROUND(Ajustes!BO122,0)</f>
        <v>112</v>
      </c>
      <c r="AH126" s="305">
        <f>ROUND(Ajustes!BP122,0)</f>
        <v>108</v>
      </c>
      <c r="AI126" s="305">
        <f>ROUND(Ajustes!BQ122,0)</f>
        <v>106</v>
      </c>
      <c r="AJ126" s="305">
        <f>ROUND(Ajustes!BR122,0)</f>
        <v>100</v>
      </c>
    </row>
    <row r="127" spans="2:36" x14ac:dyDescent="0.25">
      <c r="B127" s="53">
        <v>121</v>
      </c>
      <c r="C127" s="53">
        <v>249</v>
      </c>
      <c r="D127" s="53">
        <v>256</v>
      </c>
      <c r="E127" s="53">
        <v>275</v>
      </c>
      <c r="F127" s="53">
        <v>266</v>
      </c>
      <c r="G127" s="53">
        <v>261</v>
      </c>
      <c r="H127" s="53">
        <v>256</v>
      </c>
      <c r="I127" s="53">
        <v>238</v>
      </c>
      <c r="K127" s="305">
        <f t="shared" si="34"/>
        <v>121</v>
      </c>
      <c r="L127" s="305">
        <f t="shared" si="35"/>
        <v>249</v>
      </c>
      <c r="M127" s="305">
        <f>ROUND(Ajustes!AK123,0)</f>
        <v>398</v>
      </c>
      <c r="N127" s="305">
        <f>ROUND(Ajustes!AL123,0)</f>
        <v>427</v>
      </c>
      <c r="O127" s="305">
        <f>ROUND(Ajustes!AM123,0)</f>
        <v>413</v>
      </c>
      <c r="P127" s="305">
        <f>ROUND(Ajustes!AN123,0)</f>
        <v>405</v>
      </c>
      <c r="Q127" s="305">
        <f>ROUND(Ajustes!AO123,0)</f>
        <v>398</v>
      </c>
      <c r="R127" s="305">
        <f>ROUND(Ajustes!AP123,0)</f>
        <v>370</v>
      </c>
      <c r="T127" s="305">
        <f t="shared" si="30"/>
        <v>121</v>
      </c>
      <c r="U127" s="305">
        <f t="shared" si="31"/>
        <v>249</v>
      </c>
      <c r="V127" s="305">
        <f>ROUND(Ajustes!AY123,0)</f>
        <v>338</v>
      </c>
      <c r="W127" s="305">
        <f>ROUND(Ajustes!AZ123,0)</f>
        <v>363</v>
      </c>
      <c r="X127" s="305">
        <f>ROUND(Ajustes!BA123,0)</f>
        <v>351</v>
      </c>
      <c r="Y127" s="305">
        <f>ROUND(Ajustes!BB123,0)</f>
        <v>344</v>
      </c>
      <c r="Z127" s="305">
        <f>ROUND(Ajustes!BC123,0)</f>
        <v>338</v>
      </c>
      <c r="AA127" s="305">
        <f>ROUND(Ajustes!BD123,0)</f>
        <v>314</v>
      </c>
      <c r="AC127" s="305">
        <f t="shared" si="32"/>
        <v>121</v>
      </c>
      <c r="AD127" s="305">
        <f t="shared" si="33"/>
        <v>249</v>
      </c>
      <c r="AE127" s="305">
        <f>ROUND(Ajustes!BM123,0)</f>
        <v>256</v>
      </c>
      <c r="AF127" s="305">
        <f>ROUND(Ajustes!BN123,0)</f>
        <v>275</v>
      </c>
      <c r="AG127" s="305">
        <f>ROUND(Ajustes!BO123,0)</f>
        <v>266</v>
      </c>
      <c r="AH127" s="305">
        <f>ROUND(Ajustes!BP123,0)</f>
        <v>261</v>
      </c>
      <c r="AI127" s="305">
        <f>ROUND(Ajustes!BQ123,0)</f>
        <v>256</v>
      </c>
      <c r="AJ127" s="305">
        <f>ROUND(Ajustes!BR123,0)</f>
        <v>238</v>
      </c>
    </row>
    <row r="128" spans="2:36" x14ac:dyDescent="0.25">
      <c r="B128" s="53">
        <v>122</v>
      </c>
      <c r="C128" s="53">
        <v>251</v>
      </c>
      <c r="D128" s="53">
        <v>79</v>
      </c>
      <c r="E128" s="53">
        <v>61</v>
      </c>
      <c r="F128" s="53">
        <v>58</v>
      </c>
      <c r="G128" s="53">
        <v>56</v>
      </c>
      <c r="H128" s="53">
        <v>56</v>
      </c>
      <c r="I128" s="53">
        <v>51</v>
      </c>
      <c r="K128" s="305">
        <f t="shared" si="34"/>
        <v>122</v>
      </c>
      <c r="L128" s="305">
        <f t="shared" si="35"/>
        <v>251</v>
      </c>
      <c r="M128" s="305">
        <f>ROUND(Ajustes!AK124,0)</f>
        <v>123</v>
      </c>
      <c r="N128" s="305">
        <f>ROUND(Ajustes!AL124,0)</f>
        <v>95</v>
      </c>
      <c r="O128" s="305">
        <f>ROUND(Ajustes!AM124,0)</f>
        <v>90</v>
      </c>
      <c r="P128" s="305">
        <f>ROUND(Ajustes!AN124,0)</f>
        <v>87</v>
      </c>
      <c r="Q128" s="305">
        <f>ROUND(Ajustes!AO124,0)</f>
        <v>87</v>
      </c>
      <c r="R128" s="305">
        <f>ROUND(Ajustes!AP124,0)</f>
        <v>79</v>
      </c>
      <c r="T128" s="305">
        <f t="shared" si="30"/>
        <v>122</v>
      </c>
      <c r="U128" s="305">
        <f t="shared" si="31"/>
        <v>251</v>
      </c>
      <c r="V128" s="305">
        <f>ROUND(Ajustes!AY124,0)</f>
        <v>104</v>
      </c>
      <c r="W128" s="305">
        <f>ROUND(Ajustes!AZ124,0)</f>
        <v>80</v>
      </c>
      <c r="X128" s="305">
        <f>ROUND(Ajustes!BA124,0)</f>
        <v>76</v>
      </c>
      <c r="Y128" s="305">
        <f>ROUND(Ajustes!BB124,0)</f>
        <v>74</v>
      </c>
      <c r="Z128" s="305">
        <f>ROUND(Ajustes!BC124,0)</f>
        <v>74</v>
      </c>
      <c r="AA128" s="305">
        <f>ROUND(Ajustes!BD124,0)</f>
        <v>67</v>
      </c>
      <c r="AC128" s="305">
        <f t="shared" si="32"/>
        <v>122</v>
      </c>
      <c r="AD128" s="305">
        <f t="shared" si="33"/>
        <v>251</v>
      </c>
      <c r="AE128" s="305">
        <f>ROUND(Ajustes!BM124,0)</f>
        <v>79</v>
      </c>
      <c r="AF128" s="305">
        <f>ROUND(Ajustes!BN124,0)</f>
        <v>61</v>
      </c>
      <c r="AG128" s="305">
        <f>ROUND(Ajustes!BO124,0)</f>
        <v>58</v>
      </c>
      <c r="AH128" s="305">
        <f>ROUND(Ajustes!BP124,0)</f>
        <v>56</v>
      </c>
      <c r="AI128" s="305">
        <f>ROUND(Ajustes!BQ124,0)</f>
        <v>56</v>
      </c>
      <c r="AJ128" s="305">
        <f>ROUND(Ajustes!BR124,0)</f>
        <v>51</v>
      </c>
    </row>
    <row r="129" spans="2:36" x14ac:dyDescent="0.25">
      <c r="B129" s="53">
        <v>123</v>
      </c>
      <c r="C129" s="53">
        <v>252</v>
      </c>
      <c r="D129" s="53">
        <v>70</v>
      </c>
      <c r="E129" s="53">
        <v>65</v>
      </c>
      <c r="F129" s="53">
        <v>63</v>
      </c>
      <c r="G129" s="53">
        <v>61</v>
      </c>
      <c r="H129" s="53">
        <v>61</v>
      </c>
      <c r="I129" s="53">
        <v>59</v>
      </c>
      <c r="K129" s="305">
        <f t="shared" si="34"/>
        <v>123</v>
      </c>
      <c r="L129" s="305">
        <f t="shared" si="35"/>
        <v>252</v>
      </c>
      <c r="M129" s="305">
        <f>ROUND(Ajustes!AK125,0)</f>
        <v>109</v>
      </c>
      <c r="N129" s="305">
        <f>ROUND(Ajustes!AL125,0)</f>
        <v>101</v>
      </c>
      <c r="O129" s="305">
        <f>ROUND(Ajustes!AM125,0)</f>
        <v>98</v>
      </c>
      <c r="P129" s="305">
        <f>ROUND(Ajustes!AN125,0)</f>
        <v>95</v>
      </c>
      <c r="Q129" s="305">
        <f>ROUND(Ajustes!AO125,0)</f>
        <v>95</v>
      </c>
      <c r="R129" s="305">
        <f>ROUND(Ajustes!AP125,0)</f>
        <v>92</v>
      </c>
      <c r="T129" s="305">
        <f t="shared" si="30"/>
        <v>123</v>
      </c>
      <c r="U129" s="305">
        <f t="shared" si="31"/>
        <v>252</v>
      </c>
      <c r="V129" s="305">
        <f>ROUND(Ajustes!AY125,0)</f>
        <v>92</v>
      </c>
      <c r="W129" s="305">
        <f>ROUND(Ajustes!AZ125,0)</f>
        <v>86</v>
      </c>
      <c r="X129" s="305">
        <f>ROUND(Ajustes!BA125,0)</f>
        <v>83</v>
      </c>
      <c r="Y129" s="305">
        <f>ROUND(Ajustes!BB125,0)</f>
        <v>80</v>
      </c>
      <c r="Z129" s="305">
        <f>ROUND(Ajustes!BC125,0)</f>
        <v>80</v>
      </c>
      <c r="AA129" s="305">
        <f>ROUND(Ajustes!BD125,0)</f>
        <v>78</v>
      </c>
      <c r="AC129" s="305">
        <f t="shared" si="32"/>
        <v>123</v>
      </c>
      <c r="AD129" s="305">
        <f t="shared" si="33"/>
        <v>252</v>
      </c>
      <c r="AE129" s="305">
        <f>ROUND(Ajustes!BM125,0)</f>
        <v>70</v>
      </c>
      <c r="AF129" s="305">
        <f>ROUND(Ajustes!BN125,0)</f>
        <v>65</v>
      </c>
      <c r="AG129" s="305">
        <f>ROUND(Ajustes!BO125,0)</f>
        <v>63</v>
      </c>
      <c r="AH129" s="305">
        <f>ROUND(Ajustes!BP125,0)</f>
        <v>61</v>
      </c>
      <c r="AI129" s="305">
        <f>ROUND(Ajustes!BQ125,0)</f>
        <v>61</v>
      </c>
      <c r="AJ129" s="305">
        <f>ROUND(Ajustes!BR125,0)</f>
        <v>59</v>
      </c>
    </row>
    <row r="130" spans="2:36" x14ac:dyDescent="0.25">
      <c r="B130" s="53">
        <v>124</v>
      </c>
      <c r="C130" s="53">
        <v>253</v>
      </c>
      <c r="D130" s="53">
        <v>357</v>
      </c>
      <c r="E130" s="53">
        <v>337</v>
      </c>
      <c r="F130" s="53">
        <v>292</v>
      </c>
      <c r="G130" s="53">
        <v>284</v>
      </c>
      <c r="H130" s="53">
        <v>266</v>
      </c>
      <c r="I130" s="53">
        <v>266</v>
      </c>
      <c r="K130" s="305">
        <f t="shared" si="34"/>
        <v>124</v>
      </c>
      <c r="L130" s="305">
        <f t="shared" si="35"/>
        <v>253</v>
      </c>
      <c r="M130" s="305">
        <f>ROUND(Ajustes!AK126,0)</f>
        <v>554</v>
      </c>
      <c r="N130" s="305">
        <f>ROUND(Ajustes!AL126,0)</f>
        <v>523</v>
      </c>
      <c r="O130" s="305">
        <f>ROUND(Ajustes!AM126,0)</f>
        <v>454</v>
      </c>
      <c r="P130" s="305">
        <f>ROUND(Ajustes!AN126,0)</f>
        <v>441</v>
      </c>
      <c r="Q130" s="305">
        <f>ROUND(Ajustes!AO126,0)</f>
        <v>413</v>
      </c>
      <c r="R130" s="305">
        <f>ROUND(Ajustes!AP126,0)</f>
        <v>413</v>
      </c>
      <c r="T130" s="305">
        <f t="shared" si="30"/>
        <v>124</v>
      </c>
      <c r="U130" s="305">
        <f t="shared" si="31"/>
        <v>253</v>
      </c>
      <c r="V130" s="305">
        <f>ROUND(Ajustes!AY126,0)</f>
        <v>471</v>
      </c>
      <c r="W130" s="305">
        <f>ROUND(Ajustes!AZ126,0)</f>
        <v>444</v>
      </c>
      <c r="X130" s="305">
        <f>ROUND(Ajustes!BA126,0)</f>
        <v>385</v>
      </c>
      <c r="Y130" s="305">
        <f>ROUND(Ajustes!BB126,0)</f>
        <v>374</v>
      </c>
      <c r="Z130" s="305">
        <f>ROUND(Ajustes!BC126,0)</f>
        <v>351</v>
      </c>
      <c r="AA130" s="305">
        <f>ROUND(Ajustes!BD126,0)</f>
        <v>351</v>
      </c>
      <c r="AC130" s="305">
        <f t="shared" si="32"/>
        <v>124</v>
      </c>
      <c r="AD130" s="305">
        <f t="shared" si="33"/>
        <v>253</v>
      </c>
      <c r="AE130" s="305">
        <f>ROUND(Ajustes!BM126,0)</f>
        <v>357</v>
      </c>
      <c r="AF130" s="305">
        <f>ROUND(Ajustes!BN126,0)</f>
        <v>337</v>
      </c>
      <c r="AG130" s="305">
        <f>ROUND(Ajustes!BO126,0)</f>
        <v>292</v>
      </c>
      <c r="AH130" s="305">
        <f>ROUND(Ajustes!BP126,0)</f>
        <v>284</v>
      </c>
      <c r="AI130" s="305">
        <f>ROUND(Ajustes!BQ126,0)</f>
        <v>266</v>
      </c>
      <c r="AJ130" s="305">
        <f>ROUND(Ajustes!BR126,0)</f>
        <v>266</v>
      </c>
    </row>
    <row r="131" spans="2:36" x14ac:dyDescent="0.25">
      <c r="B131" s="53">
        <v>125</v>
      </c>
      <c r="C131" s="53">
        <v>254</v>
      </c>
      <c r="D131" s="53">
        <v>31</v>
      </c>
      <c r="E131" s="53">
        <v>31</v>
      </c>
      <c r="F131" s="53">
        <v>34</v>
      </c>
      <c r="G131" s="53">
        <v>35</v>
      </c>
      <c r="H131" s="53">
        <v>34</v>
      </c>
      <c r="I131" s="53">
        <v>34</v>
      </c>
      <c r="K131" s="305">
        <f t="shared" si="34"/>
        <v>125</v>
      </c>
      <c r="L131" s="305">
        <f t="shared" si="35"/>
        <v>254</v>
      </c>
      <c r="M131" s="305">
        <f>ROUND(Ajustes!AK127,0)</f>
        <v>58</v>
      </c>
      <c r="N131" s="305">
        <f>ROUND(Ajustes!AL127,0)</f>
        <v>58</v>
      </c>
      <c r="O131" s="305">
        <f>ROUND(Ajustes!AM127,0)</f>
        <v>63</v>
      </c>
      <c r="P131" s="305">
        <f>ROUND(Ajustes!AN127,0)</f>
        <v>65</v>
      </c>
      <c r="Q131" s="305">
        <f>ROUND(Ajustes!AO127,0)</f>
        <v>63</v>
      </c>
      <c r="R131" s="305">
        <f>ROUND(Ajustes!AP127,0)</f>
        <v>63</v>
      </c>
      <c r="T131" s="305">
        <f t="shared" si="30"/>
        <v>125</v>
      </c>
      <c r="U131" s="305">
        <f t="shared" si="31"/>
        <v>254</v>
      </c>
      <c r="V131" s="305">
        <f>ROUND(Ajustes!AY127,0)</f>
        <v>59</v>
      </c>
      <c r="W131" s="305">
        <f>ROUND(Ajustes!AZ127,0)</f>
        <v>59</v>
      </c>
      <c r="X131" s="305">
        <f>ROUND(Ajustes!BA127,0)</f>
        <v>64</v>
      </c>
      <c r="Y131" s="305">
        <f>ROUND(Ajustes!BB127,0)</f>
        <v>66</v>
      </c>
      <c r="Z131" s="305">
        <f>ROUND(Ajustes!BC127,0)</f>
        <v>64</v>
      </c>
      <c r="AA131" s="305">
        <f>ROUND(Ajustes!BD127,0)</f>
        <v>64</v>
      </c>
      <c r="AC131" s="305">
        <f t="shared" si="32"/>
        <v>125</v>
      </c>
      <c r="AD131" s="305">
        <f t="shared" si="33"/>
        <v>254</v>
      </c>
      <c r="AE131" s="305">
        <f>ROUND(Ajustes!BM127,0)</f>
        <v>31</v>
      </c>
      <c r="AF131" s="305">
        <f>ROUND(Ajustes!BN127,0)</f>
        <v>31</v>
      </c>
      <c r="AG131" s="305">
        <f>ROUND(Ajustes!BO127,0)</f>
        <v>34</v>
      </c>
      <c r="AH131" s="305">
        <f>ROUND(Ajustes!BP127,0)</f>
        <v>35</v>
      </c>
      <c r="AI131" s="305">
        <f>ROUND(Ajustes!BQ127,0)</f>
        <v>34</v>
      </c>
      <c r="AJ131" s="305">
        <f>ROUND(Ajustes!BR127,0)</f>
        <v>34</v>
      </c>
    </row>
    <row r="132" spans="2:36" x14ac:dyDescent="0.25">
      <c r="B132" s="53">
        <v>126</v>
      </c>
      <c r="C132" s="53">
        <v>255</v>
      </c>
      <c r="D132" s="53">
        <v>33</v>
      </c>
      <c r="E132" s="53">
        <v>31</v>
      </c>
      <c r="F132" s="53">
        <v>30</v>
      </c>
      <c r="G132" s="53">
        <v>30</v>
      </c>
      <c r="H132" s="53">
        <v>28</v>
      </c>
      <c r="I132" s="53">
        <v>27</v>
      </c>
      <c r="K132" s="305">
        <f t="shared" si="34"/>
        <v>126</v>
      </c>
      <c r="L132" s="305">
        <f t="shared" si="35"/>
        <v>255</v>
      </c>
      <c r="M132" s="305">
        <f>ROUND(Ajustes!AK128,0)</f>
        <v>51</v>
      </c>
      <c r="N132" s="305">
        <f>ROUND(Ajustes!AL128,0)</f>
        <v>48</v>
      </c>
      <c r="O132" s="305">
        <f>ROUND(Ajustes!AM128,0)</f>
        <v>47</v>
      </c>
      <c r="P132" s="305">
        <f>ROUND(Ajustes!AN128,0)</f>
        <v>47</v>
      </c>
      <c r="Q132" s="305">
        <f>ROUND(Ajustes!AO128,0)</f>
        <v>43</v>
      </c>
      <c r="R132" s="305">
        <f>ROUND(Ajustes!AP128,0)</f>
        <v>42</v>
      </c>
      <c r="T132" s="305">
        <f t="shared" si="30"/>
        <v>126</v>
      </c>
      <c r="U132" s="305">
        <f t="shared" si="31"/>
        <v>255</v>
      </c>
      <c r="V132" s="305">
        <f>ROUND(Ajustes!AY128,0)</f>
        <v>44</v>
      </c>
      <c r="W132" s="305">
        <f>ROUND(Ajustes!AZ128,0)</f>
        <v>41</v>
      </c>
      <c r="X132" s="305">
        <f>ROUND(Ajustes!BA128,0)</f>
        <v>40</v>
      </c>
      <c r="Y132" s="305">
        <f>ROUND(Ajustes!BB128,0)</f>
        <v>40</v>
      </c>
      <c r="Z132" s="305">
        <f>ROUND(Ajustes!BC128,0)</f>
        <v>37</v>
      </c>
      <c r="AA132" s="305">
        <f>ROUND(Ajustes!BD128,0)</f>
        <v>36</v>
      </c>
      <c r="AC132" s="305">
        <f t="shared" si="32"/>
        <v>126</v>
      </c>
      <c r="AD132" s="305">
        <f t="shared" si="33"/>
        <v>255</v>
      </c>
      <c r="AE132" s="305">
        <f>ROUND(Ajustes!BM128,0)</f>
        <v>33</v>
      </c>
      <c r="AF132" s="305">
        <f>ROUND(Ajustes!BN128,0)</f>
        <v>31</v>
      </c>
      <c r="AG132" s="305">
        <f>ROUND(Ajustes!BO128,0)</f>
        <v>30</v>
      </c>
      <c r="AH132" s="305">
        <f>ROUND(Ajustes!BP128,0)</f>
        <v>30</v>
      </c>
      <c r="AI132" s="305">
        <f>ROUND(Ajustes!BQ128,0)</f>
        <v>28</v>
      </c>
      <c r="AJ132" s="305">
        <f>ROUND(Ajustes!BR128,0)</f>
        <v>27</v>
      </c>
    </row>
    <row r="133" spans="2:36" x14ac:dyDescent="0.25">
      <c r="B133" s="53">
        <v>127</v>
      </c>
      <c r="C133" s="53">
        <v>257</v>
      </c>
      <c r="D133" s="53">
        <v>569</v>
      </c>
      <c r="E133" s="53">
        <v>529</v>
      </c>
      <c r="F133" s="53">
        <v>502</v>
      </c>
      <c r="G133" s="53">
        <v>472</v>
      </c>
      <c r="H133" s="53">
        <v>439</v>
      </c>
      <c r="I133" s="53">
        <v>429</v>
      </c>
      <c r="K133" s="305">
        <f t="shared" si="34"/>
        <v>127</v>
      </c>
      <c r="L133" s="305">
        <f t="shared" si="35"/>
        <v>257</v>
      </c>
      <c r="M133" s="305">
        <f>ROUND(Ajustes!AK129,0)</f>
        <v>884</v>
      </c>
      <c r="N133" s="305">
        <f>ROUND(Ajustes!AL129,0)</f>
        <v>822</v>
      </c>
      <c r="O133" s="305">
        <f>ROUND(Ajustes!AM129,0)</f>
        <v>780</v>
      </c>
      <c r="P133" s="305">
        <f>ROUND(Ajustes!AN129,0)</f>
        <v>733</v>
      </c>
      <c r="Q133" s="305">
        <f>ROUND(Ajustes!AO129,0)</f>
        <v>682</v>
      </c>
      <c r="R133" s="305">
        <f>ROUND(Ajustes!AP129,0)</f>
        <v>666</v>
      </c>
      <c r="T133" s="305">
        <f t="shared" si="30"/>
        <v>127</v>
      </c>
      <c r="U133" s="305">
        <f t="shared" si="31"/>
        <v>257</v>
      </c>
      <c r="V133" s="305">
        <f>ROUND(Ajustes!AY129,0)</f>
        <v>750</v>
      </c>
      <c r="W133" s="305">
        <f>ROUND(Ajustes!AZ129,0)</f>
        <v>698</v>
      </c>
      <c r="X133" s="305">
        <f>ROUND(Ajustes!BA129,0)</f>
        <v>662</v>
      </c>
      <c r="Y133" s="305">
        <f>ROUND(Ajustes!BB129,0)</f>
        <v>622</v>
      </c>
      <c r="Z133" s="305">
        <f>ROUND(Ajustes!BC129,0)</f>
        <v>579</v>
      </c>
      <c r="AA133" s="305">
        <f>ROUND(Ajustes!BD129,0)</f>
        <v>566</v>
      </c>
      <c r="AC133" s="305">
        <f t="shared" si="32"/>
        <v>127</v>
      </c>
      <c r="AD133" s="305">
        <f t="shared" si="33"/>
        <v>257</v>
      </c>
      <c r="AE133" s="305">
        <f>ROUND(Ajustes!BM129,0)</f>
        <v>569</v>
      </c>
      <c r="AF133" s="305">
        <f>ROUND(Ajustes!BN129,0)</f>
        <v>529</v>
      </c>
      <c r="AG133" s="305">
        <f>ROUND(Ajustes!BO129,0)</f>
        <v>502</v>
      </c>
      <c r="AH133" s="305">
        <f>ROUND(Ajustes!BP129,0)</f>
        <v>472</v>
      </c>
      <c r="AI133" s="305">
        <f>ROUND(Ajustes!BQ129,0)</f>
        <v>439</v>
      </c>
      <c r="AJ133" s="305">
        <f>ROUND(Ajustes!BR129,0)</f>
        <v>429</v>
      </c>
    </row>
    <row r="134" spans="2:36" x14ac:dyDescent="0.25">
      <c r="B134" s="53">
        <v>128</v>
      </c>
      <c r="C134" s="53">
        <v>259</v>
      </c>
      <c r="D134" s="53">
        <v>70</v>
      </c>
      <c r="E134" s="53">
        <v>65</v>
      </c>
      <c r="F134" s="53">
        <v>63</v>
      </c>
      <c r="G134" s="53">
        <v>61</v>
      </c>
      <c r="H134" s="53">
        <v>61</v>
      </c>
      <c r="I134" s="53">
        <v>59</v>
      </c>
      <c r="K134" s="305">
        <f t="shared" ref="K134:K161" si="36">B134</f>
        <v>128</v>
      </c>
      <c r="L134" s="305">
        <f t="shared" ref="L134:L161" si="37">C134</f>
        <v>259</v>
      </c>
      <c r="M134" s="305">
        <f>ROUND(Ajustes!AK130,0)</f>
        <v>109</v>
      </c>
      <c r="N134" s="305">
        <f>ROUND(Ajustes!AL130,0)</f>
        <v>101</v>
      </c>
      <c r="O134" s="305">
        <f>ROUND(Ajustes!AM130,0)</f>
        <v>98</v>
      </c>
      <c r="P134" s="305">
        <f>ROUND(Ajustes!AN130,0)</f>
        <v>95</v>
      </c>
      <c r="Q134" s="305">
        <f>ROUND(Ajustes!AO130,0)</f>
        <v>95</v>
      </c>
      <c r="R134" s="305">
        <f>ROUND(Ajustes!AP130,0)</f>
        <v>92</v>
      </c>
      <c r="T134" s="305">
        <f t="shared" ref="T134:T161" si="38">K134</f>
        <v>128</v>
      </c>
      <c r="U134" s="305">
        <f t="shared" ref="U134:U161" si="39">L134</f>
        <v>259</v>
      </c>
      <c r="V134" s="305">
        <f>ROUND(Ajustes!AY130,0)</f>
        <v>92</v>
      </c>
      <c r="W134" s="305">
        <f>ROUND(Ajustes!AZ130,0)</f>
        <v>86</v>
      </c>
      <c r="X134" s="305">
        <f>ROUND(Ajustes!BA130,0)</f>
        <v>83</v>
      </c>
      <c r="Y134" s="305">
        <f>ROUND(Ajustes!BB130,0)</f>
        <v>80</v>
      </c>
      <c r="Z134" s="305">
        <f>ROUND(Ajustes!BC130,0)</f>
        <v>80</v>
      </c>
      <c r="AA134" s="305">
        <f>ROUND(Ajustes!BD130,0)</f>
        <v>78</v>
      </c>
      <c r="AC134" s="305">
        <f t="shared" ref="AC134:AC161" si="40">T134</f>
        <v>128</v>
      </c>
      <c r="AD134" s="305">
        <f t="shared" ref="AD134:AD161" si="41">U134</f>
        <v>259</v>
      </c>
      <c r="AE134" s="305">
        <f>ROUND(Ajustes!BM130,0)</f>
        <v>70</v>
      </c>
      <c r="AF134" s="305">
        <f>ROUND(Ajustes!BN130,0)</f>
        <v>65</v>
      </c>
      <c r="AG134" s="305">
        <f>ROUND(Ajustes!BO130,0)</f>
        <v>63</v>
      </c>
      <c r="AH134" s="305">
        <f>ROUND(Ajustes!BP130,0)</f>
        <v>61</v>
      </c>
      <c r="AI134" s="305">
        <f>ROUND(Ajustes!BQ130,0)</f>
        <v>61</v>
      </c>
      <c r="AJ134" s="305">
        <f>ROUND(Ajustes!BR130,0)</f>
        <v>59</v>
      </c>
    </row>
    <row r="135" spans="2:36" x14ac:dyDescent="0.25">
      <c r="B135" s="53">
        <v>129</v>
      </c>
      <c r="C135" s="53">
        <v>261</v>
      </c>
      <c r="D135" s="53">
        <v>125</v>
      </c>
      <c r="E135" s="53">
        <v>122</v>
      </c>
      <c r="F135" s="53">
        <v>121</v>
      </c>
      <c r="G135" s="53">
        <v>117</v>
      </c>
      <c r="H135" s="53">
        <v>113</v>
      </c>
      <c r="I135" s="53">
        <v>108</v>
      </c>
      <c r="K135" s="305">
        <f t="shared" si="36"/>
        <v>129</v>
      </c>
      <c r="L135" s="305">
        <f t="shared" si="37"/>
        <v>261</v>
      </c>
      <c r="M135" s="305">
        <f>ROUND(Ajustes!AK131,0)</f>
        <v>194</v>
      </c>
      <c r="N135" s="305">
        <f>ROUND(Ajustes!AL131,0)</f>
        <v>189</v>
      </c>
      <c r="O135" s="305">
        <f>ROUND(Ajustes!AM131,0)</f>
        <v>188</v>
      </c>
      <c r="P135" s="305">
        <f>ROUND(Ajustes!AN131,0)</f>
        <v>182</v>
      </c>
      <c r="Q135" s="305">
        <f>ROUND(Ajustes!AO131,0)</f>
        <v>176</v>
      </c>
      <c r="R135" s="305">
        <f>ROUND(Ajustes!AP131,0)</f>
        <v>168</v>
      </c>
      <c r="T135" s="305">
        <f t="shared" si="38"/>
        <v>129</v>
      </c>
      <c r="U135" s="305">
        <f t="shared" si="39"/>
        <v>261</v>
      </c>
      <c r="V135" s="305">
        <f>ROUND(Ajustes!AY131,0)</f>
        <v>165</v>
      </c>
      <c r="W135" s="305">
        <f>ROUND(Ajustes!AZ131,0)</f>
        <v>161</v>
      </c>
      <c r="X135" s="305">
        <f>ROUND(Ajustes!BA131,0)</f>
        <v>160</v>
      </c>
      <c r="Y135" s="305">
        <f>ROUND(Ajustes!BB131,0)</f>
        <v>154</v>
      </c>
      <c r="Z135" s="305">
        <f>ROUND(Ajustes!BC131,0)</f>
        <v>149</v>
      </c>
      <c r="AA135" s="305">
        <f>ROUND(Ajustes!BD131,0)</f>
        <v>142</v>
      </c>
      <c r="AC135" s="305">
        <f t="shared" si="40"/>
        <v>129</v>
      </c>
      <c r="AD135" s="305">
        <f t="shared" si="41"/>
        <v>261</v>
      </c>
      <c r="AE135" s="305">
        <f>ROUND(Ajustes!BM131,0)</f>
        <v>125</v>
      </c>
      <c r="AF135" s="305">
        <f>ROUND(Ajustes!BN131,0)</f>
        <v>122</v>
      </c>
      <c r="AG135" s="305">
        <f>ROUND(Ajustes!BO131,0)</f>
        <v>121</v>
      </c>
      <c r="AH135" s="305">
        <f>ROUND(Ajustes!BP131,0)</f>
        <v>117</v>
      </c>
      <c r="AI135" s="305">
        <f>ROUND(Ajustes!BQ131,0)</f>
        <v>113</v>
      </c>
      <c r="AJ135" s="305">
        <f>ROUND(Ajustes!BR131,0)</f>
        <v>108</v>
      </c>
    </row>
    <row r="136" spans="2:36" x14ac:dyDescent="0.25">
      <c r="B136" s="53">
        <v>130</v>
      </c>
      <c r="C136" s="53">
        <v>262</v>
      </c>
      <c r="D136" s="53">
        <v>33</v>
      </c>
      <c r="E136" s="53">
        <v>33</v>
      </c>
      <c r="F136" s="53">
        <v>32</v>
      </c>
      <c r="G136" s="53">
        <v>31</v>
      </c>
      <c r="H136" s="53">
        <v>31</v>
      </c>
      <c r="I136" s="53">
        <v>31</v>
      </c>
      <c r="K136" s="305">
        <f t="shared" si="36"/>
        <v>130</v>
      </c>
      <c r="L136" s="305">
        <f t="shared" si="37"/>
        <v>262</v>
      </c>
      <c r="M136" s="305">
        <f>ROUND(Ajustes!AK132,0)</f>
        <v>51</v>
      </c>
      <c r="N136" s="305">
        <f>ROUND(Ajustes!AL132,0)</f>
        <v>51</v>
      </c>
      <c r="O136" s="305">
        <f>ROUND(Ajustes!AM132,0)</f>
        <v>50</v>
      </c>
      <c r="P136" s="305">
        <f>ROUND(Ajustes!AN132,0)</f>
        <v>48</v>
      </c>
      <c r="Q136" s="305">
        <f>ROUND(Ajustes!AO132,0)</f>
        <v>48</v>
      </c>
      <c r="R136" s="305">
        <f>ROUND(Ajustes!AP132,0)</f>
        <v>48</v>
      </c>
      <c r="T136" s="305">
        <f t="shared" si="38"/>
        <v>130</v>
      </c>
      <c r="U136" s="305">
        <f t="shared" si="39"/>
        <v>262</v>
      </c>
      <c r="V136" s="305">
        <f>ROUND(Ajustes!AY132,0)</f>
        <v>44</v>
      </c>
      <c r="W136" s="305">
        <f>ROUND(Ajustes!AZ132,0)</f>
        <v>44</v>
      </c>
      <c r="X136" s="305">
        <f>ROUND(Ajustes!BA132,0)</f>
        <v>42</v>
      </c>
      <c r="Y136" s="305">
        <f>ROUND(Ajustes!BB132,0)</f>
        <v>41</v>
      </c>
      <c r="Z136" s="305">
        <f>ROUND(Ajustes!BC132,0)</f>
        <v>41</v>
      </c>
      <c r="AA136" s="305">
        <f>ROUND(Ajustes!BD132,0)</f>
        <v>41</v>
      </c>
      <c r="AC136" s="305">
        <f t="shared" si="40"/>
        <v>130</v>
      </c>
      <c r="AD136" s="305">
        <f t="shared" si="41"/>
        <v>262</v>
      </c>
      <c r="AE136" s="305">
        <f>ROUND(Ajustes!BM132,0)</f>
        <v>33</v>
      </c>
      <c r="AF136" s="305">
        <f>ROUND(Ajustes!BN132,0)</f>
        <v>33</v>
      </c>
      <c r="AG136" s="305">
        <f>ROUND(Ajustes!BO132,0)</f>
        <v>32</v>
      </c>
      <c r="AH136" s="305">
        <f>ROUND(Ajustes!BP132,0)</f>
        <v>31</v>
      </c>
      <c r="AI136" s="305">
        <f>ROUND(Ajustes!BQ132,0)</f>
        <v>31</v>
      </c>
      <c r="AJ136" s="305">
        <f>ROUND(Ajustes!BR132,0)</f>
        <v>31</v>
      </c>
    </row>
    <row r="137" spans="2:36" x14ac:dyDescent="0.25">
      <c r="B137" s="53">
        <v>131</v>
      </c>
      <c r="C137" s="53">
        <v>263</v>
      </c>
      <c r="D137" s="53">
        <v>43</v>
      </c>
      <c r="E137" s="53">
        <v>42</v>
      </c>
      <c r="F137" s="53">
        <v>42</v>
      </c>
      <c r="G137" s="53">
        <v>40</v>
      </c>
      <c r="H137" s="53">
        <v>37</v>
      </c>
      <c r="I137" s="53">
        <v>36</v>
      </c>
      <c r="K137" s="305">
        <f t="shared" si="36"/>
        <v>131</v>
      </c>
      <c r="L137" s="305">
        <f t="shared" si="37"/>
        <v>263</v>
      </c>
      <c r="M137" s="305">
        <f>ROUND(Ajustes!AK133,0)</f>
        <v>67</v>
      </c>
      <c r="N137" s="305">
        <f>ROUND(Ajustes!AL133,0)</f>
        <v>65</v>
      </c>
      <c r="O137" s="305">
        <f>ROUND(Ajustes!AM133,0)</f>
        <v>65</v>
      </c>
      <c r="P137" s="305">
        <f>ROUND(Ajustes!AN133,0)</f>
        <v>62</v>
      </c>
      <c r="Q137" s="305">
        <f>ROUND(Ajustes!AO133,0)</f>
        <v>57</v>
      </c>
      <c r="R137" s="305">
        <f>ROUND(Ajustes!AP133,0)</f>
        <v>56</v>
      </c>
      <c r="T137" s="305">
        <f t="shared" si="38"/>
        <v>131</v>
      </c>
      <c r="U137" s="305">
        <f t="shared" si="39"/>
        <v>263</v>
      </c>
      <c r="V137" s="305">
        <f>ROUND(Ajustes!AY133,0)</f>
        <v>57</v>
      </c>
      <c r="W137" s="305">
        <f>ROUND(Ajustes!AZ133,0)</f>
        <v>55</v>
      </c>
      <c r="X137" s="305">
        <f>ROUND(Ajustes!BA133,0)</f>
        <v>55</v>
      </c>
      <c r="Y137" s="305">
        <f>ROUND(Ajustes!BB133,0)</f>
        <v>53</v>
      </c>
      <c r="Z137" s="305">
        <f>ROUND(Ajustes!BC133,0)</f>
        <v>49</v>
      </c>
      <c r="AA137" s="305">
        <f>ROUND(Ajustes!BD133,0)</f>
        <v>47</v>
      </c>
      <c r="AC137" s="305">
        <f t="shared" si="40"/>
        <v>131</v>
      </c>
      <c r="AD137" s="305">
        <f t="shared" si="41"/>
        <v>263</v>
      </c>
      <c r="AE137" s="305">
        <f>ROUND(Ajustes!BM133,0)</f>
        <v>43</v>
      </c>
      <c r="AF137" s="305">
        <f>ROUND(Ajustes!BN133,0)</f>
        <v>42</v>
      </c>
      <c r="AG137" s="305">
        <f>ROUND(Ajustes!BO133,0)</f>
        <v>42</v>
      </c>
      <c r="AH137" s="305">
        <f>ROUND(Ajustes!BP133,0)</f>
        <v>40</v>
      </c>
      <c r="AI137" s="305">
        <f>ROUND(Ajustes!BQ133,0)</f>
        <v>37</v>
      </c>
      <c r="AJ137" s="305">
        <f>ROUND(Ajustes!BR133,0)</f>
        <v>36</v>
      </c>
    </row>
    <row r="138" spans="2:36" x14ac:dyDescent="0.25">
      <c r="B138" s="53">
        <v>132</v>
      </c>
      <c r="C138" s="53">
        <v>266</v>
      </c>
      <c r="D138" s="53">
        <v>10710</v>
      </c>
      <c r="E138" s="53">
        <v>9988</v>
      </c>
      <c r="F138" s="53">
        <v>9870</v>
      </c>
      <c r="G138" s="53">
        <v>10167</v>
      </c>
      <c r="H138" s="53">
        <v>8994</v>
      </c>
      <c r="I138" s="53">
        <v>8475</v>
      </c>
      <c r="K138" s="305">
        <f t="shared" si="36"/>
        <v>132</v>
      </c>
      <c r="L138" s="305">
        <f t="shared" si="37"/>
        <v>266</v>
      </c>
      <c r="M138" s="305">
        <f>ROUND(Ajustes!AK134,0)</f>
        <v>16500</v>
      </c>
      <c r="N138" s="305">
        <f>ROUND(Ajustes!AL134,0)</f>
        <v>15385</v>
      </c>
      <c r="O138" s="305">
        <f>ROUND(Ajustes!AM134,0)</f>
        <v>15219</v>
      </c>
      <c r="P138" s="305">
        <f>ROUND(Ajustes!AN134,0)</f>
        <v>15683</v>
      </c>
      <c r="Q138" s="305">
        <f>ROUND(Ajustes!AO134,0)</f>
        <v>13846</v>
      </c>
      <c r="R138" s="305">
        <f>ROUND(Ajustes!AP134,0)</f>
        <v>13072</v>
      </c>
      <c r="T138" s="305">
        <f t="shared" si="38"/>
        <v>132</v>
      </c>
      <c r="U138" s="305">
        <f t="shared" si="39"/>
        <v>266</v>
      </c>
      <c r="V138" s="305">
        <f>ROUND(Ajustes!AY134,0)</f>
        <v>14030</v>
      </c>
      <c r="W138" s="305">
        <f>ROUND(Ajustes!AZ134,0)</f>
        <v>13083</v>
      </c>
      <c r="X138" s="305">
        <f>ROUND(Ajustes!BA134,0)</f>
        <v>12939</v>
      </c>
      <c r="Y138" s="305">
        <f>ROUND(Ajustes!BB134,0)</f>
        <v>13332</v>
      </c>
      <c r="Z138" s="305">
        <f>ROUND(Ajustes!BC134,0)</f>
        <v>11775</v>
      </c>
      <c r="AA138" s="305">
        <f>ROUND(Ajustes!BD134,0)</f>
        <v>11113</v>
      </c>
      <c r="AC138" s="305">
        <f t="shared" si="40"/>
        <v>132</v>
      </c>
      <c r="AD138" s="305">
        <f t="shared" si="41"/>
        <v>266</v>
      </c>
      <c r="AE138" s="305">
        <f>ROUND(Ajustes!BM134,0)</f>
        <v>10710</v>
      </c>
      <c r="AF138" s="305">
        <f>ROUND(Ajustes!BN134,0)</f>
        <v>9988</v>
      </c>
      <c r="AG138" s="305">
        <f>ROUND(Ajustes!BO134,0)</f>
        <v>9870</v>
      </c>
      <c r="AH138" s="305">
        <f>ROUND(Ajustes!BP134,0)</f>
        <v>10167</v>
      </c>
      <c r="AI138" s="305">
        <f>ROUND(Ajustes!BQ134,0)</f>
        <v>8994</v>
      </c>
      <c r="AJ138" s="305">
        <f>ROUND(Ajustes!BR134,0)</f>
        <v>8475</v>
      </c>
    </row>
    <row r="139" spans="2:36" x14ac:dyDescent="0.25">
      <c r="B139" s="53">
        <v>133</v>
      </c>
      <c r="C139" s="53">
        <v>269</v>
      </c>
      <c r="D139" s="53">
        <v>688</v>
      </c>
      <c r="E139" s="53">
        <v>643</v>
      </c>
      <c r="F139" s="53">
        <v>568</v>
      </c>
      <c r="G139" s="53">
        <v>441</v>
      </c>
      <c r="H139" s="53">
        <v>428</v>
      </c>
      <c r="I139" s="53">
        <v>374</v>
      </c>
      <c r="K139" s="305">
        <f t="shared" si="36"/>
        <v>133</v>
      </c>
      <c r="L139" s="305">
        <f t="shared" si="37"/>
        <v>269</v>
      </c>
      <c r="M139" s="305">
        <f>ROUND(Ajustes!AK135,0)</f>
        <v>2307</v>
      </c>
      <c r="N139" s="305">
        <f>ROUND(Ajustes!AL135,0)</f>
        <v>2156</v>
      </c>
      <c r="O139" s="305">
        <f>ROUND(Ajustes!AM135,0)</f>
        <v>1905</v>
      </c>
      <c r="P139" s="305">
        <f>ROUND(Ajustes!AN135,0)</f>
        <v>1479</v>
      </c>
      <c r="Q139" s="305">
        <f>ROUND(Ajustes!AO135,0)</f>
        <v>1435</v>
      </c>
      <c r="R139" s="305">
        <f>ROUND(Ajustes!AP135,0)</f>
        <v>1254</v>
      </c>
      <c r="T139" s="305">
        <f t="shared" si="38"/>
        <v>133</v>
      </c>
      <c r="U139" s="305">
        <f t="shared" si="39"/>
        <v>269</v>
      </c>
      <c r="V139" s="305">
        <f>ROUND(Ajustes!AY135,0)</f>
        <v>2338</v>
      </c>
      <c r="W139" s="305">
        <f>ROUND(Ajustes!AZ135,0)</f>
        <v>2185</v>
      </c>
      <c r="X139" s="305">
        <f>ROUND(Ajustes!BA135,0)</f>
        <v>1931</v>
      </c>
      <c r="Y139" s="305">
        <f>ROUND(Ajustes!BB135,0)</f>
        <v>1499</v>
      </c>
      <c r="Z139" s="305">
        <f>ROUND(Ajustes!BC135,0)</f>
        <v>1455</v>
      </c>
      <c r="AA139" s="305">
        <f>ROUND(Ajustes!BD135,0)</f>
        <v>1271</v>
      </c>
      <c r="AC139" s="305">
        <f t="shared" si="40"/>
        <v>133</v>
      </c>
      <c r="AD139" s="305">
        <f t="shared" si="41"/>
        <v>269</v>
      </c>
      <c r="AE139" s="305">
        <f>ROUND(Ajustes!BM135,0)</f>
        <v>688</v>
      </c>
      <c r="AF139" s="305">
        <f>ROUND(Ajustes!BN135,0)</f>
        <v>643</v>
      </c>
      <c r="AG139" s="305">
        <f>ROUND(Ajustes!BO135,0)</f>
        <v>568</v>
      </c>
      <c r="AH139" s="305">
        <f>ROUND(Ajustes!BP135,0)</f>
        <v>441</v>
      </c>
      <c r="AI139" s="305">
        <f>ROUND(Ajustes!BQ135,0)</f>
        <v>428</v>
      </c>
      <c r="AJ139" s="305">
        <f>ROUND(Ajustes!BR135,0)</f>
        <v>374</v>
      </c>
    </row>
    <row r="140" spans="2:36" x14ac:dyDescent="0.25">
      <c r="B140" s="53">
        <v>134</v>
      </c>
      <c r="C140" s="53">
        <v>270</v>
      </c>
      <c r="D140" s="53">
        <v>287</v>
      </c>
      <c r="E140" s="53">
        <v>271</v>
      </c>
      <c r="F140" s="53">
        <v>233</v>
      </c>
      <c r="G140" s="53">
        <v>226</v>
      </c>
      <c r="H140" s="53">
        <v>211</v>
      </c>
      <c r="I140" s="53">
        <v>211</v>
      </c>
      <c r="K140" s="305">
        <f t="shared" si="36"/>
        <v>134</v>
      </c>
      <c r="L140" s="305">
        <f t="shared" si="37"/>
        <v>270</v>
      </c>
      <c r="M140" s="305">
        <f>ROUND(Ajustes!AK136,0)</f>
        <v>446</v>
      </c>
      <c r="N140" s="305">
        <f>ROUND(Ajustes!AL136,0)</f>
        <v>421</v>
      </c>
      <c r="O140" s="305">
        <f>ROUND(Ajustes!AM136,0)</f>
        <v>362</v>
      </c>
      <c r="P140" s="305">
        <f>ROUND(Ajustes!AN136,0)</f>
        <v>351</v>
      </c>
      <c r="Q140" s="305">
        <f>ROUND(Ajustes!AO136,0)</f>
        <v>328</v>
      </c>
      <c r="R140" s="305">
        <f>ROUND(Ajustes!AP136,0)</f>
        <v>328</v>
      </c>
      <c r="T140" s="305">
        <f t="shared" si="38"/>
        <v>134</v>
      </c>
      <c r="U140" s="305">
        <f t="shared" si="39"/>
        <v>270</v>
      </c>
      <c r="V140" s="305">
        <f>ROUND(Ajustes!AY136,0)</f>
        <v>378</v>
      </c>
      <c r="W140" s="305">
        <f>ROUND(Ajustes!AZ136,0)</f>
        <v>357</v>
      </c>
      <c r="X140" s="305">
        <f>ROUND(Ajustes!BA136,0)</f>
        <v>307</v>
      </c>
      <c r="Y140" s="305">
        <f>ROUND(Ajustes!BB136,0)</f>
        <v>298</v>
      </c>
      <c r="Z140" s="305">
        <f>ROUND(Ajustes!BC136,0)</f>
        <v>278</v>
      </c>
      <c r="AA140" s="305">
        <f>ROUND(Ajustes!BD136,0)</f>
        <v>278</v>
      </c>
      <c r="AC140" s="305">
        <f t="shared" si="40"/>
        <v>134</v>
      </c>
      <c r="AD140" s="305">
        <f t="shared" si="41"/>
        <v>270</v>
      </c>
      <c r="AE140" s="305">
        <f>ROUND(Ajustes!BM136,0)</f>
        <v>287</v>
      </c>
      <c r="AF140" s="305">
        <f>ROUND(Ajustes!BN136,0)</f>
        <v>271</v>
      </c>
      <c r="AG140" s="305">
        <f>ROUND(Ajustes!BO136,0)</f>
        <v>233</v>
      </c>
      <c r="AH140" s="305">
        <f>ROUND(Ajustes!BP136,0)</f>
        <v>226</v>
      </c>
      <c r="AI140" s="305">
        <f>ROUND(Ajustes!BQ136,0)</f>
        <v>211</v>
      </c>
      <c r="AJ140" s="305">
        <f>ROUND(Ajustes!BR136,0)</f>
        <v>211</v>
      </c>
    </row>
    <row r="141" spans="2:36" x14ac:dyDescent="0.25">
      <c r="B141" s="53">
        <v>135</v>
      </c>
      <c r="C141" s="53">
        <v>271</v>
      </c>
      <c r="D141" s="53">
        <v>1523</v>
      </c>
      <c r="E141" s="53">
        <v>1432</v>
      </c>
      <c r="F141" s="53">
        <v>1358</v>
      </c>
      <c r="G141" s="53">
        <v>1284</v>
      </c>
      <c r="H141" s="53">
        <v>1221</v>
      </c>
      <c r="I141" s="53">
        <v>1164</v>
      </c>
      <c r="K141" s="305">
        <f t="shared" si="36"/>
        <v>135</v>
      </c>
      <c r="L141" s="305">
        <f t="shared" si="37"/>
        <v>271</v>
      </c>
      <c r="M141" s="305">
        <f>ROUND(Ajustes!AK137,0)</f>
        <v>3716</v>
      </c>
      <c r="N141" s="305">
        <f>ROUND(Ajustes!AL137,0)</f>
        <v>3500</v>
      </c>
      <c r="O141" s="305">
        <f>ROUND(Ajustes!AM137,0)</f>
        <v>3315</v>
      </c>
      <c r="P141" s="305">
        <f>ROUND(Ajustes!AN137,0)</f>
        <v>3134</v>
      </c>
      <c r="Q141" s="305">
        <f>ROUND(Ajustes!AO137,0)</f>
        <v>3000</v>
      </c>
      <c r="R141" s="305">
        <f>ROUND(Ajustes!AP137,0)</f>
        <v>2893</v>
      </c>
      <c r="T141" s="305">
        <f t="shared" si="38"/>
        <v>135</v>
      </c>
      <c r="U141" s="305">
        <f t="shared" si="39"/>
        <v>271</v>
      </c>
      <c r="V141" s="305">
        <f>ROUND(Ajustes!AY137,0)</f>
        <v>3568</v>
      </c>
      <c r="W141" s="305">
        <f>ROUND(Ajustes!AZ137,0)</f>
        <v>3363</v>
      </c>
      <c r="X141" s="305">
        <f>ROUND(Ajustes!BA137,0)</f>
        <v>3184</v>
      </c>
      <c r="Y141" s="305">
        <f>ROUND(Ajustes!BB137,0)</f>
        <v>3010</v>
      </c>
      <c r="Z141" s="305">
        <f>ROUND(Ajustes!BC137,0)</f>
        <v>2885</v>
      </c>
      <c r="AA141" s="305">
        <f>ROUND(Ajustes!BD137,0)</f>
        <v>2789</v>
      </c>
      <c r="AC141" s="305">
        <f t="shared" si="40"/>
        <v>135</v>
      </c>
      <c r="AD141" s="305">
        <f t="shared" si="41"/>
        <v>271</v>
      </c>
      <c r="AE141" s="305">
        <f>ROUND(Ajustes!BM137,0)</f>
        <v>1523</v>
      </c>
      <c r="AF141" s="305">
        <f>ROUND(Ajustes!BN137,0)</f>
        <v>1432</v>
      </c>
      <c r="AG141" s="305">
        <f>ROUND(Ajustes!BO137,0)</f>
        <v>1358</v>
      </c>
      <c r="AH141" s="305">
        <f>ROUND(Ajustes!BP137,0)</f>
        <v>1284</v>
      </c>
      <c r="AI141" s="305">
        <f>ROUND(Ajustes!BQ137,0)</f>
        <v>1221</v>
      </c>
      <c r="AJ141" s="305">
        <f>ROUND(Ajustes!BR137,0)</f>
        <v>1164</v>
      </c>
    </row>
    <row r="142" spans="2:36" x14ac:dyDescent="0.25">
      <c r="B142" s="53">
        <v>136</v>
      </c>
      <c r="C142" s="53">
        <v>273</v>
      </c>
      <c r="D142" s="53">
        <v>773</v>
      </c>
      <c r="E142" s="53">
        <v>723</v>
      </c>
      <c r="F142" s="53">
        <v>688</v>
      </c>
      <c r="G142" s="53">
        <v>651</v>
      </c>
      <c r="H142" s="53">
        <v>608</v>
      </c>
      <c r="I142" s="53">
        <v>561</v>
      </c>
      <c r="K142" s="305">
        <f t="shared" si="36"/>
        <v>136</v>
      </c>
      <c r="L142" s="305">
        <f t="shared" si="37"/>
        <v>273</v>
      </c>
      <c r="M142" s="305">
        <f>ROUND(Ajustes!AK138,0)</f>
        <v>1201</v>
      </c>
      <c r="N142" s="305">
        <f>ROUND(Ajustes!AL138,0)</f>
        <v>1123</v>
      </c>
      <c r="O142" s="305">
        <f>ROUND(Ajustes!AM138,0)</f>
        <v>1069</v>
      </c>
      <c r="P142" s="305">
        <f>ROUND(Ajustes!AN138,0)</f>
        <v>1011</v>
      </c>
      <c r="Q142" s="305">
        <f>ROUND(Ajustes!AO138,0)</f>
        <v>944</v>
      </c>
      <c r="R142" s="305">
        <f>ROUND(Ajustes!AP138,0)</f>
        <v>871</v>
      </c>
      <c r="T142" s="305">
        <f t="shared" si="38"/>
        <v>136</v>
      </c>
      <c r="U142" s="305">
        <f t="shared" si="39"/>
        <v>273</v>
      </c>
      <c r="V142" s="305">
        <f>ROUND(Ajustes!AY138,0)</f>
        <v>1019</v>
      </c>
      <c r="W142" s="305">
        <f>ROUND(Ajustes!AZ138,0)</f>
        <v>953</v>
      </c>
      <c r="X142" s="305">
        <f>ROUND(Ajustes!BA138,0)</f>
        <v>907</v>
      </c>
      <c r="Y142" s="305">
        <f>ROUND(Ajustes!BB138,0)</f>
        <v>858</v>
      </c>
      <c r="Z142" s="305">
        <f>ROUND(Ajustes!BC138,0)</f>
        <v>802</v>
      </c>
      <c r="AA142" s="305">
        <f>ROUND(Ajustes!BD138,0)</f>
        <v>740</v>
      </c>
      <c r="AC142" s="305">
        <f t="shared" si="40"/>
        <v>136</v>
      </c>
      <c r="AD142" s="305">
        <f t="shared" si="41"/>
        <v>273</v>
      </c>
      <c r="AE142" s="305">
        <f>ROUND(Ajustes!BM138,0)</f>
        <v>773</v>
      </c>
      <c r="AF142" s="305">
        <f>ROUND(Ajustes!BN138,0)</f>
        <v>723</v>
      </c>
      <c r="AG142" s="305">
        <f>ROUND(Ajustes!BO138,0)</f>
        <v>688</v>
      </c>
      <c r="AH142" s="305">
        <f>ROUND(Ajustes!BP138,0)</f>
        <v>651</v>
      </c>
      <c r="AI142" s="305">
        <f>ROUND(Ajustes!BQ138,0)</f>
        <v>608</v>
      </c>
      <c r="AJ142" s="305">
        <f>ROUND(Ajustes!BR138,0)</f>
        <v>561</v>
      </c>
    </row>
    <row r="143" spans="2:36" x14ac:dyDescent="0.25">
      <c r="B143" s="53">
        <v>137</v>
      </c>
      <c r="C143" s="53">
        <v>275</v>
      </c>
      <c r="D143" s="53">
        <v>4369</v>
      </c>
      <c r="E143" s="53">
        <v>3995</v>
      </c>
      <c r="F143" s="53">
        <v>3621</v>
      </c>
      <c r="G143" s="53">
        <v>3326</v>
      </c>
      <c r="H143" s="53">
        <v>3035</v>
      </c>
      <c r="I143" s="53">
        <v>2817</v>
      </c>
      <c r="K143" s="305">
        <f t="shared" si="36"/>
        <v>137</v>
      </c>
      <c r="L143" s="305">
        <f t="shared" si="37"/>
        <v>275</v>
      </c>
      <c r="M143" s="305">
        <f>ROUND(Ajustes!AK139,0)</f>
        <v>13259</v>
      </c>
      <c r="N143" s="305">
        <f>ROUND(Ajustes!AL139,0)</f>
        <v>12095</v>
      </c>
      <c r="O143" s="305">
        <f>ROUND(Ajustes!AM139,0)</f>
        <v>10904</v>
      </c>
      <c r="P143" s="305">
        <f>ROUND(Ajustes!AN139,0)</f>
        <v>9981</v>
      </c>
      <c r="Q143" s="305">
        <f>ROUND(Ajustes!AO139,0)</f>
        <v>9083</v>
      </c>
      <c r="R143" s="305">
        <f>ROUND(Ajustes!AP139,0)</f>
        <v>8437</v>
      </c>
      <c r="T143" s="305">
        <f t="shared" si="38"/>
        <v>137</v>
      </c>
      <c r="U143" s="305">
        <f t="shared" si="39"/>
        <v>275</v>
      </c>
      <c r="V143" s="305">
        <f>ROUND(Ajustes!AY139,0)</f>
        <v>13242</v>
      </c>
      <c r="W143" s="305">
        <f>ROUND(Ajustes!AZ139,0)</f>
        <v>12074</v>
      </c>
      <c r="X143" s="305">
        <f>ROUND(Ajustes!BA139,0)</f>
        <v>10876</v>
      </c>
      <c r="Y143" s="305">
        <f>ROUND(Ajustes!BB139,0)</f>
        <v>9950</v>
      </c>
      <c r="Z143" s="305">
        <f>ROUND(Ajustes!BC139,0)</f>
        <v>9051</v>
      </c>
      <c r="AA143" s="305">
        <f>ROUND(Ajustes!BD139,0)</f>
        <v>8408</v>
      </c>
      <c r="AC143" s="305">
        <f t="shared" si="40"/>
        <v>137</v>
      </c>
      <c r="AD143" s="305">
        <f t="shared" si="41"/>
        <v>275</v>
      </c>
      <c r="AE143" s="305">
        <f>ROUND(Ajustes!BM139,0)</f>
        <v>4369</v>
      </c>
      <c r="AF143" s="305">
        <f>ROUND(Ajustes!BN139,0)</f>
        <v>3995</v>
      </c>
      <c r="AG143" s="305">
        <f>ROUND(Ajustes!BO139,0)</f>
        <v>3621</v>
      </c>
      <c r="AH143" s="305">
        <f>ROUND(Ajustes!BP139,0)</f>
        <v>3326</v>
      </c>
      <c r="AI143" s="305">
        <f>ROUND(Ajustes!BQ139,0)</f>
        <v>3035</v>
      </c>
      <c r="AJ143" s="305">
        <f>ROUND(Ajustes!BR139,0)</f>
        <v>2817</v>
      </c>
    </row>
    <row r="144" spans="2:36" x14ac:dyDescent="0.25">
      <c r="B144" s="53">
        <v>138</v>
      </c>
      <c r="C144" s="53">
        <v>277</v>
      </c>
      <c r="D144" s="53">
        <v>269</v>
      </c>
      <c r="E144" s="53">
        <v>246</v>
      </c>
      <c r="F144" s="53">
        <v>229</v>
      </c>
      <c r="G144" s="53">
        <v>227</v>
      </c>
      <c r="H144" s="53">
        <v>205</v>
      </c>
      <c r="I144" s="53">
        <v>193</v>
      </c>
      <c r="K144" s="305">
        <f t="shared" si="36"/>
        <v>138</v>
      </c>
      <c r="L144" s="305">
        <f t="shared" si="37"/>
        <v>277</v>
      </c>
      <c r="M144" s="305">
        <f>ROUND(Ajustes!AK140,0)</f>
        <v>902</v>
      </c>
      <c r="N144" s="305">
        <f>ROUND(Ajustes!AL140,0)</f>
        <v>825</v>
      </c>
      <c r="O144" s="305">
        <f>ROUND(Ajustes!AM140,0)</f>
        <v>768</v>
      </c>
      <c r="P144" s="305">
        <f>ROUND(Ajustes!AN140,0)</f>
        <v>761</v>
      </c>
      <c r="Q144" s="305">
        <f>ROUND(Ajustes!AO140,0)</f>
        <v>687</v>
      </c>
      <c r="R144" s="305">
        <f>ROUND(Ajustes!AP140,0)</f>
        <v>647</v>
      </c>
      <c r="T144" s="305">
        <f t="shared" si="38"/>
        <v>138</v>
      </c>
      <c r="U144" s="305">
        <f t="shared" si="39"/>
        <v>277</v>
      </c>
      <c r="V144" s="305">
        <f>ROUND(Ajustes!AY140,0)</f>
        <v>914</v>
      </c>
      <c r="W144" s="305">
        <f>ROUND(Ajustes!AZ140,0)</f>
        <v>836</v>
      </c>
      <c r="X144" s="305">
        <f>ROUND(Ajustes!BA140,0)</f>
        <v>778</v>
      </c>
      <c r="Y144" s="305">
        <f>ROUND(Ajustes!BB140,0)</f>
        <v>772</v>
      </c>
      <c r="Z144" s="305">
        <f>ROUND(Ajustes!BC140,0)</f>
        <v>697</v>
      </c>
      <c r="AA144" s="305">
        <f>ROUND(Ajustes!BD140,0)</f>
        <v>656</v>
      </c>
      <c r="AC144" s="305">
        <f t="shared" si="40"/>
        <v>138</v>
      </c>
      <c r="AD144" s="305">
        <f t="shared" si="41"/>
        <v>277</v>
      </c>
      <c r="AE144" s="305">
        <f>ROUND(Ajustes!BM140,0)</f>
        <v>269</v>
      </c>
      <c r="AF144" s="305">
        <f>ROUND(Ajustes!BN140,0)</f>
        <v>246</v>
      </c>
      <c r="AG144" s="305">
        <f>ROUND(Ajustes!BO140,0)</f>
        <v>229</v>
      </c>
      <c r="AH144" s="305">
        <f>ROUND(Ajustes!BP140,0)</f>
        <v>227</v>
      </c>
      <c r="AI144" s="305">
        <f>ROUND(Ajustes!BQ140,0)</f>
        <v>205</v>
      </c>
      <c r="AJ144" s="305">
        <f>ROUND(Ajustes!BR140,0)</f>
        <v>193</v>
      </c>
    </row>
    <row r="145" spans="2:36" x14ac:dyDescent="0.25">
      <c r="B145" s="53">
        <v>139</v>
      </c>
      <c r="C145" s="53">
        <v>278</v>
      </c>
      <c r="D145" s="53">
        <v>66</v>
      </c>
      <c r="E145" s="53">
        <v>64</v>
      </c>
      <c r="F145" s="53">
        <v>62</v>
      </c>
      <c r="G145" s="53">
        <v>60</v>
      </c>
      <c r="H145" s="53">
        <v>59</v>
      </c>
      <c r="I145" s="53">
        <v>66</v>
      </c>
      <c r="K145" s="305">
        <f t="shared" si="36"/>
        <v>139</v>
      </c>
      <c r="L145" s="305">
        <f t="shared" si="37"/>
        <v>278</v>
      </c>
      <c r="M145" s="305">
        <f>ROUND(Ajustes!AK141,0)</f>
        <v>103</v>
      </c>
      <c r="N145" s="305">
        <f>ROUND(Ajustes!AL141,0)</f>
        <v>99</v>
      </c>
      <c r="O145" s="305">
        <f>ROUND(Ajustes!AM141,0)</f>
        <v>96</v>
      </c>
      <c r="P145" s="305">
        <f>ROUND(Ajustes!AN141,0)</f>
        <v>93</v>
      </c>
      <c r="Q145" s="305">
        <f>ROUND(Ajustes!AO141,0)</f>
        <v>92</v>
      </c>
      <c r="R145" s="305">
        <f>ROUND(Ajustes!AP141,0)</f>
        <v>103</v>
      </c>
      <c r="T145" s="305">
        <f t="shared" si="38"/>
        <v>139</v>
      </c>
      <c r="U145" s="305">
        <f t="shared" si="39"/>
        <v>278</v>
      </c>
      <c r="V145" s="305">
        <f>ROUND(Ajustes!AY141,0)</f>
        <v>87</v>
      </c>
      <c r="W145" s="305">
        <f>ROUND(Ajustes!AZ141,0)</f>
        <v>84</v>
      </c>
      <c r="X145" s="305">
        <f>ROUND(Ajustes!BA141,0)</f>
        <v>82</v>
      </c>
      <c r="Y145" s="305">
        <f>ROUND(Ajustes!BB141,0)</f>
        <v>79</v>
      </c>
      <c r="Z145" s="305">
        <f>ROUND(Ajustes!BC141,0)</f>
        <v>78</v>
      </c>
      <c r="AA145" s="305">
        <f>ROUND(Ajustes!BD141,0)</f>
        <v>87</v>
      </c>
      <c r="AC145" s="305">
        <f t="shared" si="40"/>
        <v>139</v>
      </c>
      <c r="AD145" s="305">
        <f t="shared" si="41"/>
        <v>278</v>
      </c>
      <c r="AE145" s="305">
        <f>ROUND(Ajustes!BM141,0)</f>
        <v>66</v>
      </c>
      <c r="AF145" s="305">
        <f>ROUND(Ajustes!BN141,0)</f>
        <v>64</v>
      </c>
      <c r="AG145" s="305">
        <f>ROUND(Ajustes!BO141,0)</f>
        <v>62</v>
      </c>
      <c r="AH145" s="305">
        <f>ROUND(Ajustes!BP141,0)</f>
        <v>60</v>
      </c>
      <c r="AI145" s="305">
        <f>ROUND(Ajustes!BQ141,0)</f>
        <v>59</v>
      </c>
      <c r="AJ145" s="305">
        <f>ROUND(Ajustes!BR141,0)</f>
        <v>66</v>
      </c>
    </row>
    <row r="146" spans="2:36" x14ac:dyDescent="0.25">
      <c r="B146" s="53">
        <v>140</v>
      </c>
      <c r="C146" s="53">
        <v>279</v>
      </c>
      <c r="D146" s="53">
        <v>176</v>
      </c>
      <c r="E146" s="53">
        <v>148</v>
      </c>
      <c r="F146" s="53">
        <v>125</v>
      </c>
      <c r="G146" s="53">
        <v>112</v>
      </c>
      <c r="H146" s="53">
        <v>93</v>
      </c>
      <c r="I146" s="53">
        <v>77</v>
      </c>
      <c r="K146" s="305">
        <f t="shared" si="36"/>
        <v>140</v>
      </c>
      <c r="L146" s="305">
        <f t="shared" si="37"/>
        <v>279</v>
      </c>
      <c r="M146" s="305">
        <f>ROUND(Ajustes!AK142,0)</f>
        <v>273</v>
      </c>
      <c r="N146" s="305">
        <f>ROUND(Ajustes!AL142,0)</f>
        <v>230</v>
      </c>
      <c r="O146" s="305">
        <f>ROUND(Ajustes!AM142,0)</f>
        <v>194</v>
      </c>
      <c r="P146" s="305">
        <f>ROUND(Ajustes!AN142,0)</f>
        <v>174</v>
      </c>
      <c r="Q146" s="305">
        <f>ROUND(Ajustes!AO142,0)</f>
        <v>144</v>
      </c>
      <c r="R146" s="305">
        <f>ROUND(Ajustes!AP142,0)</f>
        <v>120</v>
      </c>
      <c r="T146" s="305">
        <f t="shared" si="38"/>
        <v>140</v>
      </c>
      <c r="U146" s="305">
        <f t="shared" si="39"/>
        <v>279</v>
      </c>
      <c r="V146" s="305">
        <f>ROUND(Ajustes!AY142,0)</f>
        <v>232</v>
      </c>
      <c r="W146" s="305">
        <f>ROUND(Ajustes!AZ142,0)</f>
        <v>195</v>
      </c>
      <c r="X146" s="305">
        <f>ROUND(Ajustes!BA142,0)</f>
        <v>165</v>
      </c>
      <c r="Y146" s="305">
        <f>ROUND(Ajustes!BB142,0)</f>
        <v>148</v>
      </c>
      <c r="Z146" s="305">
        <f>ROUND(Ajustes!BC142,0)</f>
        <v>123</v>
      </c>
      <c r="AA146" s="305">
        <f>ROUND(Ajustes!BD142,0)</f>
        <v>102</v>
      </c>
      <c r="AC146" s="305">
        <f t="shared" si="40"/>
        <v>140</v>
      </c>
      <c r="AD146" s="305">
        <f t="shared" si="41"/>
        <v>279</v>
      </c>
      <c r="AE146" s="305">
        <f>ROUND(Ajustes!BM142,0)</f>
        <v>176</v>
      </c>
      <c r="AF146" s="305">
        <f>ROUND(Ajustes!BN142,0)</f>
        <v>148</v>
      </c>
      <c r="AG146" s="305">
        <f>ROUND(Ajustes!BO142,0)</f>
        <v>125</v>
      </c>
      <c r="AH146" s="305">
        <f>ROUND(Ajustes!BP142,0)</f>
        <v>112</v>
      </c>
      <c r="AI146" s="305">
        <f>ROUND(Ajustes!BQ142,0)</f>
        <v>93</v>
      </c>
      <c r="AJ146" s="305">
        <f>ROUND(Ajustes!BR142,0)</f>
        <v>77</v>
      </c>
    </row>
    <row r="147" spans="2:36" x14ac:dyDescent="0.25">
      <c r="B147" s="53">
        <v>141</v>
      </c>
      <c r="C147" s="53">
        <v>280</v>
      </c>
      <c r="D147" s="53">
        <v>2016</v>
      </c>
      <c r="E147" s="53">
        <v>2072</v>
      </c>
      <c r="F147" s="53">
        <v>2041</v>
      </c>
      <c r="G147" s="53">
        <v>1942</v>
      </c>
      <c r="H147" s="53">
        <v>1904</v>
      </c>
      <c r="I147" s="53">
        <v>1793</v>
      </c>
      <c r="K147" s="305">
        <f t="shared" si="36"/>
        <v>141</v>
      </c>
      <c r="L147" s="305">
        <f t="shared" si="37"/>
        <v>280</v>
      </c>
      <c r="M147" s="305">
        <f>ROUND(Ajustes!AK143,0)</f>
        <v>6760</v>
      </c>
      <c r="N147" s="305">
        <f>ROUND(Ajustes!AL143,0)</f>
        <v>6948</v>
      </c>
      <c r="O147" s="305">
        <f>ROUND(Ajustes!AM143,0)</f>
        <v>6844</v>
      </c>
      <c r="P147" s="305">
        <f>ROUND(Ajustes!AN143,0)</f>
        <v>6512</v>
      </c>
      <c r="Q147" s="305">
        <f>ROUND(Ajustes!AO143,0)</f>
        <v>6385</v>
      </c>
      <c r="R147" s="305">
        <f>ROUND(Ajustes!AP143,0)</f>
        <v>6013</v>
      </c>
      <c r="T147" s="305">
        <f t="shared" si="38"/>
        <v>141</v>
      </c>
      <c r="U147" s="305">
        <f t="shared" si="39"/>
        <v>280</v>
      </c>
      <c r="V147" s="305">
        <f>ROUND(Ajustes!AY143,0)</f>
        <v>6852</v>
      </c>
      <c r="W147" s="305">
        <f>ROUND(Ajustes!AZ143,0)</f>
        <v>7042</v>
      </c>
      <c r="X147" s="305">
        <f>ROUND(Ajustes!BA143,0)</f>
        <v>6937</v>
      </c>
      <c r="Y147" s="305">
        <f>ROUND(Ajustes!BB143,0)</f>
        <v>6601</v>
      </c>
      <c r="Z147" s="305">
        <f>ROUND(Ajustes!BC143,0)</f>
        <v>6471</v>
      </c>
      <c r="AA147" s="305">
        <f>ROUND(Ajustes!BD143,0)</f>
        <v>6094</v>
      </c>
      <c r="AC147" s="305">
        <f t="shared" si="40"/>
        <v>141</v>
      </c>
      <c r="AD147" s="305">
        <f t="shared" si="41"/>
        <v>280</v>
      </c>
      <c r="AE147" s="305">
        <f>ROUND(Ajustes!BM143,0)</f>
        <v>2016</v>
      </c>
      <c r="AF147" s="305">
        <f>ROUND(Ajustes!BN143,0)</f>
        <v>2072</v>
      </c>
      <c r="AG147" s="305">
        <f>ROUND(Ajustes!BO143,0)</f>
        <v>2041</v>
      </c>
      <c r="AH147" s="305">
        <f>ROUND(Ajustes!BP143,0)</f>
        <v>1942</v>
      </c>
      <c r="AI147" s="305">
        <f>ROUND(Ajustes!BQ143,0)</f>
        <v>1904</v>
      </c>
      <c r="AJ147" s="305">
        <f>ROUND(Ajustes!BR143,0)</f>
        <v>1793</v>
      </c>
    </row>
    <row r="148" spans="2:36" x14ac:dyDescent="0.25">
      <c r="B148" s="53">
        <v>142</v>
      </c>
      <c r="C148" s="53">
        <v>281</v>
      </c>
      <c r="D148" s="53">
        <v>73</v>
      </c>
      <c r="E148" s="53">
        <v>73</v>
      </c>
      <c r="F148" s="53">
        <v>72</v>
      </c>
      <c r="G148" s="53">
        <v>72</v>
      </c>
      <c r="H148" s="53">
        <v>69</v>
      </c>
      <c r="I148" s="53">
        <v>70</v>
      </c>
      <c r="K148" s="305">
        <f t="shared" si="36"/>
        <v>142</v>
      </c>
      <c r="L148" s="305">
        <f t="shared" si="37"/>
        <v>281</v>
      </c>
      <c r="M148" s="305">
        <f>ROUND(Ajustes!AK144,0)</f>
        <v>113</v>
      </c>
      <c r="N148" s="305">
        <f>ROUND(Ajustes!AL144,0)</f>
        <v>113</v>
      </c>
      <c r="O148" s="305">
        <f>ROUND(Ajustes!AM144,0)</f>
        <v>112</v>
      </c>
      <c r="P148" s="305">
        <f>ROUND(Ajustes!AN144,0)</f>
        <v>112</v>
      </c>
      <c r="Q148" s="305">
        <f>ROUND(Ajustes!AO144,0)</f>
        <v>107</v>
      </c>
      <c r="R148" s="305">
        <f>ROUND(Ajustes!AP144,0)</f>
        <v>109</v>
      </c>
      <c r="T148" s="305">
        <f t="shared" si="38"/>
        <v>142</v>
      </c>
      <c r="U148" s="305">
        <f t="shared" si="39"/>
        <v>281</v>
      </c>
      <c r="V148" s="305">
        <f>ROUND(Ajustes!AY144,0)</f>
        <v>96</v>
      </c>
      <c r="W148" s="305">
        <f>ROUND(Ajustes!AZ144,0)</f>
        <v>96</v>
      </c>
      <c r="X148" s="305">
        <f>ROUND(Ajustes!BA144,0)</f>
        <v>95</v>
      </c>
      <c r="Y148" s="305">
        <f>ROUND(Ajustes!BB144,0)</f>
        <v>95</v>
      </c>
      <c r="Z148" s="305">
        <f>ROUND(Ajustes!BC144,0)</f>
        <v>91</v>
      </c>
      <c r="AA148" s="305">
        <f>ROUND(Ajustes!BD144,0)</f>
        <v>92</v>
      </c>
      <c r="AC148" s="305">
        <f t="shared" si="40"/>
        <v>142</v>
      </c>
      <c r="AD148" s="305">
        <f t="shared" si="41"/>
        <v>281</v>
      </c>
      <c r="AE148" s="305">
        <f>ROUND(Ajustes!BM144,0)</f>
        <v>73</v>
      </c>
      <c r="AF148" s="305">
        <f>ROUND(Ajustes!BN144,0)</f>
        <v>73</v>
      </c>
      <c r="AG148" s="305">
        <f>ROUND(Ajustes!BO144,0)</f>
        <v>72</v>
      </c>
      <c r="AH148" s="305">
        <f>ROUND(Ajustes!BP144,0)</f>
        <v>72</v>
      </c>
      <c r="AI148" s="305">
        <f>ROUND(Ajustes!BQ144,0)</f>
        <v>69</v>
      </c>
      <c r="AJ148" s="305">
        <f>ROUND(Ajustes!BR144,0)</f>
        <v>70</v>
      </c>
    </row>
    <row r="149" spans="2:36" x14ac:dyDescent="0.25">
      <c r="B149" s="53">
        <v>143</v>
      </c>
      <c r="C149" s="53">
        <v>283</v>
      </c>
      <c r="D149" s="53">
        <v>45</v>
      </c>
      <c r="E149" s="53">
        <v>40</v>
      </c>
      <c r="F149" s="53">
        <v>33</v>
      </c>
      <c r="G149" s="53">
        <v>43</v>
      </c>
      <c r="H149" s="53">
        <v>39</v>
      </c>
      <c r="I149" s="53">
        <v>29</v>
      </c>
      <c r="K149" s="305">
        <f t="shared" si="36"/>
        <v>143</v>
      </c>
      <c r="L149" s="305">
        <f t="shared" si="37"/>
        <v>283</v>
      </c>
      <c r="M149" s="305">
        <f>ROUND(Ajustes!AK145,0)</f>
        <v>70</v>
      </c>
      <c r="N149" s="305">
        <f>ROUND(Ajustes!AL145,0)</f>
        <v>62</v>
      </c>
      <c r="O149" s="305">
        <f>ROUND(Ajustes!AM145,0)</f>
        <v>51</v>
      </c>
      <c r="P149" s="305">
        <f>ROUND(Ajustes!AN145,0)</f>
        <v>67</v>
      </c>
      <c r="Q149" s="305">
        <f>ROUND(Ajustes!AO145,0)</f>
        <v>61</v>
      </c>
      <c r="R149" s="305">
        <f>ROUND(Ajustes!AP145,0)</f>
        <v>45</v>
      </c>
      <c r="T149" s="305">
        <f t="shared" si="38"/>
        <v>143</v>
      </c>
      <c r="U149" s="305">
        <f t="shared" si="39"/>
        <v>283</v>
      </c>
      <c r="V149" s="305">
        <f>ROUND(Ajustes!AY145,0)</f>
        <v>59</v>
      </c>
      <c r="W149" s="305">
        <f>ROUND(Ajustes!AZ145,0)</f>
        <v>53</v>
      </c>
      <c r="X149" s="305">
        <f>ROUND(Ajustes!BA145,0)</f>
        <v>44</v>
      </c>
      <c r="Y149" s="305">
        <f>ROUND(Ajustes!BB145,0)</f>
        <v>57</v>
      </c>
      <c r="Z149" s="305">
        <f>ROUND(Ajustes!BC145,0)</f>
        <v>51</v>
      </c>
      <c r="AA149" s="305">
        <f>ROUND(Ajustes!BD145,0)</f>
        <v>38</v>
      </c>
      <c r="AC149" s="305">
        <f t="shared" si="40"/>
        <v>143</v>
      </c>
      <c r="AD149" s="305">
        <f t="shared" si="41"/>
        <v>283</v>
      </c>
      <c r="AE149" s="305">
        <f>ROUND(Ajustes!BM145,0)</f>
        <v>45</v>
      </c>
      <c r="AF149" s="305">
        <f>ROUND(Ajustes!BN145,0)</f>
        <v>40</v>
      </c>
      <c r="AG149" s="305">
        <f>ROUND(Ajustes!BO145,0)</f>
        <v>33</v>
      </c>
      <c r="AH149" s="305">
        <f>ROUND(Ajustes!BP145,0)</f>
        <v>43</v>
      </c>
      <c r="AI149" s="305">
        <f>ROUND(Ajustes!BQ145,0)</f>
        <v>39</v>
      </c>
      <c r="AJ149" s="305">
        <f>ROUND(Ajustes!BR145,0)</f>
        <v>29</v>
      </c>
    </row>
    <row r="150" spans="2:36" x14ac:dyDescent="0.25">
      <c r="B150" s="53">
        <v>144</v>
      </c>
      <c r="C150" s="53">
        <v>284</v>
      </c>
      <c r="D150" s="53">
        <v>270</v>
      </c>
      <c r="E150" s="53">
        <v>104</v>
      </c>
      <c r="F150" s="53">
        <v>174</v>
      </c>
      <c r="G150" s="53">
        <v>286</v>
      </c>
      <c r="H150" s="53">
        <v>127</v>
      </c>
      <c r="I150" s="53">
        <v>149</v>
      </c>
      <c r="K150" s="305">
        <f t="shared" si="36"/>
        <v>144</v>
      </c>
      <c r="L150" s="305">
        <f t="shared" si="37"/>
        <v>284</v>
      </c>
      <c r="M150" s="305">
        <f>ROUND(Ajustes!AK146,0)</f>
        <v>216</v>
      </c>
      <c r="N150" s="305">
        <f>ROUND(Ajustes!AL146,0)</f>
        <v>83</v>
      </c>
      <c r="O150" s="305">
        <f>ROUND(Ajustes!AM146,0)</f>
        <v>139</v>
      </c>
      <c r="P150" s="305">
        <f>ROUND(Ajustes!AN146,0)</f>
        <v>229</v>
      </c>
      <c r="Q150" s="305">
        <f>ROUND(Ajustes!AO146,0)</f>
        <v>102</v>
      </c>
      <c r="R150" s="305">
        <f>ROUND(Ajustes!AP146,0)</f>
        <v>119</v>
      </c>
      <c r="T150" s="305">
        <f t="shared" si="38"/>
        <v>144</v>
      </c>
      <c r="U150" s="305">
        <f t="shared" si="39"/>
        <v>284</v>
      </c>
      <c r="V150" s="305">
        <f>ROUND(Ajustes!AY146,0)</f>
        <v>216</v>
      </c>
      <c r="W150" s="305">
        <f>ROUND(Ajustes!AZ146,0)</f>
        <v>83</v>
      </c>
      <c r="X150" s="305">
        <f>ROUND(Ajustes!BA146,0)</f>
        <v>139</v>
      </c>
      <c r="Y150" s="305">
        <f>ROUND(Ajustes!BB146,0)</f>
        <v>229</v>
      </c>
      <c r="Z150" s="305">
        <f>ROUND(Ajustes!BC146,0)</f>
        <v>102</v>
      </c>
      <c r="AA150" s="305">
        <f>ROUND(Ajustes!BD146,0)</f>
        <v>119</v>
      </c>
      <c r="AC150" s="305">
        <f t="shared" si="40"/>
        <v>144</v>
      </c>
      <c r="AD150" s="305">
        <f t="shared" si="41"/>
        <v>284</v>
      </c>
      <c r="AE150" s="305">
        <f>ROUND(Ajustes!BM146,0)</f>
        <v>270</v>
      </c>
      <c r="AF150" s="305">
        <f>ROUND(Ajustes!BN146,0)</f>
        <v>104</v>
      </c>
      <c r="AG150" s="305">
        <f>ROUND(Ajustes!BO146,0)</f>
        <v>174</v>
      </c>
      <c r="AH150" s="305">
        <f>ROUND(Ajustes!BP146,0)</f>
        <v>286</v>
      </c>
      <c r="AI150" s="305">
        <f>ROUND(Ajustes!BQ146,0)</f>
        <v>127</v>
      </c>
      <c r="AJ150" s="305">
        <f>ROUND(Ajustes!BR146,0)</f>
        <v>149</v>
      </c>
    </row>
    <row r="151" spans="2:36" x14ac:dyDescent="0.25">
      <c r="B151" s="53">
        <v>145</v>
      </c>
      <c r="C151" s="53">
        <v>285</v>
      </c>
      <c r="D151" s="53">
        <v>26779</v>
      </c>
      <c r="E151" s="53">
        <v>24968</v>
      </c>
      <c r="F151" s="53">
        <v>23485</v>
      </c>
      <c r="G151" s="53">
        <v>23710</v>
      </c>
      <c r="H151" s="53">
        <v>15581</v>
      </c>
      <c r="I151" s="53">
        <v>13291</v>
      </c>
      <c r="K151" s="305">
        <f t="shared" si="36"/>
        <v>145</v>
      </c>
      <c r="L151" s="305">
        <f t="shared" si="37"/>
        <v>285</v>
      </c>
      <c r="M151" s="305">
        <f>ROUND(Ajustes!AK147,0)</f>
        <v>41592</v>
      </c>
      <c r="N151" s="305">
        <f>ROUND(Ajustes!AL147,0)</f>
        <v>38779</v>
      </c>
      <c r="O151" s="305">
        <f>ROUND(Ajustes!AM147,0)</f>
        <v>36476</v>
      </c>
      <c r="P151" s="305">
        <f>ROUND(Ajustes!AN147,0)</f>
        <v>36825</v>
      </c>
      <c r="Q151" s="305">
        <f>ROUND(Ajustes!AO147,0)</f>
        <v>24200</v>
      </c>
      <c r="R151" s="305">
        <f>ROUND(Ajustes!AP147,0)</f>
        <v>20643</v>
      </c>
      <c r="T151" s="305">
        <f t="shared" si="38"/>
        <v>145</v>
      </c>
      <c r="U151" s="305">
        <f t="shared" si="39"/>
        <v>285</v>
      </c>
      <c r="V151" s="305">
        <f>ROUND(Ajustes!AY147,0)</f>
        <v>35312</v>
      </c>
      <c r="W151" s="305">
        <f>ROUND(Ajustes!AZ147,0)</f>
        <v>32924</v>
      </c>
      <c r="X151" s="305">
        <f>ROUND(Ajustes!BA147,0)</f>
        <v>30968</v>
      </c>
      <c r="Y151" s="305">
        <f>ROUND(Ajustes!BB147,0)</f>
        <v>31265</v>
      </c>
      <c r="Z151" s="305">
        <f>ROUND(Ajustes!BC147,0)</f>
        <v>20546</v>
      </c>
      <c r="AA151" s="305">
        <f>ROUND(Ajustes!BD147,0)</f>
        <v>17526</v>
      </c>
      <c r="AC151" s="305">
        <f t="shared" si="40"/>
        <v>145</v>
      </c>
      <c r="AD151" s="305">
        <f t="shared" si="41"/>
        <v>285</v>
      </c>
      <c r="AE151" s="305">
        <f>ROUND(Ajustes!BM147,0)</f>
        <v>26779</v>
      </c>
      <c r="AF151" s="305">
        <f>ROUND(Ajustes!BN147,0)</f>
        <v>24968</v>
      </c>
      <c r="AG151" s="305">
        <f>ROUND(Ajustes!BO147,0)</f>
        <v>23485</v>
      </c>
      <c r="AH151" s="305">
        <f>ROUND(Ajustes!BP147,0)</f>
        <v>23710</v>
      </c>
      <c r="AI151" s="305">
        <f>ROUND(Ajustes!BQ147,0)</f>
        <v>15581</v>
      </c>
      <c r="AJ151" s="305">
        <f>ROUND(Ajustes!BR147,0)</f>
        <v>13291</v>
      </c>
    </row>
    <row r="152" spans="2:36" x14ac:dyDescent="0.25">
      <c r="B152" s="53">
        <v>146</v>
      </c>
      <c r="C152" s="53">
        <v>286</v>
      </c>
      <c r="D152" s="53">
        <v>44</v>
      </c>
      <c r="E152" s="53">
        <v>42</v>
      </c>
      <c r="F152" s="53">
        <v>35</v>
      </c>
      <c r="G152" s="53">
        <v>32</v>
      </c>
      <c r="H152" s="53">
        <v>36</v>
      </c>
      <c r="I152" s="53">
        <v>32</v>
      </c>
      <c r="K152" s="305">
        <f t="shared" si="36"/>
        <v>146</v>
      </c>
      <c r="L152" s="305">
        <f t="shared" si="37"/>
        <v>286</v>
      </c>
      <c r="M152" s="305">
        <f>ROUND(Ajustes!AK148,0)</f>
        <v>35</v>
      </c>
      <c r="N152" s="305">
        <f>ROUND(Ajustes!AL148,0)</f>
        <v>34</v>
      </c>
      <c r="O152" s="305">
        <f>ROUND(Ajustes!AM148,0)</f>
        <v>28</v>
      </c>
      <c r="P152" s="305">
        <f>ROUND(Ajustes!AN148,0)</f>
        <v>26</v>
      </c>
      <c r="Q152" s="305">
        <f>ROUND(Ajustes!AO148,0)</f>
        <v>29</v>
      </c>
      <c r="R152" s="305">
        <f>ROUND(Ajustes!AP148,0)</f>
        <v>26</v>
      </c>
      <c r="T152" s="305">
        <f t="shared" si="38"/>
        <v>146</v>
      </c>
      <c r="U152" s="305">
        <f t="shared" si="39"/>
        <v>286</v>
      </c>
      <c r="V152" s="305">
        <f>ROUND(Ajustes!AY148,0)</f>
        <v>35</v>
      </c>
      <c r="W152" s="305">
        <f>ROUND(Ajustes!AZ148,0)</f>
        <v>34</v>
      </c>
      <c r="X152" s="305">
        <f>ROUND(Ajustes!BA148,0)</f>
        <v>28</v>
      </c>
      <c r="Y152" s="305">
        <f>ROUND(Ajustes!BB148,0)</f>
        <v>26</v>
      </c>
      <c r="Z152" s="305">
        <f>ROUND(Ajustes!BC148,0)</f>
        <v>29</v>
      </c>
      <c r="AA152" s="305">
        <f>ROUND(Ajustes!BD148,0)</f>
        <v>26</v>
      </c>
      <c r="AC152" s="305">
        <f t="shared" si="40"/>
        <v>146</v>
      </c>
      <c r="AD152" s="305">
        <f t="shared" si="41"/>
        <v>286</v>
      </c>
      <c r="AE152" s="305">
        <f>ROUND(Ajustes!BM148,0)</f>
        <v>44</v>
      </c>
      <c r="AF152" s="305">
        <f>ROUND(Ajustes!BN148,0)</f>
        <v>42</v>
      </c>
      <c r="AG152" s="305">
        <f>ROUND(Ajustes!BO148,0)</f>
        <v>35</v>
      </c>
      <c r="AH152" s="305">
        <f>ROUND(Ajustes!BP148,0)</f>
        <v>32</v>
      </c>
      <c r="AI152" s="305">
        <f>ROUND(Ajustes!BQ148,0)</f>
        <v>36</v>
      </c>
      <c r="AJ152" s="305">
        <f>ROUND(Ajustes!BR148,0)</f>
        <v>32</v>
      </c>
    </row>
    <row r="153" spans="2:36" x14ac:dyDescent="0.25">
      <c r="B153" s="53">
        <v>147</v>
      </c>
      <c r="C153" s="53">
        <v>287</v>
      </c>
      <c r="D153" s="53">
        <v>27187</v>
      </c>
      <c r="E153" s="53">
        <v>25348</v>
      </c>
      <c r="F153" s="53">
        <v>23843</v>
      </c>
      <c r="G153" s="53">
        <v>24071</v>
      </c>
      <c r="H153" s="53">
        <v>15819</v>
      </c>
      <c r="I153" s="53">
        <v>13493</v>
      </c>
      <c r="K153" s="305">
        <f t="shared" si="36"/>
        <v>147</v>
      </c>
      <c r="L153" s="305">
        <f t="shared" si="37"/>
        <v>287</v>
      </c>
      <c r="M153" s="305">
        <f>ROUND(Ajustes!AK149,0)</f>
        <v>42226</v>
      </c>
      <c r="N153" s="305">
        <f>ROUND(Ajustes!AL149,0)</f>
        <v>39370</v>
      </c>
      <c r="O153" s="305">
        <f>ROUND(Ajustes!AM149,0)</f>
        <v>37032</v>
      </c>
      <c r="P153" s="305">
        <f>ROUND(Ajustes!AN149,0)</f>
        <v>37386</v>
      </c>
      <c r="Q153" s="305">
        <f>ROUND(Ajustes!AO149,0)</f>
        <v>24569</v>
      </c>
      <c r="R153" s="305">
        <f>ROUND(Ajustes!AP149,0)</f>
        <v>20957</v>
      </c>
      <c r="T153" s="305">
        <f t="shared" si="38"/>
        <v>147</v>
      </c>
      <c r="U153" s="305">
        <f t="shared" si="39"/>
        <v>287</v>
      </c>
      <c r="V153" s="305">
        <f>ROUND(Ajustes!AY149,0)</f>
        <v>35850</v>
      </c>
      <c r="W153" s="305">
        <f>ROUND(Ajustes!AZ149,0)</f>
        <v>33425</v>
      </c>
      <c r="X153" s="305">
        <f>ROUND(Ajustes!BA149,0)</f>
        <v>31440</v>
      </c>
      <c r="Y153" s="305">
        <f>ROUND(Ajustes!BB149,0)</f>
        <v>31741</v>
      </c>
      <c r="Z153" s="305">
        <f>ROUND(Ajustes!BC149,0)</f>
        <v>20859</v>
      </c>
      <c r="AA153" s="305">
        <f>ROUND(Ajustes!BD149,0)</f>
        <v>17792</v>
      </c>
      <c r="AC153" s="305">
        <f t="shared" si="40"/>
        <v>147</v>
      </c>
      <c r="AD153" s="305">
        <f t="shared" si="41"/>
        <v>287</v>
      </c>
      <c r="AE153" s="305">
        <f>ROUND(Ajustes!BM149,0)</f>
        <v>27187</v>
      </c>
      <c r="AF153" s="305">
        <f>ROUND(Ajustes!BN149,0)</f>
        <v>25348</v>
      </c>
      <c r="AG153" s="305">
        <f>ROUND(Ajustes!BO149,0)</f>
        <v>23843</v>
      </c>
      <c r="AH153" s="305">
        <f>ROUND(Ajustes!BP149,0)</f>
        <v>24071</v>
      </c>
      <c r="AI153" s="305">
        <f>ROUND(Ajustes!BQ149,0)</f>
        <v>15819</v>
      </c>
      <c r="AJ153" s="305">
        <f>ROUND(Ajustes!BR149,0)</f>
        <v>13493</v>
      </c>
    </row>
    <row r="154" spans="2:36" x14ac:dyDescent="0.25">
      <c r="B154" s="53">
        <v>148</v>
      </c>
      <c r="C154" s="53">
        <v>290</v>
      </c>
      <c r="D154" s="53">
        <v>1719</v>
      </c>
      <c r="E154" s="53">
        <v>1798</v>
      </c>
      <c r="F154" s="53">
        <v>2012</v>
      </c>
      <c r="G154" s="53">
        <v>1996</v>
      </c>
      <c r="H154" s="53">
        <v>1867</v>
      </c>
      <c r="I154" s="53">
        <v>1800</v>
      </c>
      <c r="K154" s="305">
        <f t="shared" si="36"/>
        <v>148</v>
      </c>
      <c r="L154" s="305">
        <f t="shared" si="37"/>
        <v>290</v>
      </c>
      <c r="M154" s="305">
        <f>ROUND(Ajustes!AK150,0)</f>
        <v>5764</v>
      </c>
      <c r="N154" s="305">
        <f>ROUND(Ajustes!AL150,0)</f>
        <v>6029</v>
      </c>
      <c r="O154" s="305">
        <f>ROUND(Ajustes!AM150,0)</f>
        <v>6747</v>
      </c>
      <c r="P154" s="305">
        <f>ROUND(Ajustes!AN150,0)</f>
        <v>6693</v>
      </c>
      <c r="Q154" s="305">
        <f>ROUND(Ajustes!AO150,0)</f>
        <v>6261</v>
      </c>
      <c r="R154" s="305">
        <f>ROUND(Ajustes!AP150,0)</f>
        <v>6036</v>
      </c>
      <c r="T154" s="305">
        <f t="shared" si="38"/>
        <v>148</v>
      </c>
      <c r="U154" s="305">
        <f t="shared" si="39"/>
        <v>290</v>
      </c>
      <c r="V154" s="305">
        <f>ROUND(Ajustes!AY150,0)</f>
        <v>5843</v>
      </c>
      <c r="W154" s="305">
        <f>ROUND(Ajustes!AZ150,0)</f>
        <v>6111</v>
      </c>
      <c r="X154" s="305">
        <f>ROUND(Ajustes!BA150,0)</f>
        <v>6838</v>
      </c>
      <c r="Y154" s="305">
        <f>ROUND(Ajustes!BB150,0)</f>
        <v>6784</v>
      </c>
      <c r="Z154" s="305">
        <f>ROUND(Ajustes!BC150,0)</f>
        <v>6346</v>
      </c>
      <c r="AA154" s="305">
        <f>ROUND(Ajustes!BD150,0)</f>
        <v>6118</v>
      </c>
      <c r="AC154" s="305">
        <f t="shared" si="40"/>
        <v>148</v>
      </c>
      <c r="AD154" s="305">
        <f t="shared" si="41"/>
        <v>290</v>
      </c>
      <c r="AE154" s="305">
        <f>ROUND(Ajustes!BM150,0)</f>
        <v>1719</v>
      </c>
      <c r="AF154" s="305">
        <f>ROUND(Ajustes!BN150,0)</f>
        <v>1798</v>
      </c>
      <c r="AG154" s="305">
        <f>ROUND(Ajustes!BO150,0)</f>
        <v>2012</v>
      </c>
      <c r="AH154" s="305">
        <f>ROUND(Ajustes!BP150,0)</f>
        <v>1996</v>
      </c>
      <c r="AI154" s="305">
        <f>ROUND(Ajustes!BQ150,0)</f>
        <v>1867</v>
      </c>
      <c r="AJ154" s="305">
        <f>ROUND(Ajustes!BR150,0)</f>
        <v>1800</v>
      </c>
    </row>
    <row r="155" spans="2:36" x14ac:dyDescent="0.25">
      <c r="B155" s="53">
        <v>149</v>
      </c>
      <c r="C155" s="53">
        <v>291</v>
      </c>
      <c r="D155" s="53">
        <v>206</v>
      </c>
      <c r="E155" s="53">
        <v>175</v>
      </c>
      <c r="F155" s="53">
        <v>145</v>
      </c>
      <c r="G155" s="53">
        <v>123</v>
      </c>
      <c r="H155" s="53">
        <v>106</v>
      </c>
      <c r="I155" s="53">
        <v>88</v>
      </c>
      <c r="K155" s="305">
        <f t="shared" si="36"/>
        <v>149</v>
      </c>
      <c r="L155" s="305">
        <f t="shared" si="37"/>
        <v>291</v>
      </c>
      <c r="M155" s="305">
        <f>ROUND(Ajustes!AK151,0)</f>
        <v>320</v>
      </c>
      <c r="N155" s="305">
        <f>ROUND(Ajustes!AL151,0)</f>
        <v>272</v>
      </c>
      <c r="O155" s="305">
        <f>ROUND(Ajustes!AM151,0)</f>
        <v>225</v>
      </c>
      <c r="P155" s="305">
        <f>ROUND(Ajustes!AN151,0)</f>
        <v>191</v>
      </c>
      <c r="Q155" s="305">
        <f>ROUND(Ajustes!AO151,0)</f>
        <v>165</v>
      </c>
      <c r="R155" s="305">
        <f>ROUND(Ajustes!AP151,0)</f>
        <v>137</v>
      </c>
      <c r="T155" s="305">
        <f t="shared" si="38"/>
        <v>149</v>
      </c>
      <c r="U155" s="305">
        <f t="shared" si="39"/>
        <v>291</v>
      </c>
      <c r="V155" s="305">
        <f>ROUND(Ajustes!AY151,0)</f>
        <v>272</v>
      </c>
      <c r="W155" s="305">
        <f>ROUND(Ajustes!AZ151,0)</f>
        <v>231</v>
      </c>
      <c r="X155" s="305">
        <f>ROUND(Ajustes!BA151,0)</f>
        <v>191</v>
      </c>
      <c r="Y155" s="305">
        <f>ROUND(Ajustes!BB151,0)</f>
        <v>162</v>
      </c>
      <c r="Z155" s="305">
        <f>ROUND(Ajustes!BC151,0)</f>
        <v>140</v>
      </c>
      <c r="AA155" s="305">
        <f>ROUND(Ajustes!BD151,0)</f>
        <v>116</v>
      </c>
      <c r="AC155" s="305">
        <f t="shared" si="40"/>
        <v>149</v>
      </c>
      <c r="AD155" s="305">
        <f t="shared" si="41"/>
        <v>291</v>
      </c>
      <c r="AE155" s="305">
        <f>ROUND(Ajustes!BM151,0)</f>
        <v>206</v>
      </c>
      <c r="AF155" s="305">
        <f>ROUND(Ajustes!BN151,0)</f>
        <v>175</v>
      </c>
      <c r="AG155" s="305">
        <f>ROUND(Ajustes!BO151,0)</f>
        <v>145</v>
      </c>
      <c r="AH155" s="305">
        <f>ROUND(Ajustes!BP151,0)</f>
        <v>123</v>
      </c>
      <c r="AI155" s="305">
        <f>ROUND(Ajustes!BQ151,0)</f>
        <v>106</v>
      </c>
      <c r="AJ155" s="305">
        <f>ROUND(Ajustes!BR151,0)</f>
        <v>88</v>
      </c>
    </row>
    <row r="156" spans="2:36" x14ac:dyDescent="0.25">
      <c r="B156" s="53">
        <v>150</v>
      </c>
      <c r="C156" s="53">
        <v>294</v>
      </c>
      <c r="D156" s="53">
        <v>123</v>
      </c>
      <c r="E156" s="53">
        <v>125</v>
      </c>
      <c r="F156" s="53">
        <v>123</v>
      </c>
      <c r="G156" s="53">
        <v>117</v>
      </c>
      <c r="H156" s="53">
        <v>118</v>
      </c>
      <c r="I156" s="53">
        <v>111</v>
      </c>
      <c r="K156" s="305">
        <f t="shared" si="36"/>
        <v>150</v>
      </c>
      <c r="L156" s="305">
        <f t="shared" si="37"/>
        <v>294</v>
      </c>
      <c r="M156" s="305">
        <f>ROUND(Ajustes!AK152,0)</f>
        <v>191</v>
      </c>
      <c r="N156" s="305">
        <f>ROUND(Ajustes!AL152,0)</f>
        <v>194</v>
      </c>
      <c r="O156" s="305">
        <f>ROUND(Ajustes!AM152,0)</f>
        <v>191</v>
      </c>
      <c r="P156" s="305">
        <f>ROUND(Ajustes!AN152,0)</f>
        <v>182</v>
      </c>
      <c r="Q156" s="305">
        <f>ROUND(Ajustes!AO152,0)</f>
        <v>183</v>
      </c>
      <c r="R156" s="305">
        <f>ROUND(Ajustes!AP152,0)</f>
        <v>172</v>
      </c>
      <c r="T156" s="305">
        <f t="shared" si="38"/>
        <v>150</v>
      </c>
      <c r="U156" s="305">
        <f t="shared" si="39"/>
        <v>294</v>
      </c>
      <c r="V156" s="305">
        <f>ROUND(Ajustes!AY152,0)</f>
        <v>162</v>
      </c>
      <c r="W156" s="305">
        <f>ROUND(Ajustes!AZ152,0)</f>
        <v>165</v>
      </c>
      <c r="X156" s="305">
        <f>ROUND(Ajustes!BA152,0)</f>
        <v>162</v>
      </c>
      <c r="Y156" s="305">
        <f>ROUND(Ajustes!BB152,0)</f>
        <v>154</v>
      </c>
      <c r="Z156" s="305">
        <f>ROUND(Ajustes!BC152,0)</f>
        <v>156</v>
      </c>
      <c r="AA156" s="305">
        <f>ROUND(Ajustes!BD152,0)</f>
        <v>146</v>
      </c>
      <c r="AC156" s="305">
        <f t="shared" si="40"/>
        <v>150</v>
      </c>
      <c r="AD156" s="305">
        <f t="shared" si="41"/>
        <v>294</v>
      </c>
      <c r="AE156" s="305">
        <f>ROUND(Ajustes!BM152,0)</f>
        <v>123</v>
      </c>
      <c r="AF156" s="305">
        <f>ROUND(Ajustes!BN152,0)</f>
        <v>125</v>
      </c>
      <c r="AG156" s="305">
        <f>ROUND(Ajustes!BO152,0)</f>
        <v>123</v>
      </c>
      <c r="AH156" s="305">
        <f>ROUND(Ajustes!BP152,0)</f>
        <v>117</v>
      </c>
      <c r="AI156" s="305">
        <f>ROUND(Ajustes!BQ152,0)</f>
        <v>118</v>
      </c>
      <c r="AJ156" s="305">
        <f>ROUND(Ajustes!BR152,0)</f>
        <v>111</v>
      </c>
    </row>
    <row r="157" spans="2:36" x14ac:dyDescent="0.25">
      <c r="B157" s="53">
        <v>151</v>
      </c>
      <c r="C157" s="53">
        <v>295</v>
      </c>
      <c r="D157" s="53">
        <v>79</v>
      </c>
      <c r="E157" s="53">
        <v>78</v>
      </c>
      <c r="F157" s="53">
        <v>77</v>
      </c>
      <c r="G157" s="53">
        <v>76</v>
      </c>
      <c r="H157" s="53">
        <v>75</v>
      </c>
      <c r="I157" s="53">
        <v>75</v>
      </c>
      <c r="K157" s="305">
        <f t="shared" si="36"/>
        <v>151</v>
      </c>
      <c r="L157" s="305">
        <f t="shared" si="37"/>
        <v>295</v>
      </c>
      <c r="M157" s="305">
        <f>ROUND(Ajustes!AK153,0)</f>
        <v>123</v>
      </c>
      <c r="N157" s="305">
        <f>ROUND(Ajustes!AL153,0)</f>
        <v>121</v>
      </c>
      <c r="O157" s="305">
        <f>ROUND(Ajustes!AM153,0)</f>
        <v>120</v>
      </c>
      <c r="P157" s="305">
        <f>ROUND(Ajustes!AN153,0)</f>
        <v>118</v>
      </c>
      <c r="Q157" s="305">
        <f>ROUND(Ajustes!AO153,0)</f>
        <v>116</v>
      </c>
      <c r="R157" s="305">
        <f>ROUND(Ajustes!AP153,0)</f>
        <v>116</v>
      </c>
      <c r="T157" s="305">
        <f t="shared" si="38"/>
        <v>151</v>
      </c>
      <c r="U157" s="305">
        <f t="shared" si="39"/>
        <v>295</v>
      </c>
      <c r="V157" s="305">
        <f>ROUND(Ajustes!AY153,0)</f>
        <v>104</v>
      </c>
      <c r="W157" s="305">
        <f>ROUND(Ajustes!AZ153,0)</f>
        <v>103</v>
      </c>
      <c r="X157" s="305">
        <f>ROUND(Ajustes!BA153,0)</f>
        <v>102</v>
      </c>
      <c r="Y157" s="305">
        <f>ROUND(Ajustes!BB153,0)</f>
        <v>100</v>
      </c>
      <c r="Z157" s="305">
        <f>ROUND(Ajustes!BC153,0)</f>
        <v>99</v>
      </c>
      <c r="AA157" s="305">
        <f>ROUND(Ajustes!BD153,0)</f>
        <v>99</v>
      </c>
      <c r="AC157" s="305">
        <f t="shared" si="40"/>
        <v>151</v>
      </c>
      <c r="AD157" s="305">
        <f t="shared" si="41"/>
        <v>295</v>
      </c>
      <c r="AE157" s="305">
        <f>ROUND(Ajustes!BM153,0)</f>
        <v>79</v>
      </c>
      <c r="AF157" s="305">
        <f>ROUND(Ajustes!BN153,0)</f>
        <v>78</v>
      </c>
      <c r="AG157" s="305">
        <f>ROUND(Ajustes!BO153,0)</f>
        <v>77</v>
      </c>
      <c r="AH157" s="305">
        <f>ROUND(Ajustes!BP153,0)</f>
        <v>76</v>
      </c>
      <c r="AI157" s="305">
        <f>ROUND(Ajustes!BQ153,0)</f>
        <v>75</v>
      </c>
      <c r="AJ157" s="305">
        <f>ROUND(Ajustes!BR153,0)</f>
        <v>75</v>
      </c>
    </row>
    <row r="158" spans="2:36" x14ac:dyDescent="0.25">
      <c r="B158" s="53">
        <v>152</v>
      </c>
      <c r="C158" s="53">
        <v>296</v>
      </c>
      <c r="D158" s="53">
        <v>36</v>
      </c>
      <c r="E158" s="53">
        <v>36</v>
      </c>
      <c r="F158" s="53">
        <v>35</v>
      </c>
      <c r="G158" s="53">
        <v>35</v>
      </c>
      <c r="H158" s="53">
        <v>35</v>
      </c>
      <c r="I158" s="53">
        <v>34</v>
      </c>
      <c r="K158" s="305">
        <f t="shared" si="36"/>
        <v>152</v>
      </c>
      <c r="L158" s="305">
        <f t="shared" si="37"/>
        <v>296</v>
      </c>
      <c r="M158" s="305">
        <f>ROUND(Ajustes!AK154,0)</f>
        <v>56</v>
      </c>
      <c r="N158" s="305">
        <f>ROUND(Ajustes!AL154,0)</f>
        <v>56</v>
      </c>
      <c r="O158" s="305">
        <f>ROUND(Ajustes!AM154,0)</f>
        <v>54</v>
      </c>
      <c r="P158" s="305">
        <f>ROUND(Ajustes!AN154,0)</f>
        <v>54</v>
      </c>
      <c r="Q158" s="305">
        <f>ROUND(Ajustes!AO154,0)</f>
        <v>54</v>
      </c>
      <c r="R158" s="305">
        <f>ROUND(Ajustes!AP154,0)</f>
        <v>53</v>
      </c>
      <c r="T158" s="305">
        <f t="shared" si="38"/>
        <v>152</v>
      </c>
      <c r="U158" s="305">
        <f t="shared" si="39"/>
        <v>296</v>
      </c>
      <c r="V158" s="305">
        <f>ROUND(Ajustes!AY154,0)</f>
        <v>47</v>
      </c>
      <c r="W158" s="305">
        <f>ROUND(Ajustes!AZ154,0)</f>
        <v>47</v>
      </c>
      <c r="X158" s="305">
        <f>ROUND(Ajustes!BA154,0)</f>
        <v>46</v>
      </c>
      <c r="Y158" s="305">
        <f>ROUND(Ajustes!BB154,0)</f>
        <v>46</v>
      </c>
      <c r="Z158" s="305">
        <f>ROUND(Ajustes!BC154,0)</f>
        <v>46</v>
      </c>
      <c r="AA158" s="305">
        <f>ROUND(Ajustes!BD154,0)</f>
        <v>45</v>
      </c>
      <c r="AC158" s="305">
        <f t="shared" si="40"/>
        <v>152</v>
      </c>
      <c r="AD158" s="305">
        <f t="shared" si="41"/>
        <v>296</v>
      </c>
      <c r="AE158" s="305">
        <f>ROUND(Ajustes!BM154,0)</f>
        <v>36</v>
      </c>
      <c r="AF158" s="305">
        <f>ROUND(Ajustes!BN154,0)</f>
        <v>36</v>
      </c>
      <c r="AG158" s="305">
        <f>ROUND(Ajustes!BO154,0)</f>
        <v>35</v>
      </c>
      <c r="AH158" s="305">
        <f>ROUND(Ajustes!BP154,0)</f>
        <v>35</v>
      </c>
      <c r="AI158" s="305">
        <f>ROUND(Ajustes!BQ154,0)</f>
        <v>35</v>
      </c>
      <c r="AJ158" s="305">
        <f>ROUND(Ajustes!BR154,0)</f>
        <v>34</v>
      </c>
    </row>
    <row r="159" spans="2:36" x14ac:dyDescent="0.25">
      <c r="B159" s="53">
        <v>153</v>
      </c>
      <c r="C159" s="53">
        <v>297</v>
      </c>
      <c r="D159" s="53">
        <v>2034</v>
      </c>
      <c r="E159" s="53">
        <v>2086</v>
      </c>
      <c r="F159" s="53">
        <v>2056</v>
      </c>
      <c r="G159" s="53">
        <v>1956</v>
      </c>
      <c r="H159" s="53">
        <v>1918</v>
      </c>
      <c r="I159" s="53">
        <v>1816</v>
      </c>
      <c r="K159" s="305">
        <f t="shared" si="36"/>
        <v>153</v>
      </c>
      <c r="L159" s="305">
        <f t="shared" si="37"/>
        <v>297</v>
      </c>
      <c r="M159" s="305">
        <f>ROUND(Ajustes!AK155,0)</f>
        <v>6821</v>
      </c>
      <c r="N159" s="305">
        <f>ROUND(Ajustes!AL155,0)</f>
        <v>6995</v>
      </c>
      <c r="O159" s="305">
        <f>ROUND(Ajustes!AM155,0)</f>
        <v>6895</v>
      </c>
      <c r="P159" s="305">
        <f>ROUND(Ajustes!AN155,0)</f>
        <v>6559</v>
      </c>
      <c r="Q159" s="305">
        <f>ROUND(Ajustes!AO155,0)</f>
        <v>6432</v>
      </c>
      <c r="R159" s="305">
        <f>ROUND(Ajustes!AP155,0)</f>
        <v>6090</v>
      </c>
      <c r="T159" s="305">
        <f t="shared" si="38"/>
        <v>153</v>
      </c>
      <c r="U159" s="305">
        <f t="shared" si="39"/>
        <v>297</v>
      </c>
      <c r="V159" s="305">
        <f>ROUND(Ajustes!AY155,0)</f>
        <v>6913</v>
      </c>
      <c r="W159" s="305">
        <f>ROUND(Ajustes!AZ155,0)</f>
        <v>7090</v>
      </c>
      <c r="X159" s="305">
        <f>ROUND(Ajustes!BA155,0)</f>
        <v>6988</v>
      </c>
      <c r="Y159" s="305">
        <f>ROUND(Ajustes!BB155,0)</f>
        <v>6648</v>
      </c>
      <c r="Z159" s="305">
        <f>ROUND(Ajustes!BC155,0)</f>
        <v>6519</v>
      </c>
      <c r="AA159" s="305">
        <f>ROUND(Ajustes!BD155,0)</f>
        <v>6172</v>
      </c>
      <c r="AC159" s="305">
        <f t="shared" si="40"/>
        <v>153</v>
      </c>
      <c r="AD159" s="305">
        <f t="shared" si="41"/>
        <v>297</v>
      </c>
      <c r="AE159" s="305">
        <f>ROUND(Ajustes!BM155,0)</f>
        <v>2034</v>
      </c>
      <c r="AF159" s="305">
        <f>ROUND(Ajustes!BN155,0)</f>
        <v>2086</v>
      </c>
      <c r="AG159" s="305">
        <f>ROUND(Ajustes!BO155,0)</f>
        <v>2056</v>
      </c>
      <c r="AH159" s="305">
        <f>ROUND(Ajustes!BP155,0)</f>
        <v>1956</v>
      </c>
      <c r="AI159" s="305">
        <f>ROUND(Ajustes!BQ155,0)</f>
        <v>1918</v>
      </c>
      <c r="AJ159" s="305">
        <f>ROUND(Ajustes!BR155,0)</f>
        <v>1816</v>
      </c>
    </row>
    <row r="160" spans="2:36" x14ac:dyDescent="0.25">
      <c r="B160" s="53">
        <v>154</v>
      </c>
      <c r="C160" s="53">
        <v>301</v>
      </c>
      <c r="D160" s="53">
        <v>14</v>
      </c>
      <c r="E160" s="53">
        <v>13</v>
      </c>
      <c r="F160" s="53">
        <v>12</v>
      </c>
      <c r="G160" s="53">
        <v>11</v>
      </c>
      <c r="H160" s="53">
        <v>11</v>
      </c>
      <c r="I160" s="53">
        <v>10</v>
      </c>
      <c r="K160" s="305">
        <f t="shared" si="36"/>
        <v>154</v>
      </c>
      <c r="L160" s="305">
        <f t="shared" si="37"/>
        <v>301</v>
      </c>
      <c r="M160" s="305">
        <f>ROUND(Ajustes!AK156,0)</f>
        <v>22</v>
      </c>
      <c r="N160" s="305">
        <f>ROUND(Ajustes!AL156,0)</f>
        <v>20</v>
      </c>
      <c r="O160" s="305">
        <f>ROUND(Ajustes!AM156,0)</f>
        <v>19</v>
      </c>
      <c r="P160" s="305">
        <f>ROUND(Ajustes!AN156,0)</f>
        <v>17</v>
      </c>
      <c r="Q160" s="305">
        <f>ROUND(Ajustes!AO156,0)</f>
        <v>17</v>
      </c>
      <c r="R160" s="305">
        <f>ROUND(Ajustes!AP156,0)</f>
        <v>16</v>
      </c>
      <c r="T160" s="305">
        <f t="shared" si="38"/>
        <v>154</v>
      </c>
      <c r="U160" s="305">
        <f t="shared" si="39"/>
        <v>301</v>
      </c>
      <c r="V160" s="305">
        <f>ROUND(Ajustes!AY156,0)</f>
        <v>18</v>
      </c>
      <c r="W160" s="305">
        <f>ROUND(Ajustes!AZ156,0)</f>
        <v>17</v>
      </c>
      <c r="X160" s="305">
        <f>ROUND(Ajustes!BA156,0)</f>
        <v>16</v>
      </c>
      <c r="Y160" s="305">
        <f>ROUND(Ajustes!BB156,0)</f>
        <v>15</v>
      </c>
      <c r="Z160" s="305">
        <f>ROUND(Ajustes!BC156,0)</f>
        <v>15</v>
      </c>
      <c r="AA160" s="305">
        <f>ROUND(Ajustes!BD156,0)</f>
        <v>13</v>
      </c>
      <c r="AC160" s="305">
        <f t="shared" si="40"/>
        <v>154</v>
      </c>
      <c r="AD160" s="305">
        <f t="shared" si="41"/>
        <v>301</v>
      </c>
      <c r="AE160" s="305">
        <f>ROUND(Ajustes!BM156,0)</f>
        <v>14</v>
      </c>
      <c r="AF160" s="305">
        <f>ROUND(Ajustes!BN156,0)</f>
        <v>13</v>
      </c>
      <c r="AG160" s="305">
        <f>ROUND(Ajustes!BO156,0)</f>
        <v>12</v>
      </c>
      <c r="AH160" s="305">
        <f>ROUND(Ajustes!BP156,0)</f>
        <v>11</v>
      </c>
      <c r="AI160" s="305">
        <f>ROUND(Ajustes!BQ156,0)</f>
        <v>11</v>
      </c>
      <c r="AJ160" s="305">
        <f>ROUND(Ajustes!BR156,0)</f>
        <v>10</v>
      </c>
    </row>
    <row r="161" spans="2:36" x14ac:dyDescent="0.25">
      <c r="B161" s="53">
        <v>155</v>
      </c>
      <c r="C161" s="53">
        <v>320</v>
      </c>
      <c r="D161" s="53">
        <v>16</v>
      </c>
      <c r="E161" s="53">
        <v>16</v>
      </c>
      <c r="F161" s="53">
        <v>14</v>
      </c>
      <c r="G161" s="53">
        <v>13</v>
      </c>
      <c r="H161" s="53">
        <v>13</v>
      </c>
      <c r="I161" s="53">
        <v>12</v>
      </c>
      <c r="K161" s="305">
        <f t="shared" si="36"/>
        <v>155</v>
      </c>
      <c r="L161" s="305">
        <f t="shared" si="37"/>
        <v>320</v>
      </c>
      <c r="M161" s="305">
        <f>ROUND(Ajustes!AK157,0)</f>
        <v>25</v>
      </c>
      <c r="N161" s="305">
        <f>ROUND(Ajustes!AL157,0)</f>
        <v>25</v>
      </c>
      <c r="O161" s="305">
        <f>ROUND(Ajustes!AM157,0)</f>
        <v>22</v>
      </c>
      <c r="P161" s="305">
        <f>ROUND(Ajustes!AN157,0)</f>
        <v>20</v>
      </c>
      <c r="Q161" s="305">
        <f>ROUND(Ajustes!AO157,0)</f>
        <v>20</v>
      </c>
      <c r="R161" s="305">
        <f>ROUND(Ajustes!AP157,0)</f>
        <v>19</v>
      </c>
      <c r="T161" s="305">
        <f t="shared" si="38"/>
        <v>155</v>
      </c>
      <c r="U161" s="305">
        <f t="shared" si="39"/>
        <v>320</v>
      </c>
      <c r="V161" s="305">
        <f>ROUND(Ajustes!AY157,0)</f>
        <v>21</v>
      </c>
      <c r="W161" s="305">
        <f>ROUND(Ajustes!AZ157,0)</f>
        <v>21</v>
      </c>
      <c r="X161" s="305">
        <f>ROUND(Ajustes!BA157,0)</f>
        <v>18</v>
      </c>
      <c r="Y161" s="305">
        <f>ROUND(Ajustes!BB157,0)</f>
        <v>17</v>
      </c>
      <c r="Z161" s="305">
        <f>ROUND(Ajustes!BC157,0)</f>
        <v>17</v>
      </c>
      <c r="AA161" s="305">
        <f>ROUND(Ajustes!BD157,0)</f>
        <v>16</v>
      </c>
      <c r="AC161" s="305">
        <f t="shared" si="40"/>
        <v>155</v>
      </c>
      <c r="AD161" s="305">
        <f t="shared" si="41"/>
        <v>320</v>
      </c>
      <c r="AE161" s="305">
        <f>ROUND(Ajustes!BM157,0)</f>
        <v>16</v>
      </c>
      <c r="AF161" s="305">
        <f>ROUND(Ajustes!BN157,0)</f>
        <v>16</v>
      </c>
      <c r="AG161" s="305">
        <f>ROUND(Ajustes!BO157,0)</f>
        <v>14</v>
      </c>
      <c r="AH161" s="305">
        <f>ROUND(Ajustes!BP157,0)</f>
        <v>13</v>
      </c>
      <c r="AI161" s="305">
        <f>ROUND(Ajustes!BQ157,0)</f>
        <v>13</v>
      </c>
      <c r="AJ161" s="305">
        <f>ROUND(Ajustes!BR157,0)</f>
        <v>12</v>
      </c>
    </row>
    <row r="162" spans="2:36" x14ac:dyDescent="0.25">
      <c r="B162" s="305"/>
      <c r="C162" s="53"/>
      <c r="D162" s="53"/>
      <c r="E162" s="53"/>
      <c r="F162" s="53"/>
      <c r="G162" s="53"/>
      <c r="H162" s="53"/>
      <c r="I162" s="53"/>
      <c r="K162" s="305"/>
      <c r="L162" s="305"/>
      <c r="M162" s="305"/>
      <c r="N162" s="305"/>
      <c r="O162" s="305"/>
      <c r="P162" s="305"/>
      <c r="Q162" s="305"/>
      <c r="R162" s="305"/>
      <c r="T162" s="305"/>
      <c r="U162" s="305"/>
      <c r="V162" s="305"/>
      <c r="W162" s="305"/>
      <c r="X162" s="305"/>
      <c r="Y162" s="305"/>
      <c r="Z162" s="305"/>
      <c r="AA162" s="305"/>
      <c r="AC162" s="305"/>
      <c r="AD162" s="305"/>
      <c r="AE162" s="305"/>
      <c r="AF162" s="305"/>
      <c r="AG162" s="305"/>
      <c r="AH162" s="305"/>
      <c r="AI162" s="305"/>
      <c r="AJ162" s="305"/>
    </row>
    <row r="163" spans="2:36" x14ac:dyDescent="0.25">
      <c r="B163" s="305"/>
      <c r="C163" s="53"/>
      <c r="D163" s="53"/>
      <c r="E163" s="53"/>
      <c r="F163" s="53"/>
      <c r="G163" s="53"/>
      <c r="H163" s="53"/>
      <c r="I163" s="53"/>
      <c r="K163" s="305"/>
      <c r="L163" s="305"/>
      <c r="M163" s="305"/>
      <c r="N163" s="305"/>
      <c r="O163" s="305"/>
      <c r="P163" s="305"/>
      <c r="Q163" s="305"/>
      <c r="R163" s="305"/>
      <c r="T163" s="305"/>
      <c r="U163" s="305"/>
      <c r="V163" s="305"/>
      <c r="W163" s="305"/>
      <c r="X163" s="305"/>
      <c r="Y163" s="305"/>
      <c r="Z163" s="305"/>
      <c r="AA163" s="305"/>
      <c r="AC163" s="305"/>
      <c r="AD163" s="305"/>
      <c r="AE163" s="305"/>
      <c r="AF163" s="305"/>
      <c r="AG163" s="305"/>
      <c r="AH163" s="305"/>
      <c r="AI163" s="305"/>
      <c r="AJ163" s="305"/>
    </row>
    <row r="164" spans="2:36" s="303" customFormat="1" x14ac:dyDescent="0.25">
      <c r="B164" s="305"/>
      <c r="C164" s="305"/>
      <c r="D164" s="305"/>
      <c r="E164" s="305"/>
      <c r="F164" s="305"/>
      <c r="G164" s="305"/>
      <c r="H164" s="305"/>
      <c r="I164" s="305"/>
      <c r="K164" s="305"/>
      <c r="L164" s="305"/>
      <c r="M164" s="305"/>
      <c r="N164" s="305"/>
      <c r="O164" s="305"/>
      <c r="P164" s="305"/>
      <c r="Q164" s="305"/>
      <c r="R164" s="305"/>
      <c r="T164" s="305"/>
      <c r="U164" s="305"/>
      <c r="V164" s="305"/>
      <c r="W164" s="305"/>
      <c r="X164" s="305"/>
      <c r="Y164" s="305"/>
      <c r="Z164" s="305"/>
      <c r="AA164" s="305"/>
      <c r="AC164" s="305"/>
      <c r="AD164" s="305"/>
      <c r="AE164" s="305"/>
      <c r="AF164" s="305"/>
      <c r="AG164" s="305"/>
      <c r="AH164" s="305"/>
      <c r="AI164" s="305"/>
      <c r="AJ164" s="305"/>
    </row>
    <row r="165" spans="2:36" s="303" customFormat="1" x14ac:dyDescent="0.25">
      <c r="B165" s="305"/>
      <c r="C165" s="305"/>
      <c r="D165" s="305"/>
      <c r="E165" s="305"/>
      <c r="F165" s="305"/>
      <c r="G165" s="305"/>
      <c r="H165" s="305"/>
      <c r="I165" s="305"/>
      <c r="K165" s="305"/>
      <c r="L165" s="305"/>
      <c r="M165" s="305"/>
      <c r="N165" s="305"/>
      <c r="O165" s="305"/>
      <c r="P165" s="305"/>
      <c r="Q165" s="305"/>
      <c r="R165" s="305"/>
      <c r="T165" s="305"/>
      <c r="U165" s="305"/>
      <c r="V165" s="305"/>
      <c r="W165" s="305"/>
      <c r="X165" s="305"/>
      <c r="Y165" s="305"/>
      <c r="Z165" s="305"/>
      <c r="AA165" s="305"/>
      <c r="AC165" s="305"/>
      <c r="AD165" s="305"/>
      <c r="AE165" s="305"/>
      <c r="AF165" s="305"/>
      <c r="AG165" s="305"/>
      <c r="AH165" s="305"/>
      <c r="AI165" s="305"/>
      <c r="AJ165" s="305"/>
    </row>
    <row r="166" spans="2:36" s="303" customFormat="1" x14ac:dyDescent="0.25">
      <c r="B166" s="305"/>
      <c r="C166" s="305"/>
      <c r="D166" s="305"/>
      <c r="E166" s="305"/>
      <c r="F166" s="305"/>
      <c r="G166" s="305"/>
      <c r="H166" s="305"/>
      <c r="I166" s="305"/>
      <c r="K166" s="305"/>
      <c r="L166" s="305"/>
      <c r="M166" s="305"/>
      <c r="N166" s="305"/>
      <c r="O166" s="305"/>
      <c r="P166" s="305"/>
      <c r="Q166" s="305"/>
      <c r="R166" s="305"/>
      <c r="T166" s="305"/>
      <c r="U166" s="305"/>
      <c r="V166" s="305"/>
      <c r="W166" s="305"/>
      <c r="X166" s="305"/>
      <c r="Y166" s="305"/>
      <c r="Z166" s="305"/>
      <c r="AA166" s="305"/>
      <c r="AC166" s="305"/>
      <c r="AD166" s="305"/>
      <c r="AE166" s="305"/>
      <c r="AF166" s="305"/>
      <c r="AG166" s="305"/>
      <c r="AH166" s="305"/>
      <c r="AI166" s="305"/>
      <c r="AJ166" s="305"/>
    </row>
    <row r="167" spans="2:36" s="303" customFormat="1" x14ac:dyDescent="0.25">
      <c r="B167" s="305"/>
      <c r="C167" s="305"/>
      <c r="D167" s="305"/>
      <c r="E167" s="305"/>
      <c r="F167" s="305"/>
      <c r="G167" s="305"/>
      <c r="H167" s="305"/>
      <c r="I167" s="305"/>
      <c r="K167" s="305"/>
      <c r="L167" s="305"/>
      <c r="M167" s="305"/>
      <c r="N167" s="305"/>
      <c r="O167" s="305"/>
      <c r="P167" s="305"/>
      <c r="Q167" s="305"/>
      <c r="R167" s="305"/>
      <c r="T167" s="305"/>
      <c r="U167" s="305"/>
      <c r="V167" s="305"/>
      <c r="W167" s="305"/>
      <c r="X167" s="305"/>
      <c r="Y167" s="305"/>
      <c r="Z167" s="305"/>
      <c r="AA167" s="305"/>
      <c r="AC167" s="305"/>
      <c r="AD167" s="305"/>
      <c r="AE167" s="305"/>
      <c r="AF167" s="305"/>
      <c r="AG167" s="305"/>
      <c r="AH167" s="305"/>
      <c r="AI167" s="305"/>
      <c r="AJ167" s="305"/>
    </row>
    <row r="168" spans="2:36" s="303" customFormat="1" x14ac:dyDescent="0.25">
      <c r="B168" s="305"/>
      <c r="C168" s="305"/>
      <c r="D168" s="305"/>
      <c r="E168" s="305"/>
      <c r="F168" s="305"/>
      <c r="G168" s="305"/>
      <c r="H168" s="305"/>
      <c r="I168" s="305"/>
      <c r="K168" s="305"/>
      <c r="L168" s="305"/>
      <c r="M168" s="305"/>
      <c r="N168" s="305"/>
      <c r="O168" s="305"/>
      <c r="P168" s="305"/>
      <c r="Q168" s="305"/>
      <c r="R168" s="305"/>
      <c r="T168" s="305"/>
      <c r="U168" s="305"/>
      <c r="V168" s="305"/>
      <c r="W168" s="305"/>
      <c r="X168" s="305"/>
      <c r="Y168" s="305"/>
      <c r="Z168" s="305"/>
      <c r="AA168" s="305"/>
      <c r="AC168" s="305"/>
      <c r="AD168" s="305"/>
      <c r="AE168" s="305"/>
      <c r="AF168" s="305"/>
      <c r="AG168" s="305"/>
      <c r="AH168" s="305"/>
      <c r="AI168" s="305"/>
      <c r="AJ168" s="305"/>
    </row>
    <row r="169" spans="2:36" s="303" customFormat="1" x14ac:dyDescent="0.25">
      <c r="B169" s="305"/>
      <c r="C169" s="305"/>
      <c r="D169" s="305"/>
      <c r="E169" s="305"/>
      <c r="F169" s="305"/>
      <c r="G169" s="305"/>
      <c r="H169" s="305"/>
      <c r="I169" s="305"/>
      <c r="K169" s="305"/>
      <c r="L169" s="305"/>
      <c r="M169" s="305"/>
      <c r="N169" s="305"/>
      <c r="O169" s="305"/>
      <c r="P169" s="305"/>
      <c r="Q169" s="305"/>
      <c r="R169" s="305"/>
      <c r="T169" s="305"/>
      <c r="U169" s="305"/>
      <c r="V169" s="305"/>
      <c r="W169" s="305"/>
      <c r="X169" s="305"/>
      <c r="Y169" s="305"/>
      <c r="Z169" s="305"/>
      <c r="AA169" s="305"/>
      <c r="AC169" s="305"/>
      <c r="AD169" s="305"/>
      <c r="AE169" s="305"/>
      <c r="AF169" s="305"/>
      <c r="AG169" s="305"/>
      <c r="AH169" s="305"/>
      <c r="AI169" s="305"/>
      <c r="AJ169" s="305"/>
    </row>
    <row r="170" spans="2:36" s="303" customFormat="1" x14ac:dyDescent="0.25">
      <c r="B170" s="305"/>
      <c r="C170" s="305"/>
      <c r="D170" s="305"/>
      <c r="E170" s="305"/>
      <c r="F170" s="305"/>
      <c r="G170" s="305"/>
      <c r="H170" s="305"/>
      <c r="I170" s="305"/>
      <c r="K170" s="305"/>
      <c r="L170" s="305"/>
      <c r="M170" s="305"/>
      <c r="N170" s="305"/>
      <c r="O170" s="305"/>
      <c r="P170" s="305"/>
      <c r="Q170" s="305"/>
      <c r="R170" s="305"/>
      <c r="T170" s="305"/>
      <c r="U170" s="305"/>
      <c r="V170" s="305"/>
      <c r="W170" s="305"/>
      <c r="X170" s="305"/>
      <c r="Y170" s="305"/>
      <c r="Z170" s="305"/>
      <c r="AA170" s="305"/>
      <c r="AC170" s="305"/>
      <c r="AD170" s="305"/>
      <c r="AE170" s="305"/>
      <c r="AF170" s="305"/>
      <c r="AG170" s="305"/>
      <c r="AH170" s="305"/>
      <c r="AI170" s="305"/>
      <c r="AJ170" s="305"/>
    </row>
    <row r="171" spans="2:36" s="303" customFormat="1" x14ac:dyDescent="0.25">
      <c r="B171" s="305"/>
      <c r="C171" s="305"/>
      <c r="D171" s="305"/>
      <c r="E171" s="305"/>
      <c r="F171" s="305"/>
      <c r="G171" s="305"/>
      <c r="H171" s="305"/>
      <c r="I171" s="305"/>
      <c r="K171" s="305"/>
      <c r="L171" s="305"/>
      <c r="M171" s="305"/>
      <c r="N171" s="305"/>
      <c r="O171" s="305"/>
      <c r="P171" s="305"/>
      <c r="Q171" s="305"/>
      <c r="R171" s="305"/>
      <c r="T171" s="305"/>
      <c r="U171" s="305"/>
      <c r="V171" s="305"/>
      <c r="W171" s="305"/>
      <c r="X171" s="305"/>
      <c r="Y171" s="305"/>
      <c r="Z171" s="305"/>
      <c r="AA171" s="305"/>
      <c r="AC171" s="305"/>
      <c r="AD171" s="305"/>
      <c r="AE171" s="305"/>
      <c r="AF171" s="305"/>
      <c r="AG171" s="305"/>
      <c r="AH171" s="305"/>
      <c r="AI171" s="305"/>
      <c r="AJ171" s="305"/>
    </row>
    <row r="172" spans="2:36" s="303" customFormat="1" x14ac:dyDescent="0.25">
      <c r="B172" s="305"/>
      <c r="C172" s="305"/>
      <c r="D172" s="305"/>
      <c r="E172" s="305"/>
      <c r="F172" s="305"/>
      <c r="G172" s="305"/>
      <c r="H172" s="305"/>
      <c r="I172" s="305"/>
      <c r="K172" s="305"/>
      <c r="L172" s="305"/>
      <c r="M172" s="305"/>
      <c r="N172" s="305"/>
      <c r="O172" s="305"/>
      <c r="P172" s="305"/>
      <c r="Q172" s="305"/>
      <c r="R172" s="305"/>
      <c r="T172" s="305"/>
      <c r="U172" s="305"/>
      <c r="V172" s="305"/>
      <c r="W172" s="305"/>
      <c r="X172" s="305"/>
      <c r="Y172" s="305"/>
      <c r="Z172" s="305"/>
      <c r="AA172" s="305"/>
      <c r="AC172" s="305"/>
      <c r="AD172" s="305"/>
      <c r="AE172" s="305"/>
      <c r="AF172" s="305"/>
      <c r="AG172" s="305"/>
      <c r="AH172" s="305"/>
      <c r="AI172" s="305"/>
      <c r="AJ172" s="305"/>
    </row>
    <row r="173" spans="2:36" s="303" customFormat="1" x14ac:dyDescent="0.25">
      <c r="B173" s="305"/>
      <c r="C173" s="305"/>
      <c r="D173" s="305"/>
      <c r="E173" s="305"/>
      <c r="F173" s="305"/>
      <c r="G173" s="305"/>
      <c r="H173" s="305"/>
      <c r="I173" s="305"/>
      <c r="K173" s="305"/>
      <c r="L173" s="305"/>
      <c r="M173" s="305"/>
      <c r="N173" s="305"/>
      <c r="O173" s="305"/>
      <c r="P173" s="305"/>
      <c r="Q173" s="305"/>
      <c r="R173" s="305"/>
      <c r="T173" s="305"/>
      <c r="U173" s="305"/>
      <c r="V173" s="305"/>
      <c r="W173" s="305"/>
      <c r="X173" s="305"/>
      <c r="Y173" s="305"/>
      <c r="Z173" s="305"/>
      <c r="AA173" s="305"/>
      <c r="AC173" s="305"/>
      <c r="AD173" s="305"/>
      <c r="AE173" s="305"/>
      <c r="AF173" s="305"/>
      <c r="AG173" s="305"/>
      <c r="AH173" s="305"/>
      <c r="AI173" s="305"/>
      <c r="AJ173" s="305"/>
    </row>
    <row r="174" spans="2:36" s="303" customFormat="1" x14ac:dyDescent="0.25">
      <c r="B174" s="305"/>
      <c r="C174" s="305"/>
      <c r="D174" s="305"/>
      <c r="E174" s="305"/>
      <c r="F174" s="305"/>
      <c r="G174" s="305"/>
      <c r="H174" s="305"/>
      <c r="I174" s="305"/>
      <c r="K174" s="305"/>
      <c r="L174" s="305"/>
      <c r="M174" s="305"/>
      <c r="N174" s="305"/>
      <c r="O174" s="305"/>
      <c r="P174" s="305"/>
      <c r="Q174" s="305"/>
      <c r="R174" s="305"/>
      <c r="T174" s="305"/>
      <c r="U174" s="305"/>
      <c r="V174" s="305"/>
      <c r="W174" s="305"/>
      <c r="X174" s="305"/>
      <c r="Y174" s="305"/>
      <c r="Z174" s="305"/>
      <c r="AA174" s="305"/>
      <c r="AC174" s="305"/>
      <c r="AD174" s="305"/>
      <c r="AE174" s="305"/>
      <c r="AF174" s="305"/>
      <c r="AG174" s="305"/>
      <c r="AH174" s="305"/>
      <c r="AI174" s="305"/>
      <c r="AJ174" s="305"/>
    </row>
    <row r="175" spans="2:36" s="303" customFormat="1" x14ac:dyDescent="0.25">
      <c r="B175" s="305"/>
      <c r="C175" s="305"/>
      <c r="D175" s="305"/>
      <c r="E175" s="305"/>
      <c r="F175" s="305"/>
      <c r="G175" s="305"/>
      <c r="H175" s="305"/>
      <c r="I175" s="305"/>
      <c r="K175" s="305"/>
      <c r="L175" s="305"/>
      <c r="M175" s="305"/>
      <c r="N175" s="305"/>
      <c r="O175" s="305"/>
      <c r="P175" s="305"/>
      <c r="Q175" s="305"/>
      <c r="R175" s="305"/>
      <c r="T175" s="305"/>
      <c r="U175" s="305"/>
      <c r="V175" s="305"/>
      <c r="W175" s="305"/>
      <c r="X175" s="305"/>
      <c r="Y175" s="305"/>
      <c r="Z175" s="305"/>
      <c r="AA175" s="305"/>
      <c r="AC175" s="305"/>
      <c r="AD175" s="305"/>
      <c r="AE175" s="305"/>
      <c r="AF175" s="305"/>
      <c r="AG175" s="305"/>
      <c r="AH175" s="305"/>
      <c r="AI175" s="305"/>
      <c r="AJ175" s="305"/>
    </row>
    <row r="176" spans="2:36" s="303" customFormat="1" x14ac:dyDescent="0.25">
      <c r="B176" s="305"/>
      <c r="C176" s="305"/>
      <c r="D176" s="305"/>
      <c r="E176" s="305"/>
      <c r="F176" s="305"/>
      <c r="G176" s="305"/>
      <c r="H176" s="305"/>
      <c r="I176" s="305"/>
      <c r="K176" s="305"/>
      <c r="L176" s="305"/>
      <c r="M176" s="305"/>
      <c r="N176" s="305"/>
      <c r="O176" s="305"/>
      <c r="P176" s="305"/>
      <c r="Q176" s="305"/>
      <c r="R176" s="305"/>
      <c r="T176" s="305"/>
      <c r="U176" s="305"/>
      <c r="V176" s="305"/>
      <c r="W176" s="305"/>
      <c r="X176" s="305"/>
      <c r="Y176" s="305"/>
      <c r="Z176" s="305"/>
      <c r="AA176" s="305"/>
      <c r="AC176" s="305"/>
      <c r="AD176" s="305"/>
      <c r="AE176" s="305"/>
      <c r="AF176" s="305"/>
      <c r="AG176" s="305"/>
      <c r="AH176" s="305"/>
      <c r="AI176" s="305"/>
      <c r="AJ176" s="305"/>
    </row>
    <row r="177" spans="2:36" s="303" customFormat="1" x14ac:dyDescent="0.25">
      <c r="B177" s="305"/>
      <c r="C177" s="305"/>
      <c r="D177" s="305"/>
      <c r="E177" s="305"/>
      <c r="F177" s="305"/>
      <c r="G177" s="305"/>
      <c r="H177" s="305"/>
      <c r="I177" s="305"/>
      <c r="K177" s="305"/>
      <c r="L177" s="305"/>
      <c r="M177" s="305"/>
      <c r="N177" s="305"/>
      <c r="O177" s="305"/>
      <c r="P177" s="305"/>
      <c r="Q177" s="305"/>
      <c r="R177" s="305"/>
      <c r="T177" s="305"/>
      <c r="U177" s="305"/>
      <c r="V177" s="305"/>
      <c r="W177" s="305"/>
      <c r="X177" s="305"/>
      <c r="Y177" s="305"/>
      <c r="Z177" s="305"/>
      <c r="AA177" s="305"/>
      <c r="AC177" s="305"/>
      <c r="AD177" s="305"/>
      <c r="AE177" s="305"/>
      <c r="AF177" s="305"/>
      <c r="AG177" s="305"/>
      <c r="AH177" s="305"/>
      <c r="AI177" s="305"/>
      <c r="AJ177" s="305"/>
    </row>
    <row r="178" spans="2:36" s="303" customFormat="1" x14ac:dyDescent="0.25">
      <c r="B178" s="305"/>
      <c r="C178" s="305"/>
      <c r="D178" s="305"/>
      <c r="E178" s="305"/>
      <c r="F178" s="305"/>
      <c r="G178" s="305"/>
      <c r="H178" s="305"/>
      <c r="I178" s="305"/>
      <c r="K178" s="305"/>
      <c r="L178" s="305"/>
      <c r="M178" s="305"/>
      <c r="N178" s="305"/>
      <c r="O178" s="305"/>
      <c r="P178" s="305"/>
      <c r="Q178" s="305"/>
      <c r="R178" s="305"/>
      <c r="T178" s="305"/>
      <c r="U178" s="305"/>
      <c r="V178" s="305"/>
      <c r="W178" s="305"/>
      <c r="X178" s="305"/>
      <c r="Y178" s="305"/>
      <c r="Z178" s="305"/>
      <c r="AA178" s="305"/>
      <c r="AC178" s="305"/>
      <c r="AD178" s="305"/>
      <c r="AE178" s="305"/>
      <c r="AF178" s="305"/>
      <c r="AG178" s="305"/>
      <c r="AH178" s="305"/>
      <c r="AI178" s="305"/>
      <c r="AJ178" s="305"/>
    </row>
    <row r="179" spans="2:36" s="303" customFormat="1" x14ac:dyDescent="0.25">
      <c r="B179" s="305"/>
      <c r="C179" s="305"/>
      <c r="D179" s="305"/>
      <c r="E179" s="305"/>
      <c r="F179" s="305"/>
      <c r="G179" s="305"/>
      <c r="H179" s="305"/>
      <c r="I179" s="305"/>
      <c r="K179" s="305"/>
      <c r="L179" s="305"/>
      <c r="M179" s="305"/>
      <c r="N179" s="305"/>
      <c r="O179" s="305"/>
      <c r="P179" s="305"/>
      <c r="Q179" s="305"/>
      <c r="R179" s="305"/>
      <c r="T179" s="305"/>
      <c r="U179" s="305"/>
      <c r="V179" s="305"/>
      <c r="W179" s="305"/>
      <c r="X179" s="305"/>
      <c r="Y179" s="305"/>
      <c r="Z179" s="305"/>
      <c r="AA179" s="305"/>
      <c r="AC179" s="305"/>
      <c r="AD179" s="305"/>
      <c r="AE179" s="305"/>
      <c r="AF179" s="305"/>
      <c r="AG179" s="305"/>
      <c r="AH179" s="305"/>
      <c r="AI179" s="305"/>
      <c r="AJ179" s="305"/>
    </row>
    <row r="180" spans="2:36" s="303" customFormat="1" x14ac:dyDescent="0.25">
      <c r="B180" s="305"/>
      <c r="C180" s="305"/>
      <c r="D180" s="305"/>
      <c r="E180" s="305"/>
      <c r="F180" s="305"/>
      <c r="G180" s="305"/>
      <c r="H180" s="305"/>
      <c r="I180" s="305"/>
      <c r="K180" s="305"/>
      <c r="L180" s="305"/>
      <c r="M180" s="305"/>
      <c r="N180" s="305"/>
      <c r="O180" s="305"/>
      <c r="P180" s="305"/>
      <c r="Q180" s="305"/>
      <c r="R180" s="305"/>
      <c r="T180" s="305"/>
      <c r="U180" s="305"/>
      <c r="V180" s="305"/>
      <c r="W180" s="305"/>
      <c r="X180" s="305"/>
      <c r="Y180" s="305"/>
      <c r="Z180" s="305"/>
      <c r="AA180" s="305"/>
      <c r="AC180" s="305"/>
      <c r="AD180" s="305"/>
      <c r="AE180" s="305"/>
      <c r="AF180" s="305"/>
      <c r="AG180" s="305"/>
      <c r="AH180" s="305"/>
      <c r="AI180" s="305"/>
      <c r="AJ180" s="305"/>
    </row>
    <row r="181" spans="2:36" s="303" customFormat="1" x14ac:dyDescent="0.25">
      <c r="B181" s="305"/>
      <c r="C181" s="305"/>
      <c r="D181" s="305"/>
      <c r="E181" s="305"/>
      <c r="F181" s="305"/>
      <c r="G181" s="305"/>
      <c r="H181" s="305"/>
      <c r="I181" s="305"/>
      <c r="K181" s="305"/>
      <c r="L181" s="305"/>
      <c r="M181" s="305"/>
      <c r="N181" s="305"/>
      <c r="O181" s="305"/>
      <c r="P181" s="305"/>
      <c r="Q181" s="305"/>
      <c r="R181" s="305"/>
      <c r="T181" s="305"/>
      <c r="U181" s="305"/>
      <c r="V181" s="305"/>
      <c r="W181" s="305"/>
      <c r="X181" s="305"/>
      <c r="Y181" s="305"/>
      <c r="Z181" s="305"/>
      <c r="AA181" s="305"/>
      <c r="AC181" s="305"/>
      <c r="AD181" s="305"/>
      <c r="AE181" s="305"/>
      <c r="AF181" s="305"/>
      <c r="AG181" s="305"/>
      <c r="AH181" s="305"/>
      <c r="AI181" s="305"/>
      <c r="AJ181" s="305"/>
    </row>
    <row r="182" spans="2:36" s="303" customFormat="1" x14ac:dyDescent="0.25">
      <c r="B182" s="305"/>
      <c r="C182" s="305"/>
      <c r="D182" s="305"/>
      <c r="E182" s="305"/>
      <c r="F182" s="305"/>
      <c r="G182" s="305"/>
      <c r="H182" s="305"/>
      <c r="I182" s="305"/>
      <c r="K182" s="305"/>
      <c r="L182" s="305"/>
      <c r="M182" s="305"/>
      <c r="N182" s="305"/>
      <c r="O182" s="305"/>
      <c r="P182" s="305"/>
      <c r="Q182" s="305"/>
      <c r="R182" s="305"/>
      <c r="T182" s="305"/>
      <c r="U182" s="305"/>
      <c r="V182" s="305"/>
      <c r="W182" s="305"/>
      <c r="X182" s="305"/>
      <c r="Y182" s="305"/>
      <c r="Z182" s="305"/>
      <c r="AA182" s="305"/>
      <c r="AC182" s="305"/>
      <c r="AD182" s="305"/>
      <c r="AE182" s="305"/>
      <c r="AF182" s="305"/>
      <c r="AG182" s="305"/>
      <c r="AH182" s="305"/>
      <c r="AI182" s="305"/>
      <c r="AJ182" s="305"/>
    </row>
    <row r="183" spans="2:36" s="303" customFormat="1" x14ac:dyDescent="0.25">
      <c r="B183" s="305"/>
      <c r="C183" s="305"/>
      <c r="D183" s="305"/>
      <c r="E183" s="305"/>
      <c r="F183" s="305"/>
      <c r="G183" s="305"/>
      <c r="H183" s="305"/>
      <c r="I183" s="305"/>
      <c r="K183" s="305"/>
      <c r="L183" s="305"/>
      <c r="M183" s="305"/>
      <c r="N183" s="305"/>
      <c r="O183" s="305"/>
      <c r="P183" s="305"/>
      <c r="Q183" s="305"/>
      <c r="R183" s="305"/>
      <c r="T183" s="305"/>
      <c r="U183" s="305"/>
      <c r="V183" s="305"/>
      <c r="W183" s="305"/>
      <c r="X183" s="305"/>
      <c r="Y183" s="305"/>
      <c r="Z183" s="305"/>
      <c r="AA183" s="305"/>
      <c r="AC183" s="305"/>
      <c r="AD183" s="305"/>
      <c r="AE183" s="305"/>
      <c r="AF183" s="305"/>
      <c r="AG183" s="305"/>
      <c r="AH183" s="305"/>
      <c r="AI183" s="305"/>
      <c r="AJ183" s="305"/>
    </row>
    <row r="184" spans="2:36" s="303" customFormat="1" x14ac:dyDescent="0.25">
      <c r="B184" s="305"/>
      <c r="C184" s="305"/>
      <c r="D184" s="305"/>
      <c r="E184" s="305"/>
      <c r="F184" s="305"/>
      <c r="G184" s="305"/>
      <c r="H184" s="305"/>
      <c r="I184" s="305"/>
      <c r="K184" s="305"/>
      <c r="L184" s="305"/>
      <c r="M184" s="305"/>
      <c r="N184" s="305"/>
      <c r="O184" s="305"/>
      <c r="P184" s="305"/>
      <c r="Q184" s="305"/>
      <c r="R184" s="305"/>
      <c r="T184" s="305"/>
      <c r="U184" s="305"/>
      <c r="V184" s="305"/>
      <c r="W184" s="305"/>
      <c r="X184" s="305"/>
      <c r="Y184" s="305"/>
      <c r="Z184" s="305"/>
      <c r="AA184" s="305"/>
      <c r="AC184" s="305"/>
      <c r="AD184" s="305"/>
      <c r="AE184" s="305"/>
      <c r="AF184" s="305"/>
      <c r="AG184" s="305"/>
      <c r="AH184" s="305"/>
      <c r="AI184" s="305"/>
      <c r="AJ184" s="305"/>
    </row>
    <row r="185" spans="2:36" s="303" customFormat="1" x14ac:dyDescent="0.25">
      <c r="B185" s="305"/>
      <c r="C185" s="305"/>
      <c r="D185" s="305"/>
      <c r="E185" s="305"/>
      <c r="F185" s="305"/>
      <c r="G185" s="305"/>
      <c r="H185" s="305"/>
      <c r="I185" s="305"/>
      <c r="K185" s="305"/>
      <c r="L185" s="305"/>
      <c r="M185" s="305"/>
      <c r="N185" s="305"/>
      <c r="O185" s="305"/>
      <c r="P185" s="305"/>
      <c r="Q185" s="305"/>
      <c r="R185" s="305"/>
      <c r="T185" s="305"/>
      <c r="U185" s="305"/>
      <c r="V185" s="305"/>
      <c r="W185" s="305"/>
      <c r="X185" s="305"/>
      <c r="Y185" s="305"/>
      <c r="Z185" s="305"/>
      <c r="AA185" s="305"/>
      <c r="AC185" s="305"/>
      <c r="AD185" s="305"/>
      <c r="AE185" s="305"/>
      <c r="AF185" s="305"/>
      <c r="AG185" s="305"/>
      <c r="AH185" s="305"/>
      <c r="AI185" s="305"/>
      <c r="AJ185" s="305"/>
    </row>
    <row r="186" spans="2:36" s="303" customFormat="1" x14ac:dyDescent="0.25">
      <c r="B186" s="305"/>
      <c r="C186" s="305"/>
      <c r="D186" s="305"/>
      <c r="E186" s="305"/>
      <c r="F186" s="305"/>
      <c r="G186" s="305"/>
      <c r="H186" s="305"/>
      <c r="I186" s="305"/>
      <c r="K186" s="305"/>
      <c r="L186" s="305"/>
      <c r="M186" s="305"/>
      <c r="N186" s="305"/>
      <c r="O186" s="305"/>
      <c r="P186" s="305"/>
      <c r="Q186" s="305"/>
      <c r="R186" s="305"/>
      <c r="T186" s="305"/>
      <c r="U186" s="305"/>
      <c r="V186" s="305"/>
      <c r="W186" s="305"/>
      <c r="X186" s="305"/>
      <c r="Y186" s="305"/>
      <c r="Z186" s="305"/>
      <c r="AA186" s="305"/>
      <c r="AC186" s="305"/>
      <c r="AD186" s="305"/>
      <c r="AE186" s="305"/>
      <c r="AF186" s="305"/>
      <c r="AG186" s="305"/>
      <c r="AH186" s="305"/>
      <c r="AI186" s="305"/>
      <c r="AJ186" s="305"/>
    </row>
    <row r="187" spans="2:36" s="303" customFormat="1" x14ac:dyDescent="0.25">
      <c r="B187" s="305"/>
      <c r="C187" s="305"/>
      <c r="D187" s="305"/>
      <c r="E187" s="305"/>
      <c r="F187" s="305"/>
      <c r="G187" s="305"/>
      <c r="H187" s="305"/>
      <c r="I187" s="305"/>
      <c r="K187" s="305"/>
      <c r="L187" s="305"/>
      <c r="M187" s="305"/>
      <c r="N187" s="305"/>
      <c r="O187" s="305"/>
      <c r="P187" s="305"/>
      <c r="Q187" s="305"/>
      <c r="R187" s="305"/>
      <c r="T187" s="305"/>
      <c r="U187" s="305"/>
      <c r="V187" s="305"/>
      <c r="W187" s="305"/>
      <c r="X187" s="305"/>
      <c r="Y187" s="305"/>
      <c r="Z187" s="305"/>
      <c r="AA187" s="305"/>
      <c r="AC187" s="305"/>
      <c r="AD187" s="305"/>
      <c r="AE187" s="305"/>
      <c r="AF187" s="305"/>
      <c r="AG187" s="305"/>
      <c r="AH187" s="305"/>
      <c r="AI187" s="305"/>
      <c r="AJ187" s="305"/>
    </row>
    <row r="188" spans="2:36" s="303" customFormat="1" x14ac:dyDescent="0.25">
      <c r="B188" s="305"/>
      <c r="C188" s="305"/>
      <c r="D188" s="305"/>
      <c r="E188" s="305"/>
      <c r="F188" s="305"/>
      <c r="G188" s="305"/>
      <c r="H188" s="305"/>
      <c r="I188" s="305"/>
      <c r="K188" s="305"/>
      <c r="L188" s="305"/>
      <c r="M188" s="305"/>
      <c r="N188" s="305"/>
      <c r="O188" s="305"/>
      <c r="P188" s="305"/>
      <c r="Q188" s="305"/>
      <c r="R188" s="305"/>
      <c r="T188" s="305"/>
      <c r="U188" s="305"/>
      <c r="V188" s="305"/>
      <c r="W188" s="305"/>
      <c r="X188" s="305"/>
      <c r="Y188" s="305"/>
      <c r="Z188" s="305"/>
      <c r="AA188" s="305"/>
      <c r="AC188" s="305"/>
      <c r="AD188" s="305"/>
      <c r="AE188" s="305"/>
      <c r="AF188" s="305"/>
      <c r="AG188" s="305"/>
      <c r="AH188" s="305"/>
      <c r="AI188" s="305"/>
      <c r="AJ188" s="305"/>
    </row>
    <row r="189" spans="2:36" s="303" customFormat="1" x14ac:dyDescent="0.25">
      <c r="B189" s="305"/>
      <c r="C189" s="305"/>
      <c r="D189" s="305"/>
      <c r="E189" s="305"/>
      <c r="F189" s="305"/>
      <c r="G189" s="305"/>
      <c r="H189" s="305"/>
      <c r="I189" s="305"/>
      <c r="K189" s="305"/>
      <c r="L189" s="305"/>
      <c r="M189" s="305"/>
      <c r="N189" s="305"/>
      <c r="O189" s="305"/>
      <c r="P189" s="305"/>
      <c r="Q189" s="305"/>
      <c r="R189" s="305"/>
      <c r="T189" s="305"/>
      <c r="U189" s="305"/>
      <c r="V189" s="305"/>
      <c r="W189" s="305"/>
      <c r="X189" s="305"/>
      <c r="Y189" s="305"/>
      <c r="Z189" s="305"/>
      <c r="AA189" s="305"/>
      <c r="AC189" s="305"/>
      <c r="AD189" s="305"/>
      <c r="AE189" s="305"/>
      <c r="AF189" s="305"/>
      <c r="AG189" s="305"/>
      <c r="AH189" s="305"/>
      <c r="AI189" s="305"/>
      <c r="AJ189" s="305"/>
    </row>
    <row r="190" spans="2:36" s="303" customFormat="1" x14ac:dyDescent="0.25">
      <c r="B190" s="305"/>
      <c r="C190" s="305"/>
      <c r="D190" s="305"/>
      <c r="E190" s="305"/>
      <c r="F190" s="305"/>
      <c r="G190" s="305"/>
      <c r="H190" s="305"/>
      <c r="I190" s="305"/>
      <c r="K190" s="305"/>
      <c r="L190" s="305"/>
      <c r="M190" s="305"/>
      <c r="N190" s="305"/>
      <c r="O190" s="305"/>
      <c r="P190" s="305"/>
      <c r="Q190" s="305"/>
      <c r="R190" s="305"/>
      <c r="T190" s="305"/>
      <c r="U190" s="305"/>
      <c r="V190" s="305"/>
      <c r="W190" s="305"/>
      <c r="X190" s="305"/>
      <c r="Y190" s="305"/>
      <c r="Z190" s="305"/>
      <c r="AA190" s="305"/>
      <c r="AC190" s="305"/>
      <c r="AD190" s="305"/>
      <c r="AE190" s="305"/>
      <c r="AF190" s="305"/>
      <c r="AG190" s="305"/>
      <c r="AH190" s="305"/>
      <c r="AI190" s="305"/>
      <c r="AJ190" s="305"/>
    </row>
    <row r="191" spans="2:36" s="303" customFormat="1" x14ac:dyDescent="0.25">
      <c r="B191" s="305"/>
      <c r="C191" s="305"/>
      <c r="D191" s="305"/>
      <c r="E191" s="305"/>
      <c r="F191" s="305"/>
      <c r="G191" s="305"/>
      <c r="H191" s="305"/>
      <c r="I191" s="305"/>
      <c r="K191" s="305"/>
      <c r="L191" s="305"/>
      <c r="M191" s="305"/>
      <c r="N191" s="305"/>
      <c r="O191" s="305"/>
      <c r="P191" s="305"/>
      <c r="Q191" s="305"/>
      <c r="R191" s="305"/>
      <c r="T191" s="305"/>
      <c r="U191" s="305"/>
      <c r="V191" s="305"/>
      <c r="W191" s="305"/>
      <c r="X191" s="305"/>
      <c r="Y191" s="305"/>
      <c r="Z191" s="305"/>
      <c r="AA191" s="305"/>
      <c r="AC191" s="305"/>
      <c r="AD191" s="305"/>
      <c r="AE191" s="305"/>
      <c r="AF191" s="305"/>
      <c r="AG191" s="305"/>
      <c r="AH191" s="305"/>
      <c r="AI191" s="305"/>
      <c r="AJ191" s="305"/>
    </row>
    <row r="192" spans="2:36" s="303" customFormat="1" x14ac:dyDescent="0.25">
      <c r="B192" s="305"/>
      <c r="C192" s="305"/>
      <c r="D192" s="305"/>
      <c r="E192" s="305"/>
      <c r="F192" s="305"/>
      <c r="G192" s="305"/>
      <c r="H192" s="305"/>
      <c r="I192" s="305"/>
      <c r="K192" s="305"/>
      <c r="L192" s="305"/>
      <c r="M192" s="305"/>
      <c r="N192" s="305"/>
      <c r="O192" s="305"/>
      <c r="P192" s="305"/>
      <c r="Q192" s="305"/>
      <c r="R192" s="305"/>
      <c r="T192" s="305"/>
      <c r="U192" s="305"/>
      <c r="V192" s="305"/>
      <c r="W192" s="305"/>
      <c r="X192" s="305"/>
      <c r="Y192" s="305"/>
      <c r="Z192" s="305"/>
      <c r="AA192" s="305"/>
      <c r="AC192" s="305"/>
      <c r="AD192" s="305"/>
      <c r="AE192" s="305"/>
      <c r="AF192" s="305"/>
      <c r="AG192" s="305"/>
      <c r="AH192" s="305"/>
      <c r="AI192" s="305"/>
      <c r="AJ192" s="305"/>
    </row>
    <row r="193" spans="2:36" s="303" customFormat="1" x14ac:dyDescent="0.25">
      <c r="B193" s="305"/>
      <c r="C193" s="305"/>
      <c r="D193" s="305"/>
      <c r="E193" s="305"/>
      <c r="F193" s="305"/>
      <c r="G193" s="305"/>
      <c r="H193" s="305"/>
      <c r="I193" s="305"/>
      <c r="K193" s="305"/>
      <c r="L193" s="305"/>
      <c r="M193" s="305"/>
      <c r="N193" s="305"/>
      <c r="O193" s="305"/>
      <c r="P193" s="305"/>
      <c r="Q193" s="305"/>
      <c r="R193" s="305"/>
      <c r="T193" s="305"/>
      <c r="U193" s="305"/>
      <c r="V193" s="305"/>
      <c r="W193" s="305"/>
      <c r="X193" s="305"/>
      <c r="Y193" s="305"/>
      <c r="Z193" s="305"/>
      <c r="AA193" s="305"/>
      <c r="AC193" s="305"/>
      <c r="AD193" s="305"/>
      <c r="AE193" s="305"/>
      <c r="AF193" s="305"/>
      <c r="AG193" s="305"/>
      <c r="AH193" s="305"/>
      <c r="AI193" s="305"/>
      <c r="AJ193" s="305"/>
    </row>
    <row r="194" spans="2:36" s="303" customFormat="1" x14ac:dyDescent="0.25">
      <c r="B194" s="305"/>
      <c r="C194" s="305"/>
      <c r="D194" s="305"/>
      <c r="E194" s="305"/>
      <c r="F194" s="305"/>
      <c r="G194" s="305"/>
      <c r="H194" s="305"/>
      <c r="I194" s="305"/>
      <c r="K194" s="305"/>
      <c r="L194" s="305"/>
      <c r="M194" s="305"/>
      <c r="N194" s="305"/>
      <c r="O194" s="305"/>
      <c r="P194" s="305"/>
      <c r="Q194" s="305"/>
      <c r="R194" s="305"/>
      <c r="T194" s="305"/>
      <c r="U194" s="305"/>
      <c r="V194" s="305"/>
      <c r="W194" s="305"/>
      <c r="X194" s="305"/>
      <c r="Y194" s="305"/>
      <c r="Z194" s="305"/>
      <c r="AA194" s="305"/>
      <c r="AC194" s="305"/>
      <c r="AD194" s="305"/>
      <c r="AE194" s="305"/>
      <c r="AF194" s="305"/>
      <c r="AG194" s="305"/>
      <c r="AH194" s="305"/>
      <c r="AI194" s="305"/>
      <c r="AJ194" s="305"/>
    </row>
    <row r="195" spans="2:36" s="303" customFormat="1" x14ac:dyDescent="0.25">
      <c r="B195" s="305"/>
      <c r="C195" s="305"/>
      <c r="D195" s="305"/>
      <c r="E195" s="305"/>
      <c r="F195" s="305"/>
      <c r="G195" s="305"/>
      <c r="H195" s="305"/>
      <c r="I195" s="305"/>
      <c r="K195" s="305"/>
      <c r="L195" s="305"/>
      <c r="M195" s="305"/>
      <c r="N195" s="305"/>
      <c r="O195" s="305"/>
      <c r="P195" s="305"/>
      <c r="Q195" s="305"/>
      <c r="R195" s="305"/>
      <c r="T195" s="305"/>
      <c r="U195" s="305"/>
      <c r="V195" s="305"/>
      <c r="W195" s="305"/>
      <c r="X195" s="305"/>
      <c r="Y195" s="305"/>
      <c r="Z195" s="305"/>
      <c r="AA195" s="305"/>
      <c r="AC195" s="305"/>
      <c r="AD195" s="305"/>
      <c r="AE195" s="305"/>
      <c r="AF195" s="305"/>
      <c r="AG195" s="305"/>
      <c r="AH195" s="305"/>
      <c r="AI195" s="305"/>
      <c r="AJ195" s="305"/>
    </row>
    <row r="196" spans="2:36" s="303" customFormat="1" x14ac:dyDescent="0.25">
      <c r="B196" s="305"/>
      <c r="C196" s="305"/>
      <c r="D196" s="305"/>
      <c r="E196" s="305"/>
      <c r="F196" s="305"/>
      <c r="G196" s="305"/>
      <c r="H196" s="305"/>
      <c r="I196" s="305"/>
      <c r="K196" s="305"/>
      <c r="L196" s="305"/>
      <c r="M196" s="305"/>
      <c r="N196" s="305"/>
      <c r="O196" s="305"/>
      <c r="P196" s="305"/>
      <c r="Q196" s="305"/>
      <c r="R196" s="305"/>
      <c r="T196" s="305"/>
      <c r="U196" s="305"/>
      <c r="V196" s="305"/>
      <c r="W196" s="305"/>
      <c r="X196" s="305"/>
      <c r="Y196" s="305"/>
      <c r="Z196" s="305"/>
      <c r="AA196" s="305"/>
      <c r="AC196" s="305"/>
      <c r="AD196" s="305"/>
      <c r="AE196" s="305"/>
      <c r="AF196" s="305"/>
      <c r="AG196" s="305"/>
      <c r="AH196" s="305"/>
      <c r="AI196" s="305"/>
      <c r="AJ196" s="305"/>
    </row>
    <row r="197" spans="2:36" s="303" customFormat="1" x14ac:dyDescent="0.25">
      <c r="B197" s="305"/>
      <c r="C197" s="305"/>
      <c r="D197" s="305"/>
      <c r="E197" s="305"/>
      <c r="F197" s="305"/>
      <c r="G197" s="305"/>
      <c r="H197" s="305"/>
      <c r="I197" s="305"/>
      <c r="K197" s="305"/>
      <c r="L197" s="305"/>
      <c r="M197" s="305"/>
      <c r="N197" s="305"/>
      <c r="O197" s="305"/>
      <c r="P197" s="305"/>
      <c r="Q197" s="305"/>
      <c r="R197" s="305"/>
      <c r="T197" s="305"/>
      <c r="U197" s="305"/>
      <c r="V197" s="305"/>
      <c r="W197" s="305"/>
      <c r="X197" s="305"/>
      <c r="Y197" s="305"/>
      <c r="Z197" s="305"/>
      <c r="AA197" s="305"/>
      <c r="AC197" s="305"/>
      <c r="AD197" s="305"/>
      <c r="AE197" s="305"/>
      <c r="AF197" s="305"/>
      <c r="AG197" s="305"/>
      <c r="AH197" s="305"/>
      <c r="AI197" s="305"/>
      <c r="AJ197" s="305"/>
    </row>
    <row r="198" spans="2:36" s="303" customFormat="1" x14ac:dyDescent="0.25">
      <c r="B198" s="305"/>
      <c r="C198" s="305"/>
      <c r="D198" s="305"/>
      <c r="E198" s="305"/>
      <c r="F198" s="305"/>
      <c r="G198" s="305"/>
      <c r="H198" s="305"/>
      <c r="I198" s="305"/>
      <c r="K198" s="305"/>
      <c r="L198" s="305"/>
      <c r="M198" s="305"/>
      <c r="N198" s="305"/>
      <c r="O198" s="305"/>
      <c r="P198" s="305"/>
      <c r="Q198" s="305"/>
      <c r="R198" s="305"/>
      <c r="T198" s="305"/>
      <c r="U198" s="305"/>
      <c r="V198" s="305"/>
      <c r="W198" s="305"/>
      <c r="X198" s="305"/>
      <c r="Y198" s="305"/>
      <c r="Z198" s="305"/>
      <c r="AA198" s="305"/>
      <c r="AC198" s="305"/>
      <c r="AD198" s="305"/>
      <c r="AE198" s="305"/>
      <c r="AF198" s="305"/>
      <c r="AG198" s="305"/>
      <c r="AH198" s="305"/>
      <c r="AI198" s="305"/>
      <c r="AJ198" s="305"/>
    </row>
    <row r="199" spans="2:36" s="303" customFormat="1" x14ac:dyDescent="0.25">
      <c r="B199" s="305"/>
      <c r="C199" s="305"/>
      <c r="D199" s="305"/>
      <c r="E199" s="305"/>
      <c r="F199" s="305"/>
      <c r="G199" s="305"/>
      <c r="H199" s="305"/>
      <c r="I199" s="305"/>
      <c r="K199" s="305"/>
      <c r="L199" s="305"/>
      <c r="M199" s="305"/>
      <c r="N199" s="305"/>
      <c r="O199" s="305"/>
      <c r="P199" s="305"/>
      <c r="Q199" s="305"/>
      <c r="R199" s="305"/>
      <c r="T199" s="305"/>
      <c r="U199" s="305"/>
      <c r="V199" s="305"/>
      <c r="W199" s="305"/>
      <c r="X199" s="305"/>
      <c r="Y199" s="305"/>
      <c r="Z199" s="305"/>
      <c r="AA199" s="305"/>
      <c r="AC199" s="305"/>
      <c r="AD199" s="305"/>
      <c r="AE199" s="305"/>
      <c r="AF199" s="305"/>
      <c r="AG199" s="305"/>
      <c r="AH199" s="305"/>
      <c r="AI199" s="305"/>
      <c r="AJ199" s="305"/>
    </row>
    <row r="200" spans="2:36" s="303" customFormat="1" x14ac:dyDescent="0.25">
      <c r="B200" s="305"/>
      <c r="C200" s="305"/>
      <c r="D200" s="305"/>
      <c r="E200" s="305"/>
      <c r="F200" s="305"/>
      <c r="G200" s="305"/>
      <c r="H200" s="305"/>
      <c r="I200" s="305"/>
      <c r="K200" s="305"/>
      <c r="L200" s="305"/>
      <c r="M200" s="305"/>
      <c r="N200" s="305"/>
      <c r="O200" s="305"/>
      <c r="P200" s="305"/>
      <c r="Q200" s="305"/>
      <c r="R200" s="305"/>
      <c r="T200" s="305"/>
      <c r="U200" s="305"/>
      <c r="V200" s="305"/>
      <c r="W200" s="305"/>
      <c r="X200" s="305"/>
      <c r="Y200" s="305"/>
      <c r="Z200" s="305"/>
      <c r="AA200" s="305"/>
      <c r="AC200" s="305"/>
      <c r="AD200" s="305"/>
      <c r="AE200" s="305"/>
      <c r="AF200" s="305"/>
      <c r="AG200" s="305"/>
      <c r="AH200" s="305"/>
      <c r="AI200" s="305"/>
      <c r="AJ200" s="305"/>
    </row>
    <row r="201" spans="2:36" s="303" customFormat="1" x14ac:dyDescent="0.25">
      <c r="B201" s="305"/>
      <c r="C201" s="305"/>
      <c r="D201" s="305"/>
      <c r="E201" s="305"/>
      <c r="F201" s="305"/>
      <c r="G201" s="305"/>
      <c r="H201" s="305"/>
      <c r="I201" s="305"/>
      <c r="K201" s="305"/>
      <c r="L201" s="305"/>
      <c r="M201" s="305"/>
      <c r="N201" s="305"/>
      <c r="O201" s="305"/>
      <c r="P201" s="305"/>
      <c r="Q201" s="305"/>
      <c r="R201" s="305"/>
      <c r="T201" s="305"/>
      <c r="U201" s="305"/>
      <c r="V201" s="305"/>
      <c r="W201" s="305"/>
      <c r="X201" s="305"/>
      <c r="Y201" s="305"/>
      <c r="Z201" s="305"/>
      <c r="AA201" s="305"/>
      <c r="AC201" s="305"/>
      <c r="AD201" s="305"/>
      <c r="AE201" s="305"/>
      <c r="AF201" s="305"/>
      <c r="AG201" s="305"/>
      <c r="AH201" s="305"/>
      <c r="AI201" s="305"/>
      <c r="AJ201" s="305"/>
    </row>
    <row r="202" spans="2:36" s="303" customFormat="1" x14ac:dyDescent="0.25">
      <c r="B202" s="305"/>
      <c r="C202" s="305"/>
      <c r="D202" s="305"/>
      <c r="E202" s="305"/>
      <c r="F202" s="305"/>
      <c r="G202" s="305"/>
      <c r="H202" s="305"/>
      <c r="I202" s="305"/>
      <c r="K202" s="305"/>
      <c r="L202" s="305"/>
      <c r="M202" s="305"/>
      <c r="N202" s="305"/>
      <c r="O202" s="305"/>
      <c r="P202" s="305"/>
      <c r="Q202" s="305"/>
      <c r="R202" s="305"/>
      <c r="T202" s="305"/>
      <c r="U202" s="305"/>
      <c r="V202" s="305"/>
      <c r="W202" s="305"/>
      <c r="X202" s="305"/>
      <c r="Y202" s="305"/>
      <c r="Z202" s="305"/>
      <c r="AA202" s="305"/>
      <c r="AC202" s="305"/>
      <c r="AD202" s="305"/>
      <c r="AE202" s="305"/>
      <c r="AF202" s="305"/>
      <c r="AG202" s="305"/>
      <c r="AH202" s="305"/>
      <c r="AI202" s="305"/>
      <c r="AJ202" s="305"/>
    </row>
    <row r="203" spans="2:36" s="303" customFormat="1" x14ac:dyDescent="0.25">
      <c r="B203" s="305"/>
      <c r="C203" s="305"/>
      <c r="D203" s="305"/>
      <c r="E203" s="305"/>
      <c r="F203" s="305"/>
      <c r="G203" s="305"/>
      <c r="H203" s="305"/>
      <c r="I203" s="305"/>
      <c r="K203" s="305"/>
      <c r="L203" s="305"/>
      <c r="M203" s="305"/>
      <c r="N203" s="305"/>
      <c r="O203" s="305"/>
      <c r="P203" s="305"/>
      <c r="Q203" s="305"/>
      <c r="R203" s="305"/>
      <c r="T203" s="305"/>
      <c r="U203" s="305"/>
      <c r="V203" s="305"/>
      <c r="W203" s="305"/>
      <c r="X203" s="305"/>
      <c r="Y203" s="305"/>
      <c r="Z203" s="305"/>
      <c r="AA203" s="305"/>
      <c r="AC203" s="305"/>
      <c r="AD203" s="305"/>
      <c r="AE203" s="305"/>
      <c r="AF203" s="305"/>
      <c r="AG203" s="305"/>
      <c r="AH203" s="305"/>
      <c r="AI203" s="305"/>
      <c r="AJ203" s="305"/>
    </row>
    <row r="204" spans="2:36" s="303" customFormat="1" x14ac:dyDescent="0.25">
      <c r="B204" s="305"/>
      <c r="C204" s="305"/>
      <c r="D204" s="305"/>
      <c r="E204" s="305"/>
      <c r="F204" s="305"/>
      <c r="G204" s="305"/>
      <c r="H204" s="305"/>
      <c r="I204" s="305"/>
      <c r="K204" s="305"/>
      <c r="L204" s="305"/>
      <c r="M204" s="305"/>
      <c r="N204" s="305"/>
      <c r="O204" s="305"/>
      <c r="P204" s="305"/>
      <c r="Q204" s="305"/>
      <c r="R204" s="305"/>
      <c r="T204" s="305"/>
      <c r="U204" s="305"/>
      <c r="V204" s="305"/>
      <c r="W204" s="305"/>
      <c r="X204" s="305"/>
      <c r="Y204" s="305"/>
      <c r="Z204" s="305"/>
      <c r="AA204" s="305"/>
      <c r="AC204" s="305"/>
      <c r="AD204" s="305"/>
      <c r="AE204" s="305"/>
      <c r="AF204" s="305"/>
      <c r="AG204" s="305"/>
      <c r="AH204" s="305"/>
      <c r="AI204" s="305"/>
      <c r="AJ204" s="305"/>
    </row>
    <row r="205" spans="2:36" s="303" customFormat="1" x14ac:dyDescent="0.25">
      <c r="B205" s="305"/>
      <c r="C205" s="305"/>
      <c r="D205" s="305"/>
      <c r="E205" s="305"/>
      <c r="F205" s="305"/>
      <c r="G205" s="305"/>
      <c r="H205" s="305"/>
      <c r="I205" s="305"/>
      <c r="K205" s="305"/>
      <c r="L205" s="305"/>
      <c r="M205" s="305"/>
      <c r="N205" s="305"/>
      <c r="O205" s="305"/>
      <c r="P205" s="305"/>
      <c r="Q205" s="305"/>
      <c r="R205" s="305"/>
      <c r="T205" s="305"/>
      <c r="U205" s="305"/>
      <c r="V205" s="305"/>
      <c r="W205" s="305"/>
      <c r="X205" s="305"/>
      <c r="Y205" s="305"/>
      <c r="Z205" s="305"/>
      <c r="AA205" s="305"/>
      <c r="AC205" s="305"/>
      <c r="AD205" s="305"/>
      <c r="AE205" s="305"/>
      <c r="AF205" s="305"/>
      <c r="AG205" s="305"/>
      <c r="AH205" s="305"/>
      <c r="AI205" s="305"/>
      <c r="AJ205" s="305"/>
    </row>
    <row r="206" spans="2:36" s="303" customFormat="1" x14ac:dyDescent="0.25">
      <c r="B206" s="305"/>
      <c r="C206" s="305"/>
      <c r="D206" s="305"/>
      <c r="E206" s="305"/>
      <c r="F206" s="305"/>
      <c r="G206" s="305"/>
      <c r="H206" s="305"/>
      <c r="I206" s="305"/>
      <c r="K206" s="305"/>
      <c r="L206" s="305"/>
      <c r="M206" s="305"/>
      <c r="N206" s="305"/>
      <c r="O206" s="305"/>
      <c r="P206" s="305"/>
      <c r="Q206" s="305"/>
      <c r="R206" s="305"/>
      <c r="T206" s="305"/>
      <c r="U206" s="305"/>
      <c r="V206" s="305"/>
      <c r="W206" s="305"/>
      <c r="X206" s="305"/>
      <c r="Y206" s="305"/>
      <c r="Z206" s="305"/>
      <c r="AA206" s="305"/>
      <c r="AC206" s="305"/>
      <c r="AD206" s="305"/>
      <c r="AE206" s="305"/>
      <c r="AF206" s="305"/>
      <c r="AG206" s="305"/>
      <c r="AH206" s="305"/>
      <c r="AI206" s="305"/>
      <c r="AJ206" s="305"/>
    </row>
    <row r="207" spans="2:36" s="303" customFormat="1" x14ac:dyDescent="0.25">
      <c r="B207" s="305"/>
      <c r="C207" s="305"/>
      <c r="D207" s="305"/>
      <c r="E207" s="305"/>
      <c r="F207" s="305"/>
      <c r="G207" s="305"/>
      <c r="H207" s="305"/>
      <c r="I207" s="305"/>
      <c r="K207" s="305"/>
      <c r="L207" s="305"/>
      <c r="M207" s="305"/>
      <c r="N207" s="305"/>
      <c r="O207" s="305"/>
      <c r="P207" s="305"/>
      <c r="Q207" s="305"/>
      <c r="R207" s="305"/>
      <c r="T207" s="305"/>
      <c r="U207" s="305"/>
      <c r="V207" s="305"/>
      <c r="W207" s="305"/>
      <c r="X207" s="305"/>
      <c r="Y207" s="305"/>
      <c r="Z207" s="305"/>
      <c r="AA207" s="305"/>
      <c r="AC207" s="305"/>
      <c r="AD207" s="305"/>
      <c r="AE207" s="305"/>
      <c r="AF207" s="305"/>
      <c r="AG207" s="305"/>
      <c r="AH207" s="305"/>
      <c r="AI207" s="305"/>
      <c r="AJ207" s="305"/>
    </row>
    <row r="208" spans="2:36" s="303" customFormat="1" x14ac:dyDescent="0.25">
      <c r="B208" s="305"/>
      <c r="C208" s="305"/>
      <c r="D208" s="305"/>
      <c r="E208" s="305"/>
      <c r="F208" s="305"/>
      <c r="G208" s="305"/>
      <c r="H208" s="305"/>
      <c r="I208" s="305"/>
      <c r="K208" s="305"/>
      <c r="L208" s="305"/>
      <c r="M208" s="305"/>
      <c r="N208" s="305"/>
      <c r="O208" s="305"/>
      <c r="P208" s="305"/>
      <c r="Q208" s="305"/>
      <c r="R208" s="305"/>
      <c r="T208" s="305"/>
      <c r="U208" s="305"/>
      <c r="V208" s="305"/>
      <c r="W208" s="305"/>
      <c r="X208" s="305"/>
      <c r="Y208" s="305"/>
      <c r="Z208" s="305"/>
      <c r="AA208" s="305"/>
      <c r="AC208" s="305"/>
      <c r="AD208" s="305"/>
      <c r="AE208" s="305"/>
      <c r="AF208" s="305"/>
      <c r="AG208" s="305"/>
      <c r="AH208" s="305"/>
      <c r="AI208" s="305"/>
      <c r="AJ208" s="305"/>
    </row>
    <row r="209" spans="2:36" s="303" customFormat="1" x14ac:dyDescent="0.25">
      <c r="B209" s="305"/>
      <c r="C209" s="305"/>
      <c r="D209" s="305"/>
      <c r="E209" s="305"/>
      <c r="F209" s="305"/>
      <c r="G209" s="305"/>
      <c r="H209" s="305"/>
      <c r="I209" s="305"/>
      <c r="K209" s="305"/>
      <c r="L209" s="305"/>
      <c r="M209" s="305"/>
      <c r="N209" s="305"/>
      <c r="O209" s="305"/>
      <c r="P209" s="305"/>
      <c r="Q209" s="305"/>
      <c r="R209" s="305"/>
      <c r="T209" s="305"/>
      <c r="U209" s="305"/>
      <c r="V209" s="305"/>
      <c r="W209" s="305"/>
      <c r="X209" s="305"/>
      <c r="Y209" s="305"/>
      <c r="Z209" s="305"/>
      <c r="AA209" s="305"/>
      <c r="AC209" s="305"/>
      <c r="AD209" s="305"/>
      <c r="AE209" s="305"/>
      <c r="AF209" s="305"/>
      <c r="AG209" s="305"/>
      <c r="AH209" s="305"/>
      <c r="AI209" s="305"/>
      <c r="AJ209" s="305"/>
    </row>
    <row r="210" spans="2:36" s="303" customFormat="1" x14ac:dyDescent="0.25">
      <c r="B210" s="305"/>
      <c r="C210" s="305"/>
      <c r="D210" s="305"/>
      <c r="E210" s="305"/>
      <c r="F210" s="305"/>
      <c r="G210" s="305"/>
      <c r="H210" s="305"/>
      <c r="I210" s="305"/>
      <c r="K210" s="305"/>
      <c r="L210" s="305"/>
      <c r="M210" s="305"/>
      <c r="N210" s="305"/>
      <c r="O210" s="305"/>
      <c r="P210" s="305"/>
      <c r="Q210" s="305"/>
      <c r="R210" s="305"/>
      <c r="T210" s="305"/>
      <c r="U210" s="305"/>
      <c r="V210" s="305"/>
      <c r="W210" s="305"/>
      <c r="X210" s="305"/>
      <c r="Y210" s="305"/>
      <c r="Z210" s="305"/>
      <c r="AA210" s="305"/>
      <c r="AC210" s="305"/>
      <c r="AD210" s="305"/>
      <c r="AE210" s="305"/>
      <c r="AF210" s="305"/>
      <c r="AG210" s="305"/>
      <c r="AH210" s="305"/>
      <c r="AI210" s="305"/>
      <c r="AJ210" s="305"/>
    </row>
    <row r="211" spans="2:36" s="303" customFormat="1" x14ac:dyDescent="0.25">
      <c r="B211" s="305"/>
      <c r="C211" s="305"/>
      <c r="D211" s="305"/>
      <c r="E211" s="305"/>
      <c r="F211" s="305"/>
      <c r="G211" s="305"/>
      <c r="H211" s="305"/>
      <c r="I211" s="305"/>
      <c r="K211" s="305"/>
      <c r="L211" s="305"/>
      <c r="M211" s="305"/>
      <c r="N211" s="305"/>
      <c r="O211" s="305"/>
      <c r="P211" s="305"/>
      <c r="Q211" s="305"/>
      <c r="R211" s="305"/>
      <c r="T211" s="305"/>
      <c r="U211" s="305"/>
      <c r="V211" s="305"/>
      <c r="W211" s="305"/>
      <c r="X211" s="305"/>
      <c r="Y211" s="305"/>
      <c r="Z211" s="305"/>
      <c r="AA211" s="305"/>
      <c r="AC211" s="305"/>
      <c r="AD211" s="305"/>
      <c r="AE211" s="305"/>
      <c r="AF211" s="305"/>
      <c r="AG211" s="305"/>
      <c r="AH211" s="305"/>
      <c r="AI211" s="305"/>
      <c r="AJ211" s="305"/>
    </row>
    <row r="212" spans="2:36" s="303" customFormat="1" x14ac:dyDescent="0.25">
      <c r="B212" s="305"/>
      <c r="C212" s="305"/>
      <c r="D212" s="305"/>
      <c r="E212" s="305"/>
      <c r="F212" s="305"/>
      <c r="G212" s="305"/>
      <c r="H212" s="305"/>
      <c r="I212" s="305"/>
      <c r="K212" s="305"/>
      <c r="L212" s="305"/>
      <c r="M212" s="305"/>
      <c r="N212" s="305"/>
      <c r="O212" s="305"/>
      <c r="P212" s="305"/>
      <c r="Q212" s="305"/>
      <c r="R212" s="305"/>
      <c r="T212" s="305"/>
      <c r="U212" s="305"/>
      <c r="V212" s="305"/>
      <c r="W212" s="305"/>
      <c r="X212" s="305"/>
      <c r="Y212" s="305"/>
      <c r="Z212" s="305"/>
      <c r="AA212" s="305"/>
      <c r="AC212" s="305"/>
      <c r="AD212" s="305"/>
      <c r="AE212" s="305"/>
      <c r="AF212" s="305"/>
      <c r="AG212" s="305"/>
      <c r="AH212" s="305"/>
      <c r="AI212" s="305"/>
      <c r="AJ212" s="305"/>
    </row>
    <row r="213" spans="2:36" s="303" customFormat="1" x14ac:dyDescent="0.25">
      <c r="B213" s="305"/>
      <c r="C213" s="305"/>
      <c r="D213" s="305"/>
      <c r="E213" s="305"/>
      <c r="F213" s="305"/>
      <c r="G213" s="305"/>
      <c r="H213" s="305"/>
      <c r="I213" s="305"/>
      <c r="K213" s="305"/>
      <c r="L213" s="305"/>
      <c r="M213" s="305"/>
      <c r="N213" s="305"/>
      <c r="O213" s="305"/>
      <c r="P213" s="305"/>
      <c r="Q213" s="305"/>
      <c r="R213" s="305"/>
      <c r="T213" s="305"/>
      <c r="U213" s="305"/>
      <c r="V213" s="305"/>
      <c r="W213" s="305"/>
      <c r="X213" s="305"/>
      <c r="Y213" s="305"/>
      <c r="Z213" s="305"/>
      <c r="AA213" s="305"/>
      <c r="AC213" s="305"/>
      <c r="AD213" s="305"/>
      <c r="AE213" s="305"/>
      <c r="AF213" s="305"/>
      <c r="AG213" s="305"/>
      <c r="AH213" s="305"/>
      <c r="AI213" s="305"/>
      <c r="AJ213" s="305"/>
    </row>
    <row r="214" spans="2:36" s="303" customFormat="1" x14ac:dyDescent="0.25">
      <c r="B214" s="305"/>
      <c r="C214" s="305"/>
      <c r="D214" s="305"/>
      <c r="E214" s="305"/>
      <c r="F214" s="305"/>
      <c r="G214" s="305"/>
      <c r="H214" s="305"/>
      <c r="I214" s="305"/>
      <c r="K214" s="305"/>
      <c r="L214" s="305"/>
      <c r="M214" s="305"/>
      <c r="N214" s="305"/>
      <c r="O214" s="305"/>
      <c r="P214" s="305"/>
      <c r="Q214" s="305"/>
      <c r="R214" s="305"/>
      <c r="T214" s="305"/>
      <c r="U214" s="305"/>
      <c r="V214" s="305"/>
      <c r="W214" s="305"/>
      <c r="X214" s="305"/>
      <c r="Y214" s="305"/>
      <c r="Z214" s="305"/>
      <c r="AA214" s="305"/>
      <c r="AC214" s="305"/>
      <c r="AD214" s="305"/>
      <c r="AE214" s="305"/>
      <c r="AF214" s="305"/>
      <c r="AG214" s="305"/>
      <c r="AH214" s="305"/>
      <c r="AI214" s="305"/>
      <c r="AJ214" s="305"/>
    </row>
    <row r="215" spans="2:36" s="303" customFormat="1" x14ac:dyDescent="0.25">
      <c r="B215" s="305"/>
      <c r="C215" s="305"/>
      <c r="D215" s="305"/>
      <c r="E215" s="305"/>
      <c r="F215" s="305"/>
      <c r="G215" s="305"/>
      <c r="H215" s="305"/>
      <c r="I215" s="305"/>
      <c r="K215" s="305"/>
      <c r="L215" s="305"/>
      <c r="M215" s="305"/>
      <c r="N215" s="305"/>
      <c r="O215" s="305"/>
      <c r="P215" s="305"/>
      <c r="Q215" s="305"/>
      <c r="R215" s="305"/>
      <c r="T215" s="305"/>
      <c r="U215" s="305"/>
      <c r="V215" s="305"/>
      <c r="W215" s="305"/>
      <c r="X215" s="305"/>
      <c r="Y215" s="305"/>
      <c r="Z215" s="305"/>
      <c r="AA215" s="305"/>
      <c r="AC215" s="305"/>
      <c r="AD215" s="305"/>
      <c r="AE215" s="305"/>
      <c r="AF215" s="305"/>
      <c r="AG215" s="305"/>
      <c r="AH215" s="305"/>
      <c r="AI215" s="305"/>
      <c r="AJ215" s="305"/>
    </row>
    <row r="216" spans="2:36" s="303" customFormat="1" x14ac:dyDescent="0.25">
      <c r="B216" s="305"/>
      <c r="C216" s="305"/>
      <c r="D216" s="305"/>
      <c r="E216" s="305"/>
      <c r="F216" s="305"/>
      <c r="G216" s="305"/>
      <c r="H216" s="305"/>
      <c r="I216" s="305"/>
      <c r="K216" s="305"/>
      <c r="L216" s="305"/>
      <c r="M216" s="305"/>
      <c r="N216" s="305"/>
      <c r="O216" s="305"/>
      <c r="P216" s="305"/>
      <c r="Q216" s="305"/>
      <c r="R216" s="305"/>
      <c r="T216" s="305"/>
      <c r="U216" s="305"/>
      <c r="V216" s="305"/>
      <c r="W216" s="305"/>
      <c r="X216" s="305"/>
      <c r="Y216" s="305"/>
      <c r="Z216" s="305"/>
      <c r="AA216" s="305"/>
      <c r="AC216" s="305"/>
      <c r="AD216" s="305"/>
      <c r="AE216" s="305"/>
      <c r="AF216" s="305"/>
      <c r="AG216" s="305"/>
      <c r="AH216" s="305"/>
      <c r="AI216" s="305"/>
      <c r="AJ216" s="305"/>
    </row>
    <row r="217" spans="2:36" s="303" customFormat="1" x14ac:dyDescent="0.25">
      <c r="B217" s="305"/>
      <c r="C217" s="305"/>
      <c r="D217" s="305"/>
      <c r="E217" s="305"/>
      <c r="F217" s="305"/>
      <c r="G217" s="305"/>
      <c r="H217" s="305"/>
      <c r="I217" s="305"/>
      <c r="K217" s="305"/>
      <c r="L217" s="305"/>
      <c r="M217" s="305"/>
      <c r="N217" s="305"/>
      <c r="O217" s="305"/>
      <c r="P217" s="305"/>
      <c r="Q217" s="305"/>
      <c r="R217" s="305"/>
      <c r="T217" s="305"/>
      <c r="U217" s="305"/>
      <c r="V217" s="305"/>
      <c r="W217" s="305"/>
      <c r="X217" s="305"/>
      <c r="Y217" s="305"/>
      <c r="Z217" s="305"/>
      <c r="AA217" s="305"/>
      <c r="AC217" s="305"/>
      <c r="AD217" s="305"/>
      <c r="AE217" s="305"/>
      <c r="AF217" s="305"/>
      <c r="AG217" s="305"/>
      <c r="AH217" s="305"/>
      <c r="AI217" s="305"/>
      <c r="AJ217" s="305"/>
    </row>
    <row r="218" spans="2:36" s="303" customFormat="1" x14ac:dyDescent="0.25">
      <c r="B218" s="305"/>
      <c r="C218" s="305"/>
      <c r="D218" s="305"/>
      <c r="E218" s="305"/>
      <c r="F218" s="305"/>
      <c r="G218" s="305"/>
      <c r="H218" s="305"/>
      <c r="I218" s="305"/>
      <c r="K218" s="305"/>
      <c r="L218" s="305"/>
      <c r="M218" s="305"/>
      <c r="N218" s="305"/>
      <c r="O218" s="305"/>
      <c r="P218" s="305"/>
      <c r="Q218" s="305"/>
      <c r="R218" s="305"/>
      <c r="T218" s="305"/>
      <c r="U218" s="305"/>
      <c r="V218" s="305"/>
      <c r="W218" s="305"/>
      <c r="X218" s="305"/>
      <c r="Y218" s="305"/>
      <c r="Z218" s="305"/>
      <c r="AA218" s="305"/>
      <c r="AC218" s="305"/>
      <c r="AD218" s="305"/>
      <c r="AE218" s="305"/>
      <c r="AF218" s="305"/>
      <c r="AG218" s="305"/>
      <c r="AH218" s="305"/>
      <c r="AI218" s="305"/>
      <c r="AJ218" s="305"/>
    </row>
    <row r="219" spans="2:36" s="303" customFormat="1" x14ac:dyDescent="0.25">
      <c r="B219" s="305"/>
      <c r="C219" s="305"/>
      <c r="D219" s="305"/>
      <c r="E219" s="305"/>
      <c r="F219" s="305"/>
      <c r="G219" s="305"/>
      <c r="H219" s="305"/>
      <c r="I219" s="305"/>
      <c r="K219" s="305"/>
      <c r="L219" s="305"/>
      <c r="M219" s="305"/>
      <c r="N219" s="305"/>
      <c r="O219" s="305"/>
      <c r="P219" s="305"/>
      <c r="Q219" s="305"/>
      <c r="R219" s="305"/>
      <c r="T219" s="305"/>
      <c r="U219" s="305"/>
      <c r="V219" s="305"/>
      <c r="W219" s="305"/>
      <c r="X219" s="305"/>
      <c r="Y219" s="305"/>
      <c r="Z219" s="305"/>
      <c r="AA219" s="305"/>
      <c r="AC219" s="305"/>
      <c r="AD219" s="305"/>
      <c r="AE219" s="305"/>
      <c r="AF219" s="305"/>
      <c r="AG219" s="305"/>
      <c r="AH219" s="305"/>
      <c r="AI219" s="305"/>
      <c r="AJ219" s="305"/>
    </row>
    <row r="220" spans="2:36" s="303" customFormat="1" x14ac:dyDescent="0.25">
      <c r="B220" s="305"/>
      <c r="C220" s="305"/>
      <c r="D220" s="305"/>
      <c r="E220" s="305"/>
      <c r="F220" s="305"/>
      <c r="G220" s="305"/>
      <c r="H220" s="305"/>
      <c r="I220" s="305"/>
      <c r="K220" s="305"/>
      <c r="L220" s="305"/>
      <c r="M220" s="305"/>
      <c r="N220" s="305"/>
      <c r="O220" s="305"/>
      <c r="P220" s="305"/>
      <c r="Q220" s="305"/>
      <c r="R220" s="305"/>
      <c r="T220" s="305"/>
      <c r="U220" s="305"/>
      <c r="V220" s="305"/>
      <c r="W220" s="305"/>
      <c r="X220" s="305"/>
      <c r="Y220" s="305"/>
      <c r="Z220" s="305"/>
      <c r="AA220" s="305"/>
      <c r="AC220" s="305"/>
      <c r="AD220" s="305"/>
      <c r="AE220" s="305"/>
      <c r="AF220" s="305"/>
      <c r="AG220" s="305"/>
      <c r="AH220" s="305"/>
      <c r="AI220" s="305"/>
      <c r="AJ220" s="305"/>
    </row>
    <row r="221" spans="2:36" s="303" customFormat="1" x14ac:dyDescent="0.25">
      <c r="B221" s="305"/>
      <c r="C221" s="305"/>
      <c r="D221" s="305"/>
      <c r="E221" s="305"/>
      <c r="F221" s="305"/>
      <c r="G221" s="305"/>
      <c r="H221" s="305"/>
      <c r="I221" s="305"/>
      <c r="K221" s="305"/>
      <c r="L221" s="305"/>
      <c r="M221" s="305"/>
      <c r="N221" s="305"/>
      <c r="O221" s="305"/>
      <c r="P221" s="305"/>
      <c r="Q221" s="305"/>
      <c r="R221" s="305"/>
      <c r="T221" s="305"/>
      <c r="U221" s="305"/>
      <c r="V221" s="305"/>
      <c r="W221" s="305"/>
      <c r="X221" s="305"/>
      <c r="Y221" s="305"/>
      <c r="Z221" s="305"/>
      <c r="AA221" s="305"/>
      <c r="AC221" s="305"/>
      <c r="AD221" s="305"/>
      <c r="AE221" s="305"/>
      <c r="AF221" s="305"/>
      <c r="AG221" s="305"/>
      <c r="AH221" s="305"/>
      <c r="AI221" s="305"/>
      <c r="AJ221" s="305"/>
    </row>
    <row r="222" spans="2:36" s="303" customFormat="1" x14ac:dyDescent="0.25">
      <c r="B222" s="305"/>
      <c r="C222" s="305"/>
      <c r="D222" s="305"/>
      <c r="E222" s="305"/>
      <c r="F222" s="305"/>
      <c r="G222" s="305"/>
      <c r="H222" s="305"/>
      <c r="I222" s="305"/>
      <c r="K222" s="305"/>
      <c r="L222" s="305"/>
      <c r="M222" s="305"/>
      <c r="N222" s="305"/>
      <c r="O222" s="305"/>
      <c r="P222" s="305"/>
      <c r="Q222" s="305"/>
      <c r="R222" s="305"/>
      <c r="T222" s="305"/>
      <c r="U222" s="305"/>
      <c r="V222" s="305"/>
      <c r="W222" s="305"/>
      <c r="X222" s="305"/>
      <c r="Y222" s="305"/>
      <c r="Z222" s="305"/>
      <c r="AA222" s="305"/>
      <c r="AC222" s="305"/>
      <c r="AD222" s="305"/>
      <c r="AE222" s="305"/>
      <c r="AF222" s="305"/>
      <c r="AG222" s="305"/>
      <c r="AH222" s="305"/>
      <c r="AI222" s="305"/>
      <c r="AJ222" s="305"/>
    </row>
    <row r="223" spans="2:36" s="303" customFormat="1" x14ac:dyDescent="0.25">
      <c r="B223" s="305"/>
      <c r="C223" s="305"/>
      <c r="D223" s="305"/>
      <c r="E223" s="305"/>
      <c r="F223" s="305"/>
      <c r="G223" s="305"/>
      <c r="H223" s="305"/>
      <c r="I223" s="305"/>
      <c r="K223" s="305"/>
      <c r="L223" s="305"/>
      <c r="M223" s="305"/>
      <c r="N223" s="305"/>
      <c r="O223" s="305"/>
      <c r="P223" s="305"/>
      <c r="Q223" s="305"/>
      <c r="R223" s="305"/>
      <c r="T223" s="305"/>
      <c r="U223" s="305"/>
      <c r="V223" s="305"/>
      <c r="W223" s="305"/>
      <c r="X223" s="305"/>
      <c r="Y223" s="305"/>
      <c r="Z223" s="305"/>
      <c r="AA223" s="305"/>
      <c r="AC223" s="305"/>
      <c r="AD223" s="305"/>
      <c r="AE223" s="305"/>
      <c r="AF223" s="305"/>
      <c r="AG223" s="305"/>
      <c r="AH223" s="305"/>
      <c r="AI223" s="305"/>
      <c r="AJ223" s="305"/>
    </row>
    <row r="224" spans="2:36" s="303" customFormat="1" x14ac:dyDescent="0.25">
      <c r="B224" s="305"/>
      <c r="C224" s="305"/>
      <c r="D224" s="305"/>
      <c r="E224" s="305"/>
      <c r="F224" s="305"/>
      <c r="G224" s="305"/>
      <c r="H224" s="305"/>
      <c r="I224" s="305"/>
      <c r="K224" s="305"/>
      <c r="L224" s="305"/>
      <c r="M224" s="305"/>
      <c r="N224" s="305"/>
      <c r="O224" s="305"/>
      <c r="P224" s="305"/>
      <c r="Q224" s="305"/>
      <c r="R224" s="305"/>
      <c r="T224" s="305"/>
      <c r="U224" s="305"/>
      <c r="V224" s="305"/>
      <c r="W224" s="305"/>
      <c r="X224" s="305"/>
      <c r="Y224" s="305"/>
      <c r="Z224" s="305"/>
      <c r="AA224" s="305"/>
      <c r="AC224" s="305"/>
      <c r="AD224" s="305"/>
      <c r="AE224" s="305"/>
      <c r="AF224" s="305"/>
      <c r="AG224" s="305"/>
      <c r="AH224" s="305"/>
      <c r="AI224" s="305"/>
      <c r="AJ224" s="305"/>
    </row>
    <row r="225" spans="2:36" s="303" customFormat="1" x14ac:dyDescent="0.25">
      <c r="B225" s="305"/>
      <c r="C225" s="305"/>
      <c r="D225" s="305"/>
      <c r="E225" s="305"/>
      <c r="F225" s="305"/>
      <c r="G225" s="305"/>
      <c r="H225" s="305"/>
      <c r="I225" s="305"/>
      <c r="K225" s="305"/>
      <c r="L225" s="305"/>
      <c r="M225" s="305"/>
      <c r="N225" s="305"/>
      <c r="O225" s="305"/>
      <c r="P225" s="305"/>
      <c r="Q225" s="305"/>
      <c r="R225" s="305"/>
      <c r="T225" s="305"/>
      <c r="U225" s="305"/>
      <c r="V225" s="305"/>
      <c r="W225" s="305"/>
      <c r="X225" s="305"/>
      <c r="Y225" s="305"/>
      <c r="Z225" s="305"/>
      <c r="AA225" s="305"/>
      <c r="AC225" s="305"/>
      <c r="AD225" s="305"/>
      <c r="AE225" s="305"/>
      <c r="AF225" s="305"/>
      <c r="AG225" s="305"/>
      <c r="AH225" s="305"/>
      <c r="AI225" s="305"/>
      <c r="AJ225" s="305"/>
    </row>
    <row r="226" spans="2:36" s="303" customFormat="1" x14ac:dyDescent="0.25">
      <c r="B226" s="305"/>
      <c r="C226" s="305"/>
      <c r="D226" s="305"/>
      <c r="E226" s="305"/>
      <c r="F226" s="305"/>
      <c r="G226" s="305"/>
      <c r="H226" s="305"/>
      <c r="I226" s="305"/>
      <c r="K226" s="305"/>
      <c r="L226" s="305"/>
      <c r="M226" s="305"/>
      <c r="N226" s="305"/>
      <c r="O226" s="305"/>
      <c r="P226" s="305"/>
      <c r="Q226" s="305"/>
      <c r="R226" s="305"/>
      <c r="T226" s="305"/>
      <c r="U226" s="305"/>
      <c r="V226" s="305"/>
      <c r="W226" s="305"/>
      <c r="X226" s="305"/>
      <c r="Y226" s="305"/>
      <c r="Z226" s="305"/>
      <c r="AA226" s="305"/>
      <c r="AC226" s="305"/>
      <c r="AD226" s="305"/>
      <c r="AE226" s="305"/>
      <c r="AF226" s="305"/>
      <c r="AG226" s="305"/>
      <c r="AH226" s="305"/>
      <c r="AI226" s="305"/>
      <c r="AJ226" s="305"/>
    </row>
    <row r="227" spans="2:36" s="303" customFormat="1" x14ac:dyDescent="0.25">
      <c r="B227" s="305"/>
      <c r="C227" s="305"/>
      <c r="D227" s="305"/>
      <c r="E227" s="305"/>
      <c r="F227" s="305"/>
      <c r="G227" s="305"/>
      <c r="H227" s="305"/>
      <c r="I227" s="305"/>
      <c r="K227" s="305"/>
      <c r="L227" s="305"/>
      <c r="M227" s="305"/>
      <c r="N227" s="305"/>
      <c r="O227" s="305"/>
      <c r="P227" s="305"/>
      <c r="Q227" s="305"/>
      <c r="R227" s="305"/>
      <c r="T227" s="305"/>
      <c r="U227" s="305"/>
      <c r="V227" s="305"/>
      <c r="W227" s="305"/>
      <c r="X227" s="305"/>
      <c r="Y227" s="305"/>
      <c r="Z227" s="305"/>
      <c r="AA227" s="305"/>
      <c r="AC227" s="305"/>
      <c r="AD227" s="305"/>
      <c r="AE227" s="305"/>
      <c r="AF227" s="305"/>
      <c r="AG227" s="305"/>
      <c r="AH227" s="305"/>
      <c r="AI227" s="305"/>
      <c r="AJ227" s="305"/>
    </row>
    <row r="228" spans="2:36" s="303" customFormat="1" x14ac:dyDescent="0.25">
      <c r="B228" s="305"/>
      <c r="C228" s="305"/>
      <c r="D228" s="305"/>
      <c r="E228" s="305"/>
      <c r="F228" s="305"/>
      <c r="G228" s="305"/>
      <c r="H228" s="305"/>
      <c r="I228" s="305"/>
      <c r="K228" s="305"/>
      <c r="L228" s="305"/>
      <c r="M228" s="305"/>
      <c r="N228" s="305"/>
      <c r="O228" s="305"/>
      <c r="P228" s="305"/>
      <c r="Q228" s="305"/>
      <c r="R228" s="305"/>
      <c r="T228" s="305"/>
      <c r="U228" s="305"/>
      <c r="V228" s="305"/>
      <c r="W228" s="305"/>
      <c r="X228" s="305"/>
      <c r="Y228" s="305"/>
      <c r="Z228" s="305"/>
      <c r="AA228" s="305"/>
      <c r="AC228" s="305"/>
      <c r="AD228" s="305"/>
      <c r="AE228" s="305"/>
      <c r="AF228" s="305"/>
      <c r="AG228" s="305"/>
      <c r="AH228" s="305"/>
      <c r="AI228" s="305"/>
      <c r="AJ228" s="305"/>
    </row>
    <row r="229" spans="2:36" s="303" customFormat="1" x14ac:dyDescent="0.25">
      <c r="B229" s="305"/>
      <c r="C229" s="305"/>
      <c r="D229" s="305"/>
      <c r="E229" s="305"/>
      <c r="F229" s="305"/>
      <c r="G229" s="305"/>
      <c r="H229" s="305"/>
      <c r="I229" s="305"/>
      <c r="K229" s="305"/>
      <c r="L229" s="305"/>
      <c r="M229" s="305"/>
      <c r="N229" s="305"/>
      <c r="O229" s="305"/>
      <c r="P229" s="305"/>
      <c r="Q229" s="305"/>
      <c r="R229" s="305"/>
      <c r="T229" s="305"/>
      <c r="U229" s="305"/>
      <c r="V229" s="305"/>
      <c r="W229" s="305"/>
      <c r="X229" s="305"/>
      <c r="Y229" s="305"/>
      <c r="Z229" s="305"/>
      <c r="AA229" s="305"/>
      <c r="AC229" s="305"/>
      <c r="AD229" s="305"/>
      <c r="AE229" s="305"/>
      <c r="AF229" s="305"/>
      <c r="AG229" s="305"/>
      <c r="AH229" s="305"/>
      <c r="AI229" s="305"/>
      <c r="AJ229" s="305"/>
    </row>
    <row r="230" spans="2:36" s="303" customFormat="1" x14ac:dyDescent="0.25">
      <c r="B230" s="305"/>
      <c r="C230" s="305"/>
      <c r="D230" s="305"/>
      <c r="E230" s="305"/>
      <c r="F230" s="305"/>
      <c r="G230" s="305"/>
      <c r="H230" s="305"/>
      <c r="I230" s="305"/>
      <c r="K230" s="305"/>
      <c r="L230" s="305"/>
      <c r="M230" s="305"/>
      <c r="N230" s="305"/>
      <c r="O230" s="305"/>
      <c r="P230" s="305"/>
      <c r="Q230" s="305"/>
      <c r="R230" s="305"/>
      <c r="T230" s="305"/>
      <c r="U230" s="305"/>
      <c r="V230" s="305"/>
      <c r="W230" s="305"/>
      <c r="X230" s="305"/>
      <c r="Y230" s="305"/>
      <c r="Z230" s="305"/>
      <c r="AA230" s="305"/>
      <c r="AC230" s="305"/>
      <c r="AD230" s="305"/>
      <c r="AE230" s="305"/>
      <c r="AF230" s="305"/>
      <c r="AG230" s="305"/>
      <c r="AH230" s="305"/>
      <c r="AI230" s="305"/>
      <c r="AJ230" s="305"/>
    </row>
    <row r="231" spans="2:36" s="303" customFormat="1" x14ac:dyDescent="0.25">
      <c r="B231" s="305"/>
      <c r="C231" s="305"/>
      <c r="D231" s="305"/>
      <c r="E231" s="305"/>
      <c r="F231" s="305"/>
      <c r="G231" s="305"/>
      <c r="H231" s="305"/>
      <c r="I231" s="305"/>
      <c r="K231" s="305"/>
      <c r="L231" s="305"/>
      <c r="M231" s="305"/>
      <c r="N231" s="305"/>
      <c r="O231" s="305"/>
      <c r="P231" s="305"/>
      <c r="Q231" s="305"/>
      <c r="R231" s="305"/>
      <c r="T231" s="305"/>
      <c r="U231" s="305"/>
      <c r="V231" s="305"/>
      <c r="W231" s="305"/>
      <c r="X231" s="305"/>
      <c r="Y231" s="305"/>
      <c r="Z231" s="305"/>
      <c r="AA231" s="305"/>
      <c r="AC231" s="305"/>
      <c r="AD231" s="305"/>
      <c r="AE231" s="305"/>
      <c r="AF231" s="305"/>
      <c r="AG231" s="305"/>
      <c r="AH231" s="305"/>
      <c r="AI231" s="305"/>
      <c r="AJ231" s="305"/>
    </row>
    <row r="232" spans="2:36" s="303" customFormat="1" x14ac:dyDescent="0.25">
      <c r="B232" s="305"/>
      <c r="C232" s="305"/>
      <c r="D232" s="305"/>
      <c r="E232" s="305"/>
      <c r="F232" s="305"/>
      <c r="G232" s="305"/>
      <c r="H232" s="305"/>
      <c r="I232" s="305"/>
      <c r="K232" s="305"/>
      <c r="L232" s="305"/>
      <c r="M232" s="305"/>
      <c r="N232" s="305"/>
      <c r="O232" s="305"/>
      <c r="P232" s="305"/>
      <c r="Q232" s="305"/>
      <c r="R232" s="305"/>
      <c r="T232" s="305"/>
      <c r="U232" s="305"/>
      <c r="V232" s="305"/>
      <c r="W232" s="305"/>
      <c r="X232" s="305"/>
      <c r="Y232" s="305"/>
      <c r="Z232" s="305"/>
      <c r="AA232" s="305"/>
      <c r="AC232" s="305"/>
      <c r="AD232" s="305"/>
      <c r="AE232" s="305"/>
      <c r="AF232" s="305"/>
      <c r="AG232" s="305"/>
      <c r="AH232" s="305"/>
      <c r="AI232" s="305"/>
      <c r="AJ232" s="305"/>
    </row>
    <row r="233" spans="2:36" s="303" customFormat="1" x14ac:dyDescent="0.25">
      <c r="B233" s="305"/>
      <c r="C233" s="305"/>
      <c r="D233" s="305"/>
      <c r="E233" s="305"/>
      <c r="F233" s="305"/>
      <c r="G233" s="305"/>
      <c r="H233" s="305"/>
      <c r="I233" s="305"/>
      <c r="K233" s="305"/>
      <c r="L233" s="305"/>
      <c r="M233" s="305"/>
      <c r="N233" s="305"/>
      <c r="O233" s="305"/>
      <c r="P233" s="305"/>
      <c r="Q233" s="305"/>
      <c r="R233" s="305"/>
      <c r="T233" s="305"/>
      <c r="U233" s="305"/>
      <c r="V233" s="305"/>
      <c r="W233" s="305"/>
      <c r="X233" s="305"/>
      <c r="Y233" s="305"/>
      <c r="Z233" s="305"/>
      <c r="AA233" s="305"/>
      <c r="AC233" s="305"/>
      <c r="AD233" s="305"/>
      <c r="AE233" s="305"/>
      <c r="AF233" s="305"/>
      <c r="AG233" s="305"/>
      <c r="AH233" s="305"/>
      <c r="AI233" s="305"/>
      <c r="AJ233" s="305"/>
    </row>
    <row r="234" spans="2:36" s="303" customFormat="1" x14ac:dyDescent="0.25">
      <c r="B234" s="305"/>
      <c r="C234" s="305"/>
      <c r="D234" s="305"/>
      <c r="E234" s="305"/>
      <c r="F234" s="305"/>
      <c r="G234" s="305"/>
      <c r="H234" s="305"/>
      <c r="I234" s="305"/>
      <c r="K234" s="305"/>
      <c r="L234" s="305"/>
      <c r="M234" s="305"/>
      <c r="N234" s="305"/>
      <c r="O234" s="305"/>
      <c r="P234" s="305"/>
      <c r="Q234" s="305"/>
      <c r="R234" s="305"/>
      <c r="T234" s="305"/>
      <c r="U234" s="305"/>
      <c r="V234" s="305"/>
      <c r="W234" s="305"/>
      <c r="X234" s="305"/>
      <c r="Y234" s="305"/>
      <c r="Z234" s="305"/>
      <c r="AA234" s="305"/>
      <c r="AC234" s="305"/>
      <c r="AD234" s="305"/>
      <c r="AE234" s="305"/>
      <c r="AF234" s="305"/>
      <c r="AG234" s="305"/>
      <c r="AH234" s="305"/>
      <c r="AI234" s="305"/>
      <c r="AJ234" s="305"/>
    </row>
    <row r="235" spans="2:36" s="303" customFormat="1" x14ac:dyDescent="0.25">
      <c r="B235" s="305"/>
      <c r="C235" s="305"/>
      <c r="D235" s="305"/>
      <c r="E235" s="305"/>
      <c r="F235" s="305"/>
      <c r="G235" s="305"/>
      <c r="H235" s="305"/>
      <c r="I235" s="305"/>
      <c r="K235" s="305"/>
      <c r="L235" s="305"/>
      <c r="M235" s="305"/>
      <c r="N235" s="305"/>
      <c r="O235" s="305"/>
      <c r="P235" s="305"/>
      <c r="Q235" s="305"/>
      <c r="R235" s="305"/>
      <c r="T235" s="305"/>
      <c r="U235" s="305"/>
      <c r="V235" s="305"/>
      <c r="W235" s="305"/>
      <c r="X235" s="305"/>
      <c r="Y235" s="305"/>
      <c r="Z235" s="305"/>
      <c r="AA235" s="305"/>
      <c r="AC235" s="305"/>
      <c r="AD235" s="305"/>
      <c r="AE235" s="305"/>
      <c r="AF235" s="305"/>
      <c r="AG235" s="305"/>
      <c r="AH235" s="305"/>
      <c r="AI235" s="305"/>
      <c r="AJ235" s="305"/>
    </row>
    <row r="236" spans="2:36" s="303" customFormat="1" x14ac:dyDescent="0.25">
      <c r="B236" s="305"/>
      <c r="C236" s="305"/>
      <c r="D236" s="305"/>
      <c r="E236" s="305"/>
      <c r="F236" s="305"/>
      <c r="G236" s="305"/>
      <c r="H236" s="305"/>
      <c r="I236" s="305"/>
      <c r="K236" s="305"/>
      <c r="L236" s="305"/>
      <c r="M236" s="305"/>
      <c r="N236" s="305"/>
      <c r="O236" s="305"/>
      <c r="P236" s="305"/>
      <c r="Q236" s="305"/>
      <c r="R236" s="305"/>
      <c r="T236" s="305"/>
      <c r="U236" s="305"/>
      <c r="V236" s="305"/>
      <c r="W236" s="305"/>
      <c r="X236" s="305"/>
      <c r="Y236" s="305"/>
      <c r="Z236" s="305"/>
      <c r="AA236" s="305"/>
      <c r="AC236" s="305"/>
      <c r="AD236" s="305"/>
      <c r="AE236" s="305"/>
      <c r="AF236" s="305"/>
      <c r="AG236" s="305"/>
      <c r="AH236" s="305"/>
      <c r="AI236" s="305"/>
      <c r="AJ236" s="305"/>
    </row>
    <row r="237" spans="2:36" s="303" customFormat="1" x14ac:dyDescent="0.25">
      <c r="B237" s="305"/>
      <c r="C237" s="305"/>
      <c r="D237" s="305"/>
      <c r="E237" s="305"/>
      <c r="F237" s="305"/>
      <c r="G237" s="305"/>
      <c r="H237" s="305"/>
      <c r="I237" s="305"/>
      <c r="K237" s="305"/>
      <c r="L237" s="305"/>
      <c r="M237" s="305"/>
      <c r="N237" s="305"/>
      <c r="O237" s="305"/>
      <c r="P237" s="305"/>
      <c r="Q237" s="305"/>
      <c r="R237" s="305"/>
      <c r="T237" s="305"/>
      <c r="U237" s="305"/>
      <c r="V237" s="305"/>
      <c r="W237" s="305"/>
      <c r="X237" s="305"/>
      <c r="Y237" s="305"/>
      <c r="Z237" s="305"/>
      <c r="AA237" s="305"/>
      <c r="AC237" s="305"/>
      <c r="AD237" s="305"/>
      <c r="AE237" s="305"/>
      <c r="AF237" s="305"/>
      <c r="AG237" s="305"/>
      <c r="AH237" s="305"/>
      <c r="AI237" s="305"/>
      <c r="AJ237" s="305"/>
    </row>
    <row r="238" spans="2:36" s="303" customFormat="1" x14ac:dyDescent="0.25">
      <c r="B238" s="305"/>
      <c r="C238" s="305"/>
      <c r="D238" s="305"/>
      <c r="E238" s="305"/>
      <c r="F238" s="305"/>
      <c r="G238" s="305"/>
      <c r="H238" s="305"/>
      <c r="I238" s="305"/>
      <c r="K238" s="305"/>
      <c r="L238" s="305"/>
      <c r="M238" s="305"/>
      <c r="N238" s="305"/>
      <c r="O238" s="305"/>
      <c r="P238" s="305"/>
      <c r="Q238" s="305"/>
      <c r="R238" s="305"/>
      <c r="T238" s="305"/>
      <c r="U238" s="305"/>
      <c r="V238" s="305"/>
      <c r="W238" s="305"/>
      <c r="X238" s="305"/>
      <c r="Y238" s="305"/>
      <c r="Z238" s="305"/>
      <c r="AA238" s="305"/>
      <c r="AC238" s="305"/>
      <c r="AD238" s="305"/>
      <c r="AE238" s="305"/>
      <c r="AF238" s="305"/>
      <c r="AG238" s="305"/>
      <c r="AH238" s="305"/>
      <c r="AI238" s="305"/>
      <c r="AJ238" s="305"/>
    </row>
    <row r="239" spans="2:36" s="303" customFormat="1" x14ac:dyDescent="0.25">
      <c r="B239" s="305"/>
      <c r="C239" s="305"/>
      <c r="D239" s="305"/>
      <c r="E239" s="305"/>
      <c r="F239" s="305"/>
      <c r="G239" s="305"/>
      <c r="H239" s="305"/>
      <c r="I239" s="305"/>
      <c r="K239" s="305"/>
      <c r="L239" s="305"/>
      <c r="M239" s="305"/>
      <c r="N239" s="305"/>
      <c r="O239" s="305"/>
      <c r="P239" s="305"/>
      <c r="Q239" s="305"/>
      <c r="R239" s="305"/>
      <c r="T239" s="305"/>
      <c r="U239" s="305"/>
      <c r="V239" s="305"/>
      <c r="W239" s="305"/>
      <c r="X239" s="305"/>
      <c r="Y239" s="305"/>
      <c r="Z239" s="305"/>
      <c r="AA239" s="305"/>
      <c r="AC239" s="305"/>
      <c r="AD239" s="305"/>
      <c r="AE239" s="305"/>
      <c r="AF239" s="305"/>
      <c r="AG239" s="305"/>
      <c r="AH239" s="305"/>
      <c r="AI239" s="305"/>
      <c r="AJ239" s="305"/>
    </row>
    <row r="240" spans="2:36" s="303" customFormat="1" x14ac:dyDescent="0.25">
      <c r="B240" s="305"/>
      <c r="C240" s="305"/>
      <c r="D240" s="305"/>
      <c r="E240" s="305"/>
      <c r="F240" s="305"/>
      <c r="G240" s="305"/>
      <c r="H240" s="305"/>
      <c r="I240" s="305"/>
      <c r="K240" s="305"/>
      <c r="L240" s="305"/>
      <c r="M240" s="305"/>
      <c r="N240" s="305"/>
      <c r="O240" s="305"/>
      <c r="P240" s="305"/>
      <c r="Q240" s="305"/>
      <c r="R240" s="305"/>
      <c r="T240" s="305"/>
      <c r="U240" s="305"/>
      <c r="V240" s="305"/>
      <c r="W240" s="305"/>
      <c r="X240" s="305"/>
      <c r="Y240" s="305"/>
      <c r="Z240" s="305"/>
      <c r="AA240" s="305"/>
      <c r="AC240" s="305"/>
      <c r="AD240" s="305"/>
      <c r="AE240" s="305"/>
      <c r="AF240" s="305"/>
      <c r="AG240" s="305"/>
      <c r="AH240" s="305"/>
      <c r="AI240" s="305"/>
      <c r="AJ240" s="305"/>
    </row>
    <row r="241" spans="2:36" s="303" customFormat="1" x14ac:dyDescent="0.25">
      <c r="B241" s="305"/>
      <c r="C241" s="305"/>
      <c r="D241" s="305"/>
      <c r="E241" s="305"/>
      <c r="F241" s="305"/>
      <c r="G241" s="305"/>
      <c r="H241" s="305"/>
      <c r="I241" s="305"/>
      <c r="K241" s="305"/>
      <c r="L241" s="305"/>
      <c r="M241" s="305"/>
      <c r="N241" s="305"/>
      <c r="O241" s="305"/>
      <c r="P241" s="305"/>
      <c r="Q241" s="305"/>
      <c r="R241" s="305"/>
      <c r="T241" s="305"/>
      <c r="U241" s="305"/>
      <c r="V241" s="305"/>
      <c r="W241" s="305"/>
      <c r="X241" s="305"/>
      <c r="Y241" s="305"/>
      <c r="Z241" s="305"/>
      <c r="AA241" s="305"/>
      <c r="AC241" s="305"/>
      <c r="AD241" s="305"/>
      <c r="AE241" s="305"/>
      <c r="AF241" s="305"/>
      <c r="AG241" s="305"/>
      <c r="AH241" s="305"/>
      <c r="AI241" s="305"/>
      <c r="AJ241" s="305"/>
    </row>
    <row r="242" spans="2:36" s="303" customFormat="1" x14ac:dyDescent="0.25">
      <c r="B242" s="305"/>
      <c r="C242" s="305"/>
      <c r="D242" s="305"/>
      <c r="E242" s="305"/>
      <c r="F242" s="305"/>
      <c r="G242" s="305"/>
      <c r="H242" s="305"/>
      <c r="I242" s="305"/>
      <c r="K242" s="305"/>
      <c r="L242" s="305"/>
      <c r="M242" s="305"/>
      <c r="N242" s="305"/>
      <c r="O242" s="305"/>
      <c r="P242" s="305"/>
      <c r="Q242" s="305"/>
      <c r="R242" s="305"/>
      <c r="T242" s="305"/>
      <c r="U242" s="305"/>
      <c r="V242" s="305"/>
      <c r="W242" s="305"/>
      <c r="X242" s="305"/>
      <c r="Y242" s="305"/>
      <c r="Z242" s="305"/>
      <c r="AA242" s="305"/>
      <c r="AC242" s="305"/>
      <c r="AD242" s="305"/>
      <c r="AE242" s="305"/>
      <c r="AF242" s="305"/>
      <c r="AG242" s="305"/>
      <c r="AH242" s="305"/>
      <c r="AI242" s="305"/>
      <c r="AJ242" s="305"/>
    </row>
    <row r="243" spans="2:36" s="303" customFormat="1" x14ac:dyDescent="0.25">
      <c r="B243" s="305"/>
      <c r="C243" s="305"/>
      <c r="D243" s="305"/>
      <c r="E243" s="305"/>
      <c r="F243" s="305"/>
      <c r="G243" s="305"/>
      <c r="H243" s="305"/>
      <c r="I243" s="305"/>
      <c r="K243" s="305"/>
      <c r="L243" s="305"/>
      <c r="M243" s="305"/>
      <c r="N243" s="305"/>
      <c r="O243" s="305"/>
      <c r="P243" s="305"/>
      <c r="Q243" s="305"/>
      <c r="R243" s="305"/>
      <c r="T243" s="305"/>
      <c r="U243" s="305"/>
      <c r="V243" s="305"/>
      <c r="W243" s="305"/>
      <c r="X243" s="305"/>
      <c r="Y243" s="305"/>
      <c r="Z243" s="305"/>
      <c r="AA243" s="305"/>
      <c r="AC243" s="305"/>
      <c r="AD243" s="305"/>
      <c r="AE243" s="305"/>
      <c r="AF243" s="305"/>
      <c r="AG243" s="305"/>
      <c r="AH243" s="305"/>
      <c r="AI243" s="305"/>
      <c r="AJ243" s="305"/>
    </row>
    <row r="244" spans="2:36" s="303" customFormat="1" x14ac:dyDescent="0.25">
      <c r="B244" s="305"/>
      <c r="C244" s="305"/>
      <c r="D244" s="305"/>
      <c r="E244" s="305"/>
      <c r="F244" s="305"/>
      <c r="G244" s="305"/>
      <c r="H244" s="305"/>
      <c r="I244" s="305"/>
      <c r="K244" s="305"/>
      <c r="L244" s="305"/>
      <c r="M244" s="305"/>
      <c r="N244" s="305"/>
      <c r="O244" s="305"/>
      <c r="P244" s="305"/>
      <c r="Q244" s="305"/>
      <c r="R244" s="305"/>
      <c r="T244" s="305"/>
      <c r="U244" s="305"/>
      <c r="V244" s="305"/>
      <c r="W244" s="305"/>
      <c r="X244" s="305"/>
      <c r="Y244" s="305"/>
      <c r="Z244" s="305"/>
      <c r="AA244" s="305"/>
      <c r="AC244" s="305"/>
      <c r="AD244" s="305"/>
      <c r="AE244" s="305"/>
      <c r="AF244" s="305"/>
      <c r="AG244" s="305"/>
      <c r="AH244" s="305"/>
      <c r="AI244" s="305"/>
      <c r="AJ244" s="305"/>
    </row>
    <row r="245" spans="2:36" s="303" customFormat="1" x14ac:dyDescent="0.25">
      <c r="B245" s="305"/>
      <c r="C245" s="305"/>
      <c r="D245" s="305"/>
      <c r="E245" s="305"/>
      <c r="F245" s="305"/>
      <c r="G245" s="305"/>
      <c r="H245" s="305"/>
      <c r="I245" s="305"/>
      <c r="K245" s="305"/>
      <c r="L245" s="305"/>
      <c r="M245" s="305"/>
      <c r="N245" s="305"/>
      <c r="O245" s="305"/>
      <c r="P245" s="305"/>
      <c r="Q245" s="305"/>
      <c r="R245" s="305"/>
      <c r="T245" s="305"/>
      <c r="U245" s="305"/>
      <c r="V245" s="305"/>
      <c r="W245" s="305"/>
      <c r="X245" s="305"/>
      <c r="Y245" s="305"/>
      <c r="Z245" s="305"/>
      <c r="AA245" s="305"/>
      <c r="AC245" s="305"/>
      <c r="AD245" s="305"/>
      <c r="AE245" s="305"/>
      <c r="AF245" s="305"/>
      <c r="AG245" s="305"/>
      <c r="AH245" s="305"/>
      <c r="AI245" s="305"/>
      <c r="AJ245" s="305"/>
    </row>
    <row r="246" spans="2:36" s="303" customFormat="1" x14ac:dyDescent="0.25">
      <c r="B246" s="305"/>
      <c r="C246" s="305"/>
      <c r="D246" s="305"/>
      <c r="E246" s="305"/>
      <c r="F246" s="305"/>
      <c r="G246" s="305"/>
      <c r="H246" s="305"/>
      <c r="I246" s="305"/>
      <c r="K246" s="305"/>
      <c r="L246" s="305"/>
      <c r="M246" s="305"/>
      <c r="N246" s="305"/>
      <c r="O246" s="305"/>
      <c r="P246" s="305"/>
      <c r="Q246" s="305"/>
      <c r="R246" s="305"/>
      <c r="T246" s="305"/>
      <c r="U246" s="305"/>
      <c r="V246" s="305"/>
      <c r="W246" s="305"/>
      <c r="X246" s="305"/>
      <c r="Y246" s="305"/>
      <c r="Z246" s="305"/>
      <c r="AA246" s="305"/>
      <c r="AC246" s="305"/>
      <c r="AD246" s="305"/>
      <c r="AE246" s="305"/>
      <c r="AF246" s="305"/>
      <c r="AG246" s="305"/>
      <c r="AH246" s="305"/>
      <c r="AI246" s="305"/>
      <c r="AJ246" s="305"/>
    </row>
    <row r="247" spans="2:36" s="303" customFormat="1" x14ac:dyDescent="0.25">
      <c r="B247" s="305"/>
      <c r="C247" s="305"/>
      <c r="D247" s="305"/>
      <c r="E247" s="305"/>
      <c r="F247" s="305"/>
      <c r="G247" s="305"/>
      <c r="H247" s="305"/>
      <c r="I247" s="305"/>
      <c r="K247" s="305"/>
      <c r="L247" s="305"/>
      <c r="M247" s="305"/>
      <c r="N247" s="305"/>
      <c r="O247" s="305"/>
      <c r="P247" s="305"/>
      <c r="Q247" s="305"/>
      <c r="R247" s="305"/>
      <c r="T247" s="305"/>
      <c r="U247" s="305"/>
      <c r="V247" s="305"/>
      <c r="W247" s="305"/>
      <c r="X247" s="305"/>
      <c r="Y247" s="305"/>
      <c r="Z247" s="305"/>
      <c r="AA247" s="305"/>
      <c r="AC247" s="305"/>
      <c r="AD247" s="305"/>
      <c r="AE247" s="305"/>
      <c r="AF247" s="305"/>
      <c r="AG247" s="305"/>
      <c r="AH247" s="305"/>
      <c r="AI247" s="305"/>
      <c r="AJ247" s="305"/>
    </row>
    <row r="248" spans="2:36" s="303" customFormat="1" x14ac:dyDescent="0.25">
      <c r="B248" s="305"/>
      <c r="C248" s="305"/>
      <c r="D248" s="305"/>
      <c r="E248" s="305"/>
      <c r="F248" s="305"/>
      <c r="G248" s="305"/>
      <c r="H248" s="305"/>
      <c r="I248" s="305"/>
      <c r="K248" s="305"/>
      <c r="L248" s="305"/>
      <c r="M248" s="305"/>
      <c r="N248" s="305"/>
      <c r="O248" s="305"/>
      <c r="P248" s="305"/>
      <c r="Q248" s="305"/>
      <c r="R248" s="305"/>
      <c r="T248" s="305"/>
      <c r="U248" s="305"/>
      <c r="V248" s="305"/>
      <c r="W248" s="305"/>
      <c r="X248" s="305"/>
      <c r="Y248" s="305"/>
      <c r="Z248" s="305"/>
      <c r="AA248" s="305"/>
      <c r="AC248" s="305"/>
      <c r="AD248" s="305"/>
      <c r="AE248" s="305"/>
      <c r="AF248" s="305"/>
      <c r="AG248" s="305"/>
      <c r="AH248" s="305"/>
      <c r="AI248" s="305"/>
      <c r="AJ248" s="305"/>
    </row>
    <row r="249" spans="2:36" s="303" customFormat="1" x14ac:dyDescent="0.25">
      <c r="B249" s="305"/>
      <c r="C249" s="305"/>
      <c r="D249" s="305"/>
      <c r="E249" s="305"/>
      <c r="F249" s="305"/>
      <c r="G249" s="305"/>
      <c r="H249" s="305"/>
      <c r="I249" s="305"/>
      <c r="K249" s="305"/>
      <c r="L249" s="305"/>
      <c r="M249" s="305"/>
      <c r="N249" s="305"/>
      <c r="O249" s="305"/>
      <c r="P249" s="305"/>
      <c r="Q249" s="305"/>
      <c r="R249" s="305"/>
      <c r="T249" s="305"/>
      <c r="U249" s="305"/>
      <c r="V249" s="305"/>
      <c r="W249" s="305"/>
      <c r="X249" s="305"/>
      <c r="Y249" s="305"/>
      <c r="Z249" s="305"/>
      <c r="AA249" s="305"/>
      <c r="AC249" s="305"/>
      <c r="AD249" s="305"/>
      <c r="AE249" s="305"/>
      <c r="AF249" s="305"/>
      <c r="AG249" s="305"/>
      <c r="AH249" s="305"/>
      <c r="AI249" s="305"/>
      <c r="AJ249" s="305"/>
    </row>
    <row r="250" spans="2:36" s="303" customFormat="1" x14ac:dyDescent="0.25">
      <c r="B250" s="305"/>
      <c r="C250" s="305"/>
      <c r="D250" s="305"/>
      <c r="E250" s="305"/>
      <c r="F250" s="305"/>
      <c r="G250" s="305"/>
      <c r="H250" s="305"/>
      <c r="I250" s="305"/>
      <c r="K250" s="305"/>
      <c r="L250" s="305"/>
      <c r="M250" s="305"/>
      <c r="N250" s="305"/>
      <c r="O250" s="305"/>
      <c r="P250" s="305"/>
      <c r="Q250" s="305"/>
      <c r="R250" s="305"/>
      <c r="T250" s="305"/>
      <c r="U250" s="305"/>
      <c r="V250" s="305"/>
      <c r="W250" s="305"/>
      <c r="X250" s="305"/>
      <c r="Y250" s="305"/>
      <c r="Z250" s="305"/>
      <c r="AA250" s="305"/>
      <c r="AC250" s="305"/>
      <c r="AD250" s="305"/>
      <c r="AE250" s="305"/>
      <c r="AF250" s="305"/>
      <c r="AG250" s="305"/>
      <c r="AH250" s="305"/>
      <c r="AI250" s="305"/>
      <c r="AJ250" s="305"/>
    </row>
    <row r="251" spans="2:36" s="303" customFormat="1" x14ac:dyDescent="0.25">
      <c r="B251" s="305"/>
      <c r="C251" s="305"/>
      <c r="D251" s="305"/>
      <c r="E251" s="305"/>
      <c r="F251" s="305"/>
      <c r="G251" s="305"/>
      <c r="H251" s="305"/>
      <c r="I251" s="305"/>
      <c r="K251" s="305"/>
      <c r="L251" s="305"/>
      <c r="M251" s="305"/>
      <c r="N251" s="305"/>
      <c r="O251" s="305"/>
      <c r="P251" s="305"/>
      <c r="Q251" s="305"/>
      <c r="R251" s="305"/>
      <c r="T251" s="305"/>
      <c r="U251" s="305"/>
      <c r="V251" s="305"/>
      <c r="W251" s="305"/>
      <c r="X251" s="305"/>
      <c r="Y251" s="305"/>
      <c r="Z251" s="305"/>
      <c r="AA251" s="305"/>
      <c r="AC251" s="305"/>
      <c r="AD251" s="305"/>
      <c r="AE251" s="305"/>
      <c r="AF251" s="305"/>
      <c r="AG251" s="305"/>
      <c r="AH251" s="305"/>
      <c r="AI251" s="305"/>
      <c r="AJ251" s="305"/>
    </row>
    <row r="252" spans="2:36" s="303" customFormat="1" x14ac:dyDescent="0.25">
      <c r="B252" s="305"/>
      <c r="C252" s="305"/>
      <c r="D252" s="305"/>
      <c r="E252" s="305"/>
      <c r="F252" s="305"/>
      <c r="G252" s="305"/>
      <c r="H252" s="305"/>
      <c r="I252" s="305"/>
      <c r="K252" s="305"/>
      <c r="L252" s="305"/>
      <c r="M252" s="305"/>
      <c r="N252" s="305"/>
      <c r="O252" s="305"/>
      <c r="P252" s="305"/>
      <c r="Q252" s="305"/>
      <c r="R252" s="305"/>
      <c r="T252" s="305"/>
      <c r="U252" s="305"/>
      <c r="V252" s="305"/>
      <c r="W252" s="305"/>
      <c r="X252" s="305"/>
      <c r="Y252" s="305"/>
      <c r="Z252" s="305"/>
      <c r="AA252" s="305"/>
      <c r="AC252" s="305"/>
      <c r="AD252" s="305"/>
      <c r="AE252" s="305"/>
      <c r="AF252" s="305"/>
      <c r="AG252" s="305"/>
      <c r="AH252" s="305"/>
      <c r="AI252" s="305"/>
      <c r="AJ252" s="305"/>
    </row>
    <row r="253" spans="2:36" s="303" customFormat="1" x14ac:dyDescent="0.25">
      <c r="B253" s="305"/>
      <c r="C253" s="305"/>
      <c r="D253" s="305"/>
      <c r="E253" s="305"/>
      <c r="F253" s="305"/>
      <c r="G253" s="305"/>
      <c r="H253" s="305"/>
      <c r="I253" s="305"/>
      <c r="K253" s="305"/>
      <c r="L253" s="305"/>
      <c r="M253" s="305"/>
      <c r="N253" s="305"/>
      <c r="O253" s="305"/>
      <c r="P253" s="305"/>
      <c r="Q253" s="305"/>
      <c r="R253" s="305"/>
      <c r="T253" s="305"/>
      <c r="U253" s="305"/>
      <c r="V253" s="305"/>
      <c r="W253" s="305"/>
      <c r="X253" s="305"/>
      <c r="Y253" s="305"/>
      <c r="Z253" s="305"/>
      <c r="AA253" s="305"/>
      <c r="AC253" s="305"/>
      <c r="AD253" s="305"/>
      <c r="AE253" s="305"/>
      <c r="AF253" s="305"/>
      <c r="AG253" s="305"/>
      <c r="AH253" s="305"/>
      <c r="AI253" s="305"/>
      <c r="AJ253" s="305"/>
    </row>
    <row r="254" spans="2:36" s="303" customFormat="1" x14ac:dyDescent="0.25">
      <c r="B254" s="305"/>
      <c r="C254" s="305"/>
      <c r="D254" s="305"/>
      <c r="E254" s="305"/>
      <c r="F254" s="305"/>
      <c r="G254" s="305"/>
      <c r="H254" s="305"/>
      <c r="I254" s="305"/>
      <c r="K254" s="305"/>
      <c r="L254" s="305"/>
      <c r="M254" s="305"/>
      <c r="N254" s="305"/>
      <c r="O254" s="305"/>
      <c r="P254" s="305"/>
      <c r="Q254" s="305"/>
      <c r="R254" s="305"/>
      <c r="T254" s="305"/>
      <c r="U254" s="305"/>
      <c r="V254" s="305"/>
      <c r="W254" s="305"/>
      <c r="X254" s="305"/>
      <c r="Y254" s="305"/>
      <c r="Z254" s="305"/>
      <c r="AA254" s="305"/>
      <c r="AC254" s="305"/>
      <c r="AD254" s="305"/>
      <c r="AE254" s="305"/>
      <c r="AF254" s="305"/>
      <c r="AG254" s="305"/>
      <c r="AH254" s="305"/>
      <c r="AI254" s="305"/>
      <c r="AJ254" s="305"/>
    </row>
    <row r="255" spans="2:36" s="303" customFormat="1" x14ac:dyDescent="0.25">
      <c r="B255" s="305"/>
      <c r="C255" s="305"/>
      <c r="D255" s="305"/>
      <c r="E255" s="305"/>
      <c r="F255" s="305"/>
      <c r="G255" s="305"/>
      <c r="H255" s="305"/>
      <c r="I255" s="305"/>
      <c r="K255" s="305"/>
      <c r="L255" s="305"/>
      <c r="M255" s="305"/>
      <c r="N255" s="305"/>
      <c r="O255" s="305"/>
      <c r="P255" s="305"/>
      <c r="Q255" s="305"/>
      <c r="R255" s="305"/>
      <c r="T255" s="305"/>
      <c r="U255" s="305"/>
      <c r="V255" s="305"/>
      <c r="W255" s="305"/>
      <c r="X255" s="305"/>
      <c r="Y255" s="305"/>
      <c r="Z255" s="305"/>
      <c r="AA255" s="305"/>
      <c r="AC255" s="305"/>
      <c r="AD255" s="305"/>
      <c r="AE255" s="305"/>
      <c r="AF255" s="305"/>
      <c r="AG255" s="305"/>
      <c r="AH255" s="305"/>
      <c r="AI255" s="305"/>
      <c r="AJ255" s="305"/>
    </row>
    <row r="256" spans="2:36" s="303" customFormat="1" x14ac:dyDescent="0.25">
      <c r="B256" s="305"/>
      <c r="C256" s="305"/>
      <c r="D256" s="305"/>
      <c r="E256" s="305"/>
      <c r="F256" s="305"/>
      <c r="G256" s="305"/>
      <c r="H256" s="305"/>
      <c r="I256" s="305"/>
      <c r="K256" s="305"/>
      <c r="L256" s="305"/>
      <c r="M256" s="305"/>
      <c r="N256" s="305"/>
      <c r="O256" s="305"/>
      <c r="P256" s="305"/>
      <c r="Q256" s="305"/>
      <c r="R256" s="305"/>
      <c r="T256" s="305"/>
      <c r="U256" s="305"/>
      <c r="V256" s="305"/>
      <c r="W256" s="305"/>
      <c r="X256" s="305"/>
      <c r="Y256" s="305"/>
      <c r="Z256" s="305"/>
      <c r="AA256" s="305"/>
      <c r="AC256" s="305"/>
      <c r="AD256" s="305"/>
      <c r="AE256" s="305"/>
      <c r="AF256" s="305"/>
      <c r="AG256" s="305"/>
      <c r="AH256" s="305"/>
      <c r="AI256" s="305"/>
      <c r="AJ256" s="305"/>
    </row>
    <row r="257" spans="2:36" s="303" customFormat="1" x14ac:dyDescent="0.25">
      <c r="B257" s="305"/>
      <c r="C257" s="305"/>
      <c r="D257" s="305"/>
      <c r="E257" s="305"/>
      <c r="F257" s="305"/>
      <c r="G257" s="305"/>
      <c r="H257" s="305"/>
      <c r="I257" s="305"/>
      <c r="K257" s="305"/>
      <c r="L257" s="305"/>
      <c r="M257" s="305"/>
      <c r="N257" s="305"/>
      <c r="O257" s="305"/>
      <c r="P257" s="305"/>
      <c r="Q257" s="305"/>
      <c r="R257" s="305"/>
      <c r="T257" s="305"/>
      <c r="U257" s="305"/>
      <c r="V257" s="305"/>
      <c r="W257" s="305"/>
      <c r="X257" s="305"/>
      <c r="Y257" s="305"/>
      <c r="Z257" s="305"/>
      <c r="AA257" s="305"/>
      <c r="AC257" s="305"/>
      <c r="AD257" s="305"/>
      <c r="AE257" s="305"/>
      <c r="AF257" s="305"/>
      <c r="AG257" s="305"/>
      <c r="AH257" s="305"/>
      <c r="AI257" s="305"/>
      <c r="AJ257" s="305"/>
    </row>
    <row r="258" spans="2:36" s="303" customFormat="1" x14ac:dyDescent="0.25">
      <c r="B258" s="305"/>
      <c r="C258" s="305"/>
      <c r="D258" s="305"/>
      <c r="E258" s="305"/>
      <c r="F258" s="305"/>
      <c r="G258" s="305"/>
      <c r="H258" s="305"/>
      <c r="I258" s="305"/>
      <c r="K258" s="305"/>
      <c r="L258" s="305"/>
      <c r="M258" s="305"/>
      <c r="N258" s="305"/>
      <c r="O258" s="305"/>
      <c r="P258" s="305"/>
      <c r="Q258" s="305"/>
      <c r="R258" s="305"/>
      <c r="T258" s="305"/>
      <c r="U258" s="305"/>
      <c r="V258" s="305"/>
      <c r="W258" s="305"/>
      <c r="X258" s="305"/>
      <c r="Y258" s="305"/>
      <c r="Z258" s="305"/>
      <c r="AA258" s="305"/>
      <c r="AC258" s="305"/>
      <c r="AD258" s="305"/>
      <c r="AE258" s="305"/>
      <c r="AF258" s="305"/>
      <c r="AG258" s="305"/>
      <c r="AH258" s="305"/>
      <c r="AI258" s="305"/>
      <c r="AJ258" s="305"/>
    </row>
    <row r="259" spans="2:36" s="303" customFormat="1" x14ac:dyDescent="0.25">
      <c r="B259" s="305"/>
      <c r="C259" s="305"/>
      <c r="D259" s="305"/>
      <c r="E259" s="305"/>
      <c r="F259" s="305"/>
      <c r="G259" s="305"/>
      <c r="H259" s="305"/>
      <c r="I259" s="305"/>
      <c r="K259" s="305"/>
      <c r="L259" s="305"/>
      <c r="M259" s="305"/>
      <c r="N259" s="305"/>
      <c r="O259" s="305"/>
      <c r="P259" s="305"/>
      <c r="Q259" s="305"/>
      <c r="R259" s="305"/>
      <c r="T259" s="305"/>
      <c r="U259" s="305"/>
      <c r="V259" s="305"/>
      <c r="W259" s="305"/>
      <c r="X259" s="305"/>
      <c r="Y259" s="305"/>
      <c r="Z259" s="305"/>
      <c r="AA259" s="305"/>
      <c r="AC259" s="305"/>
      <c r="AD259" s="305"/>
      <c r="AE259" s="305"/>
      <c r="AF259" s="305"/>
      <c r="AG259" s="305"/>
      <c r="AH259" s="305"/>
      <c r="AI259" s="305"/>
      <c r="AJ259" s="305"/>
    </row>
    <row r="260" spans="2:36" s="303" customFormat="1" x14ac:dyDescent="0.25">
      <c r="B260" s="305"/>
      <c r="C260" s="305"/>
      <c r="D260" s="305"/>
      <c r="E260" s="305"/>
      <c r="F260" s="305"/>
      <c r="G260" s="305"/>
      <c r="H260" s="305"/>
      <c r="I260" s="305"/>
      <c r="K260" s="305"/>
      <c r="L260" s="305"/>
      <c r="M260" s="305"/>
      <c r="N260" s="305"/>
      <c r="O260" s="305"/>
      <c r="P260" s="305"/>
      <c r="Q260" s="305"/>
      <c r="R260" s="305"/>
      <c r="T260" s="305"/>
      <c r="U260" s="305"/>
      <c r="V260" s="305"/>
      <c r="W260" s="305"/>
      <c r="X260" s="305"/>
      <c r="Y260" s="305"/>
      <c r="Z260" s="305"/>
      <c r="AA260" s="305"/>
      <c r="AC260" s="305"/>
      <c r="AD260" s="305"/>
      <c r="AE260" s="305"/>
      <c r="AF260" s="305"/>
      <c r="AG260" s="305"/>
      <c r="AH260" s="305"/>
      <c r="AI260" s="305"/>
      <c r="AJ260" s="305"/>
    </row>
    <row r="261" spans="2:36" s="303" customFormat="1" x14ac:dyDescent="0.25">
      <c r="B261" s="305"/>
      <c r="C261" s="305"/>
      <c r="D261" s="305"/>
      <c r="E261" s="305"/>
      <c r="F261" s="305"/>
      <c r="G261" s="305"/>
      <c r="H261" s="305"/>
      <c r="I261" s="305"/>
      <c r="K261" s="305"/>
      <c r="L261" s="305"/>
      <c r="M261" s="305"/>
      <c r="N261" s="305"/>
      <c r="O261" s="305"/>
      <c r="P261" s="305"/>
      <c r="Q261" s="305"/>
      <c r="R261" s="305"/>
      <c r="T261" s="305"/>
      <c r="U261" s="305"/>
      <c r="V261" s="305"/>
      <c r="W261" s="305"/>
      <c r="X261" s="305"/>
      <c r="Y261" s="305"/>
      <c r="Z261" s="305"/>
      <c r="AA261" s="305"/>
      <c r="AC261" s="305"/>
      <c r="AD261" s="305"/>
      <c r="AE261" s="305"/>
      <c r="AF261" s="305"/>
      <c r="AG261" s="305"/>
      <c r="AH261" s="305"/>
      <c r="AI261" s="305"/>
      <c r="AJ261" s="305"/>
    </row>
    <row r="262" spans="2:36" s="303" customFormat="1" x14ac:dyDescent="0.25">
      <c r="B262" s="305"/>
      <c r="C262" s="305"/>
      <c r="D262" s="305"/>
      <c r="E262" s="305"/>
      <c r="F262" s="305"/>
      <c r="G262" s="305"/>
      <c r="H262" s="305"/>
      <c r="I262" s="305"/>
      <c r="K262" s="305"/>
      <c r="L262" s="305"/>
      <c r="M262" s="305"/>
      <c r="N262" s="305"/>
      <c r="O262" s="305"/>
      <c r="P262" s="305"/>
      <c r="Q262" s="305"/>
      <c r="R262" s="305"/>
      <c r="T262" s="305"/>
      <c r="U262" s="305"/>
      <c r="V262" s="305"/>
      <c r="W262" s="305"/>
      <c r="X262" s="305"/>
      <c r="Y262" s="305"/>
      <c r="Z262" s="305"/>
      <c r="AA262" s="305"/>
      <c r="AC262" s="305"/>
      <c r="AD262" s="305"/>
      <c r="AE262" s="305"/>
      <c r="AF262" s="305"/>
      <c r="AG262" s="305"/>
      <c r="AH262" s="305"/>
      <c r="AI262" s="305"/>
      <c r="AJ262" s="305"/>
    </row>
    <row r="263" spans="2:36" s="303" customFormat="1" x14ac:dyDescent="0.25">
      <c r="B263" s="305"/>
      <c r="C263" s="305"/>
      <c r="D263" s="305"/>
      <c r="E263" s="305"/>
      <c r="F263" s="305"/>
      <c r="G263" s="305"/>
      <c r="H263" s="305"/>
      <c r="I263" s="305"/>
      <c r="K263" s="305"/>
      <c r="L263" s="305"/>
      <c r="M263" s="305"/>
      <c r="N263" s="305"/>
      <c r="O263" s="305"/>
      <c r="P263" s="305"/>
      <c r="Q263" s="305"/>
      <c r="R263" s="305"/>
      <c r="T263" s="305"/>
      <c r="U263" s="305"/>
      <c r="V263" s="305"/>
      <c r="W263" s="305"/>
      <c r="X263" s="305"/>
      <c r="Y263" s="305"/>
      <c r="Z263" s="305"/>
      <c r="AA263" s="305"/>
      <c r="AC263" s="305"/>
      <c r="AD263" s="305"/>
      <c r="AE263" s="305"/>
      <c r="AF263" s="305"/>
      <c r="AG263" s="305"/>
      <c r="AH263" s="305"/>
      <c r="AI263" s="305"/>
      <c r="AJ263" s="305"/>
    </row>
    <row r="264" spans="2:36" s="303" customFormat="1" x14ac:dyDescent="0.25">
      <c r="B264" s="305"/>
      <c r="C264" s="305"/>
      <c r="D264" s="305"/>
      <c r="E264" s="305"/>
      <c r="F264" s="305"/>
      <c r="G264" s="305"/>
      <c r="H264" s="305"/>
      <c r="I264" s="305"/>
      <c r="K264" s="305"/>
      <c r="L264" s="305"/>
      <c r="M264" s="305"/>
      <c r="N264" s="305"/>
      <c r="O264" s="305"/>
      <c r="P264" s="305"/>
      <c r="Q264" s="305"/>
      <c r="R264" s="305"/>
      <c r="T264" s="305"/>
      <c r="U264" s="305"/>
      <c r="V264" s="305"/>
      <c r="W264" s="305"/>
      <c r="X264" s="305"/>
      <c r="Y264" s="305"/>
      <c r="Z264" s="305"/>
      <c r="AA264" s="305"/>
      <c r="AC264" s="305"/>
      <c r="AD264" s="305"/>
      <c r="AE264" s="305"/>
      <c r="AF264" s="305"/>
      <c r="AG264" s="305"/>
      <c r="AH264" s="305"/>
      <c r="AI264" s="305"/>
      <c r="AJ264" s="305"/>
    </row>
    <row r="265" spans="2:36" s="303" customFormat="1" x14ac:dyDescent="0.25">
      <c r="B265" s="305"/>
      <c r="C265" s="305"/>
      <c r="D265" s="305"/>
      <c r="E265" s="305"/>
      <c r="F265" s="305"/>
      <c r="G265" s="305"/>
      <c r="H265" s="305"/>
      <c r="I265" s="305"/>
      <c r="K265" s="305"/>
      <c r="L265" s="305"/>
      <c r="M265" s="305"/>
      <c r="N265" s="305"/>
      <c r="O265" s="305"/>
      <c r="P265" s="305"/>
      <c r="Q265" s="305"/>
      <c r="R265" s="305"/>
      <c r="T265" s="305"/>
      <c r="U265" s="305"/>
      <c r="V265" s="305"/>
      <c r="W265" s="305"/>
      <c r="X265" s="305"/>
      <c r="Y265" s="305"/>
      <c r="Z265" s="305"/>
      <c r="AA265" s="305"/>
      <c r="AC265" s="305"/>
      <c r="AD265" s="305"/>
      <c r="AE265" s="305"/>
      <c r="AF265" s="305"/>
      <c r="AG265" s="305"/>
      <c r="AH265" s="305"/>
      <c r="AI265" s="305"/>
      <c r="AJ265" s="305"/>
    </row>
    <row r="266" spans="2:36" s="303" customFormat="1" x14ac:dyDescent="0.25">
      <c r="B266" s="305"/>
      <c r="C266" s="305"/>
      <c r="D266" s="305"/>
      <c r="E266" s="305"/>
      <c r="F266" s="305"/>
      <c r="G266" s="305"/>
      <c r="H266" s="305"/>
      <c r="I266" s="305"/>
      <c r="K266" s="305"/>
      <c r="L266" s="305"/>
      <c r="M266" s="305"/>
      <c r="N266" s="305"/>
      <c r="O266" s="305"/>
      <c r="P266" s="305"/>
      <c r="Q266" s="305"/>
      <c r="R266" s="305"/>
      <c r="T266" s="305"/>
      <c r="U266" s="305"/>
      <c r="V266" s="305"/>
      <c r="W266" s="305"/>
      <c r="X266" s="305"/>
      <c r="Y266" s="305"/>
      <c r="Z266" s="305"/>
      <c r="AA266" s="305"/>
      <c r="AC266" s="305"/>
      <c r="AD266" s="305"/>
      <c r="AE266" s="305"/>
      <c r="AF266" s="305"/>
      <c r="AG266" s="305"/>
      <c r="AH266" s="305"/>
      <c r="AI266" s="305"/>
      <c r="AJ266" s="305"/>
    </row>
    <row r="267" spans="2:36" s="303" customFormat="1" x14ac:dyDescent="0.25">
      <c r="B267" s="305"/>
      <c r="C267" s="305"/>
      <c r="D267" s="305"/>
      <c r="E267" s="305"/>
      <c r="F267" s="305"/>
      <c r="G267" s="305"/>
      <c r="H267" s="305"/>
      <c r="I267" s="305"/>
      <c r="K267" s="305"/>
      <c r="L267" s="305"/>
      <c r="M267" s="305"/>
      <c r="N267" s="305"/>
      <c r="O267" s="305"/>
      <c r="P267" s="305"/>
      <c r="Q267" s="305"/>
      <c r="R267" s="305"/>
      <c r="T267" s="305"/>
      <c r="U267" s="305"/>
      <c r="V267" s="305"/>
      <c r="W267" s="305"/>
      <c r="X267" s="305"/>
      <c r="Y267" s="305"/>
      <c r="Z267" s="305"/>
      <c r="AA267" s="305"/>
      <c r="AC267" s="305"/>
      <c r="AD267" s="305"/>
      <c r="AE267" s="305"/>
      <c r="AF267" s="305"/>
      <c r="AG267" s="305"/>
      <c r="AH267" s="305"/>
      <c r="AI267" s="305"/>
      <c r="AJ267" s="305"/>
    </row>
    <row r="268" spans="2:36" s="303" customFormat="1" x14ac:dyDescent="0.25">
      <c r="B268" s="305"/>
      <c r="C268" s="305"/>
      <c r="D268" s="305"/>
      <c r="E268" s="305"/>
      <c r="F268" s="305"/>
      <c r="G268" s="305"/>
      <c r="H268" s="305"/>
      <c r="I268" s="305"/>
      <c r="K268" s="305"/>
      <c r="L268" s="305"/>
      <c r="M268" s="305"/>
      <c r="N268" s="305"/>
      <c r="O268" s="305"/>
      <c r="P268" s="305"/>
      <c r="Q268" s="305"/>
      <c r="R268" s="305"/>
      <c r="T268" s="305"/>
      <c r="U268" s="305"/>
      <c r="V268" s="305"/>
      <c r="W268" s="305"/>
      <c r="X268" s="305"/>
      <c r="Y268" s="305"/>
      <c r="Z268" s="305"/>
      <c r="AA268" s="305"/>
      <c r="AC268" s="305"/>
      <c r="AD268" s="305"/>
      <c r="AE268" s="305"/>
      <c r="AF268" s="305"/>
      <c r="AG268" s="305"/>
      <c r="AH268" s="305"/>
      <c r="AI268" s="305"/>
      <c r="AJ268" s="305"/>
    </row>
    <row r="269" spans="2:36" s="303" customFormat="1" x14ac:dyDescent="0.25">
      <c r="B269" s="305"/>
      <c r="C269" s="305"/>
      <c r="D269" s="305"/>
      <c r="E269" s="305"/>
      <c r="F269" s="305"/>
      <c r="G269" s="305"/>
      <c r="H269" s="305"/>
      <c r="I269" s="305"/>
      <c r="K269" s="305"/>
      <c r="L269" s="305"/>
      <c r="M269" s="305"/>
      <c r="N269" s="305"/>
      <c r="O269" s="305"/>
      <c r="P269" s="305"/>
      <c r="Q269" s="305"/>
      <c r="R269" s="305"/>
      <c r="T269" s="305"/>
      <c r="U269" s="305"/>
      <c r="V269" s="305"/>
      <c r="W269" s="305"/>
      <c r="X269" s="305"/>
      <c r="Y269" s="305"/>
      <c r="Z269" s="305"/>
      <c r="AA269" s="305"/>
      <c r="AC269" s="305"/>
      <c r="AD269" s="305"/>
      <c r="AE269" s="305"/>
      <c r="AF269" s="305"/>
      <c r="AG269" s="305"/>
      <c r="AH269" s="305"/>
      <c r="AI269" s="305"/>
      <c r="AJ269" s="305"/>
    </row>
    <row r="270" spans="2:36" s="303" customFormat="1" x14ac:dyDescent="0.25">
      <c r="B270" s="305"/>
      <c r="C270" s="305"/>
      <c r="D270" s="305"/>
      <c r="E270" s="305"/>
      <c r="F270" s="305"/>
      <c r="G270" s="305"/>
      <c r="H270" s="305"/>
      <c r="I270" s="305"/>
      <c r="K270" s="305"/>
      <c r="L270" s="305"/>
      <c r="M270" s="305"/>
      <c r="N270" s="305"/>
      <c r="O270" s="305"/>
      <c r="P270" s="305"/>
      <c r="Q270" s="305"/>
      <c r="R270" s="305"/>
      <c r="T270" s="305"/>
      <c r="U270" s="305"/>
      <c r="V270" s="305"/>
      <c r="W270" s="305"/>
      <c r="X270" s="305"/>
      <c r="Y270" s="305"/>
      <c r="Z270" s="305"/>
      <c r="AA270" s="305"/>
      <c r="AC270" s="305"/>
      <c r="AD270" s="305"/>
      <c r="AE270" s="305"/>
      <c r="AF270" s="305"/>
      <c r="AG270" s="305"/>
      <c r="AH270" s="305"/>
      <c r="AI270" s="305"/>
      <c r="AJ270" s="305"/>
    </row>
    <row r="271" spans="2:36" s="303" customFormat="1" x14ac:dyDescent="0.25">
      <c r="B271" s="305"/>
      <c r="C271" s="305"/>
      <c r="D271" s="305"/>
      <c r="E271" s="305"/>
      <c r="F271" s="305"/>
      <c r="G271" s="305"/>
      <c r="H271" s="305"/>
      <c r="I271" s="305"/>
      <c r="K271" s="305"/>
      <c r="L271" s="305"/>
      <c r="M271" s="305"/>
      <c r="N271" s="305"/>
      <c r="O271" s="305"/>
      <c r="P271" s="305"/>
      <c r="Q271" s="305"/>
      <c r="R271" s="305"/>
      <c r="T271" s="305"/>
      <c r="U271" s="305"/>
      <c r="V271" s="305"/>
      <c r="W271" s="305"/>
      <c r="X271" s="305"/>
      <c r="Y271" s="305"/>
      <c r="Z271" s="305"/>
      <c r="AA271" s="305"/>
      <c r="AC271" s="305"/>
      <c r="AD271" s="305"/>
      <c r="AE271" s="305"/>
      <c r="AF271" s="305"/>
      <c r="AG271" s="305"/>
      <c r="AH271" s="305"/>
      <c r="AI271" s="305"/>
      <c r="AJ271" s="305"/>
    </row>
    <row r="272" spans="2:36" s="303" customFormat="1" x14ac:dyDescent="0.25">
      <c r="B272" s="305"/>
      <c r="C272" s="305"/>
      <c r="D272" s="305"/>
      <c r="E272" s="305"/>
      <c r="F272" s="305"/>
      <c r="G272" s="305"/>
      <c r="H272" s="305"/>
      <c r="I272" s="305"/>
      <c r="K272" s="305"/>
      <c r="L272" s="305"/>
      <c r="M272" s="305"/>
      <c r="N272" s="305"/>
      <c r="O272" s="305"/>
      <c r="P272" s="305"/>
      <c r="Q272" s="305"/>
      <c r="R272" s="305"/>
      <c r="T272" s="305"/>
      <c r="U272" s="305"/>
      <c r="V272" s="305"/>
      <c r="W272" s="305"/>
      <c r="X272" s="305"/>
      <c r="Y272" s="305"/>
      <c r="Z272" s="305"/>
      <c r="AA272" s="305"/>
      <c r="AC272" s="305"/>
      <c r="AD272" s="305"/>
      <c r="AE272" s="305"/>
      <c r="AF272" s="305"/>
      <c r="AG272" s="305"/>
      <c r="AH272" s="305"/>
      <c r="AI272" s="305"/>
      <c r="AJ272" s="305"/>
    </row>
    <row r="273" spans="2:36" s="303" customFormat="1" x14ac:dyDescent="0.25">
      <c r="B273" s="305"/>
      <c r="C273" s="305"/>
      <c r="D273" s="305"/>
      <c r="E273" s="305"/>
      <c r="F273" s="305"/>
      <c r="G273" s="305"/>
      <c r="H273" s="305"/>
      <c r="I273" s="305"/>
      <c r="K273" s="305"/>
      <c r="L273" s="305"/>
      <c r="M273" s="305"/>
      <c r="N273" s="305"/>
      <c r="O273" s="305"/>
      <c r="P273" s="305"/>
      <c r="Q273" s="305"/>
      <c r="R273" s="305"/>
      <c r="T273" s="305"/>
      <c r="U273" s="305"/>
      <c r="V273" s="305"/>
      <c r="W273" s="305"/>
      <c r="X273" s="305"/>
      <c r="Y273" s="305"/>
      <c r="Z273" s="305"/>
      <c r="AA273" s="305"/>
      <c r="AC273" s="305"/>
      <c r="AD273" s="305"/>
      <c r="AE273" s="305"/>
      <c r="AF273" s="305"/>
      <c r="AG273" s="305"/>
      <c r="AH273" s="305"/>
      <c r="AI273" s="305"/>
      <c r="AJ273" s="305"/>
    </row>
    <row r="274" spans="2:36" s="303" customFormat="1" x14ac:dyDescent="0.25">
      <c r="B274" s="305"/>
      <c r="C274" s="305"/>
      <c r="D274" s="305"/>
      <c r="E274" s="305"/>
      <c r="F274" s="305"/>
      <c r="G274" s="305"/>
      <c r="H274" s="305"/>
      <c r="I274" s="305"/>
      <c r="K274" s="305"/>
      <c r="L274" s="305"/>
      <c r="M274" s="305"/>
      <c r="N274" s="305"/>
      <c r="O274" s="305"/>
      <c r="P274" s="305"/>
      <c r="Q274" s="305"/>
      <c r="R274" s="305"/>
      <c r="T274" s="305"/>
      <c r="U274" s="305"/>
      <c r="V274" s="305"/>
      <c r="W274" s="305"/>
      <c r="X274" s="305"/>
      <c r="Y274" s="305"/>
      <c r="Z274" s="305"/>
      <c r="AA274" s="305"/>
      <c r="AC274" s="305"/>
      <c r="AD274" s="305"/>
      <c r="AE274" s="305"/>
      <c r="AF274" s="305"/>
      <c r="AG274" s="305"/>
      <c r="AH274" s="305"/>
      <c r="AI274" s="305"/>
      <c r="AJ274" s="305"/>
    </row>
    <row r="275" spans="2:36" s="303" customFormat="1" x14ac:dyDescent="0.25">
      <c r="B275" s="305"/>
      <c r="C275" s="305"/>
      <c r="D275" s="305"/>
      <c r="E275" s="305"/>
      <c r="F275" s="305"/>
      <c r="G275" s="305"/>
      <c r="H275" s="305"/>
      <c r="I275" s="305"/>
      <c r="K275" s="305"/>
      <c r="L275" s="305"/>
      <c r="M275" s="305"/>
      <c r="N275" s="305"/>
      <c r="O275" s="305"/>
      <c r="P275" s="305"/>
      <c r="Q275" s="305"/>
      <c r="R275" s="305"/>
      <c r="T275" s="305"/>
      <c r="U275" s="305"/>
      <c r="V275" s="305"/>
      <c r="W275" s="305"/>
      <c r="X275" s="305"/>
      <c r="Y275" s="305"/>
      <c r="Z275" s="305"/>
      <c r="AA275" s="305"/>
      <c r="AC275" s="305"/>
      <c r="AD275" s="305"/>
      <c r="AE275" s="305"/>
      <c r="AF275" s="305"/>
      <c r="AG275" s="305"/>
      <c r="AH275" s="305"/>
      <c r="AI275" s="305"/>
      <c r="AJ275" s="305"/>
    </row>
    <row r="276" spans="2:36" s="303" customFormat="1" x14ac:dyDescent="0.25">
      <c r="B276" s="305"/>
      <c r="C276" s="305"/>
      <c r="D276" s="305"/>
      <c r="E276" s="305"/>
      <c r="F276" s="305"/>
      <c r="G276" s="305"/>
      <c r="H276" s="305"/>
      <c r="I276" s="305"/>
      <c r="K276" s="305"/>
      <c r="L276" s="305"/>
      <c r="M276" s="305"/>
      <c r="N276" s="305"/>
      <c r="O276" s="305"/>
      <c r="P276" s="305"/>
      <c r="Q276" s="305"/>
      <c r="R276" s="305"/>
      <c r="T276" s="305"/>
      <c r="U276" s="305"/>
      <c r="V276" s="305"/>
      <c r="W276" s="305"/>
      <c r="X276" s="305"/>
      <c r="Y276" s="305"/>
      <c r="Z276" s="305"/>
      <c r="AA276" s="305"/>
      <c r="AC276" s="305"/>
      <c r="AD276" s="305"/>
      <c r="AE276" s="305"/>
      <c r="AF276" s="305"/>
      <c r="AG276" s="305"/>
      <c r="AH276" s="305"/>
      <c r="AI276" s="305"/>
      <c r="AJ276" s="305"/>
    </row>
    <row r="277" spans="2:36" s="303" customFormat="1" x14ac:dyDescent="0.25">
      <c r="B277" s="305"/>
      <c r="C277" s="305"/>
      <c r="D277" s="305"/>
      <c r="E277" s="305"/>
      <c r="F277" s="305"/>
      <c r="G277" s="305"/>
      <c r="H277" s="305"/>
      <c r="I277" s="305"/>
      <c r="K277" s="305"/>
      <c r="L277" s="305"/>
      <c r="M277" s="305"/>
      <c r="N277" s="305"/>
      <c r="O277" s="305"/>
      <c r="P277" s="305"/>
      <c r="Q277" s="305"/>
      <c r="R277" s="305"/>
      <c r="T277" s="305"/>
      <c r="U277" s="305"/>
      <c r="V277" s="305"/>
      <c r="W277" s="305"/>
      <c r="X277" s="305"/>
      <c r="Y277" s="305"/>
      <c r="Z277" s="305"/>
      <c r="AA277" s="305"/>
      <c r="AC277" s="305"/>
      <c r="AD277" s="305"/>
      <c r="AE277" s="305"/>
      <c r="AF277" s="305"/>
      <c r="AG277" s="305"/>
      <c r="AH277" s="305"/>
      <c r="AI277" s="305"/>
      <c r="AJ277" s="305"/>
    </row>
    <row r="278" spans="2:36" s="303" customFormat="1" x14ac:dyDescent="0.25">
      <c r="B278" s="305"/>
      <c r="C278" s="305"/>
      <c r="D278" s="305"/>
      <c r="E278" s="305"/>
      <c r="F278" s="305"/>
      <c r="G278" s="305"/>
      <c r="H278" s="305"/>
      <c r="I278" s="305"/>
      <c r="K278" s="305"/>
      <c r="L278" s="305"/>
      <c r="M278" s="305"/>
      <c r="N278" s="305"/>
      <c r="O278" s="305"/>
      <c r="P278" s="305"/>
      <c r="Q278" s="305"/>
      <c r="R278" s="305"/>
      <c r="T278" s="305"/>
      <c r="U278" s="305"/>
      <c r="V278" s="305"/>
      <c r="W278" s="305"/>
      <c r="X278" s="305"/>
      <c r="Y278" s="305"/>
      <c r="Z278" s="305"/>
      <c r="AA278" s="305"/>
      <c r="AC278" s="305"/>
      <c r="AD278" s="305"/>
      <c r="AE278" s="305"/>
      <c r="AF278" s="305"/>
      <c r="AG278" s="305"/>
      <c r="AH278" s="305"/>
      <c r="AI278" s="305"/>
      <c r="AJ278" s="305"/>
    </row>
    <row r="279" spans="2:36" s="303" customFormat="1" x14ac:dyDescent="0.25">
      <c r="B279" s="305"/>
      <c r="C279" s="305"/>
      <c r="D279" s="305"/>
      <c r="E279" s="305"/>
      <c r="F279" s="305"/>
      <c r="G279" s="305"/>
      <c r="H279" s="305"/>
      <c r="I279" s="305"/>
      <c r="K279" s="305"/>
      <c r="L279" s="305"/>
      <c r="M279" s="305"/>
      <c r="N279" s="305"/>
      <c r="O279" s="305"/>
      <c r="P279" s="305"/>
      <c r="Q279" s="305"/>
      <c r="R279" s="305"/>
      <c r="T279" s="305"/>
      <c r="U279" s="305"/>
      <c r="V279" s="305"/>
      <c r="W279" s="305"/>
      <c r="X279" s="305"/>
      <c r="Y279" s="305"/>
      <c r="Z279" s="305"/>
      <c r="AA279" s="305"/>
      <c r="AC279" s="305"/>
      <c r="AD279" s="305"/>
      <c r="AE279" s="305"/>
      <c r="AF279" s="305"/>
      <c r="AG279" s="305"/>
      <c r="AH279" s="305"/>
      <c r="AI279" s="305"/>
      <c r="AJ279" s="305"/>
    </row>
    <row r="280" spans="2:36" s="303" customFormat="1" x14ac:dyDescent="0.25">
      <c r="B280" s="305"/>
      <c r="C280" s="305"/>
      <c r="D280" s="305"/>
      <c r="E280" s="305"/>
      <c r="F280" s="305"/>
      <c r="G280" s="305"/>
      <c r="H280" s="305"/>
      <c r="I280" s="305"/>
      <c r="K280" s="305"/>
      <c r="L280" s="305"/>
      <c r="M280" s="305"/>
      <c r="N280" s="305"/>
      <c r="O280" s="305"/>
      <c r="P280" s="305"/>
      <c r="Q280" s="305"/>
      <c r="R280" s="305"/>
      <c r="T280" s="305"/>
      <c r="U280" s="305"/>
      <c r="V280" s="305"/>
      <c r="W280" s="305"/>
      <c r="X280" s="305"/>
      <c r="Y280" s="305"/>
      <c r="Z280" s="305"/>
      <c r="AA280" s="305"/>
      <c r="AC280" s="305"/>
      <c r="AD280" s="305"/>
      <c r="AE280" s="305"/>
      <c r="AF280" s="305"/>
      <c r="AG280" s="305"/>
      <c r="AH280" s="305"/>
      <c r="AI280" s="305"/>
      <c r="AJ280" s="305"/>
    </row>
    <row r="281" spans="2:36" s="303" customFormat="1" x14ac:dyDescent="0.25">
      <c r="B281" s="305"/>
      <c r="C281" s="305"/>
      <c r="D281" s="305"/>
      <c r="E281" s="305"/>
      <c r="F281" s="305"/>
      <c r="G281" s="305"/>
      <c r="H281" s="305"/>
      <c r="I281" s="305"/>
      <c r="K281" s="305"/>
      <c r="L281" s="305"/>
      <c r="M281" s="305"/>
      <c r="N281" s="305"/>
      <c r="O281" s="305"/>
      <c r="P281" s="305"/>
      <c r="Q281" s="305"/>
      <c r="R281" s="305"/>
      <c r="T281" s="305"/>
      <c r="U281" s="305"/>
      <c r="V281" s="305"/>
      <c r="W281" s="305"/>
      <c r="X281" s="305"/>
      <c r="Y281" s="305"/>
      <c r="Z281" s="305"/>
      <c r="AA281" s="305"/>
      <c r="AC281" s="305"/>
      <c r="AD281" s="305"/>
      <c r="AE281" s="305"/>
      <c r="AF281" s="305"/>
      <c r="AG281" s="305"/>
      <c r="AH281" s="305"/>
      <c r="AI281" s="305"/>
      <c r="AJ281" s="305"/>
    </row>
    <row r="282" spans="2:36" s="303" customFormat="1" x14ac:dyDescent="0.25">
      <c r="B282" s="305"/>
      <c r="C282" s="305"/>
      <c r="D282" s="305"/>
      <c r="E282" s="305"/>
      <c r="F282" s="305"/>
      <c r="G282" s="305"/>
      <c r="H282" s="305"/>
      <c r="I282" s="305"/>
      <c r="K282" s="305"/>
      <c r="L282" s="305"/>
      <c r="M282" s="305"/>
      <c r="N282" s="305"/>
      <c r="O282" s="305"/>
      <c r="P282" s="305"/>
      <c r="Q282" s="305"/>
      <c r="R282" s="305"/>
      <c r="T282" s="305"/>
      <c r="U282" s="305"/>
      <c r="V282" s="305"/>
      <c r="W282" s="305"/>
      <c r="X282" s="305"/>
      <c r="Y282" s="305"/>
      <c r="Z282" s="305"/>
      <c r="AA282" s="305"/>
      <c r="AC282" s="305"/>
      <c r="AD282" s="305"/>
      <c r="AE282" s="305"/>
      <c r="AF282" s="305"/>
      <c r="AG282" s="305"/>
      <c r="AH282" s="305"/>
      <c r="AI282" s="305"/>
      <c r="AJ282" s="305"/>
    </row>
    <row r="283" spans="2:36" s="303" customFormat="1" x14ac:dyDescent="0.25">
      <c r="B283" s="305"/>
      <c r="C283" s="305"/>
      <c r="D283" s="305"/>
      <c r="E283" s="305"/>
      <c r="F283" s="305"/>
      <c r="G283" s="305"/>
      <c r="H283" s="305"/>
      <c r="I283" s="305"/>
      <c r="K283" s="305"/>
      <c r="L283" s="305"/>
      <c r="M283" s="305"/>
      <c r="N283" s="305"/>
      <c r="O283" s="305"/>
      <c r="P283" s="305"/>
      <c r="Q283" s="305"/>
      <c r="R283" s="305"/>
      <c r="T283" s="305"/>
      <c r="U283" s="305"/>
      <c r="V283" s="305"/>
      <c r="W283" s="305"/>
      <c r="X283" s="305"/>
      <c r="Y283" s="305"/>
      <c r="Z283" s="305"/>
      <c r="AA283" s="305"/>
      <c r="AC283" s="305"/>
      <c r="AD283" s="305"/>
      <c r="AE283" s="305"/>
      <c r="AF283" s="305"/>
      <c r="AG283" s="305"/>
      <c r="AH283" s="305"/>
      <c r="AI283" s="305"/>
      <c r="AJ283" s="305"/>
    </row>
    <row r="284" spans="2:36" s="303" customFormat="1" x14ac:dyDescent="0.25">
      <c r="B284" s="305"/>
      <c r="C284" s="305"/>
      <c r="D284" s="305"/>
      <c r="E284" s="305"/>
      <c r="F284" s="305"/>
      <c r="G284" s="305"/>
      <c r="H284" s="305"/>
      <c r="I284" s="305"/>
      <c r="K284" s="305"/>
      <c r="L284" s="305"/>
      <c r="M284" s="305"/>
      <c r="N284" s="305"/>
      <c r="O284" s="305"/>
      <c r="P284" s="305"/>
      <c r="Q284" s="305"/>
      <c r="R284" s="305"/>
      <c r="T284" s="305"/>
      <c r="U284" s="305"/>
      <c r="V284" s="305"/>
      <c r="W284" s="305"/>
      <c r="X284" s="305"/>
      <c r="Y284" s="305"/>
      <c r="Z284" s="305"/>
      <c r="AA284" s="305"/>
      <c r="AC284" s="305"/>
      <c r="AD284" s="305"/>
      <c r="AE284" s="305"/>
      <c r="AF284" s="305"/>
      <c r="AG284" s="305"/>
      <c r="AH284" s="305"/>
      <c r="AI284" s="305"/>
      <c r="AJ284" s="305"/>
    </row>
    <row r="285" spans="2:36" s="303" customFormat="1" x14ac:dyDescent="0.25">
      <c r="B285" s="305"/>
      <c r="C285" s="305"/>
      <c r="D285" s="305"/>
      <c r="E285" s="305"/>
      <c r="F285" s="305"/>
      <c r="G285" s="305"/>
      <c r="H285" s="305"/>
      <c r="I285" s="305"/>
      <c r="K285" s="305"/>
      <c r="L285" s="305"/>
      <c r="M285" s="305"/>
      <c r="N285" s="305"/>
      <c r="O285" s="305"/>
      <c r="P285" s="305"/>
      <c r="Q285" s="305"/>
      <c r="R285" s="305"/>
      <c r="T285" s="305"/>
      <c r="U285" s="305"/>
      <c r="V285" s="305"/>
      <c r="W285" s="305"/>
      <c r="X285" s="305"/>
      <c r="Y285" s="305"/>
      <c r="Z285" s="305"/>
      <c r="AA285" s="305"/>
      <c r="AC285" s="305"/>
      <c r="AD285" s="305"/>
      <c r="AE285" s="305"/>
      <c r="AF285" s="305"/>
      <c r="AG285" s="305"/>
      <c r="AH285" s="305"/>
      <c r="AI285" s="305"/>
      <c r="AJ285" s="305"/>
    </row>
    <row r="286" spans="2:36" s="303" customFormat="1" x14ac:dyDescent="0.25">
      <c r="B286" s="305"/>
      <c r="C286" s="305"/>
      <c r="D286" s="305"/>
      <c r="E286" s="305"/>
      <c r="F286" s="305"/>
      <c r="G286" s="305"/>
      <c r="H286" s="305"/>
      <c r="I286" s="305"/>
      <c r="K286" s="305"/>
      <c r="L286" s="305"/>
      <c r="M286" s="305"/>
      <c r="N286" s="305"/>
      <c r="O286" s="305"/>
      <c r="P286" s="305"/>
      <c r="Q286" s="305"/>
      <c r="R286" s="305"/>
      <c r="T286" s="305"/>
      <c r="U286" s="305"/>
      <c r="V286" s="305"/>
      <c r="W286" s="305"/>
      <c r="X286" s="305"/>
      <c r="Y286" s="305"/>
      <c r="Z286" s="305"/>
      <c r="AA286" s="305"/>
      <c r="AC286" s="305"/>
      <c r="AD286" s="305"/>
      <c r="AE286" s="305"/>
      <c r="AF286" s="305"/>
      <c r="AG286" s="305"/>
      <c r="AH286" s="305"/>
      <c r="AI286" s="305"/>
      <c r="AJ286" s="305"/>
    </row>
    <row r="287" spans="2:36" s="303" customFormat="1" x14ac:dyDescent="0.25">
      <c r="B287" s="305"/>
      <c r="C287" s="305"/>
      <c r="D287" s="305"/>
      <c r="E287" s="305"/>
      <c r="F287" s="305"/>
      <c r="G287" s="305"/>
      <c r="H287" s="305"/>
      <c r="I287" s="305"/>
      <c r="K287" s="305"/>
      <c r="L287" s="305"/>
      <c r="M287" s="305"/>
      <c r="N287" s="305"/>
      <c r="O287" s="305"/>
      <c r="P287" s="305"/>
      <c r="Q287" s="305"/>
      <c r="R287" s="305"/>
      <c r="T287" s="305"/>
      <c r="U287" s="305"/>
      <c r="V287" s="305"/>
      <c r="W287" s="305"/>
      <c r="X287" s="305"/>
      <c r="Y287" s="305"/>
      <c r="Z287" s="305"/>
      <c r="AA287" s="305"/>
      <c r="AC287" s="305"/>
      <c r="AD287" s="305"/>
      <c r="AE287" s="305"/>
      <c r="AF287" s="305"/>
      <c r="AG287" s="305"/>
      <c r="AH287" s="305"/>
      <c r="AI287" s="305"/>
      <c r="AJ287" s="305"/>
    </row>
    <row r="288" spans="2:36" s="303" customFormat="1" x14ac:dyDescent="0.25">
      <c r="B288" s="305"/>
      <c r="C288" s="305"/>
      <c r="D288" s="305"/>
      <c r="E288" s="305"/>
      <c r="F288" s="305"/>
      <c r="G288" s="305"/>
      <c r="H288" s="305"/>
      <c r="I288" s="305"/>
      <c r="K288" s="305"/>
      <c r="L288" s="305"/>
      <c r="M288" s="305"/>
      <c r="N288" s="305"/>
      <c r="O288" s="305"/>
      <c r="P288" s="305"/>
      <c r="Q288" s="305"/>
      <c r="R288" s="305"/>
      <c r="T288" s="305"/>
      <c r="U288" s="305"/>
      <c r="V288" s="305"/>
      <c r="W288" s="305"/>
      <c r="X288" s="305"/>
      <c r="Y288" s="305"/>
      <c r="Z288" s="305"/>
      <c r="AA288" s="305"/>
      <c r="AC288" s="305"/>
      <c r="AD288" s="305"/>
      <c r="AE288" s="305"/>
      <c r="AF288" s="305"/>
      <c r="AG288" s="305"/>
      <c r="AH288" s="305"/>
      <c r="AI288" s="305"/>
      <c r="AJ288" s="305"/>
    </row>
    <row r="289" spans="2:36" s="303" customFormat="1" x14ac:dyDescent="0.25">
      <c r="B289" s="305"/>
      <c r="C289" s="305"/>
      <c r="D289" s="305"/>
      <c r="E289" s="305"/>
      <c r="F289" s="305"/>
      <c r="G289" s="305"/>
      <c r="H289" s="305"/>
      <c r="I289" s="305"/>
      <c r="K289" s="305"/>
      <c r="L289" s="305"/>
      <c r="M289" s="305"/>
      <c r="N289" s="305"/>
      <c r="O289" s="305"/>
      <c r="P289" s="305"/>
      <c r="Q289" s="305"/>
      <c r="R289" s="305"/>
      <c r="T289" s="305"/>
      <c r="U289" s="305"/>
      <c r="V289" s="305"/>
      <c r="W289" s="305"/>
      <c r="X289" s="305"/>
      <c r="Y289" s="305"/>
      <c r="Z289" s="305"/>
      <c r="AA289" s="305"/>
      <c r="AC289" s="305"/>
      <c r="AD289" s="305"/>
      <c r="AE289" s="305"/>
      <c r="AF289" s="305"/>
      <c r="AG289" s="305"/>
      <c r="AH289" s="305"/>
      <c r="AI289" s="305"/>
      <c r="AJ289" s="305"/>
    </row>
    <row r="290" spans="2:36" s="303" customFormat="1" x14ac:dyDescent="0.25">
      <c r="B290" s="305"/>
      <c r="C290" s="305"/>
      <c r="D290" s="305"/>
      <c r="E290" s="305"/>
      <c r="F290" s="305"/>
      <c r="G290" s="305"/>
      <c r="H290" s="305"/>
      <c r="I290" s="305"/>
      <c r="K290" s="305"/>
      <c r="L290" s="305"/>
      <c r="M290" s="305"/>
      <c r="N290" s="305"/>
      <c r="O290" s="305"/>
      <c r="P290" s="305"/>
      <c r="Q290" s="305"/>
      <c r="R290" s="305"/>
      <c r="T290" s="305"/>
      <c r="U290" s="305"/>
      <c r="V290" s="305"/>
      <c r="W290" s="305"/>
      <c r="X290" s="305"/>
      <c r="Y290" s="305"/>
      <c r="Z290" s="305"/>
      <c r="AA290" s="305"/>
      <c r="AC290" s="305"/>
      <c r="AD290" s="305"/>
      <c r="AE290" s="305"/>
      <c r="AF290" s="305"/>
      <c r="AG290" s="305"/>
      <c r="AH290" s="305"/>
      <c r="AI290" s="305"/>
      <c r="AJ290" s="305"/>
    </row>
    <row r="291" spans="2:36" s="303" customFormat="1" x14ac:dyDescent="0.25">
      <c r="B291" s="305"/>
      <c r="C291" s="305"/>
      <c r="D291" s="305"/>
      <c r="E291" s="305"/>
      <c r="F291" s="305"/>
      <c r="G291" s="305"/>
      <c r="H291" s="305"/>
      <c r="I291" s="305"/>
      <c r="K291" s="305"/>
      <c r="L291" s="305"/>
      <c r="M291" s="305"/>
      <c r="N291" s="305"/>
      <c r="O291" s="305"/>
      <c r="P291" s="305"/>
      <c r="Q291" s="305"/>
      <c r="R291" s="305"/>
      <c r="T291" s="305"/>
      <c r="U291" s="305"/>
      <c r="V291" s="305"/>
      <c r="W291" s="305"/>
      <c r="X291" s="305"/>
      <c r="Y291" s="305"/>
      <c r="Z291" s="305"/>
      <c r="AA291" s="305"/>
      <c r="AC291" s="305"/>
      <c r="AD291" s="305"/>
      <c r="AE291" s="305"/>
      <c r="AF291" s="305"/>
      <c r="AG291" s="305"/>
      <c r="AH291" s="305"/>
      <c r="AI291" s="305"/>
      <c r="AJ291" s="305"/>
    </row>
    <row r="292" spans="2:36" s="303" customFormat="1" x14ac:dyDescent="0.25">
      <c r="B292" s="305"/>
      <c r="C292" s="305"/>
      <c r="D292" s="305"/>
      <c r="E292" s="305"/>
      <c r="F292" s="305"/>
      <c r="G292" s="305"/>
      <c r="H292" s="305"/>
      <c r="I292" s="305"/>
      <c r="K292" s="305"/>
      <c r="L292" s="305"/>
      <c r="M292" s="305"/>
      <c r="N292" s="305"/>
      <c r="O292" s="305"/>
      <c r="P292" s="305"/>
      <c r="Q292" s="305"/>
      <c r="R292" s="305"/>
      <c r="T292" s="305"/>
      <c r="U292" s="305"/>
      <c r="V292" s="305"/>
      <c r="W292" s="305"/>
      <c r="X292" s="305"/>
      <c r="Y292" s="305"/>
      <c r="Z292" s="305"/>
      <c r="AA292" s="305"/>
      <c r="AC292" s="305"/>
      <c r="AD292" s="305"/>
      <c r="AE292" s="305"/>
      <c r="AF292" s="305"/>
      <c r="AG292" s="305"/>
      <c r="AH292" s="305"/>
      <c r="AI292" s="305"/>
      <c r="AJ292" s="305"/>
    </row>
    <row r="293" spans="2:36" s="303" customFormat="1" x14ac:dyDescent="0.25">
      <c r="B293" s="305"/>
      <c r="C293" s="305"/>
      <c r="D293" s="305"/>
      <c r="E293" s="305"/>
      <c r="F293" s="305"/>
      <c r="G293" s="305"/>
      <c r="H293" s="305"/>
      <c r="I293" s="305"/>
      <c r="K293" s="305"/>
      <c r="L293" s="305"/>
      <c r="M293" s="305"/>
      <c r="N293" s="305"/>
      <c r="O293" s="305"/>
      <c r="P293" s="305"/>
      <c r="Q293" s="305"/>
      <c r="R293" s="305"/>
      <c r="T293" s="305"/>
      <c r="U293" s="305"/>
      <c r="V293" s="305"/>
      <c r="W293" s="305"/>
      <c r="X293" s="305"/>
      <c r="Y293" s="305"/>
      <c r="Z293" s="305"/>
      <c r="AA293" s="305"/>
      <c r="AC293" s="305"/>
      <c r="AD293" s="305"/>
      <c r="AE293" s="305"/>
      <c r="AF293" s="305"/>
      <c r="AG293" s="305"/>
      <c r="AH293" s="305"/>
      <c r="AI293" s="305"/>
      <c r="AJ293" s="305"/>
    </row>
    <row r="294" spans="2:36" s="303" customFormat="1" x14ac:dyDescent="0.25">
      <c r="B294" s="305"/>
      <c r="C294" s="305"/>
      <c r="D294" s="305"/>
      <c r="E294" s="305"/>
      <c r="F294" s="305"/>
      <c r="G294" s="305"/>
      <c r="H294" s="305"/>
      <c r="I294" s="305"/>
      <c r="K294" s="305"/>
      <c r="L294" s="305"/>
      <c r="M294" s="305"/>
      <c r="N294" s="305"/>
      <c r="O294" s="305"/>
      <c r="P294" s="305"/>
      <c r="Q294" s="305"/>
      <c r="R294" s="305"/>
      <c r="T294" s="305"/>
      <c r="U294" s="305"/>
      <c r="V294" s="305"/>
      <c r="W294" s="305"/>
      <c r="X294" s="305"/>
      <c r="Y294" s="305"/>
      <c r="Z294" s="305"/>
      <c r="AA294" s="305"/>
      <c r="AC294" s="305"/>
      <c r="AD294" s="305"/>
      <c r="AE294" s="305"/>
      <c r="AF294" s="305"/>
      <c r="AG294" s="305"/>
      <c r="AH294" s="305"/>
      <c r="AI294" s="305"/>
      <c r="AJ294" s="305"/>
    </row>
    <row r="295" spans="2:36" s="303" customFormat="1" x14ac:dyDescent="0.25">
      <c r="B295" s="305"/>
      <c r="C295" s="305"/>
      <c r="D295" s="305"/>
      <c r="E295" s="305"/>
      <c r="F295" s="305"/>
      <c r="G295" s="305"/>
      <c r="H295" s="305"/>
      <c r="I295" s="305"/>
      <c r="K295" s="305"/>
      <c r="L295" s="305"/>
      <c r="M295" s="305"/>
      <c r="N295" s="305"/>
      <c r="O295" s="305"/>
      <c r="P295" s="305"/>
      <c r="Q295" s="305"/>
      <c r="R295" s="305"/>
      <c r="T295" s="305"/>
      <c r="U295" s="305"/>
      <c r="V295" s="305"/>
      <c r="W295" s="305"/>
      <c r="X295" s="305"/>
      <c r="Y295" s="305"/>
      <c r="Z295" s="305"/>
      <c r="AA295" s="305"/>
      <c r="AC295" s="305"/>
      <c r="AD295" s="305"/>
      <c r="AE295" s="305"/>
      <c r="AF295" s="305"/>
      <c r="AG295" s="305"/>
      <c r="AH295" s="305"/>
      <c r="AI295" s="305"/>
      <c r="AJ295" s="305"/>
    </row>
    <row r="296" spans="2:36" s="303" customFormat="1" x14ac:dyDescent="0.25">
      <c r="B296" s="305"/>
      <c r="C296" s="305"/>
      <c r="D296" s="305"/>
      <c r="E296" s="305"/>
      <c r="F296" s="305"/>
      <c r="G296" s="305"/>
      <c r="H296" s="305"/>
      <c r="I296" s="305"/>
      <c r="K296" s="305"/>
      <c r="L296" s="305"/>
      <c r="M296" s="305"/>
      <c r="N296" s="305"/>
      <c r="O296" s="305"/>
      <c r="P296" s="305"/>
      <c r="Q296" s="305"/>
      <c r="R296" s="305"/>
      <c r="T296" s="305"/>
      <c r="U296" s="305"/>
      <c r="V296" s="305"/>
      <c r="W296" s="305"/>
      <c r="X296" s="305"/>
      <c r="Y296" s="305"/>
      <c r="Z296" s="305"/>
      <c r="AA296" s="305"/>
      <c r="AC296" s="305"/>
      <c r="AD296" s="305"/>
      <c r="AE296" s="305"/>
      <c r="AF296" s="305"/>
      <c r="AG296" s="305"/>
      <c r="AH296" s="305"/>
      <c r="AI296" s="305"/>
      <c r="AJ296" s="305"/>
    </row>
    <row r="297" spans="2:36" s="303" customFormat="1" x14ac:dyDescent="0.25">
      <c r="B297" s="305"/>
      <c r="C297" s="305"/>
      <c r="D297" s="305"/>
      <c r="E297" s="305"/>
      <c r="F297" s="305"/>
      <c r="G297" s="305"/>
      <c r="H297" s="305"/>
      <c r="I297" s="305"/>
      <c r="K297" s="305"/>
      <c r="L297" s="305"/>
      <c r="M297" s="305"/>
      <c r="N297" s="305"/>
      <c r="O297" s="305"/>
      <c r="P297" s="305"/>
      <c r="Q297" s="305"/>
      <c r="R297" s="305"/>
      <c r="T297" s="305"/>
      <c r="U297" s="305"/>
      <c r="V297" s="305"/>
      <c r="W297" s="305"/>
      <c r="X297" s="305"/>
      <c r="Y297" s="305"/>
      <c r="Z297" s="305"/>
      <c r="AA297" s="305"/>
      <c r="AC297" s="305"/>
      <c r="AD297" s="305"/>
      <c r="AE297" s="305"/>
      <c r="AF297" s="305"/>
      <c r="AG297" s="305"/>
      <c r="AH297" s="305"/>
      <c r="AI297" s="305"/>
      <c r="AJ297" s="305"/>
    </row>
    <row r="298" spans="2:36" s="303" customFormat="1" x14ac:dyDescent="0.25">
      <c r="B298" s="305"/>
      <c r="C298" s="305"/>
      <c r="D298" s="305"/>
      <c r="E298" s="305"/>
      <c r="F298" s="305"/>
      <c r="G298" s="305"/>
      <c r="H298" s="305"/>
      <c r="I298" s="305"/>
      <c r="K298" s="305"/>
      <c r="L298" s="305"/>
      <c r="M298" s="305"/>
      <c r="N298" s="305"/>
      <c r="O298" s="305"/>
      <c r="P298" s="305"/>
      <c r="Q298" s="305"/>
      <c r="R298" s="305"/>
      <c r="T298" s="305"/>
      <c r="U298" s="305"/>
      <c r="V298" s="305"/>
      <c r="W298" s="305"/>
      <c r="X298" s="305"/>
      <c r="Y298" s="305"/>
      <c r="Z298" s="305"/>
      <c r="AA298" s="305"/>
      <c r="AC298" s="305"/>
      <c r="AD298" s="305"/>
      <c r="AE298" s="305"/>
      <c r="AF298" s="305"/>
      <c r="AG298" s="305"/>
      <c r="AH298" s="305"/>
      <c r="AI298" s="305"/>
      <c r="AJ298" s="305"/>
    </row>
    <row r="299" spans="2:36" s="303" customFormat="1" x14ac:dyDescent="0.25">
      <c r="B299" s="305"/>
      <c r="C299" s="305"/>
      <c r="D299" s="305"/>
      <c r="E299" s="305"/>
      <c r="F299" s="305"/>
      <c r="G299" s="305"/>
      <c r="H299" s="305"/>
      <c r="I299" s="305"/>
      <c r="K299" s="305"/>
      <c r="L299" s="305"/>
      <c r="M299" s="305"/>
      <c r="N299" s="305"/>
      <c r="O299" s="305"/>
      <c r="P299" s="305"/>
      <c r="Q299" s="305"/>
      <c r="R299" s="305"/>
      <c r="T299" s="305"/>
      <c r="U299" s="305"/>
      <c r="V299" s="305"/>
      <c r="W299" s="305"/>
      <c r="X299" s="305"/>
      <c r="Y299" s="305"/>
      <c r="Z299" s="305"/>
      <c r="AA299" s="305"/>
      <c r="AC299" s="305"/>
      <c r="AD299" s="305"/>
      <c r="AE299" s="305"/>
      <c r="AF299" s="305"/>
      <c r="AG299" s="305"/>
      <c r="AH299" s="305"/>
      <c r="AI299" s="305"/>
      <c r="AJ299" s="305"/>
    </row>
    <row r="300" spans="2:36" s="303" customFormat="1" x14ac:dyDescent="0.25">
      <c r="B300" s="305"/>
      <c r="C300" s="305"/>
      <c r="D300" s="305"/>
      <c r="E300" s="305"/>
      <c r="F300" s="305"/>
      <c r="G300" s="305"/>
      <c r="H300" s="305"/>
      <c r="I300" s="305"/>
      <c r="K300" s="305"/>
      <c r="L300" s="305"/>
      <c r="M300" s="305"/>
      <c r="N300" s="305"/>
      <c r="O300" s="305"/>
      <c r="P300" s="305"/>
      <c r="Q300" s="305"/>
      <c r="R300" s="305"/>
      <c r="T300" s="305"/>
      <c r="U300" s="305"/>
      <c r="V300" s="305"/>
      <c r="W300" s="305"/>
      <c r="X300" s="305"/>
      <c r="Y300" s="305"/>
      <c r="Z300" s="305"/>
      <c r="AA300" s="305"/>
      <c r="AC300" s="305"/>
      <c r="AD300" s="305"/>
      <c r="AE300" s="305"/>
      <c r="AF300" s="305"/>
      <c r="AG300" s="305"/>
      <c r="AH300" s="305"/>
      <c r="AI300" s="305"/>
      <c r="AJ300" s="305"/>
    </row>
    <row r="301" spans="2:36" s="303" customFormat="1" x14ac:dyDescent="0.25">
      <c r="B301" s="305"/>
      <c r="C301" s="305"/>
      <c r="D301" s="305"/>
      <c r="E301" s="305"/>
      <c r="F301" s="305"/>
      <c r="G301" s="305"/>
      <c r="H301" s="305"/>
      <c r="I301" s="305"/>
      <c r="K301" s="305"/>
      <c r="L301" s="305"/>
      <c r="M301" s="305"/>
      <c r="N301" s="305"/>
      <c r="O301" s="305"/>
      <c r="P301" s="305"/>
      <c r="Q301" s="305"/>
      <c r="R301" s="305"/>
      <c r="T301" s="305"/>
      <c r="U301" s="305"/>
      <c r="V301" s="305"/>
      <c r="W301" s="305"/>
      <c r="X301" s="305"/>
      <c r="Y301" s="305"/>
      <c r="Z301" s="305"/>
      <c r="AA301" s="305"/>
      <c r="AC301" s="305"/>
      <c r="AD301" s="305"/>
      <c r="AE301" s="305"/>
      <c r="AF301" s="305"/>
      <c r="AG301" s="305"/>
      <c r="AH301" s="305"/>
      <c r="AI301" s="305"/>
      <c r="AJ301" s="305"/>
    </row>
    <row r="302" spans="2:36" s="303" customFormat="1" x14ac:dyDescent="0.25">
      <c r="B302" s="305"/>
      <c r="C302" s="305"/>
      <c r="D302" s="305"/>
      <c r="E302" s="305"/>
      <c r="F302" s="305"/>
      <c r="G302" s="305"/>
      <c r="H302" s="305"/>
      <c r="I302" s="305"/>
      <c r="K302" s="305"/>
      <c r="L302" s="305"/>
      <c r="M302" s="305"/>
      <c r="N302" s="305"/>
      <c r="O302" s="305"/>
      <c r="P302" s="305"/>
      <c r="Q302" s="305"/>
      <c r="R302" s="305"/>
      <c r="T302" s="305"/>
      <c r="U302" s="305"/>
      <c r="V302" s="305"/>
      <c r="W302" s="305"/>
      <c r="X302" s="305"/>
      <c r="Y302" s="305"/>
      <c r="Z302" s="305"/>
      <c r="AA302" s="305"/>
      <c r="AC302" s="305"/>
      <c r="AD302" s="305"/>
      <c r="AE302" s="305"/>
      <c r="AF302" s="305"/>
      <c r="AG302" s="305"/>
      <c r="AH302" s="305"/>
      <c r="AI302" s="305"/>
      <c r="AJ302" s="305"/>
    </row>
    <row r="303" spans="2:36" s="303" customFormat="1" x14ac:dyDescent="0.25">
      <c r="B303" s="305"/>
      <c r="C303" s="305"/>
      <c r="D303" s="305"/>
      <c r="E303" s="305"/>
      <c r="F303" s="305"/>
      <c r="G303" s="305"/>
      <c r="H303" s="305"/>
      <c r="I303" s="305"/>
      <c r="K303" s="305"/>
      <c r="L303" s="305"/>
      <c r="M303" s="305"/>
      <c r="N303" s="305"/>
      <c r="O303" s="305"/>
      <c r="P303" s="305"/>
      <c r="Q303" s="305"/>
      <c r="R303" s="305"/>
      <c r="T303" s="305"/>
      <c r="U303" s="305"/>
      <c r="V303" s="305"/>
      <c r="W303" s="305"/>
      <c r="X303" s="305"/>
      <c r="Y303" s="305"/>
      <c r="Z303" s="305"/>
      <c r="AA303" s="305"/>
      <c r="AC303" s="305"/>
      <c r="AD303" s="305"/>
      <c r="AE303" s="305"/>
      <c r="AF303" s="305"/>
      <c r="AG303" s="305"/>
      <c r="AH303" s="305"/>
      <c r="AI303" s="305"/>
      <c r="AJ303" s="305"/>
    </row>
    <row r="304" spans="2:36" s="303" customFormat="1" x14ac:dyDescent="0.25">
      <c r="B304" s="305"/>
      <c r="C304" s="305"/>
      <c r="D304" s="305"/>
      <c r="E304" s="305"/>
      <c r="F304" s="305"/>
      <c r="G304" s="305"/>
      <c r="H304" s="305"/>
      <c r="I304" s="305"/>
      <c r="K304" s="305"/>
      <c r="L304" s="305"/>
      <c r="M304" s="305"/>
      <c r="N304" s="305"/>
      <c r="O304" s="305"/>
      <c r="P304" s="305"/>
      <c r="Q304" s="305"/>
      <c r="R304" s="305"/>
      <c r="T304" s="305"/>
      <c r="U304" s="305"/>
      <c r="V304" s="305"/>
      <c r="W304" s="305"/>
      <c r="X304" s="305"/>
      <c r="Y304" s="305"/>
      <c r="Z304" s="305"/>
      <c r="AA304" s="305"/>
      <c r="AC304" s="305"/>
      <c r="AD304" s="305"/>
      <c r="AE304" s="305"/>
      <c r="AF304" s="305"/>
      <c r="AG304" s="305"/>
      <c r="AH304" s="305"/>
      <c r="AI304" s="305"/>
      <c r="AJ304" s="305"/>
    </row>
    <row r="305" spans="2:36" s="303" customFormat="1" x14ac:dyDescent="0.25">
      <c r="B305" s="305"/>
      <c r="C305" s="305"/>
      <c r="D305" s="305"/>
      <c r="E305" s="305"/>
      <c r="F305" s="305"/>
      <c r="G305" s="305"/>
      <c r="H305" s="305"/>
      <c r="I305" s="305"/>
      <c r="K305" s="305"/>
      <c r="L305" s="305"/>
      <c r="M305" s="305"/>
      <c r="N305" s="305"/>
      <c r="O305" s="305"/>
      <c r="P305" s="305"/>
      <c r="Q305" s="305"/>
      <c r="R305" s="305"/>
      <c r="T305" s="305"/>
      <c r="U305" s="305"/>
      <c r="V305" s="305"/>
      <c r="W305" s="305"/>
      <c r="X305" s="305"/>
      <c r="Y305" s="305"/>
      <c r="Z305" s="305"/>
      <c r="AA305" s="305"/>
      <c r="AC305" s="305"/>
      <c r="AD305" s="305"/>
      <c r="AE305" s="305"/>
      <c r="AF305" s="305"/>
      <c r="AG305" s="305"/>
      <c r="AH305" s="305"/>
      <c r="AI305" s="305"/>
      <c r="AJ305" s="305"/>
    </row>
    <row r="306" spans="2:36" s="303" customFormat="1" x14ac:dyDescent="0.25">
      <c r="B306" s="305"/>
      <c r="C306" s="305"/>
      <c r="D306" s="305"/>
      <c r="E306" s="305"/>
      <c r="F306" s="305"/>
      <c r="G306" s="305"/>
      <c r="H306" s="305"/>
      <c r="I306" s="305"/>
      <c r="K306" s="305"/>
      <c r="L306" s="305"/>
      <c r="M306" s="305"/>
      <c r="N306" s="305"/>
      <c r="O306" s="305"/>
      <c r="P306" s="305"/>
      <c r="Q306" s="305"/>
      <c r="R306" s="305"/>
      <c r="T306" s="305"/>
      <c r="U306" s="305"/>
      <c r="V306" s="305"/>
      <c r="W306" s="305"/>
      <c r="X306" s="305"/>
      <c r="Y306" s="305"/>
      <c r="Z306" s="305"/>
      <c r="AA306" s="305"/>
      <c r="AC306" s="305"/>
      <c r="AD306" s="305"/>
      <c r="AE306" s="305"/>
      <c r="AF306" s="305"/>
      <c r="AG306" s="305"/>
      <c r="AH306" s="305"/>
      <c r="AI306" s="305"/>
      <c r="AJ306" s="305"/>
    </row>
    <row r="307" spans="2:36" s="303" customFormat="1" x14ac:dyDescent="0.25">
      <c r="B307" s="305"/>
      <c r="C307" s="305"/>
      <c r="D307" s="305"/>
      <c r="E307" s="305"/>
      <c r="F307" s="305"/>
      <c r="G307" s="305"/>
      <c r="H307" s="305"/>
      <c r="I307" s="305"/>
      <c r="K307" s="305"/>
      <c r="L307" s="305"/>
      <c r="M307" s="305"/>
      <c r="N307" s="305"/>
      <c r="O307" s="305"/>
      <c r="P307" s="305"/>
      <c r="Q307" s="305"/>
      <c r="R307" s="305"/>
      <c r="T307" s="305"/>
      <c r="U307" s="305"/>
      <c r="V307" s="305"/>
      <c r="W307" s="305"/>
      <c r="X307" s="305"/>
      <c r="Y307" s="305"/>
      <c r="Z307" s="305"/>
      <c r="AA307" s="305"/>
      <c r="AC307" s="305"/>
      <c r="AD307" s="305"/>
      <c r="AE307" s="305"/>
      <c r="AF307" s="305"/>
      <c r="AG307" s="305"/>
      <c r="AH307" s="305"/>
      <c r="AI307" s="305"/>
      <c r="AJ307" s="305"/>
    </row>
    <row r="308" spans="2:36" s="303" customFormat="1" x14ac:dyDescent="0.25">
      <c r="B308" s="305"/>
      <c r="C308" s="305"/>
      <c r="D308" s="305"/>
      <c r="E308" s="305"/>
      <c r="F308" s="305"/>
      <c r="G308" s="305"/>
      <c r="H308" s="305"/>
      <c r="I308" s="305"/>
      <c r="K308" s="305"/>
      <c r="L308" s="305"/>
      <c r="M308" s="305"/>
      <c r="N308" s="305"/>
      <c r="O308" s="305"/>
      <c r="P308" s="305"/>
      <c r="Q308" s="305"/>
      <c r="R308" s="305"/>
      <c r="T308" s="305"/>
      <c r="U308" s="305"/>
      <c r="V308" s="305"/>
      <c r="W308" s="305"/>
      <c r="X308" s="305"/>
      <c r="Y308" s="305"/>
      <c r="Z308" s="305"/>
      <c r="AA308" s="305"/>
      <c r="AC308" s="305"/>
      <c r="AD308" s="305"/>
      <c r="AE308" s="305"/>
      <c r="AF308" s="305"/>
      <c r="AG308" s="305"/>
      <c r="AH308" s="305"/>
      <c r="AI308" s="305"/>
      <c r="AJ308" s="305"/>
    </row>
    <row r="309" spans="2:36" s="303" customFormat="1" x14ac:dyDescent="0.25">
      <c r="B309" s="305"/>
      <c r="C309" s="305"/>
      <c r="D309" s="305"/>
      <c r="E309" s="305"/>
      <c r="F309" s="305"/>
      <c r="G309" s="305"/>
      <c r="H309" s="305"/>
      <c r="I309" s="305"/>
      <c r="K309" s="305"/>
      <c r="L309" s="305"/>
      <c r="M309" s="305"/>
      <c r="N309" s="305"/>
      <c r="O309" s="305"/>
      <c r="P309" s="305"/>
      <c r="Q309" s="305"/>
      <c r="R309" s="305"/>
      <c r="T309" s="305"/>
      <c r="U309" s="305"/>
      <c r="V309" s="305"/>
      <c r="W309" s="305"/>
      <c r="X309" s="305"/>
      <c r="Y309" s="305"/>
      <c r="Z309" s="305"/>
      <c r="AA309" s="305"/>
      <c r="AC309" s="305"/>
      <c r="AD309" s="305"/>
      <c r="AE309" s="305"/>
      <c r="AF309" s="305"/>
      <c r="AG309" s="305"/>
      <c r="AH309" s="305"/>
      <c r="AI309" s="305"/>
      <c r="AJ309" s="305"/>
    </row>
    <row r="310" spans="2:36" s="303" customFormat="1" x14ac:dyDescent="0.25">
      <c r="B310" s="305"/>
      <c r="C310" s="305"/>
      <c r="D310" s="305"/>
      <c r="E310" s="305"/>
      <c r="F310" s="305"/>
      <c r="G310" s="305"/>
      <c r="H310" s="305"/>
      <c r="I310" s="305"/>
      <c r="K310" s="305"/>
      <c r="L310" s="305"/>
      <c r="M310" s="305"/>
      <c r="N310" s="305"/>
      <c r="O310" s="305"/>
      <c r="P310" s="305"/>
      <c r="Q310" s="305"/>
      <c r="R310" s="305"/>
      <c r="T310" s="305"/>
      <c r="U310" s="305"/>
      <c r="V310" s="305"/>
      <c r="W310" s="305"/>
      <c r="X310" s="305"/>
      <c r="Y310" s="305"/>
      <c r="Z310" s="305"/>
      <c r="AA310" s="305"/>
      <c r="AC310" s="305"/>
      <c r="AD310" s="305"/>
      <c r="AE310" s="305"/>
      <c r="AF310" s="305"/>
      <c r="AG310" s="305"/>
      <c r="AH310" s="305"/>
      <c r="AI310" s="305"/>
      <c r="AJ310" s="305"/>
    </row>
    <row r="311" spans="2:36" s="303" customFormat="1" x14ac:dyDescent="0.25">
      <c r="B311" s="305"/>
      <c r="C311" s="305"/>
      <c r="D311" s="305"/>
      <c r="E311" s="305"/>
      <c r="F311" s="305"/>
      <c r="G311" s="305"/>
      <c r="H311" s="305"/>
      <c r="I311" s="305"/>
      <c r="K311" s="305"/>
      <c r="L311" s="305"/>
      <c r="M311" s="305"/>
      <c r="N311" s="305"/>
      <c r="O311" s="305"/>
      <c r="P311" s="305"/>
      <c r="Q311" s="305"/>
      <c r="R311" s="305"/>
      <c r="T311" s="305"/>
      <c r="U311" s="305"/>
      <c r="V311" s="305"/>
      <c r="W311" s="305"/>
      <c r="X311" s="305"/>
      <c r="Y311" s="305"/>
      <c r="Z311" s="305"/>
      <c r="AA311" s="305"/>
      <c r="AC311" s="305"/>
      <c r="AD311" s="305"/>
      <c r="AE311" s="305"/>
      <c r="AF311" s="305"/>
      <c r="AG311" s="305"/>
      <c r="AH311" s="305"/>
      <c r="AI311" s="305"/>
      <c r="AJ311" s="305"/>
    </row>
    <row r="312" spans="2:36" s="303" customFormat="1" x14ac:dyDescent="0.25">
      <c r="B312" s="305"/>
      <c r="C312" s="305"/>
      <c r="D312" s="305"/>
      <c r="E312" s="305"/>
      <c r="F312" s="305"/>
      <c r="G312" s="305"/>
      <c r="H312" s="305"/>
      <c r="I312" s="305"/>
      <c r="K312" s="305"/>
      <c r="L312" s="305"/>
      <c r="M312" s="305"/>
      <c r="N312" s="305"/>
      <c r="O312" s="305"/>
      <c r="P312" s="305"/>
      <c r="Q312" s="305"/>
      <c r="R312" s="305"/>
      <c r="T312" s="305"/>
      <c r="U312" s="305"/>
      <c r="V312" s="305"/>
      <c r="W312" s="305"/>
      <c r="X312" s="305"/>
      <c r="Y312" s="305"/>
      <c r="Z312" s="305"/>
      <c r="AA312" s="305"/>
      <c r="AC312" s="305"/>
      <c r="AD312" s="305"/>
      <c r="AE312" s="305"/>
      <c r="AF312" s="305"/>
      <c r="AG312" s="305"/>
      <c r="AH312" s="305"/>
      <c r="AI312" s="305"/>
      <c r="AJ312" s="305"/>
    </row>
    <row r="313" spans="2:36" s="303" customFormat="1" x14ac:dyDescent="0.25">
      <c r="B313" s="305"/>
      <c r="C313" s="305"/>
      <c r="D313" s="305"/>
      <c r="E313" s="305"/>
      <c r="F313" s="305"/>
      <c r="G313" s="305"/>
      <c r="H313" s="305"/>
      <c r="I313" s="305"/>
      <c r="K313" s="305"/>
      <c r="L313" s="305"/>
      <c r="M313" s="305"/>
      <c r="N313" s="305"/>
      <c r="O313" s="305"/>
      <c r="P313" s="305"/>
      <c r="Q313" s="305"/>
      <c r="R313" s="305"/>
      <c r="T313" s="305"/>
      <c r="U313" s="305"/>
      <c r="V313" s="305"/>
      <c r="W313" s="305"/>
      <c r="X313" s="305"/>
      <c r="Y313" s="305"/>
      <c r="Z313" s="305"/>
      <c r="AA313" s="305"/>
      <c r="AC313" s="305"/>
      <c r="AD313" s="305"/>
      <c r="AE313" s="305"/>
      <c r="AF313" s="305"/>
      <c r="AG313" s="305"/>
      <c r="AH313" s="305"/>
      <c r="AI313" s="305"/>
      <c r="AJ313" s="305"/>
    </row>
    <row r="314" spans="2:36" s="303" customFormat="1" x14ac:dyDescent="0.25">
      <c r="B314" s="305"/>
      <c r="C314" s="305"/>
      <c r="D314" s="305"/>
      <c r="E314" s="305"/>
      <c r="F314" s="305"/>
      <c r="G314" s="305"/>
      <c r="H314" s="305"/>
      <c r="I314" s="305"/>
      <c r="K314" s="305"/>
      <c r="L314" s="305"/>
      <c r="M314" s="305"/>
      <c r="N314" s="305"/>
      <c r="O314" s="305"/>
      <c r="P314" s="305"/>
      <c r="Q314" s="305"/>
      <c r="R314" s="305"/>
      <c r="T314" s="305"/>
      <c r="U314" s="305"/>
      <c r="V314" s="305"/>
      <c r="W314" s="305"/>
      <c r="X314" s="305"/>
      <c r="Y314" s="305"/>
      <c r="Z314" s="305"/>
      <c r="AA314" s="305"/>
      <c r="AC314" s="305"/>
      <c r="AD314" s="305"/>
      <c r="AE314" s="305"/>
      <c r="AF314" s="305"/>
      <c r="AG314" s="305"/>
      <c r="AH314" s="305"/>
      <c r="AI314" s="305"/>
      <c r="AJ314" s="305"/>
    </row>
    <row r="315" spans="2:36" s="303" customFormat="1" x14ac:dyDescent="0.25">
      <c r="B315" s="305"/>
      <c r="C315" s="305"/>
      <c r="D315" s="305"/>
      <c r="E315" s="305"/>
      <c r="F315" s="305"/>
      <c r="G315" s="305"/>
      <c r="H315" s="305"/>
      <c r="I315" s="305"/>
      <c r="K315" s="305"/>
      <c r="L315" s="305"/>
      <c r="M315" s="305"/>
      <c r="N315" s="305"/>
      <c r="O315" s="305"/>
      <c r="P315" s="305"/>
      <c r="Q315" s="305"/>
      <c r="R315" s="305"/>
      <c r="T315" s="305"/>
      <c r="U315" s="305"/>
      <c r="V315" s="305"/>
      <c r="W315" s="305"/>
      <c r="X315" s="305"/>
      <c r="Y315" s="305"/>
      <c r="Z315" s="305"/>
      <c r="AA315" s="305"/>
      <c r="AC315" s="305"/>
      <c r="AD315" s="305"/>
      <c r="AE315" s="305"/>
      <c r="AF315" s="305"/>
      <c r="AG315" s="305"/>
      <c r="AH315" s="305"/>
      <c r="AI315" s="305"/>
      <c r="AJ315" s="305"/>
    </row>
    <row r="316" spans="2:36" s="303" customFormat="1" x14ac:dyDescent="0.25">
      <c r="B316" s="305"/>
      <c r="C316" s="305"/>
      <c r="D316" s="305"/>
      <c r="E316" s="305"/>
      <c r="F316" s="305"/>
      <c r="G316" s="305"/>
      <c r="H316" s="305"/>
      <c r="I316" s="305"/>
      <c r="K316" s="305"/>
      <c r="L316" s="305"/>
      <c r="M316" s="305"/>
      <c r="N316" s="305"/>
      <c r="O316" s="305"/>
      <c r="P316" s="305"/>
      <c r="Q316" s="305"/>
      <c r="R316" s="305"/>
      <c r="T316" s="305"/>
      <c r="U316" s="305"/>
      <c r="V316" s="305"/>
      <c r="W316" s="305"/>
      <c r="X316" s="305"/>
      <c r="Y316" s="305"/>
      <c r="Z316" s="305"/>
      <c r="AA316" s="305"/>
      <c r="AC316" s="305"/>
      <c r="AD316" s="305"/>
      <c r="AE316" s="305"/>
      <c r="AF316" s="305"/>
      <c r="AG316" s="305"/>
      <c r="AH316" s="305"/>
      <c r="AI316" s="305"/>
      <c r="AJ316" s="305"/>
    </row>
    <row r="317" spans="2:36" s="303" customFormat="1" x14ac:dyDescent="0.25">
      <c r="B317" s="305"/>
      <c r="C317" s="305"/>
      <c r="D317" s="305"/>
      <c r="E317" s="305"/>
      <c r="F317" s="305"/>
      <c r="G317" s="305"/>
      <c r="H317" s="305"/>
      <c r="I317" s="305"/>
      <c r="K317" s="305"/>
      <c r="L317" s="305"/>
      <c r="M317" s="305"/>
      <c r="N317" s="305"/>
      <c r="O317" s="305"/>
      <c r="P317" s="305"/>
      <c r="Q317" s="305"/>
      <c r="R317" s="305"/>
      <c r="T317" s="305"/>
      <c r="U317" s="305"/>
      <c r="V317" s="305"/>
      <c r="W317" s="305"/>
      <c r="X317" s="305"/>
      <c r="Y317" s="305"/>
      <c r="Z317" s="305"/>
      <c r="AA317" s="305"/>
      <c r="AC317" s="305"/>
      <c r="AD317" s="305"/>
      <c r="AE317" s="305"/>
      <c r="AF317" s="305"/>
      <c r="AG317" s="305"/>
      <c r="AH317" s="305"/>
      <c r="AI317" s="305"/>
      <c r="AJ317" s="305"/>
    </row>
    <row r="318" spans="2:36" s="303" customFormat="1" x14ac:dyDescent="0.25">
      <c r="B318" s="305"/>
      <c r="C318" s="305"/>
      <c r="D318" s="305"/>
      <c r="E318" s="305"/>
      <c r="F318" s="305"/>
      <c r="G318" s="305"/>
      <c r="H318" s="305"/>
      <c r="I318" s="305"/>
      <c r="K318" s="305"/>
      <c r="L318" s="305"/>
      <c r="M318" s="305"/>
      <c r="N318" s="305"/>
      <c r="O318" s="305"/>
      <c r="P318" s="305"/>
      <c r="Q318" s="305"/>
      <c r="R318" s="305"/>
      <c r="T318" s="305"/>
      <c r="U318" s="305"/>
      <c r="V318" s="305"/>
      <c r="W318" s="305"/>
      <c r="X318" s="305"/>
      <c r="Y318" s="305"/>
      <c r="Z318" s="305"/>
      <c r="AA318" s="305"/>
      <c r="AC318" s="305"/>
      <c r="AD318" s="305"/>
      <c r="AE318" s="305"/>
      <c r="AF318" s="305"/>
      <c r="AG318" s="305"/>
      <c r="AH318" s="305"/>
      <c r="AI318" s="305"/>
      <c r="AJ318" s="305"/>
    </row>
    <row r="319" spans="2:36" s="303" customFormat="1" x14ac:dyDescent="0.25">
      <c r="B319" s="305"/>
      <c r="C319" s="305"/>
      <c r="D319" s="305"/>
      <c r="E319" s="305"/>
      <c r="F319" s="305"/>
      <c r="G319" s="305"/>
      <c r="H319" s="305"/>
      <c r="I319" s="305"/>
      <c r="K319" s="305"/>
      <c r="L319" s="305"/>
      <c r="M319" s="305"/>
      <c r="N319" s="305"/>
      <c r="O319" s="305"/>
      <c r="P319" s="305"/>
      <c r="Q319" s="305"/>
      <c r="R319" s="305"/>
      <c r="T319" s="305"/>
      <c r="U319" s="305"/>
      <c r="V319" s="305"/>
      <c r="W319" s="305"/>
      <c r="X319" s="305"/>
      <c r="Y319" s="305"/>
      <c r="Z319" s="305"/>
      <c r="AA319" s="305"/>
      <c r="AC319" s="305"/>
      <c r="AD319" s="305"/>
      <c r="AE319" s="305"/>
      <c r="AF319" s="305"/>
      <c r="AG319" s="305"/>
      <c r="AH319" s="305"/>
      <c r="AI319" s="305"/>
      <c r="AJ319" s="305"/>
    </row>
    <row r="320" spans="2:36" s="303" customFormat="1" x14ac:dyDescent="0.25">
      <c r="B320" s="305"/>
      <c r="C320" s="305"/>
      <c r="D320" s="305"/>
      <c r="E320" s="305"/>
      <c r="F320" s="305"/>
      <c r="G320" s="305"/>
      <c r="H320" s="305"/>
      <c r="I320" s="305"/>
      <c r="K320" s="305"/>
      <c r="L320" s="305"/>
      <c r="M320" s="305"/>
      <c r="N320" s="305"/>
      <c r="O320" s="305"/>
      <c r="P320" s="305"/>
      <c r="Q320" s="305"/>
      <c r="R320" s="305"/>
      <c r="T320" s="305"/>
      <c r="U320" s="305"/>
      <c r="V320" s="305"/>
      <c r="W320" s="305"/>
      <c r="X320" s="305"/>
      <c r="Y320" s="305"/>
      <c r="Z320" s="305"/>
      <c r="AA320" s="305"/>
      <c r="AC320" s="305"/>
      <c r="AD320" s="305"/>
      <c r="AE320" s="305"/>
      <c r="AF320" s="305"/>
      <c r="AG320" s="305"/>
      <c r="AH320" s="305"/>
      <c r="AI320" s="305"/>
      <c r="AJ320" s="305"/>
    </row>
    <row r="321" spans="2:36" s="303" customFormat="1" x14ac:dyDescent="0.25">
      <c r="B321" s="305"/>
      <c r="C321" s="305"/>
      <c r="D321" s="305"/>
      <c r="E321" s="305"/>
      <c r="F321" s="305"/>
      <c r="G321" s="305"/>
      <c r="H321" s="305"/>
      <c r="I321" s="305"/>
      <c r="K321" s="305"/>
      <c r="L321" s="305"/>
      <c r="M321" s="305"/>
      <c r="N321" s="305"/>
      <c r="O321" s="305"/>
      <c r="P321" s="305"/>
      <c r="Q321" s="305"/>
      <c r="R321" s="305"/>
      <c r="T321" s="305"/>
      <c r="U321" s="305"/>
      <c r="V321" s="305"/>
      <c r="W321" s="305"/>
      <c r="X321" s="305"/>
      <c r="Y321" s="305"/>
      <c r="Z321" s="305"/>
      <c r="AA321" s="305"/>
      <c r="AC321" s="305"/>
      <c r="AD321" s="305"/>
      <c r="AE321" s="305"/>
      <c r="AF321" s="305"/>
      <c r="AG321" s="305"/>
      <c r="AH321" s="305"/>
      <c r="AI321" s="305"/>
      <c r="AJ321" s="305"/>
    </row>
    <row r="322" spans="2:36" s="303" customFormat="1" x14ac:dyDescent="0.25">
      <c r="B322" s="305"/>
      <c r="C322" s="305"/>
      <c r="D322" s="305"/>
      <c r="E322" s="305"/>
      <c r="F322" s="305"/>
      <c r="G322" s="305"/>
      <c r="H322" s="305"/>
      <c r="I322" s="305"/>
      <c r="K322" s="305"/>
      <c r="L322" s="305"/>
      <c r="M322" s="305"/>
      <c r="N322" s="305"/>
      <c r="O322" s="305"/>
      <c r="P322" s="305"/>
      <c r="Q322" s="305"/>
      <c r="R322" s="305"/>
      <c r="T322" s="305"/>
      <c r="U322" s="305"/>
      <c r="V322" s="305"/>
      <c r="W322" s="305"/>
      <c r="X322" s="305"/>
      <c r="Y322" s="305"/>
      <c r="Z322" s="305"/>
      <c r="AA322" s="305"/>
      <c r="AC322" s="305"/>
      <c r="AD322" s="305"/>
      <c r="AE322" s="305"/>
      <c r="AF322" s="305"/>
      <c r="AG322" s="305"/>
      <c r="AH322" s="305"/>
      <c r="AI322" s="305"/>
      <c r="AJ322" s="305"/>
    </row>
    <row r="323" spans="2:36" s="303" customFormat="1" x14ac:dyDescent="0.25">
      <c r="B323" s="305"/>
      <c r="C323" s="305"/>
      <c r="D323" s="305"/>
      <c r="E323" s="305"/>
      <c r="F323" s="305"/>
      <c r="G323" s="305"/>
      <c r="H323" s="305"/>
      <c r="I323" s="305"/>
      <c r="K323" s="305"/>
      <c r="L323" s="305"/>
      <c r="M323" s="305"/>
      <c r="N323" s="305"/>
      <c r="O323" s="305"/>
      <c r="P323" s="305"/>
      <c r="Q323" s="305"/>
      <c r="R323" s="305"/>
      <c r="T323" s="305"/>
      <c r="U323" s="305"/>
      <c r="V323" s="305"/>
      <c r="W323" s="305"/>
      <c r="X323" s="305"/>
      <c r="Y323" s="305"/>
      <c r="Z323" s="305"/>
      <c r="AA323" s="305"/>
      <c r="AC323" s="305"/>
      <c r="AD323" s="305"/>
      <c r="AE323" s="305"/>
      <c r="AF323" s="305"/>
      <c r="AG323" s="305"/>
      <c r="AH323" s="305"/>
      <c r="AI323" s="305"/>
      <c r="AJ323" s="305"/>
    </row>
    <row r="324" spans="2:36" s="303" customFormat="1" x14ac:dyDescent="0.25">
      <c r="B324" s="305"/>
      <c r="C324" s="305"/>
      <c r="D324" s="305"/>
      <c r="E324" s="305"/>
      <c r="F324" s="305"/>
      <c r="G324" s="305"/>
      <c r="H324" s="305"/>
      <c r="I324" s="305"/>
      <c r="K324" s="305"/>
      <c r="L324" s="305"/>
      <c r="M324" s="305"/>
      <c r="N324" s="305"/>
      <c r="O324" s="305"/>
      <c r="P324" s="305"/>
      <c r="Q324" s="305"/>
      <c r="R324" s="305"/>
      <c r="T324" s="305"/>
      <c r="U324" s="305"/>
      <c r="V324" s="305"/>
      <c r="W324" s="305"/>
      <c r="X324" s="305"/>
      <c r="Y324" s="305"/>
      <c r="Z324" s="305"/>
      <c r="AA324" s="305"/>
      <c r="AC324" s="305"/>
      <c r="AD324" s="305"/>
      <c r="AE324" s="305"/>
      <c r="AF324" s="305"/>
      <c r="AG324" s="305"/>
      <c r="AH324" s="305"/>
      <c r="AI324" s="305"/>
      <c r="AJ324" s="305"/>
    </row>
    <row r="325" spans="2:36" s="303" customFormat="1" x14ac:dyDescent="0.25">
      <c r="B325" s="305"/>
      <c r="C325" s="305"/>
      <c r="D325" s="305"/>
      <c r="E325" s="305"/>
      <c r="F325" s="305"/>
      <c r="G325" s="305"/>
      <c r="H325" s="305"/>
      <c r="I325" s="305"/>
      <c r="K325" s="305"/>
      <c r="L325" s="305"/>
      <c r="M325" s="305"/>
      <c r="N325" s="305"/>
      <c r="O325" s="305"/>
      <c r="P325" s="305"/>
      <c r="Q325" s="305"/>
      <c r="R325" s="305"/>
      <c r="T325" s="305"/>
      <c r="U325" s="305"/>
      <c r="V325" s="305"/>
      <c r="W325" s="305"/>
      <c r="X325" s="305"/>
      <c r="Y325" s="305"/>
      <c r="Z325" s="305"/>
      <c r="AA325" s="305"/>
      <c r="AC325" s="305"/>
      <c r="AD325" s="305"/>
      <c r="AE325" s="305"/>
      <c r="AF325" s="305"/>
      <c r="AG325" s="305"/>
      <c r="AH325" s="305"/>
      <c r="AI325" s="305"/>
      <c r="AJ325" s="305"/>
    </row>
    <row r="326" spans="2:36" s="303" customFormat="1" x14ac:dyDescent="0.25">
      <c r="B326" s="305"/>
      <c r="C326" s="305"/>
      <c r="D326" s="305"/>
      <c r="E326" s="305"/>
      <c r="F326" s="305"/>
      <c r="G326" s="305"/>
      <c r="H326" s="305"/>
      <c r="I326" s="305"/>
      <c r="K326" s="305"/>
      <c r="L326" s="305"/>
      <c r="M326" s="305"/>
      <c r="N326" s="305"/>
      <c r="O326" s="305"/>
      <c r="P326" s="305"/>
      <c r="Q326" s="305"/>
      <c r="R326" s="305"/>
      <c r="T326" s="305"/>
      <c r="U326" s="305"/>
      <c r="V326" s="305"/>
      <c r="W326" s="305"/>
      <c r="X326" s="305"/>
      <c r="Y326" s="305"/>
      <c r="Z326" s="305"/>
      <c r="AA326" s="305"/>
      <c r="AC326" s="305"/>
      <c r="AD326" s="305"/>
      <c r="AE326" s="305"/>
      <c r="AF326" s="305"/>
      <c r="AG326" s="305"/>
      <c r="AH326" s="305"/>
      <c r="AI326" s="305"/>
      <c r="AJ326" s="305"/>
    </row>
    <row r="328" spans="2:36" x14ac:dyDescent="0.25">
      <c r="B328" s="476"/>
      <c r="C328" s="305">
        <v>318</v>
      </c>
      <c r="D328" s="305">
        <f t="shared" ref="D328:I328" si="42">VLOOKUP(116,$C:$AJ,COLUMN()-COLUMN($D328)+2,FALSE)+VLOOKUP(117,$C:$AJ,COLUMN()-COLUMN($D328)+2,FALSE)+VLOOKUP(118,$C:$AJ,COLUMN()-COLUMN($D328)+2,FALSE)+0.1*(VLOOKUP(161,$C:$AJ,COLUMN()-COLUMN($D328)+2,FALSE)-VLOOKUP(117,$C:$AJ,COLUMN()-COLUMN($D328)+2,FALSE)-VLOOKUP(118,$C:$AJ,COLUMN()-COLUMN($D328)+2,FALSE))</f>
        <v>33.299999999999997</v>
      </c>
      <c r="E328" s="305">
        <f t="shared" si="42"/>
        <v>31.7</v>
      </c>
      <c r="F328" s="305">
        <f t="shared" si="42"/>
        <v>27.9</v>
      </c>
      <c r="G328" s="305">
        <f t="shared" si="42"/>
        <v>26.8</v>
      </c>
      <c r="H328" s="305">
        <f t="shared" si="42"/>
        <v>25.8</v>
      </c>
      <c r="I328" s="305">
        <f t="shared" si="42"/>
        <v>23.9</v>
      </c>
      <c r="L328" s="305">
        <v>318</v>
      </c>
      <c r="M328" s="305">
        <f t="shared" ref="M328:R328" si="43">VLOOKUP(116,$C:$AJ,COLUMN()-COLUMN($D328)+2,FALSE)+VLOOKUP(117,$C:$AJ,COLUMN()-COLUMN($D328)+2,FALSE)+VLOOKUP(118,$C:$AJ,COLUMN()-COLUMN($D328)+2,FALSE)+0.1*(VLOOKUP(161,$C:$AJ,COLUMN()-COLUMN($D328)+2,FALSE)-VLOOKUP(117,$C:$AJ,COLUMN()-COLUMN($D328)+2,FALSE)-VLOOKUP(118,$C:$AJ,COLUMN()-COLUMN($D328)+2,FALSE))</f>
        <v>51.6</v>
      </c>
      <c r="N328" s="305">
        <f t="shared" si="43"/>
        <v>49.6</v>
      </c>
      <c r="O328" s="305">
        <f t="shared" si="43"/>
        <v>43.9</v>
      </c>
      <c r="P328" s="305">
        <f t="shared" si="43"/>
        <v>41.8</v>
      </c>
      <c r="Q328" s="305">
        <f t="shared" si="43"/>
        <v>39.799999999999997</v>
      </c>
      <c r="R328" s="305">
        <f t="shared" si="43"/>
        <v>37.9</v>
      </c>
      <c r="U328" s="305">
        <v>318</v>
      </c>
      <c r="V328" s="305">
        <f t="shared" ref="V328:AA328" si="44">VLOOKUP(116,$C:$AJ,COLUMN()-COLUMN($D328)+2,FALSE)+VLOOKUP(117,$C:$AJ,COLUMN()-COLUMN($D328)+2,FALSE)+VLOOKUP(118,$C:$AJ,COLUMN()-COLUMN($D328)+2,FALSE)+0.1*(VLOOKUP(161,$C:$AJ,COLUMN()-COLUMN($D328)+2,FALSE)-VLOOKUP(117,$C:$AJ,COLUMN()-COLUMN($D328)+2,FALSE)-VLOOKUP(118,$C:$AJ,COLUMN()-COLUMN($D328)+2,FALSE))</f>
        <v>44.1</v>
      </c>
      <c r="W328" s="305">
        <f t="shared" si="44"/>
        <v>41.3</v>
      </c>
      <c r="X328" s="305">
        <f t="shared" si="44"/>
        <v>37.5</v>
      </c>
      <c r="Y328" s="305">
        <f t="shared" si="44"/>
        <v>36.299999999999997</v>
      </c>
      <c r="Z328" s="305">
        <f t="shared" si="44"/>
        <v>35.299999999999997</v>
      </c>
      <c r="AA328" s="305">
        <f t="shared" si="44"/>
        <v>31.5</v>
      </c>
      <c r="AD328" s="305">
        <v>318</v>
      </c>
      <c r="AE328" s="305">
        <f t="shared" ref="AE328:AJ328" si="45">VLOOKUP(116,$C:$AJ,COLUMN()-COLUMN($D328)+2,FALSE)+VLOOKUP(117,$C:$AJ,COLUMN()-COLUMN($D328)+2,FALSE)+VLOOKUP(118,$C:$AJ,COLUMN()-COLUMN($D328)+2,FALSE)+0.1*(VLOOKUP(161,$C:$AJ,COLUMN()-COLUMN($D328)+2,FALSE)-VLOOKUP(117,$C:$AJ,COLUMN()-COLUMN($D328)+2,FALSE)-VLOOKUP(118,$C:$AJ,COLUMN()-COLUMN($D328)+2,FALSE))</f>
        <v>33.299999999999997</v>
      </c>
      <c r="AF328" s="305">
        <f t="shared" si="45"/>
        <v>31.7</v>
      </c>
      <c r="AG328" s="305">
        <f t="shared" si="45"/>
        <v>27.9</v>
      </c>
      <c r="AH328" s="305">
        <f t="shared" si="45"/>
        <v>26.8</v>
      </c>
      <c r="AI328" s="305">
        <f t="shared" si="45"/>
        <v>25.8</v>
      </c>
      <c r="AJ328" s="305">
        <f t="shared" si="45"/>
        <v>23.9</v>
      </c>
    </row>
    <row r="329" spans="2:36" x14ac:dyDescent="0.25">
      <c r="B329" s="476"/>
      <c r="C329" s="305">
        <v>37</v>
      </c>
      <c r="D329" s="305">
        <f t="shared" ref="D329:I329" si="46">VLOOKUP(237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131.69999999999999</v>
      </c>
      <c r="E329" s="305">
        <f t="shared" si="46"/>
        <v>150.30000000000001</v>
      </c>
      <c r="F329" s="305">
        <f t="shared" si="46"/>
        <v>131.1</v>
      </c>
      <c r="G329" s="305">
        <f t="shared" si="46"/>
        <v>136.19999999999999</v>
      </c>
      <c r="H329" s="305">
        <f t="shared" si="46"/>
        <v>163.19999999999999</v>
      </c>
      <c r="I329" s="305">
        <f t="shared" si="46"/>
        <v>133.1</v>
      </c>
      <c r="L329" s="305">
        <v>37</v>
      </c>
      <c r="M329" s="305">
        <f t="shared" ref="M329:R329" si="47">VLOOKUP(237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204.4</v>
      </c>
      <c r="N329" s="305">
        <f t="shared" si="47"/>
        <v>233.39999999999998</v>
      </c>
      <c r="O329" s="305">
        <f t="shared" si="47"/>
        <v>203.1</v>
      </c>
      <c r="P329" s="305">
        <f t="shared" si="47"/>
        <v>211.2</v>
      </c>
      <c r="Q329" s="305">
        <f t="shared" si="47"/>
        <v>253.2</v>
      </c>
      <c r="R329" s="305">
        <f t="shared" si="47"/>
        <v>206.1</v>
      </c>
      <c r="U329" s="305">
        <v>37</v>
      </c>
      <c r="V329" s="305">
        <f t="shared" ref="V329:AA329" si="48">VLOOKUP(237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173.9</v>
      </c>
      <c r="W329" s="305">
        <f t="shared" si="48"/>
        <v>198.7</v>
      </c>
      <c r="X329" s="305">
        <f t="shared" si="48"/>
        <v>172.5</v>
      </c>
      <c r="Y329" s="305">
        <f t="shared" si="48"/>
        <v>178.7</v>
      </c>
      <c r="Z329" s="305">
        <f t="shared" si="48"/>
        <v>214.7</v>
      </c>
      <c r="AA329" s="305">
        <f t="shared" si="48"/>
        <v>175.5</v>
      </c>
      <c r="AD329" s="305">
        <v>37</v>
      </c>
      <c r="AE329" s="305">
        <f t="shared" ref="AE329:AJ329" si="49">VLOOKUP(237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131.69999999999999</v>
      </c>
      <c r="AF329" s="305">
        <f t="shared" si="49"/>
        <v>150.30000000000001</v>
      </c>
      <c r="AG329" s="305">
        <f t="shared" si="49"/>
        <v>131.1</v>
      </c>
      <c r="AH329" s="305">
        <f t="shared" si="49"/>
        <v>136.19999999999999</v>
      </c>
      <c r="AI329" s="305">
        <f t="shared" si="49"/>
        <v>163.19999999999999</v>
      </c>
      <c r="AJ329" s="305">
        <f t="shared" si="49"/>
        <v>133.1</v>
      </c>
    </row>
    <row r="330" spans="2:36" x14ac:dyDescent="0.25">
      <c r="B330" s="476"/>
      <c r="C330" s="305">
        <v>38</v>
      </c>
      <c r="D330" s="305">
        <f t="shared" ref="D330:I330" si="50">VLOOKUP(238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158.69999999999999</v>
      </c>
      <c r="E330" s="305">
        <f t="shared" si="50"/>
        <v>177.3</v>
      </c>
      <c r="F330" s="305">
        <f t="shared" si="50"/>
        <v>157.1</v>
      </c>
      <c r="G330" s="305">
        <f t="shared" si="50"/>
        <v>162.19999999999999</v>
      </c>
      <c r="H330" s="305">
        <f t="shared" si="50"/>
        <v>191.2</v>
      </c>
      <c r="I330" s="305">
        <f t="shared" si="50"/>
        <v>158.1</v>
      </c>
      <c r="L330" s="305">
        <v>38</v>
      </c>
      <c r="M330" s="305">
        <f t="shared" ref="M330:R330" si="51">VLOOKUP(238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246.39999999999998</v>
      </c>
      <c r="N330" s="305">
        <f t="shared" si="51"/>
        <v>275.39999999999998</v>
      </c>
      <c r="O330" s="305">
        <f t="shared" si="51"/>
        <v>243.10000000000002</v>
      </c>
      <c r="P330" s="305">
        <f t="shared" si="51"/>
        <v>251.2</v>
      </c>
      <c r="Q330" s="305">
        <f t="shared" si="51"/>
        <v>297.2</v>
      </c>
      <c r="R330" s="305">
        <f t="shared" si="51"/>
        <v>245.10000000000002</v>
      </c>
      <c r="U330" s="305">
        <v>38</v>
      </c>
      <c r="V330" s="305">
        <f t="shared" ref="V330:AA330" si="52">VLOOKUP(238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209.9</v>
      </c>
      <c r="W330" s="305">
        <f t="shared" si="52"/>
        <v>234.7</v>
      </c>
      <c r="X330" s="305">
        <f t="shared" si="52"/>
        <v>206.5</v>
      </c>
      <c r="Y330" s="305">
        <f t="shared" si="52"/>
        <v>213.7</v>
      </c>
      <c r="Z330" s="305">
        <f t="shared" si="52"/>
        <v>251.7</v>
      </c>
      <c r="AA330" s="305">
        <f t="shared" si="52"/>
        <v>208.5</v>
      </c>
      <c r="AD330" s="305">
        <v>38</v>
      </c>
      <c r="AE330" s="305">
        <f t="shared" ref="AE330:AJ330" si="53">VLOOKUP(238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158.69999999999999</v>
      </c>
      <c r="AF330" s="305">
        <f t="shared" si="53"/>
        <v>177.3</v>
      </c>
      <c r="AG330" s="305">
        <f t="shared" si="53"/>
        <v>157.1</v>
      </c>
      <c r="AH330" s="305">
        <f t="shared" si="53"/>
        <v>162.19999999999999</v>
      </c>
      <c r="AI330" s="305">
        <f t="shared" si="53"/>
        <v>191.2</v>
      </c>
      <c r="AJ330" s="305">
        <f t="shared" si="53"/>
        <v>158.1</v>
      </c>
    </row>
    <row r="331" spans="2:36" x14ac:dyDescent="0.25">
      <c r="B331" s="476"/>
      <c r="C331" s="305">
        <v>39</v>
      </c>
      <c r="D331" s="305">
        <f t="shared" ref="D331:I331" si="54">VLOOKUP(239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213.7</v>
      </c>
      <c r="E331" s="305">
        <f t="shared" si="54"/>
        <v>235.3</v>
      </c>
      <c r="F331" s="305">
        <f t="shared" si="54"/>
        <v>213.1</v>
      </c>
      <c r="G331" s="305">
        <f t="shared" si="54"/>
        <v>218.2</v>
      </c>
      <c r="H331" s="305">
        <f t="shared" si="54"/>
        <v>251.2</v>
      </c>
      <c r="I331" s="305">
        <f t="shared" si="54"/>
        <v>212.1</v>
      </c>
      <c r="L331" s="305">
        <v>39</v>
      </c>
      <c r="M331" s="305">
        <f t="shared" ref="M331:R331" si="55">VLOOKUP(239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332.4</v>
      </c>
      <c r="N331" s="305">
        <f t="shared" si="55"/>
        <v>365.4</v>
      </c>
      <c r="O331" s="305">
        <f t="shared" si="55"/>
        <v>330.1</v>
      </c>
      <c r="P331" s="305">
        <f t="shared" si="55"/>
        <v>338.2</v>
      </c>
      <c r="Q331" s="305">
        <f t="shared" si="55"/>
        <v>390.2</v>
      </c>
      <c r="R331" s="305">
        <f t="shared" si="55"/>
        <v>328.1</v>
      </c>
      <c r="U331" s="305">
        <v>39</v>
      </c>
      <c r="V331" s="305">
        <f t="shared" ref="V331:AA331" si="56">VLOOKUP(239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281.89999999999998</v>
      </c>
      <c r="W331" s="305">
        <f t="shared" si="56"/>
        <v>310.7</v>
      </c>
      <c r="X331" s="305">
        <f t="shared" si="56"/>
        <v>280.5</v>
      </c>
      <c r="Y331" s="305">
        <f t="shared" si="56"/>
        <v>286.7</v>
      </c>
      <c r="Z331" s="305">
        <f t="shared" si="56"/>
        <v>330.7</v>
      </c>
      <c r="AA331" s="305">
        <f t="shared" si="56"/>
        <v>280.5</v>
      </c>
      <c r="AD331" s="305">
        <v>39</v>
      </c>
      <c r="AE331" s="305">
        <f t="shared" ref="AE331:AJ331" si="57">VLOOKUP(239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213.7</v>
      </c>
      <c r="AF331" s="305">
        <f t="shared" si="57"/>
        <v>235.3</v>
      </c>
      <c r="AG331" s="305">
        <f t="shared" si="57"/>
        <v>213.1</v>
      </c>
      <c r="AH331" s="305">
        <f t="shared" si="57"/>
        <v>218.2</v>
      </c>
      <c r="AI331" s="305">
        <f t="shared" si="57"/>
        <v>251.2</v>
      </c>
      <c r="AJ331" s="305">
        <f t="shared" si="57"/>
        <v>212.1</v>
      </c>
    </row>
    <row r="332" spans="2:36" x14ac:dyDescent="0.25">
      <c r="B332" s="476"/>
      <c r="C332" s="305">
        <v>40</v>
      </c>
      <c r="D332" s="305">
        <f t="shared" ref="D332:I332" si="58">VLOOKUP(240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271.7</v>
      </c>
      <c r="E332" s="305">
        <f t="shared" si="58"/>
        <v>311.3</v>
      </c>
      <c r="F332" s="305">
        <f t="shared" si="58"/>
        <v>298.10000000000002</v>
      </c>
      <c r="G332" s="305">
        <f t="shared" si="58"/>
        <v>290.2</v>
      </c>
      <c r="H332" s="305">
        <f t="shared" si="58"/>
        <v>289.2</v>
      </c>
      <c r="I332" s="305">
        <f t="shared" si="58"/>
        <v>360.1</v>
      </c>
      <c r="L332" s="305">
        <v>40</v>
      </c>
      <c r="M332" s="305">
        <f t="shared" ref="M332:R332" si="59">VLOOKUP(240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422.4</v>
      </c>
      <c r="N332" s="305">
        <f t="shared" si="59"/>
        <v>483.4</v>
      </c>
      <c r="O332" s="305">
        <f t="shared" si="59"/>
        <v>462.1</v>
      </c>
      <c r="P332" s="305">
        <f t="shared" si="59"/>
        <v>450.2</v>
      </c>
      <c r="Q332" s="305">
        <f t="shared" si="59"/>
        <v>449.2</v>
      </c>
      <c r="R332" s="305">
        <f t="shared" si="59"/>
        <v>558.1</v>
      </c>
      <c r="U332" s="305">
        <v>40</v>
      </c>
      <c r="V332" s="305">
        <f t="shared" ref="V332:AA332" si="60">VLOOKUP(240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358.9</v>
      </c>
      <c r="W332" s="305">
        <f t="shared" si="60"/>
        <v>410.7</v>
      </c>
      <c r="X332" s="305">
        <f t="shared" si="60"/>
        <v>392.5</v>
      </c>
      <c r="Y332" s="305">
        <f t="shared" si="60"/>
        <v>381.7</v>
      </c>
      <c r="Z332" s="305">
        <f t="shared" si="60"/>
        <v>380.7</v>
      </c>
      <c r="AA332" s="305">
        <f t="shared" si="60"/>
        <v>475.5</v>
      </c>
      <c r="AD332" s="305">
        <v>40</v>
      </c>
      <c r="AE332" s="305">
        <f t="shared" ref="AE332:AJ332" si="61">VLOOKUP(240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271.7</v>
      </c>
      <c r="AF332" s="305">
        <f t="shared" si="61"/>
        <v>311.3</v>
      </c>
      <c r="AG332" s="305">
        <f t="shared" si="61"/>
        <v>298.10000000000002</v>
      </c>
      <c r="AH332" s="305">
        <f t="shared" si="61"/>
        <v>290.2</v>
      </c>
      <c r="AI332" s="305">
        <f t="shared" si="61"/>
        <v>289.2</v>
      </c>
      <c r="AJ332" s="305">
        <f t="shared" si="61"/>
        <v>360.1</v>
      </c>
    </row>
    <row r="333" spans="2:36" x14ac:dyDescent="0.25">
      <c r="B333" s="476"/>
      <c r="C333" s="305">
        <v>42</v>
      </c>
      <c r="D333" s="305">
        <f t="shared" ref="D333:I333" si="62">VLOOKUP(242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287.7</v>
      </c>
      <c r="E333" s="305">
        <f t="shared" si="62"/>
        <v>331.3</v>
      </c>
      <c r="F333" s="305">
        <f t="shared" si="62"/>
        <v>307.10000000000002</v>
      </c>
      <c r="G333" s="305">
        <f t="shared" si="62"/>
        <v>299.2</v>
      </c>
      <c r="H333" s="305">
        <f t="shared" si="62"/>
        <v>296.2</v>
      </c>
      <c r="I333" s="305">
        <f t="shared" si="62"/>
        <v>383.1</v>
      </c>
      <c r="L333" s="305">
        <v>42</v>
      </c>
      <c r="M333" s="305">
        <f t="shared" ref="M333:R333" si="63">VLOOKUP(242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446.4</v>
      </c>
      <c r="N333" s="305">
        <f t="shared" si="63"/>
        <v>514.4</v>
      </c>
      <c r="O333" s="305">
        <f t="shared" si="63"/>
        <v>476.1</v>
      </c>
      <c r="P333" s="305">
        <f t="shared" si="63"/>
        <v>464.2</v>
      </c>
      <c r="Q333" s="305">
        <f t="shared" si="63"/>
        <v>460.2</v>
      </c>
      <c r="R333" s="305">
        <f t="shared" si="63"/>
        <v>594.1</v>
      </c>
      <c r="U333" s="305">
        <v>42</v>
      </c>
      <c r="V333" s="305">
        <f t="shared" ref="V333:AA333" si="64">VLOOKUP(242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379.9</v>
      </c>
      <c r="W333" s="305">
        <f t="shared" si="64"/>
        <v>437.7</v>
      </c>
      <c r="X333" s="305">
        <f t="shared" si="64"/>
        <v>404.5</v>
      </c>
      <c r="Y333" s="305">
        <f t="shared" si="64"/>
        <v>393.7</v>
      </c>
      <c r="Z333" s="305">
        <f t="shared" si="64"/>
        <v>389.7</v>
      </c>
      <c r="AA333" s="305">
        <f t="shared" si="64"/>
        <v>505.5</v>
      </c>
      <c r="AD333" s="305">
        <v>42</v>
      </c>
      <c r="AE333" s="305">
        <f t="shared" ref="AE333:AJ333" si="65">VLOOKUP(242,$C:$AJ,COLUMN()-COLUMN($D349)+2,FALSE)-0.1*(VLOOKUP(161,$C:$AJ,COLUMN()-COLUMN($D349)+2,FALSE)-VLOOKUP(117,$C:$AJ,COLUMN()-COLUMN($D349)+2,FALSE)-VLOOKUP(118,$C:$AJ,COLUMN()-COLUMN($D349)+2,FALSE))-VLOOKUP(117,$C:$AJ,COLUMN()-COLUMN($D349)+2,FALSE)-VLOOKUP(118,$C:$AJ,COLUMN()-COLUMN($D349)+2,FALSE)</f>
        <v>287.7</v>
      </c>
      <c r="AF333" s="305">
        <f t="shared" si="65"/>
        <v>331.3</v>
      </c>
      <c r="AG333" s="305">
        <f t="shared" si="65"/>
        <v>307.10000000000002</v>
      </c>
      <c r="AH333" s="305">
        <f t="shared" si="65"/>
        <v>299.2</v>
      </c>
      <c r="AI333" s="305">
        <f t="shared" si="65"/>
        <v>296.2</v>
      </c>
      <c r="AJ333" s="305">
        <f t="shared" si="65"/>
        <v>383.1</v>
      </c>
    </row>
    <row r="334" spans="2:36" x14ac:dyDescent="0.25">
      <c r="B334" s="476"/>
      <c r="C334" s="305">
        <v>43</v>
      </c>
      <c r="D334" s="305">
        <f t="shared" ref="D334:I334" si="66">VLOOKUP(243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311.7</v>
      </c>
      <c r="E334" s="305">
        <f t="shared" si="66"/>
        <v>367.3</v>
      </c>
      <c r="F334" s="305">
        <f t="shared" si="66"/>
        <v>318.10000000000002</v>
      </c>
      <c r="G334" s="305">
        <f t="shared" si="66"/>
        <v>305.2</v>
      </c>
      <c r="H334" s="305">
        <f t="shared" si="66"/>
        <v>305.2</v>
      </c>
      <c r="I334" s="305">
        <f t="shared" si="66"/>
        <v>400.1</v>
      </c>
      <c r="L334" s="305">
        <v>43</v>
      </c>
      <c r="M334" s="305">
        <f t="shared" ref="M334:R334" si="67">VLOOKUP(243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484.4</v>
      </c>
      <c r="N334" s="305">
        <f t="shared" si="67"/>
        <v>570.4</v>
      </c>
      <c r="O334" s="305">
        <f t="shared" si="67"/>
        <v>493.1</v>
      </c>
      <c r="P334" s="305">
        <f t="shared" si="67"/>
        <v>474.2</v>
      </c>
      <c r="Q334" s="305">
        <f t="shared" si="67"/>
        <v>474.2</v>
      </c>
      <c r="R334" s="305">
        <f t="shared" si="67"/>
        <v>620.1</v>
      </c>
      <c r="U334" s="305">
        <v>43</v>
      </c>
      <c r="V334" s="305">
        <f t="shared" ref="V334:AA334" si="68">VLOOKUP(243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410.9</v>
      </c>
      <c r="W334" s="305">
        <f t="shared" si="68"/>
        <v>484.70000000000005</v>
      </c>
      <c r="X334" s="305">
        <f t="shared" si="68"/>
        <v>419.5</v>
      </c>
      <c r="Y334" s="305">
        <f t="shared" si="68"/>
        <v>401.7</v>
      </c>
      <c r="Z334" s="305">
        <f t="shared" si="68"/>
        <v>401.7</v>
      </c>
      <c r="AA334" s="305">
        <f t="shared" si="68"/>
        <v>527.5</v>
      </c>
      <c r="AD334" s="305">
        <v>43</v>
      </c>
      <c r="AE334" s="305">
        <f t="shared" ref="AE334:AJ334" si="69">VLOOKUP(243,$C:$AJ,COLUMN()-COLUMN($D350)+2,FALSE)-0.1*(VLOOKUP(161,$C:$AJ,COLUMN()-COLUMN($D350)+2,FALSE)-VLOOKUP(117,$C:$AJ,COLUMN()-COLUMN($D350)+2,FALSE)-VLOOKUP(118,$C:$AJ,COLUMN()-COLUMN($D350)+2,FALSE))-VLOOKUP(117,$C:$AJ,COLUMN()-COLUMN($D350)+2,FALSE)-VLOOKUP(118,$C:$AJ,COLUMN()-COLUMN($D350)+2,FALSE)</f>
        <v>311.7</v>
      </c>
      <c r="AF334" s="305">
        <f t="shared" si="69"/>
        <v>367.3</v>
      </c>
      <c r="AG334" s="305">
        <f t="shared" si="69"/>
        <v>318.10000000000002</v>
      </c>
      <c r="AH334" s="305">
        <f t="shared" si="69"/>
        <v>305.2</v>
      </c>
      <c r="AI334" s="305">
        <f t="shared" si="69"/>
        <v>305.2</v>
      </c>
      <c r="AJ334" s="305">
        <f t="shared" si="69"/>
        <v>400.1</v>
      </c>
    </row>
    <row r="335" spans="2:36" x14ac:dyDescent="0.25">
      <c r="B335" s="476"/>
      <c r="C335" s="305">
        <v>44</v>
      </c>
      <c r="D335" s="305">
        <f t="shared" ref="D335:I335" si="70">VLOOKUP(244,$C:$AJ,COLUMN()-COLUMN($D351)+2,FALSE)-0.1*(VLOOKUP(161,$C:$AJ,COLUMN()-COLUMN($D351)+2,FALSE)-VLOOKUP(117,$C:$AJ,COLUMN()-COLUMN($D351)+2,FALSE)-VLOOKUP(118,$C:$AJ,COLUMN()-COLUMN($D351)+2,FALSE))-VLOOKUP(117,$C:$AJ,COLUMN()-COLUMN($D351)+2,FALSE)-VLOOKUP(118,$C:$AJ,COLUMN()-COLUMN($D351)+2,FALSE)</f>
        <v>2446.6999999999998</v>
      </c>
      <c r="E335" s="305">
        <f t="shared" si="70"/>
        <v>2464.3000000000002</v>
      </c>
      <c r="F335" s="305">
        <f t="shared" si="70"/>
        <v>2376.1</v>
      </c>
      <c r="G335" s="305">
        <f t="shared" si="70"/>
        <v>2323.1999999999998</v>
      </c>
      <c r="H335" s="305">
        <f t="shared" si="70"/>
        <v>2336.1999999999998</v>
      </c>
      <c r="I335" s="305">
        <f t="shared" si="70"/>
        <v>2320.1</v>
      </c>
      <c r="L335" s="305">
        <v>44</v>
      </c>
      <c r="M335" s="305">
        <f t="shared" ref="M335:R335" si="71">VLOOKUP(244,$C:$AJ,COLUMN()-COLUMN($D351)+2,FALSE)-0.1*(VLOOKUP(161,$C:$AJ,COLUMN()-COLUMN($D351)+2,FALSE)-VLOOKUP(117,$C:$AJ,COLUMN()-COLUMN($D351)+2,FALSE)-VLOOKUP(118,$C:$AJ,COLUMN()-COLUMN($D351)+2,FALSE))-VLOOKUP(117,$C:$AJ,COLUMN()-COLUMN($D351)+2,FALSE)-VLOOKUP(118,$C:$AJ,COLUMN()-COLUMN($D351)+2,FALSE)</f>
        <v>3800.4</v>
      </c>
      <c r="N335" s="305">
        <f t="shared" si="71"/>
        <v>3827.4</v>
      </c>
      <c r="O335" s="305">
        <f t="shared" si="71"/>
        <v>3690.1</v>
      </c>
      <c r="P335" s="305">
        <f t="shared" si="71"/>
        <v>3608.2</v>
      </c>
      <c r="Q335" s="305">
        <f t="shared" si="71"/>
        <v>3628.2</v>
      </c>
      <c r="R335" s="305">
        <f t="shared" si="71"/>
        <v>3603.1</v>
      </c>
      <c r="U335" s="305">
        <v>44</v>
      </c>
      <c r="V335" s="305">
        <f t="shared" ref="V335:AA335" si="72">VLOOKUP(244,$C:$AJ,COLUMN()-COLUMN($D351)+2,FALSE)-0.1*(VLOOKUP(161,$C:$AJ,COLUMN()-COLUMN($D351)+2,FALSE)-VLOOKUP(117,$C:$AJ,COLUMN()-COLUMN($D351)+2,FALSE)-VLOOKUP(118,$C:$AJ,COLUMN()-COLUMN($D351)+2,FALSE))-VLOOKUP(117,$C:$AJ,COLUMN()-COLUMN($D351)+2,FALSE)-VLOOKUP(118,$C:$AJ,COLUMN()-COLUMN($D351)+2,FALSE)</f>
        <v>3226.9</v>
      </c>
      <c r="W335" s="305">
        <f t="shared" si="72"/>
        <v>3249.7</v>
      </c>
      <c r="X335" s="305">
        <f t="shared" si="72"/>
        <v>3132.5</v>
      </c>
      <c r="Y335" s="305">
        <f t="shared" si="72"/>
        <v>3062.7</v>
      </c>
      <c r="Z335" s="305">
        <f t="shared" si="72"/>
        <v>3079.7</v>
      </c>
      <c r="AA335" s="305">
        <f t="shared" si="72"/>
        <v>3059.5</v>
      </c>
      <c r="AD335" s="305">
        <v>44</v>
      </c>
      <c r="AE335" s="305">
        <f t="shared" ref="AE335:AJ335" si="73">VLOOKUP(244,$C:$AJ,COLUMN()-COLUMN($D351)+2,FALSE)-0.1*(VLOOKUP(161,$C:$AJ,COLUMN()-COLUMN($D351)+2,FALSE)-VLOOKUP(117,$C:$AJ,COLUMN()-COLUMN($D351)+2,FALSE)-VLOOKUP(118,$C:$AJ,COLUMN()-COLUMN($D351)+2,FALSE))-VLOOKUP(117,$C:$AJ,COLUMN()-COLUMN($D351)+2,FALSE)-VLOOKUP(118,$C:$AJ,COLUMN()-COLUMN($D351)+2,FALSE)</f>
        <v>2446.6999999999998</v>
      </c>
      <c r="AF335" s="305">
        <f t="shared" si="73"/>
        <v>2464.3000000000002</v>
      </c>
      <c r="AG335" s="305">
        <f t="shared" si="73"/>
        <v>2376.1</v>
      </c>
      <c r="AH335" s="305">
        <f t="shared" si="73"/>
        <v>2323.1999999999998</v>
      </c>
      <c r="AI335" s="305">
        <f t="shared" si="73"/>
        <v>2336.1999999999998</v>
      </c>
      <c r="AJ335" s="305">
        <f t="shared" si="73"/>
        <v>2320.1</v>
      </c>
    </row>
    <row r="336" spans="2:36" x14ac:dyDescent="0.25">
      <c r="B336" s="476"/>
      <c r="C336" s="305">
        <v>45</v>
      </c>
      <c r="D336" s="305">
        <f t="shared" ref="D336:I336" si="74">VLOOKUP(245,$C:$AJ,COLUMN()-COLUMN($D352)+2,FALSE)-0.1*(VLOOKUP(161,$C:$AJ,COLUMN()-COLUMN($D352)+2,FALSE)-VLOOKUP(117,$C:$AJ,COLUMN()-COLUMN($D352)+2,FALSE)-VLOOKUP(118,$C:$AJ,COLUMN()-COLUMN($D352)+2,FALSE))-VLOOKUP(117,$C:$AJ,COLUMN()-COLUMN($D352)+2,FALSE)-VLOOKUP(118,$C:$AJ,COLUMN()-COLUMN($D352)+2,FALSE)</f>
        <v>2954.7</v>
      </c>
      <c r="E336" s="305">
        <f t="shared" si="74"/>
        <v>2926.3</v>
      </c>
      <c r="F336" s="305">
        <f t="shared" si="74"/>
        <v>2878.1</v>
      </c>
      <c r="G336" s="305">
        <f t="shared" si="74"/>
        <v>2817.2</v>
      </c>
      <c r="H336" s="305">
        <f t="shared" si="74"/>
        <v>2765.2</v>
      </c>
      <c r="I336" s="305">
        <f t="shared" si="74"/>
        <v>2691.1</v>
      </c>
      <c r="L336" s="305">
        <v>45</v>
      </c>
      <c r="M336" s="305">
        <f t="shared" ref="M336:R336" si="75">VLOOKUP(245,$C:$AJ,COLUMN()-COLUMN($D352)+2,FALSE)-0.1*(VLOOKUP(161,$C:$AJ,COLUMN()-COLUMN($D352)+2,FALSE)-VLOOKUP(117,$C:$AJ,COLUMN()-COLUMN($D352)+2,FALSE)-VLOOKUP(118,$C:$AJ,COLUMN()-COLUMN($D352)+2,FALSE))-VLOOKUP(117,$C:$AJ,COLUMN()-COLUMN($D352)+2,FALSE)-VLOOKUP(118,$C:$AJ,COLUMN()-COLUMN($D352)+2,FALSE)</f>
        <v>4589.3999999999996</v>
      </c>
      <c r="N336" s="305">
        <f t="shared" si="75"/>
        <v>4545.3999999999996</v>
      </c>
      <c r="O336" s="305">
        <f t="shared" si="75"/>
        <v>4469.1000000000004</v>
      </c>
      <c r="P336" s="305">
        <f t="shared" si="75"/>
        <v>4375.2</v>
      </c>
      <c r="Q336" s="305">
        <f t="shared" si="75"/>
        <v>4295.2</v>
      </c>
      <c r="R336" s="305">
        <f t="shared" si="75"/>
        <v>4179.1000000000004</v>
      </c>
      <c r="U336" s="305">
        <v>45</v>
      </c>
      <c r="V336" s="305">
        <f t="shared" ref="V336:AA336" si="76">VLOOKUP(245,$C:$AJ,COLUMN()-COLUMN($D352)+2,FALSE)-0.1*(VLOOKUP(161,$C:$AJ,COLUMN()-COLUMN($D352)+2,FALSE)-VLOOKUP(117,$C:$AJ,COLUMN()-COLUMN($D352)+2,FALSE)-VLOOKUP(118,$C:$AJ,COLUMN()-COLUMN($D352)+2,FALSE))-VLOOKUP(117,$C:$AJ,COLUMN()-COLUMN($D352)+2,FALSE)-VLOOKUP(118,$C:$AJ,COLUMN()-COLUMN($D352)+2,FALSE)</f>
        <v>3895.9</v>
      </c>
      <c r="W336" s="305">
        <f t="shared" si="76"/>
        <v>3859.7</v>
      </c>
      <c r="X336" s="305">
        <f t="shared" si="76"/>
        <v>3794.5</v>
      </c>
      <c r="Y336" s="305">
        <f t="shared" si="76"/>
        <v>3714.7</v>
      </c>
      <c r="Z336" s="305">
        <f t="shared" si="76"/>
        <v>3645.7</v>
      </c>
      <c r="AA336" s="305">
        <f t="shared" si="76"/>
        <v>3548.5</v>
      </c>
      <c r="AD336" s="305">
        <v>45</v>
      </c>
      <c r="AE336" s="305">
        <f t="shared" ref="AE336:AJ336" si="77">VLOOKUP(245,$C:$AJ,COLUMN()-COLUMN($D352)+2,FALSE)-0.1*(VLOOKUP(161,$C:$AJ,COLUMN()-COLUMN($D352)+2,FALSE)-VLOOKUP(117,$C:$AJ,COLUMN()-COLUMN($D352)+2,FALSE)-VLOOKUP(118,$C:$AJ,COLUMN()-COLUMN($D352)+2,FALSE))-VLOOKUP(117,$C:$AJ,COLUMN()-COLUMN($D352)+2,FALSE)-VLOOKUP(118,$C:$AJ,COLUMN()-COLUMN($D352)+2,FALSE)</f>
        <v>2954.7</v>
      </c>
      <c r="AF336" s="305">
        <f t="shared" si="77"/>
        <v>2926.3</v>
      </c>
      <c r="AG336" s="305">
        <f t="shared" si="77"/>
        <v>2878.1</v>
      </c>
      <c r="AH336" s="305">
        <f t="shared" si="77"/>
        <v>2817.2</v>
      </c>
      <c r="AI336" s="305">
        <f t="shared" si="77"/>
        <v>2765.2</v>
      </c>
      <c r="AJ336" s="305">
        <f t="shared" si="77"/>
        <v>2691.1</v>
      </c>
    </row>
    <row r="337" spans="2:36" x14ac:dyDescent="0.25">
      <c r="B337" s="476"/>
      <c r="C337" s="305">
        <v>46</v>
      </c>
      <c r="D337" s="305">
        <f t="shared" ref="D337:I337" si="78">VLOOKUP(246,$C:$AJ,COLUMN()-COLUMN($D353)+2,FALSE)-0.1*(VLOOKUP(161,$C:$AJ,COLUMN()-COLUMN($D353)+2,FALSE)-VLOOKUP(117,$C:$AJ,COLUMN()-COLUMN($D353)+2,FALSE)-VLOOKUP(118,$C:$AJ,COLUMN()-COLUMN($D353)+2,FALSE))-VLOOKUP(117,$C:$AJ,COLUMN()-COLUMN($D353)+2,FALSE)-VLOOKUP(118,$C:$AJ,COLUMN()-COLUMN($D353)+2,FALSE)</f>
        <v>3732.7</v>
      </c>
      <c r="E337" s="305">
        <f t="shared" si="78"/>
        <v>3713.3</v>
      </c>
      <c r="F337" s="305">
        <f t="shared" si="78"/>
        <v>3693.1</v>
      </c>
      <c r="G337" s="305">
        <f t="shared" si="78"/>
        <v>3552.2</v>
      </c>
      <c r="H337" s="305">
        <f t="shared" si="78"/>
        <v>3469.2</v>
      </c>
      <c r="I337" s="305">
        <f t="shared" si="78"/>
        <v>3434.1</v>
      </c>
      <c r="L337" s="305">
        <v>46</v>
      </c>
      <c r="M337" s="305">
        <f t="shared" ref="M337:R337" si="79">VLOOKUP(246,$C:$AJ,COLUMN()-COLUMN($D353)+2,FALSE)-0.1*(VLOOKUP(161,$C:$AJ,COLUMN()-COLUMN($D353)+2,FALSE)-VLOOKUP(117,$C:$AJ,COLUMN()-COLUMN($D353)+2,FALSE)-VLOOKUP(118,$C:$AJ,COLUMN()-COLUMN($D353)+2,FALSE))-VLOOKUP(117,$C:$AJ,COLUMN()-COLUMN($D353)+2,FALSE)-VLOOKUP(118,$C:$AJ,COLUMN()-COLUMN($D353)+2,FALSE)</f>
        <v>5797.4</v>
      </c>
      <c r="N337" s="305">
        <f t="shared" si="79"/>
        <v>5767.4</v>
      </c>
      <c r="O337" s="305">
        <f t="shared" si="79"/>
        <v>5735.1</v>
      </c>
      <c r="P337" s="305">
        <f t="shared" si="79"/>
        <v>5517.2</v>
      </c>
      <c r="Q337" s="305">
        <f t="shared" si="79"/>
        <v>5388.2</v>
      </c>
      <c r="R337" s="305">
        <f t="shared" si="79"/>
        <v>5333.1</v>
      </c>
      <c r="U337" s="305">
        <v>46</v>
      </c>
      <c r="V337" s="305">
        <f t="shared" ref="V337:AA337" si="80">VLOOKUP(246,$C:$AJ,COLUMN()-COLUMN($D353)+2,FALSE)-0.1*(VLOOKUP(161,$C:$AJ,COLUMN()-COLUMN($D353)+2,FALSE)-VLOOKUP(117,$C:$AJ,COLUMN()-COLUMN($D353)+2,FALSE)-VLOOKUP(118,$C:$AJ,COLUMN()-COLUMN($D353)+2,FALSE))-VLOOKUP(117,$C:$AJ,COLUMN()-COLUMN($D353)+2,FALSE)-VLOOKUP(118,$C:$AJ,COLUMN()-COLUMN($D353)+2,FALSE)</f>
        <v>4921.8999999999996</v>
      </c>
      <c r="W337" s="305">
        <f t="shared" si="80"/>
        <v>4896.7</v>
      </c>
      <c r="X337" s="305">
        <f t="shared" si="80"/>
        <v>4869.5</v>
      </c>
      <c r="Y337" s="305">
        <f t="shared" si="80"/>
        <v>4683.7</v>
      </c>
      <c r="Z337" s="305">
        <f t="shared" si="80"/>
        <v>4573.7</v>
      </c>
      <c r="AA337" s="305">
        <f t="shared" si="80"/>
        <v>4528.5</v>
      </c>
      <c r="AD337" s="305">
        <v>46</v>
      </c>
      <c r="AE337" s="305">
        <f t="shared" ref="AE337:AJ337" si="81">VLOOKUP(246,$C:$AJ,COLUMN()-COLUMN($D353)+2,FALSE)-0.1*(VLOOKUP(161,$C:$AJ,COLUMN()-COLUMN($D353)+2,FALSE)-VLOOKUP(117,$C:$AJ,COLUMN()-COLUMN($D353)+2,FALSE)-VLOOKUP(118,$C:$AJ,COLUMN()-COLUMN($D353)+2,FALSE))-VLOOKUP(117,$C:$AJ,COLUMN()-COLUMN($D353)+2,FALSE)-VLOOKUP(118,$C:$AJ,COLUMN()-COLUMN($D353)+2,FALSE)</f>
        <v>3732.7</v>
      </c>
      <c r="AF337" s="305">
        <f t="shared" si="81"/>
        <v>3713.3</v>
      </c>
      <c r="AG337" s="305">
        <f t="shared" si="81"/>
        <v>3693.1</v>
      </c>
      <c r="AH337" s="305">
        <f t="shared" si="81"/>
        <v>3552.2</v>
      </c>
      <c r="AI337" s="305">
        <f t="shared" si="81"/>
        <v>3469.2</v>
      </c>
      <c r="AJ337" s="305">
        <f t="shared" si="81"/>
        <v>3434.1</v>
      </c>
    </row>
    <row r="338" spans="2:36" x14ac:dyDescent="0.25">
      <c r="B338" s="476"/>
      <c r="C338" s="305">
        <v>66</v>
      </c>
      <c r="D338" s="305">
        <f t="shared" ref="D338:I338" si="82">VLOOKUP(266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10678.7</v>
      </c>
      <c r="E338" s="305">
        <f t="shared" si="82"/>
        <v>9959.2999999999993</v>
      </c>
      <c r="F338" s="305">
        <f t="shared" si="82"/>
        <v>9844.1</v>
      </c>
      <c r="G338" s="305">
        <f t="shared" si="82"/>
        <v>10142.200000000001</v>
      </c>
      <c r="H338" s="305">
        <f t="shared" si="82"/>
        <v>8970.2000000000007</v>
      </c>
      <c r="I338" s="305">
        <f t="shared" si="82"/>
        <v>8453.1</v>
      </c>
      <c r="L338" s="305">
        <v>66</v>
      </c>
      <c r="M338" s="305">
        <f t="shared" ref="M338:R338" si="83">VLOOKUP(266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16451.400000000001</v>
      </c>
      <c r="N338" s="305">
        <f t="shared" si="83"/>
        <v>15340.4</v>
      </c>
      <c r="O338" s="305">
        <f t="shared" si="83"/>
        <v>15178.1</v>
      </c>
      <c r="P338" s="305">
        <f t="shared" si="83"/>
        <v>15644.2</v>
      </c>
      <c r="Q338" s="305">
        <f t="shared" si="83"/>
        <v>13809.2</v>
      </c>
      <c r="R338" s="305">
        <f t="shared" si="83"/>
        <v>13037.1</v>
      </c>
      <c r="U338" s="305">
        <v>66</v>
      </c>
      <c r="V338" s="305">
        <f t="shared" ref="V338:AA338" si="84">VLOOKUP(266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13988.9</v>
      </c>
      <c r="W338" s="305">
        <f t="shared" si="84"/>
        <v>13045.7</v>
      </c>
      <c r="X338" s="305">
        <f t="shared" si="84"/>
        <v>12904.5</v>
      </c>
      <c r="Y338" s="305">
        <f t="shared" si="84"/>
        <v>13298.7</v>
      </c>
      <c r="Z338" s="305">
        <f t="shared" si="84"/>
        <v>11742.7</v>
      </c>
      <c r="AA338" s="305">
        <f t="shared" si="84"/>
        <v>11084.5</v>
      </c>
      <c r="AD338" s="305">
        <v>66</v>
      </c>
      <c r="AE338" s="305">
        <f t="shared" ref="AE338:AJ338" si="85">VLOOKUP(266,$C:$AJ,COLUMN()-COLUMN($D348)+2,FALSE)-0.1*(VLOOKUP(161,$C:$AJ,COLUMN()-COLUMN($D348)+2,FALSE)-VLOOKUP(117,$C:$AJ,COLUMN()-COLUMN($D348)+2,FALSE)-VLOOKUP(118,$C:$AJ,COLUMN()-COLUMN($D348)+2,FALSE))-VLOOKUP(117,$C:$AJ,COLUMN()-COLUMN($D348)+2,FALSE)-VLOOKUP(118,$C:$AJ,COLUMN()-COLUMN($D348)+2,FALSE)</f>
        <v>10678.7</v>
      </c>
      <c r="AF338" s="305">
        <f t="shared" si="85"/>
        <v>9959.2999999999993</v>
      </c>
      <c r="AG338" s="305">
        <f t="shared" si="85"/>
        <v>9844.1</v>
      </c>
      <c r="AH338" s="305">
        <f t="shared" si="85"/>
        <v>10142.200000000001</v>
      </c>
      <c r="AI338" s="305">
        <f t="shared" si="85"/>
        <v>8970.2000000000007</v>
      </c>
      <c r="AJ338" s="305">
        <f t="shared" si="85"/>
        <v>8453.1</v>
      </c>
    </row>
    <row r="339" spans="2:36" x14ac:dyDescent="0.25">
      <c r="B339" s="476"/>
      <c r="C339" s="305">
        <v>126</v>
      </c>
      <c r="D339" s="305">
        <f>IF(D352&lt;=430,MAX(0,D352-90),340)</f>
        <v>75.71052631578948</v>
      </c>
      <c r="E339" s="305">
        <f t="shared" ref="E339:I339" si="86">IF(E352&lt;=430,MAX(0,E352-90),340)</f>
        <v>74.084210526315786</v>
      </c>
      <c r="F339" s="305">
        <f t="shared" si="86"/>
        <v>80.457894736842093</v>
      </c>
      <c r="G339" s="305">
        <f t="shared" si="86"/>
        <v>84.378947368421052</v>
      </c>
      <c r="H339" s="305">
        <f t="shared" si="86"/>
        <v>71.194736842105272</v>
      </c>
      <c r="I339" s="305">
        <f t="shared" si="86"/>
        <v>49.194736842105272</v>
      </c>
      <c r="L339" s="305">
        <v>126</v>
      </c>
      <c r="M339" s="305">
        <f>IF(M352&lt;=430,MAX(0,M352-90),340)</f>
        <v>170</v>
      </c>
      <c r="N339" s="305">
        <f t="shared" ref="N339:R339" si="87">IF(N352&lt;=430,MAX(0,N352-90),340)</f>
        <v>168</v>
      </c>
      <c r="O339" s="305">
        <f t="shared" si="87"/>
        <v>179</v>
      </c>
      <c r="P339" s="305">
        <f t="shared" si="87"/>
        <v>180.43684210526317</v>
      </c>
      <c r="Q339" s="305">
        <f t="shared" si="87"/>
        <v>171</v>
      </c>
      <c r="R339" s="305">
        <f t="shared" si="87"/>
        <v>136</v>
      </c>
      <c r="U339" s="305">
        <v>126</v>
      </c>
      <c r="V339" s="305">
        <f>IF(V352&lt;=430,MAX(0,V352-90),340)</f>
        <v>128.65789473684211</v>
      </c>
      <c r="W339" s="305">
        <f t="shared" ref="W339:AA339" si="88">IF(W352&lt;=430,MAX(0,W352-90),340)</f>
        <v>127.03157894736842</v>
      </c>
      <c r="X339" s="305">
        <f t="shared" si="88"/>
        <v>135.40526315789475</v>
      </c>
      <c r="Y339" s="305">
        <f t="shared" si="88"/>
        <v>140.2157894736842</v>
      </c>
      <c r="Z339" s="305">
        <f t="shared" si="88"/>
        <v>122.63684210526316</v>
      </c>
      <c r="AA339" s="305">
        <f t="shared" si="88"/>
        <v>93.636842105263156</v>
      </c>
      <c r="AD339" s="305">
        <v>126</v>
      </c>
      <c r="AE339" s="305">
        <f>IF(AE352&lt;=430,MAX(0,AE352-90),340)</f>
        <v>75.71052631578948</v>
      </c>
      <c r="AF339" s="305">
        <f t="shared" ref="AF339:AJ339" si="89">IF(AF352&lt;=430,MAX(0,AF352-90),340)</f>
        <v>74.084210526315786</v>
      </c>
      <c r="AG339" s="305">
        <f t="shared" si="89"/>
        <v>80.457894736842093</v>
      </c>
      <c r="AH339" s="305">
        <f t="shared" si="89"/>
        <v>84.378947368421052</v>
      </c>
      <c r="AI339" s="305">
        <f t="shared" si="89"/>
        <v>71.194736842105272</v>
      </c>
      <c r="AJ339" s="305">
        <f t="shared" si="89"/>
        <v>49.194736842105272</v>
      </c>
    </row>
    <row r="340" spans="2:36" x14ac:dyDescent="0.25">
      <c r="B340" s="476"/>
      <c r="C340" s="305">
        <v>303</v>
      </c>
      <c r="D340" s="305">
        <f t="shared" ref="D340:I340" si="90">D353+MIN(D350-D341,51)</f>
        <v>7</v>
      </c>
      <c r="E340" s="305">
        <f t="shared" si="90"/>
        <v>8</v>
      </c>
      <c r="F340" s="305">
        <f t="shared" si="90"/>
        <v>7</v>
      </c>
      <c r="G340" s="305">
        <f t="shared" si="90"/>
        <v>7</v>
      </c>
      <c r="H340" s="305">
        <f t="shared" si="90"/>
        <v>6</v>
      </c>
      <c r="I340" s="305">
        <f t="shared" si="90"/>
        <v>7</v>
      </c>
      <c r="L340" s="305">
        <v>303</v>
      </c>
      <c r="M340" s="305">
        <f t="shared" ref="M340:R340" si="91">M353+MIN(M350-M341,51)</f>
        <v>11</v>
      </c>
      <c r="N340" s="305">
        <f t="shared" si="91"/>
        <v>12</v>
      </c>
      <c r="O340" s="305">
        <f t="shared" si="91"/>
        <v>11</v>
      </c>
      <c r="P340" s="305">
        <f t="shared" si="91"/>
        <v>11</v>
      </c>
      <c r="Q340" s="305">
        <f t="shared" si="91"/>
        <v>10</v>
      </c>
      <c r="R340" s="305">
        <f t="shared" si="91"/>
        <v>11</v>
      </c>
      <c r="U340" s="305">
        <v>303</v>
      </c>
      <c r="V340" s="305">
        <f t="shared" ref="V340:AA340" si="92">V353+MIN(V350-V341,51)</f>
        <v>10</v>
      </c>
      <c r="W340" s="305">
        <f t="shared" si="92"/>
        <v>11</v>
      </c>
      <c r="X340" s="305">
        <f t="shared" si="92"/>
        <v>10</v>
      </c>
      <c r="Y340" s="305">
        <f t="shared" si="92"/>
        <v>10</v>
      </c>
      <c r="Z340" s="305">
        <f t="shared" si="92"/>
        <v>8</v>
      </c>
      <c r="AA340" s="305">
        <f t="shared" si="92"/>
        <v>10</v>
      </c>
      <c r="AD340" s="305">
        <v>303</v>
      </c>
      <c r="AE340" s="305">
        <f t="shared" ref="AE340:AJ340" si="93">AE353+MIN(AE350-AE341,51)</f>
        <v>7</v>
      </c>
      <c r="AF340" s="305">
        <f t="shared" si="93"/>
        <v>8</v>
      </c>
      <c r="AG340" s="305">
        <f t="shared" si="93"/>
        <v>7</v>
      </c>
      <c r="AH340" s="305">
        <f t="shared" si="93"/>
        <v>7</v>
      </c>
      <c r="AI340" s="305">
        <f t="shared" si="93"/>
        <v>6</v>
      </c>
      <c r="AJ340" s="305">
        <f t="shared" si="93"/>
        <v>7</v>
      </c>
    </row>
    <row r="341" spans="2:36" x14ac:dyDescent="0.25">
      <c r="B341" s="476"/>
      <c r="C341" s="305">
        <v>131</v>
      </c>
      <c r="D341" s="305">
        <f>MIN(D350,144)</f>
        <v>82.28947368421052</v>
      </c>
      <c r="E341" s="305">
        <f t="shared" ref="E341:I341" si="94">MIN(E350,144)</f>
        <v>82.915789473684214</v>
      </c>
      <c r="F341" s="305">
        <f t="shared" si="94"/>
        <v>83.542105263157893</v>
      </c>
      <c r="G341" s="305">
        <f t="shared" si="94"/>
        <v>59.621052631578948</v>
      </c>
      <c r="H341" s="305">
        <f t="shared" si="94"/>
        <v>87.805263157894743</v>
      </c>
      <c r="I341" s="305">
        <f t="shared" si="94"/>
        <v>89.805263157894743</v>
      </c>
      <c r="L341" s="305">
        <v>131</v>
      </c>
      <c r="M341" s="305">
        <f>MIN(M350,144)</f>
        <v>125</v>
      </c>
      <c r="N341" s="305">
        <f t="shared" ref="N341:R341" si="95">MIN(N350,144)</f>
        <v>126</v>
      </c>
      <c r="O341" s="305">
        <f t="shared" si="95"/>
        <v>125</v>
      </c>
      <c r="P341" s="305">
        <f t="shared" si="95"/>
        <v>92.563157894736847</v>
      </c>
      <c r="Q341" s="305">
        <f t="shared" si="95"/>
        <v>126</v>
      </c>
      <c r="R341" s="305">
        <f t="shared" si="95"/>
        <v>129</v>
      </c>
      <c r="U341" s="305">
        <v>131</v>
      </c>
      <c r="V341" s="305">
        <f>MIN(V350,144)</f>
        <v>108.34210526315789</v>
      </c>
      <c r="W341" s="305">
        <f t="shared" ref="W341:AA341" si="96">MIN(W350,144)</f>
        <v>108.96842105263158</v>
      </c>
      <c r="X341" s="305">
        <f t="shared" si="96"/>
        <v>109.59473684210526</v>
      </c>
      <c r="Y341" s="305">
        <f t="shared" si="96"/>
        <v>77.784210526315789</v>
      </c>
      <c r="Z341" s="305">
        <f t="shared" si="96"/>
        <v>115.36315789473684</v>
      </c>
      <c r="AA341" s="305">
        <f t="shared" si="96"/>
        <v>118.36315789473684</v>
      </c>
      <c r="AD341" s="305">
        <v>131</v>
      </c>
      <c r="AE341" s="305">
        <f>MIN(AE350,144)</f>
        <v>82.28947368421052</v>
      </c>
      <c r="AF341" s="305">
        <f t="shared" ref="AF341:AJ341" si="97">MIN(AF350,144)</f>
        <v>82.915789473684214</v>
      </c>
      <c r="AG341" s="305">
        <f t="shared" si="97"/>
        <v>83.542105263157893</v>
      </c>
      <c r="AH341" s="305">
        <f t="shared" si="97"/>
        <v>59.621052631578948</v>
      </c>
      <c r="AI341" s="305">
        <f t="shared" si="97"/>
        <v>87.805263157894743</v>
      </c>
      <c r="AJ341" s="305">
        <f t="shared" si="97"/>
        <v>89.805263157894743</v>
      </c>
    </row>
    <row r="342" spans="2:36" x14ac:dyDescent="0.25">
      <c r="B342" s="476"/>
      <c r="C342" s="305">
        <v>306</v>
      </c>
      <c r="D342" s="305">
        <f>D340+D341</f>
        <v>89.28947368421052</v>
      </c>
      <c r="E342" s="305">
        <f t="shared" ref="E342:I342" si="98">E340+E341</f>
        <v>90.915789473684214</v>
      </c>
      <c r="F342" s="305">
        <f t="shared" si="98"/>
        <v>90.542105263157893</v>
      </c>
      <c r="G342" s="305">
        <f t="shared" si="98"/>
        <v>66.621052631578948</v>
      </c>
      <c r="H342" s="305">
        <f t="shared" si="98"/>
        <v>93.805263157894743</v>
      </c>
      <c r="I342" s="305">
        <f t="shared" si="98"/>
        <v>96.805263157894743</v>
      </c>
      <c r="L342" s="305">
        <v>306</v>
      </c>
      <c r="M342" s="305">
        <f>M340+M341</f>
        <v>136</v>
      </c>
      <c r="N342" s="305">
        <f t="shared" ref="N342:R342" si="99">N340+N341</f>
        <v>138</v>
      </c>
      <c r="O342" s="305">
        <f t="shared" si="99"/>
        <v>136</v>
      </c>
      <c r="P342" s="305">
        <f t="shared" si="99"/>
        <v>103.56315789473685</v>
      </c>
      <c r="Q342" s="305">
        <f t="shared" si="99"/>
        <v>136</v>
      </c>
      <c r="R342" s="305">
        <f t="shared" si="99"/>
        <v>140</v>
      </c>
      <c r="U342" s="305">
        <v>306</v>
      </c>
      <c r="V342" s="305">
        <f>V340+V341</f>
        <v>118.34210526315789</v>
      </c>
      <c r="W342" s="305">
        <f t="shared" ref="W342:AA342" si="100">W340+W341</f>
        <v>119.96842105263158</v>
      </c>
      <c r="X342" s="305">
        <f t="shared" si="100"/>
        <v>119.59473684210526</v>
      </c>
      <c r="Y342" s="305">
        <f t="shared" si="100"/>
        <v>87.784210526315789</v>
      </c>
      <c r="Z342" s="305">
        <f t="shared" si="100"/>
        <v>123.36315789473684</v>
      </c>
      <c r="AA342" s="305">
        <f t="shared" si="100"/>
        <v>128.36315789473684</v>
      </c>
      <c r="AD342" s="305">
        <v>306</v>
      </c>
      <c r="AE342" s="305">
        <f>AE340+AE341</f>
        <v>89.28947368421052</v>
      </c>
      <c r="AF342" s="305">
        <f t="shared" ref="AF342:AJ342" si="101">AF340+AF341</f>
        <v>90.915789473684214</v>
      </c>
      <c r="AG342" s="305">
        <f t="shared" si="101"/>
        <v>90.542105263157893</v>
      </c>
      <c r="AH342" s="305">
        <f t="shared" si="101"/>
        <v>66.621052631578948</v>
      </c>
      <c r="AI342" s="305">
        <f t="shared" si="101"/>
        <v>93.805263157894743</v>
      </c>
      <c r="AJ342" s="305">
        <f t="shared" si="101"/>
        <v>96.805263157894743</v>
      </c>
    </row>
    <row r="343" spans="2:36" x14ac:dyDescent="0.25">
      <c r="B343" s="476"/>
      <c r="C343" s="305">
        <v>299</v>
      </c>
      <c r="D343" s="305">
        <f t="shared" ref="D343:I343" si="102">VLOOKUP(130,$C:$AJ,COLUMN()-COLUMN($D343)+2,0)-VLOOKUP(203,$C:$AJ,COLUMN()-COLUMN($D343)+2,0)-D345+D351</f>
        <v>173.71052631578948</v>
      </c>
      <c r="E343" s="305">
        <f t="shared" si="102"/>
        <v>172.08421052631579</v>
      </c>
      <c r="F343" s="305">
        <f t="shared" si="102"/>
        <v>179.45789473684209</v>
      </c>
      <c r="G343" s="305">
        <f t="shared" si="102"/>
        <v>180.37894736842105</v>
      </c>
      <c r="H343" s="305">
        <f t="shared" si="102"/>
        <v>169.19473684210527</v>
      </c>
      <c r="I343" s="305">
        <f t="shared" si="102"/>
        <v>148.19473684210527</v>
      </c>
      <c r="L343" s="305">
        <v>299</v>
      </c>
      <c r="M343" s="305">
        <f t="shared" ref="M343:R343" si="103">VLOOKUP(130,$C:$AJ,COLUMN()-COLUMN($D343)+2,0)-VLOOKUP(203,$C:$AJ,COLUMN()-COLUMN($D343)+2,0)-M345+M351</f>
        <v>272</v>
      </c>
      <c r="N343" s="305">
        <f t="shared" si="103"/>
        <v>270</v>
      </c>
      <c r="O343" s="305">
        <f t="shared" si="103"/>
        <v>283</v>
      </c>
      <c r="P343" s="305">
        <f t="shared" si="103"/>
        <v>280.43684210526317</v>
      </c>
      <c r="Q343" s="305">
        <f t="shared" si="103"/>
        <v>273</v>
      </c>
      <c r="R343" s="305">
        <f t="shared" si="103"/>
        <v>240</v>
      </c>
      <c r="U343" s="305">
        <v>299</v>
      </c>
      <c r="V343" s="305">
        <f t="shared" ref="V343:AA343" si="104">VLOOKUP(130,$C:$AJ,COLUMN()-COLUMN($D343)+2,0)-VLOOKUP(203,$C:$AJ,COLUMN()-COLUMN($D343)+2,0)-V345+V351</f>
        <v>228.65789473684211</v>
      </c>
      <c r="W343" s="305">
        <f t="shared" si="104"/>
        <v>227.03157894736842</v>
      </c>
      <c r="X343" s="305">
        <f t="shared" si="104"/>
        <v>236.40526315789475</v>
      </c>
      <c r="Y343" s="305">
        <f t="shared" si="104"/>
        <v>238.2157894736842</v>
      </c>
      <c r="Z343" s="305">
        <f t="shared" si="104"/>
        <v>222.63684210526316</v>
      </c>
      <c r="AA343" s="305">
        <f t="shared" si="104"/>
        <v>194.63684210526316</v>
      </c>
      <c r="AD343" s="305">
        <v>299</v>
      </c>
      <c r="AE343" s="305">
        <f t="shared" ref="AE343:AJ343" si="105">VLOOKUP(130,$C:$AJ,COLUMN()-COLUMN($D343)+2,0)-VLOOKUP(203,$C:$AJ,COLUMN()-COLUMN($D343)+2,0)-AE345+AE351</f>
        <v>173.71052631578948</v>
      </c>
      <c r="AF343" s="305">
        <f t="shared" si="105"/>
        <v>172.08421052631579</v>
      </c>
      <c r="AG343" s="305">
        <f t="shared" si="105"/>
        <v>179.45789473684209</v>
      </c>
      <c r="AH343" s="305">
        <f t="shared" si="105"/>
        <v>180.37894736842105</v>
      </c>
      <c r="AI343" s="305">
        <f t="shared" si="105"/>
        <v>169.19473684210527</v>
      </c>
      <c r="AJ343" s="305">
        <f t="shared" si="105"/>
        <v>148.19473684210527</v>
      </c>
    </row>
    <row r="344" spans="2:36" x14ac:dyDescent="0.25">
      <c r="B344" s="476"/>
      <c r="C344" s="305">
        <v>125</v>
      </c>
      <c r="D344" s="305">
        <f t="shared" ref="D344:I344" si="106">VLOOKUP(125,$C:$AJ,COLUMN()-COLUMN($D348)+2,0)</f>
        <v>125</v>
      </c>
      <c r="E344" s="305">
        <f t="shared" si="106"/>
        <v>126</v>
      </c>
      <c r="F344" s="305">
        <f t="shared" si="106"/>
        <v>127</v>
      </c>
      <c r="G344" s="305">
        <f t="shared" si="106"/>
        <v>92</v>
      </c>
      <c r="H344" s="305">
        <f t="shared" si="106"/>
        <v>137</v>
      </c>
      <c r="I344" s="305">
        <f t="shared" si="106"/>
        <v>137</v>
      </c>
      <c r="L344" s="305">
        <v>125</v>
      </c>
      <c r="M344" s="305">
        <f t="shared" ref="M344:R344" si="107">VLOOKUP(125,$C:$AJ,COLUMN()-COLUMN($D348)+2,0)</f>
        <v>194</v>
      </c>
      <c r="N344" s="305">
        <f t="shared" si="107"/>
        <v>196</v>
      </c>
      <c r="O344" s="305">
        <f t="shared" si="107"/>
        <v>197</v>
      </c>
      <c r="P344" s="305">
        <f t="shared" si="107"/>
        <v>143</v>
      </c>
      <c r="Q344" s="305">
        <f t="shared" si="107"/>
        <v>213</v>
      </c>
      <c r="R344" s="305">
        <f t="shared" si="107"/>
        <v>213</v>
      </c>
      <c r="U344" s="305">
        <v>125</v>
      </c>
      <c r="V344" s="305">
        <f t="shared" ref="V344:AA344" si="108">VLOOKUP(125,$C:$AJ,COLUMN()-COLUMN($D348)+2,0)</f>
        <v>165</v>
      </c>
      <c r="W344" s="305">
        <f t="shared" si="108"/>
        <v>166</v>
      </c>
      <c r="X344" s="305">
        <f t="shared" si="108"/>
        <v>167</v>
      </c>
      <c r="Y344" s="305">
        <f t="shared" si="108"/>
        <v>121</v>
      </c>
      <c r="Z344" s="305">
        <f t="shared" si="108"/>
        <v>181</v>
      </c>
      <c r="AA344" s="305">
        <f t="shared" si="108"/>
        <v>181</v>
      </c>
      <c r="AD344" s="305">
        <v>125</v>
      </c>
      <c r="AE344" s="305">
        <f t="shared" ref="AE344:AJ344" si="109">VLOOKUP(125,$C:$AJ,COLUMN()-COLUMN($D348)+2,0)</f>
        <v>125</v>
      </c>
      <c r="AF344" s="305">
        <f t="shared" si="109"/>
        <v>126</v>
      </c>
      <c r="AG344" s="305">
        <f t="shared" si="109"/>
        <v>127</v>
      </c>
      <c r="AH344" s="305">
        <f t="shared" si="109"/>
        <v>92</v>
      </c>
      <c r="AI344" s="305">
        <f t="shared" si="109"/>
        <v>137</v>
      </c>
      <c r="AJ344" s="305">
        <f t="shared" si="109"/>
        <v>137</v>
      </c>
    </row>
    <row r="345" spans="2:36" x14ac:dyDescent="0.25">
      <c r="B345" s="476"/>
      <c r="C345" s="305">
        <v>298</v>
      </c>
      <c r="D345" s="305">
        <f t="shared" ref="D345:I345" si="110">IF(D344&lt;190,(D344*119)/190,IF(AND(D344&gt;=190,D344&lt;=209),119,IF(AND(D344&gt;=209,D344&lt;=250),D344-90,160)))</f>
        <v>78.28947368421052</v>
      </c>
      <c r="E345" s="305">
        <f t="shared" si="110"/>
        <v>78.915789473684214</v>
      </c>
      <c r="F345" s="305">
        <f t="shared" si="110"/>
        <v>79.542105263157893</v>
      </c>
      <c r="G345" s="305">
        <f t="shared" si="110"/>
        <v>57.621052631578948</v>
      </c>
      <c r="H345" s="305">
        <f t="shared" si="110"/>
        <v>85.805263157894743</v>
      </c>
      <c r="I345" s="305">
        <f t="shared" si="110"/>
        <v>85.805263157894743</v>
      </c>
      <c r="L345" s="305">
        <v>298</v>
      </c>
      <c r="M345" s="305">
        <f t="shared" ref="M345:R345" si="111">IF(M344&lt;190,(M344*119)/190,IF(AND(M344&gt;=190,M344&lt;=209),119,IF(AND(M344&gt;=209,M344&lt;=250),M344-90,160)))</f>
        <v>119</v>
      </c>
      <c r="N345" s="305">
        <f t="shared" si="111"/>
        <v>119</v>
      </c>
      <c r="O345" s="305">
        <f t="shared" si="111"/>
        <v>119</v>
      </c>
      <c r="P345" s="305">
        <f t="shared" si="111"/>
        <v>89.563157894736847</v>
      </c>
      <c r="Q345" s="305">
        <f t="shared" si="111"/>
        <v>123</v>
      </c>
      <c r="R345" s="305">
        <f t="shared" si="111"/>
        <v>123</v>
      </c>
      <c r="U345" s="305">
        <v>298</v>
      </c>
      <c r="V345" s="305">
        <f t="shared" ref="V345:AA345" si="112">IF(V344&lt;190,(V344*119)/190,IF(AND(V344&gt;=190,V344&lt;=209),119,IF(AND(V344&gt;=209,V344&lt;=250),V344-90,160)))</f>
        <v>103.34210526315789</v>
      </c>
      <c r="W345" s="305">
        <f t="shared" si="112"/>
        <v>103.96842105263158</v>
      </c>
      <c r="X345" s="305">
        <f t="shared" si="112"/>
        <v>104.59473684210526</v>
      </c>
      <c r="Y345" s="305">
        <f t="shared" si="112"/>
        <v>75.784210526315789</v>
      </c>
      <c r="Z345" s="305">
        <f t="shared" si="112"/>
        <v>113.36315789473684</v>
      </c>
      <c r="AA345" s="305">
        <f t="shared" si="112"/>
        <v>113.36315789473684</v>
      </c>
      <c r="AD345" s="305">
        <v>298</v>
      </c>
      <c r="AE345" s="305">
        <f t="shared" ref="AE345:AJ345" si="113">IF(AE344&lt;190,(AE344*119)/190,IF(AND(AE344&gt;=190,AE344&lt;=209),119,IF(AND(AE344&gt;=209,AE344&lt;=250),AE344-90,160)))</f>
        <v>78.28947368421052</v>
      </c>
      <c r="AF345" s="305">
        <f t="shared" si="113"/>
        <v>78.915789473684214</v>
      </c>
      <c r="AG345" s="305">
        <f t="shared" si="113"/>
        <v>79.542105263157893</v>
      </c>
      <c r="AH345" s="305">
        <f t="shared" si="113"/>
        <v>57.621052631578948</v>
      </c>
      <c r="AI345" s="305">
        <f t="shared" si="113"/>
        <v>85.805263157894743</v>
      </c>
      <c r="AJ345" s="305">
        <f t="shared" si="113"/>
        <v>85.805263157894743</v>
      </c>
    </row>
    <row r="346" spans="2:36" x14ac:dyDescent="0.25">
      <c r="B346" s="476"/>
      <c r="C346" s="305">
        <v>317</v>
      </c>
      <c r="D346" s="305">
        <f t="shared" ref="D346:I346" si="114">MAX(0,(VLOOKUP(201,$C:$AJ,COLUMN()-COLUMN($D348)+2,FALSE))-25)</f>
        <v>0</v>
      </c>
      <c r="E346" s="305">
        <f t="shared" si="114"/>
        <v>0</v>
      </c>
      <c r="F346" s="305">
        <f t="shared" si="114"/>
        <v>0</v>
      </c>
      <c r="G346" s="305">
        <f t="shared" si="114"/>
        <v>0</v>
      </c>
      <c r="H346" s="305">
        <f t="shared" si="114"/>
        <v>0</v>
      </c>
      <c r="I346" s="305">
        <f t="shared" si="114"/>
        <v>0</v>
      </c>
      <c r="L346" s="305">
        <v>317</v>
      </c>
      <c r="M346" s="305">
        <f t="shared" ref="M346:R346" si="115">MAX(0,(VLOOKUP(201,$C:$AJ,COLUMN()-COLUMN($D348)+2,FALSE))-25)</f>
        <v>0</v>
      </c>
      <c r="N346" s="305">
        <f t="shared" si="115"/>
        <v>0</v>
      </c>
      <c r="O346" s="305">
        <f t="shared" si="115"/>
        <v>0</v>
      </c>
      <c r="P346" s="305">
        <f t="shared" si="115"/>
        <v>0</v>
      </c>
      <c r="Q346" s="305">
        <f t="shared" si="115"/>
        <v>0</v>
      </c>
      <c r="R346" s="305">
        <f t="shared" si="115"/>
        <v>0</v>
      </c>
      <c r="U346" s="305">
        <v>317</v>
      </c>
      <c r="V346" s="305">
        <f t="shared" ref="V346:AA346" si="116">MAX(0,(VLOOKUP(201,$C:$AJ,COLUMN()-COLUMN($D348)+2,FALSE))-25)</f>
        <v>0</v>
      </c>
      <c r="W346" s="305">
        <f t="shared" si="116"/>
        <v>0</v>
      </c>
      <c r="X346" s="305">
        <f t="shared" si="116"/>
        <v>0</v>
      </c>
      <c r="Y346" s="305">
        <f t="shared" si="116"/>
        <v>0</v>
      </c>
      <c r="Z346" s="305">
        <f t="shared" si="116"/>
        <v>0</v>
      </c>
      <c r="AA346" s="305">
        <f t="shared" si="116"/>
        <v>0</v>
      </c>
      <c r="AD346" s="305">
        <v>317</v>
      </c>
      <c r="AE346" s="305">
        <f t="shared" ref="AE346:AJ346" si="117">MAX(0,(VLOOKUP(201,$C:$AJ,COLUMN()-COLUMN($D348)+2,FALSE))-25)</f>
        <v>0</v>
      </c>
      <c r="AF346" s="305">
        <f t="shared" si="117"/>
        <v>0</v>
      </c>
      <c r="AG346" s="305">
        <f t="shared" si="117"/>
        <v>0</v>
      </c>
      <c r="AH346" s="305">
        <f t="shared" si="117"/>
        <v>0</v>
      </c>
      <c r="AI346" s="305">
        <f t="shared" si="117"/>
        <v>0</v>
      </c>
      <c r="AJ346" s="305">
        <f t="shared" si="117"/>
        <v>0</v>
      </c>
    </row>
    <row r="347" spans="2:36" x14ac:dyDescent="0.25">
      <c r="B347" s="476"/>
      <c r="C347" s="305">
        <v>203</v>
      </c>
      <c r="D347" s="305">
        <f t="shared" ref="D347:I347" si="118">VLOOKUP(203,$C:$AJ,COLUMN()-COLUMN($D348)+2,0)</f>
        <v>9</v>
      </c>
      <c r="E347" s="305">
        <f t="shared" si="118"/>
        <v>10</v>
      </c>
      <c r="F347" s="305">
        <f t="shared" si="118"/>
        <v>9</v>
      </c>
      <c r="G347" s="305">
        <f t="shared" si="118"/>
        <v>7</v>
      </c>
      <c r="H347" s="305">
        <f t="shared" si="118"/>
        <v>7</v>
      </c>
      <c r="I347" s="305">
        <f t="shared" si="118"/>
        <v>9</v>
      </c>
      <c r="L347" s="305">
        <v>203</v>
      </c>
      <c r="M347" s="305">
        <f t="shared" ref="M347:R347" si="119">VLOOKUP(203,$C:$AJ,COLUMN()-COLUMN($D348)+2,0)</f>
        <v>14</v>
      </c>
      <c r="N347" s="305">
        <f t="shared" si="119"/>
        <v>16</v>
      </c>
      <c r="O347" s="305">
        <f t="shared" si="119"/>
        <v>14</v>
      </c>
      <c r="P347" s="305">
        <f t="shared" si="119"/>
        <v>11</v>
      </c>
      <c r="Q347" s="305">
        <f t="shared" si="119"/>
        <v>11</v>
      </c>
      <c r="R347" s="305">
        <f t="shared" si="119"/>
        <v>14</v>
      </c>
      <c r="U347" s="305">
        <v>203</v>
      </c>
      <c r="V347" s="305">
        <f t="shared" ref="V347:AA347" si="120">VLOOKUP(203,$C:$AJ,COLUMN()-COLUMN($D348)+2,0)</f>
        <v>12</v>
      </c>
      <c r="W347" s="305">
        <f t="shared" si="120"/>
        <v>13</v>
      </c>
      <c r="X347" s="305">
        <f t="shared" si="120"/>
        <v>12</v>
      </c>
      <c r="Y347" s="305">
        <f t="shared" si="120"/>
        <v>9</v>
      </c>
      <c r="Z347" s="305">
        <f t="shared" si="120"/>
        <v>9</v>
      </c>
      <c r="AA347" s="305">
        <f t="shared" si="120"/>
        <v>12</v>
      </c>
      <c r="AD347" s="305">
        <v>203</v>
      </c>
      <c r="AE347" s="305">
        <f t="shared" ref="AE347:AJ347" si="121">VLOOKUP(203,$C:$AJ,COLUMN()-COLUMN($D348)+2,0)</f>
        <v>9</v>
      </c>
      <c r="AF347" s="305">
        <f t="shared" si="121"/>
        <v>10</v>
      </c>
      <c r="AG347" s="305">
        <f t="shared" si="121"/>
        <v>9</v>
      </c>
      <c r="AH347" s="305">
        <f t="shared" si="121"/>
        <v>7</v>
      </c>
      <c r="AI347" s="305">
        <f t="shared" si="121"/>
        <v>7</v>
      </c>
      <c r="AJ347" s="305">
        <f t="shared" si="121"/>
        <v>9</v>
      </c>
    </row>
    <row r="348" spans="2:36" x14ac:dyDescent="0.25">
      <c r="B348" s="476"/>
      <c r="C348" s="305">
        <v>201</v>
      </c>
      <c r="D348" s="305">
        <f t="shared" ref="D348:I348" si="122">VLOOKUP(201,$C:$AJ,COLUMN()-COLUMN($D$19)+2,0)</f>
        <v>5</v>
      </c>
      <c r="E348" s="305">
        <f t="shared" si="122"/>
        <v>6</v>
      </c>
      <c r="F348" s="305">
        <f t="shared" si="122"/>
        <v>5</v>
      </c>
      <c r="G348" s="305">
        <f t="shared" si="122"/>
        <v>5</v>
      </c>
      <c r="H348" s="305">
        <f t="shared" si="122"/>
        <v>5</v>
      </c>
      <c r="I348" s="305">
        <f t="shared" si="122"/>
        <v>5</v>
      </c>
      <c r="L348" s="305">
        <v>201</v>
      </c>
      <c r="M348" s="305">
        <f t="shared" ref="M348:R348" si="123">VLOOKUP(201,$C:$AJ,COLUMN()-COLUMN($D$19)+2,0)</f>
        <v>8</v>
      </c>
      <c r="N348" s="305">
        <f t="shared" si="123"/>
        <v>9</v>
      </c>
      <c r="O348" s="305">
        <f t="shared" si="123"/>
        <v>8</v>
      </c>
      <c r="P348" s="305">
        <f t="shared" si="123"/>
        <v>8</v>
      </c>
      <c r="Q348" s="305">
        <f t="shared" si="123"/>
        <v>8</v>
      </c>
      <c r="R348" s="305">
        <f t="shared" si="123"/>
        <v>8</v>
      </c>
      <c r="U348" s="305">
        <v>201</v>
      </c>
      <c r="V348" s="305">
        <f t="shared" ref="V348:AA348" si="124">VLOOKUP(201,$C:$AJ,COLUMN()-COLUMN($D$19)+2,0)</f>
        <v>7</v>
      </c>
      <c r="W348" s="305">
        <f t="shared" si="124"/>
        <v>8</v>
      </c>
      <c r="X348" s="305">
        <f t="shared" si="124"/>
        <v>7</v>
      </c>
      <c r="Y348" s="305">
        <f t="shared" si="124"/>
        <v>7</v>
      </c>
      <c r="Z348" s="305">
        <f t="shared" si="124"/>
        <v>7</v>
      </c>
      <c r="AA348" s="305">
        <f t="shared" si="124"/>
        <v>7</v>
      </c>
      <c r="AD348" s="305">
        <v>201</v>
      </c>
      <c r="AE348" s="305">
        <f t="shared" ref="AE348:AJ348" si="125">VLOOKUP(201,$C:$AJ,COLUMN()-COLUMN($D$19)+2,0)</f>
        <v>5</v>
      </c>
      <c r="AF348" s="305">
        <f t="shared" si="125"/>
        <v>6</v>
      </c>
      <c r="AG348" s="305">
        <f t="shared" si="125"/>
        <v>5</v>
      </c>
      <c r="AH348" s="305">
        <f t="shared" si="125"/>
        <v>5</v>
      </c>
      <c r="AI348" s="305">
        <f t="shared" si="125"/>
        <v>5</v>
      </c>
      <c r="AJ348" s="305">
        <f t="shared" si="125"/>
        <v>5</v>
      </c>
    </row>
    <row r="349" spans="2:36" x14ac:dyDescent="0.25">
      <c r="B349" s="476"/>
      <c r="C349" s="305">
        <v>315</v>
      </c>
      <c r="D349" s="305">
        <f t="shared" ref="D349:I349" si="126">D345+D346-D348+D347</f>
        <v>82.28947368421052</v>
      </c>
      <c r="E349" s="305">
        <f t="shared" si="126"/>
        <v>82.915789473684214</v>
      </c>
      <c r="F349" s="305">
        <f t="shared" si="126"/>
        <v>83.542105263157893</v>
      </c>
      <c r="G349" s="305">
        <f t="shared" si="126"/>
        <v>59.621052631578948</v>
      </c>
      <c r="H349" s="305">
        <f t="shared" si="126"/>
        <v>87.805263157894743</v>
      </c>
      <c r="I349" s="305">
        <f t="shared" si="126"/>
        <v>89.805263157894743</v>
      </c>
      <c r="L349" s="305">
        <v>315</v>
      </c>
      <c r="M349" s="305">
        <f t="shared" ref="M349:R349" si="127">M345+M346-M348+M347</f>
        <v>125</v>
      </c>
      <c r="N349" s="305">
        <f t="shared" si="127"/>
        <v>126</v>
      </c>
      <c r="O349" s="305">
        <f t="shared" si="127"/>
        <v>125</v>
      </c>
      <c r="P349" s="305">
        <f t="shared" si="127"/>
        <v>92.563157894736847</v>
      </c>
      <c r="Q349" s="305">
        <f t="shared" si="127"/>
        <v>126</v>
      </c>
      <c r="R349" s="305">
        <f t="shared" si="127"/>
        <v>129</v>
      </c>
      <c r="U349" s="305">
        <v>315</v>
      </c>
      <c r="V349" s="305">
        <f t="shared" ref="V349:AA349" si="128">V345+V346-V348+V347</f>
        <v>108.34210526315789</v>
      </c>
      <c r="W349" s="305">
        <f t="shared" si="128"/>
        <v>108.96842105263158</v>
      </c>
      <c r="X349" s="305">
        <f t="shared" si="128"/>
        <v>109.59473684210526</v>
      </c>
      <c r="Y349" s="305">
        <f t="shared" si="128"/>
        <v>77.784210526315789</v>
      </c>
      <c r="Z349" s="305">
        <f t="shared" si="128"/>
        <v>115.36315789473684</v>
      </c>
      <c r="AA349" s="305">
        <f t="shared" si="128"/>
        <v>118.36315789473684</v>
      </c>
      <c r="AD349" s="305">
        <v>315</v>
      </c>
      <c r="AE349" s="305">
        <f t="shared" ref="AE349:AJ349" si="129">AE345+AE346-AE348+AE347</f>
        <v>82.28947368421052</v>
      </c>
      <c r="AF349" s="305">
        <f t="shared" si="129"/>
        <v>82.915789473684214</v>
      </c>
      <c r="AG349" s="305">
        <f t="shared" si="129"/>
        <v>83.542105263157893</v>
      </c>
      <c r="AH349" s="305">
        <f t="shared" si="129"/>
        <v>59.621052631578948</v>
      </c>
      <c r="AI349" s="305">
        <f t="shared" si="129"/>
        <v>87.805263157894743</v>
      </c>
      <c r="AJ349" s="305">
        <f t="shared" si="129"/>
        <v>89.805263157894743</v>
      </c>
    </row>
    <row r="350" spans="2:36" x14ac:dyDescent="0.25">
      <c r="B350" s="476"/>
      <c r="C350" s="305">
        <v>316</v>
      </c>
      <c r="D350" s="305">
        <f t="shared" ref="D350:I350" si="130">MIN(D349,190)</f>
        <v>82.28947368421052</v>
      </c>
      <c r="E350" s="305">
        <f t="shared" si="130"/>
        <v>82.915789473684214</v>
      </c>
      <c r="F350" s="305">
        <f t="shared" si="130"/>
        <v>83.542105263157893</v>
      </c>
      <c r="G350" s="305">
        <f t="shared" si="130"/>
        <v>59.621052631578948</v>
      </c>
      <c r="H350" s="305">
        <f t="shared" si="130"/>
        <v>87.805263157894743</v>
      </c>
      <c r="I350" s="305">
        <f t="shared" si="130"/>
        <v>89.805263157894743</v>
      </c>
      <c r="L350" s="305">
        <v>316</v>
      </c>
      <c r="M350" s="305">
        <f t="shared" ref="M350:R350" si="131">MIN(M349,190)</f>
        <v>125</v>
      </c>
      <c r="N350" s="305">
        <f t="shared" si="131"/>
        <v>126</v>
      </c>
      <c r="O350" s="305">
        <f t="shared" si="131"/>
        <v>125</v>
      </c>
      <c r="P350" s="305">
        <f t="shared" si="131"/>
        <v>92.563157894736847</v>
      </c>
      <c r="Q350" s="305">
        <f t="shared" si="131"/>
        <v>126</v>
      </c>
      <c r="R350" s="305">
        <f t="shared" si="131"/>
        <v>129</v>
      </c>
      <c r="U350" s="305">
        <v>316</v>
      </c>
      <c r="V350" s="305">
        <f t="shared" ref="V350:AA350" si="132">MIN(V349,190)</f>
        <v>108.34210526315789</v>
      </c>
      <c r="W350" s="305">
        <f t="shared" si="132"/>
        <v>108.96842105263158</v>
      </c>
      <c r="X350" s="305">
        <f t="shared" si="132"/>
        <v>109.59473684210526</v>
      </c>
      <c r="Y350" s="305">
        <f t="shared" si="132"/>
        <v>77.784210526315789</v>
      </c>
      <c r="Z350" s="305">
        <f t="shared" si="132"/>
        <v>115.36315789473684</v>
      </c>
      <c r="AA350" s="305">
        <f t="shared" si="132"/>
        <v>118.36315789473684</v>
      </c>
      <c r="AD350" s="305">
        <v>316</v>
      </c>
      <c r="AE350" s="305">
        <f t="shared" ref="AE350:AJ350" si="133">MIN(AE349,190)</f>
        <v>82.28947368421052</v>
      </c>
      <c r="AF350" s="305">
        <f t="shared" si="133"/>
        <v>82.915789473684214</v>
      </c>
      <c r="AG350" s="305">
        <f t="shared" si="133"/>
        <v>83.542105263157893</v>
      </c>
      <c r="AH350" s="305">
        <f t="shared" si="133"/>
        <v>59.621052631578948</v>
      </c>
      <c r="AI350" s="305">
        <f t="shared" si="133"/>
        <v>87.805263157894743</v>
      </c>
      <c r="AJ350" s="305">
        <f t="shared" si="133"/>
        <v>89.805263157894743</v>
      </c>
    </row>
    <row r="351" spans="2:36" x14ac:dyDescent="0.25">
      <c r="B351" s="476"/>
      <c r="C351" s="305">
        <v>304</v>
      </c>
      <c r="D351" s="305">
        <f t="shared" ref="D351:I351" si="134">D350-D349</f>
        <v>0</v>
      </c>
      <c r="E351" s="305">
        <f t="shared" si="134"/>
        <v>0</v>
      </c>
      <c r="F351" s="305">
        <f t="shared" si="134"/>
        <v>0</v>
      </c>
      <c r="G351" s="305">
        <f t="shared" si="134"/>
        <v>0</v>
      </c>
      <c r="H351" s="305">
        <f t="shared" si="134"/>
        <v>0</v>
      </c>
      <c r="I351" s="305">
        <f t="shared" si="134"/>
        <v>0</v>
      </c>
      <c r="L351" s="305">
        <v>304</v>
      </c>
      <c r="M351" s="305">
        <f t="shared" ref="M351:R351" si="135">M350-M349</f>
        <v>0</v>
      </c>
      <c r="N351" s="305">
        <f t="shared" si="135"/>
        <v>0</v>
      </c>
      <c r="O351" s="305">
        <f t="shared" si="135"/>
        <v>0</v>
      </c>
      <c r="P351" s="305">
        <f t="shared" si="135"/>
        <v>0</v>
      </c>
      <c r="Q351" s="305">
        <f t="shared" si="135"/>
        <v>0</v>
      </c>
      <c r="R351" s="305">
        <f t="shared" si="135"/>
        <v>0</v>
      </c>
      <c r="U351" s="305">
        <v>304</v>
      </c>
      <c r="V351" s="305">
        <f t="shared" ref="V351:AA351" si="136">V350-V349</f>
        <v>0</v>
      </c>
      <c r="W351" s="305">
        <f t="shared" si="136"/>
        <v>0</v>
      </c>
      <c r="X351" s="305">
        <f t="shared" si="136"/>
        <v>0</v>
      </c>
      <c r="Y351" s="305">
        <f t="shared" si="136"/>
        <v>0</v>
      </c>
      <c r="Z351" s="305">
        <f t="shared" si="136"/>
        <v>0</v>
      </c>
      <c r="AA351" s="305">
        <f t="shared" si="136"/>
        <v>0</v>
      </c>
      <c r="AD351" s="305">
        <v>304</v>
      </c>
      <c r="AE351" s="305">
        <f t="shared" ref="AE351:AJ351" si="137">AE350-AE349</f>
        <v>0</v>
      </c>
      <c r="AF351" s="305">
        <f t="shared" si="137"/>
        <v>0</v>
      </c>
      <c r="AG351" s="305">
        <f t="shared" si="137"/>
        <v>0</v>
      </c>
      <c r="AH351" s="305">
        <f t="shared" si="137"/>
        <v>0</v>
      </c>
      <c r="AI351" s="305">
        <f t="shared" si="137"/>
        <v>0</v>
      </c>
      <c r="AJ351" s="305">
        <f t="shared" si="137"/>
        <v>0</v>
      </c>
    </row>
    <row r="352" spans="2:36" x14ac:dyDescent="0.25">
      <c r="B352" s="476"/>
      <c r="C352" s="305">
        <v>127</v>
      </c>
      <c r="D352" s="305">
        <f t="shared" ref="D352:I352" si="138">VLOOKUP(129,$C:$AJ,COLUMN()-COLUMN($D348)+2,0)-D345-VLOOKUP(203,$C:$AJ,COLUMN()-COLUMN($D348)+2,0)+D351</f>
        <v>165.71052631578948</v>
      </c>
      <c r="E352" s="305">
        <f t="shared" si="138"/>
        <v>164.08421052631579</v>
      </c>
      <c r="F352" s="305">
        <f t="shared" si="138"/>
        <v>170.45789473684209</v>
      </c>
      <c r="G352" s="305">
        <f t="shared" si="138"/>
        <v>174.37894736842105</v>
      </c>
      <c r="H352" s="305">
        <f t="shared" si="138"/>
        <v>161.19473684210527</v>
      </c>
      <c r="I352" s="305">
        <f t="shared" si="138"/>
        <v>139.19473684210527</v>
      </c>
      <c r="L352" s="305">
        <v>127</v>
      </c>
      <c r="M352" s="305">
        <f t="shared" ref="M352:R352" si="139">VLOOKUP(129,$C:$AJ,COLUMN()-COLUMN($D348)+2,0)-M345-VLOOKUP(203,$C:$AJ,COLUMN()-COLUMN($D348)+2,0)+M351</f>
        <v>260</v>
      </c>
      <c r="N352" s="305">
        <f t="shared" si="139"/>
        <v>258</v>
      </c>
      <c r="O352" s="305">
        <f t="shared" si="139"/>
        <v>269</v>
      </c>
      <c r="P352" s="305">
        <f t="shared" si="139"/>
        <v>270.43684210526317</v>
      </c>
      <c r="Q352" s="305">
        <f t="shared" si="139"/>
        <v>261</v>
      </c>
      <c r="R352" s="305">
        <f t="shared" si="139"/>
        <v>226</v>
      </c>
      <c r="U352" s="305">
        <v>127</v>
      </c>
      <c r="V352" s="305">
        <f t="shared" ref="V352:AA352" si="140">VLOOKUP(129,$C:$AJ,COLUMN()-COLUMN($D348)+2,0)-V345-VLOOKUP(203,$C:$AJ,COLUMN()-COLUMN($D348)+2,0)+V351</f>
        <v>218.65789473684211</v>
      </c>
      <c r="W352" s="305">
        <f t="shared" si="140"/>
        <v>217.03157894736842</v>
      </c>
      <c r="X352" s="305">
        <f t="shared" si="140"/>
        <v>225.40526315789475</v>
      </c>
      <c r="Y352" s="305">
        <f t="shared" si="140"/>
        <v>230.2157894736842</v>
      </c>
      <c r="Z352" s="305">
        <f t="shared" si="140"/>
        <v>212.63684210526316</v>
      </c>
      <c r="AA352" s="305">
        <f t="shared" si="140"/>
        <v>183.63684210526316</v>
      </c>
      <c r="AD352" s="305">
        <v>127</v>
      </c>
      <c r="AE352" s="305">
        <f t="shared" ref="AE352:AJ352" si="141">VLOOKUP(129,$C:$AJ,COLUMN()-COLUMN($D348)+2,0)-AE345-VLOOKUP(203,$C:$AJ,COLUMN()-COLUMN($D348)+2,0)+AE351</f>
        <v>165.71052631578948</v>
      </c>
      <c r="AF352" s="305">
        <f t="shared" si="141"/>
        <v>164.08421052631579</v>
      </c>
      <c r="AG352" s="305">
        <f t="shared" si="141"/>
        <v>170.45789473684209</v>
      </c>
      <c r="AH352" s="305">
        <f t="shared" si="141"/>
        <v>174.37894736842105</v>
      </c>
      <c r="AI352" s="305">
        <f t="shared" si="141"/>
        <v>161.19473684210527</v>
      </c>
      <c r="AJ352" s="305">
        <f t="shared" si="141"/>
        <v>139.19473684210527</v>
      </c>
    </row>
    <row r="353" spans="2:36" x14ac:dyDescent="0.25">
      <c r="B353" s="476"/>
      <c r="C353" s="305">
        <v>132</v>
      </c>
      <c r="D353" s="305">
        <f t="shared" ref="D353:I353" si="142">VLOOKUP(202,$C:$AJ,COLUMN()-COLUMN($D322)+2,0)+MIN(D348,25)</f>
        <v>7</v>
      </c>
      <c r="E353" s="305">
        <f t="shared" si="142"/>
        <v>8</v>
      </c>
      <c r="F353" s="305">
        <f t="shared" si="142"/>
        <v>7</v>
      </c>
      <c r="G353" s="305">
        <f t="shared" si="142"/>
        <v>7</v>
      </c>
      <c r="H353" s="305">
        <f t="shared" si="142"/>
        <v>6</v>
      </c>
      <c r="I353" s="305">
        <f t="shared" si="142"/>
        <v>7</v>
      </c>
      <c r="L353" s="305">
        <v>132</v>
      </c>
      <c r="M353" s="305">
        <f t="shared" ref="M353:R353" si="143">VLOOKUP(202,$C:$AJ,COLUMN()-COLUMN($D322)+2,0)+MIN(M348,25)</f>
        <v>11</v>
      </c>
      <c r="N353" s="305">
        <f t="shared" si="143"/>
        <v>12</v>
      </c>
      <c r="O353" s="305">
        <f t="shared" si="143"/>
        <v>11</v>
      </c>
      <c r="P353" s="305">
        <f t="shared" si="143"/>
        <v>11</v>
      </c>
      <c r="Q353" s="305">
        <f t="shared" si="143"/>
        <v>10</v>
      </c>
      <c r="R353" s="305">
        <f t="shared" si="143"/>
        <v>11</v>
      </c>
      <c r="U353" s="305">
        <v>132</v>
      </c>
      <c r="V353" s="305">
        <f t="shared" ref="V353:AA353" si="144">VLOOKUP(202,$C:$AJ,COLUMN()-COLUMN($D322)+2,0)+MIN(V348,25)</f>
        <v>10</v>
      </c>
      <c r="W353" s="305">
        <f t="shared" si="144"/>
        <v>11</v>
      </c>
      <c r="X353" s="305">
        <f t="shared" si="144"/>
        <v>10</v>
      </c>
      <c r="Y353" s="305">
        <f t="shared" si="144"/>
        <v>10</v>
      </c>
      <c r="Z353" s="305">
        <f t="shared" si="144"/>
        <v>8</v>
      </c>
      <c r="AA353" s="305">
        <f t="shared" si="144"/>
        <v>10</v>
      </c>
      <c r="AD353" s="305">
        <v>132</v>
      </c>
      <c r="AE353" s="305">
        <f t="shared" ref="AE353:AJ353" si="145">VLOOKUP(202,$C:$AJ,COLUMN()-COLUMN($D322)+2,0)+MIN(AE348,25)</f>
        <v>7</v>
      </c>
      <c r="AF353" s="305">
        <f t="shared" si="145"/>
        <v>8</v>
      </c>
      <c r="AG353" s="305">
        <f t="shared" si="145"/>
        <v>7</v>
      </c>
      <c r="AH353" s="305">
        <f t="shared" si="145"/>
        <v>7</v>
      </c>
      <c r="AI353" s="305">
        <f t="shared" si="145"/>
        <v>6</v>
      </c>
      <c r="AJ353" s="305">
        <f t="shared" si="145"/>
        <v>7</v>
      </c>
    </row>
    <row r="354" spans="2:36" x14ac:dyDescent="0.25">
      <c r="B354" s="476"/>
      <c r="C354" s="305">
        <v>75</v>
      </c>
      <c r="D354" s="305">
        <f t="shared" ref="D354:I354" si="146">VLOOKUP(76,$C:$AJ,COLUMN()-COLUMN($D322)+2,FALSE)+MIN(VLOOKUP(73,$C:$AJ,COLUMN()-COLUMN($D322)+2,FALSE)-10,173.5)</f>
        <v>1314</v>
      </c>
      <c r="E354" s="305">
        <f t="shared" si="146"/>
        <v>1386.5</v>
      </c>
      <c r="F354" s="305">
        <f t="shared" si="146"/>
        <v>1077</v>
      </c>
      <c r="G354" s="305">
        <f t="shared" si="146"/>
        <v>806</v>
      </c>
      <c r="H354" s="305">
        <f t="shared" si="146"/>
        <v>629</v>
      </c>
      <c r="I354" s="305">
        <f t="shared" si="146"/>
        <v>542</v>
      </c>
      <c r="L354" s="305">
        <v>75</v>
      </c>
      <c r="M354" s="305">
        <f t="shared" ref="M354:R354" si="147">VLOOKUP(76,$C:$AJ,COLUMN()-COLUMN($D322)+2,FALSE)+MIN(VLOOKUP(73,$C:$AJ,COLUMN()-COLUMN($D322)+2,FALSE)-10,173.5)</f>
        <v>1051</v>
      </c>
      <c r="N354" s="305">
        <f t="shared" si="147"/>
        <v>1145.5</v>
      </c>
      <c r="O354" s="305">
        <f t="shared" si="147"/>
        <v>862</v>
      </c>
      <c r="P354" s="305">
        <f t="shared" si="147"/>
        <v>645</v>
      </c>
      <c r="Q354" s="305">
        <f t="shared" si="147"/>
        <v>503</v>
      </c>
      <c r="R354" s="305">
        <f t="shared" si="147"/>
        <v>432</v>
      </c>
      <c r="U354" s="305">
        <v>75</v>
      </c>
      <c r="V354" s="305">
        <f t="shared" ref="V354:AA354" si="148">VLOOKUP(76,$C:$AJ,COLUMN()-COLUMN($D322)+2,FALSE)+MIN(VLOOKUP(73,$C:$AJ,COLUMN()-COLUMN($D322)+2,FALSE)-10,173.5)</f>
        <v>1051</v>
      </c>
      <c r="W354" s="305">
        <f t="shared" si="148"/>
        <v>1145.5</v>
      </c>
      <c r="X354" s="305">
        <f t="shared" si="148"/>
        <v>862</v>
      </c>
      <c r="Y354" s="305">
        <f t="shared" si="148"/>
        <v>645</v>
      </c>
      <c r="Z354" s="305">
        <f t="shared" si="148"/>
        <v>503</v>
      </c>
      <c r="AA354" s="305">
        <f t="shared" si="148"/>
        <v>432</v>
      </c>
      <c r="AD354" s="305">
        <v>75</v>
      </c>
      <c r="AE354" s="305">
        <f t="shared" ref="AE354:AJ354" si="149">VLOOKUP(76,$C:$AJ,COLUMN()-COLUMN($D322)+2,FALSE)+MIN(VLOOKUP(73,$C:$AJ,COLUMN()-COLUMN($D322)+2,FALSE)-10,173.5)</f>
        <v>1314</v>
      </c>
      <c r="AF354" s="305">
        <f t="shared" si="149"/>
        <v>1386.5</v>
      </c>
      <c r="AG354" s="305">
        <f t="shared" si="149"/>
        <v>1077</v>
      </c>
      <c r="AH354" s="305">
        <f t="shared" si="149"/>
        <v>806</v>
      </c>
      <c r="AI354" s="305">
        <f t="shared" si="149"/>
        <v>629</v>
      </c>
      <c r="AJ354" s="305">
        <f t="shared" si="149"/>
        <v>542</v>
      </c>
    </row>
    <row r="355" spans="2:36" x14ac:dyDescent="0.25">
      <c r="B355" s="476"/>
      <c r="C355" s="305"/>
      <c r="D355" s="305"/>
      <c r="E355" s="305"/>
      <c r="F355" s="305"/>
      <c r="G355" s="305"/>
      <c r="H355" s="305"/>
      <c r="I355" s="305"/>
      <c r="L355" s="305"/>
      <c r="M355" s="305"/>
      <c r="N355" s="305"/>
      <c r="O355" s="305"/>
      <c r="P355" s="305"/>
      <c r="Q355" s="305"/>
      <c r="R355" s="305"/>
      <c r="U355" s="305"/>
      <c r="V355" s="305"/>
      <c r="W355" s="305"/>
      <c r="X355" s="305"/>
      <c r="Y355" s="305"/>
      <c r="Z355" s="305"/>
      <c r="AA355" s="305"/>
      <c r="AD355" s="305"/>
      <c r="AE355" s="305"/>
      <c r="AF355" s="305"/>
      <c r="AG355" s="305"/>
      <c r="AH355" s="305"/>
      <c r="AI355" s="305"/>
      <c r="AJ355" s="305"/>
    </row>
    <row r="356" spans="2:36" x14ac:dyDescent="0.25">
      <c r="B356" s="476"/>
      <c r="C356" s="305"/>
      <c r="D356" s="305"/>
      <c r="E356" s="305"/>
      <c r="F356" s="305"/>
      <c r="G356" s="305"/>
      <c r="H356" s="305"/>
      <c r="I356" s="305"/>
      <c r="L356" s="305"/>
      <c r="M356" s="305"/>
      <c r="N356" s="305"/>
      <c r="O356" s="305"/>
      <c r="P356" s="305"/>
      <c r="Q356" s="305"/>
      <c r="R356" s="305"/>
      <c r="U356" s="305"/>
      <c r="V356" s="305"/>
      <c r="W356" s="305"/>
      <c r="X356" s="305"/>
      <c r="Y356" s="305"/>
      <c r="Z356" s="305"/>
      <c r="AA356" s="305"/>
      <c r="AD356" s="305"/>
      <c r="AE356" s="305"/>
      <c r="AF356" s="305"/>
      <c r="AG356" s="305"/>
      <c r="AH356" s="305"/>
      <c r="AI356" s="305"/>
      <c r="AJ356" s="305"/>
    </row>
    <row r="357" spans="2:36" x14ac:dyDescent="0.25">
      <c r="B357" s="476"/>
      <c r="C357" s="305"/>
      <c r="D357" s="305"/>
      <c r="E357" s="305"/>
      <c r="F357" s="305"/>
      <c r="G357" s="305"/>
      <c r="H357" s="305"/>
      <c r="I357" s="305"/>
      <c r="L357" s="305"/>
      <c r="M357" s="305"/>
      <c r="N357" s="305"/>
      <c r="O357" s="305"/>
      <c r="P357" s="305"/>
      <c r="Q357" s="305"/>
      <c r="R357" s="305"/>
      <c r="U357" s="305"/>
      <c r="V357" s="305"/>
      <c r="W357" s="305"/>
      <c r="X357" s="305"/>
      <c r="Y357" s="305"/>
      <c r="Z357" s="305"/>
      <c r="AA357" s="305"/>
      <c r="AD357" s="305"/>
      <c r="AE357" s="305"/>
      <c r="AF357" s="305"/>
      <c r="AG357" s="305"/>
      <c r="AH357" s="305"/>
      <c r="AI357" s="305"/>
      <c r="AJ357" s="305"/>
    </row>
    <row r="358" spans="2:36" x14ac:dyDescent="0.25">
      <c r="B358" s="476"/>
      <c r="C358" s="305"/>
      <c r="D358" s="305"/>
      <c r="E358" s="305"/>
      <c r="F358" s="305"/>
      <c r="G358" s="305"/>
      <c r="H358" s="305"/>
      <c r="I358" s="305"/>
      <c r="L358" s="305"/>
      <c r="M358" s="305"/>
      <c r="N358" s="305"/>
      <c r="O358" s="305"/>
      <c r="P358" s="305"/>
      <c r="Q358" s="305"/>
      <c r="R358" s="305"/>
      <c r="U358" s="305"/>
      <c r="V358" s="305"/>
      <c r="W358" s="305"/>
      <c r="X358" s="305"/>
      <c r="Y358" s="305"/>
      <c r="Z358" s="305"/>
      <c r="AA358" s="305"/>
      <c r="AD358" s="305"/>
      <c r="AE358" s="305"/>
      <c r="AF358" s="305"/>
      <c r="AG358" s="305"/>
      <c r="AH358" s="305"/>
      <c r="AI358" s="305"/>
      <c r="AJ358" s="305"/>
    </row>
    <row r="359" spans="2:36" x14ac:dyDescent="0.25">
      <c r="B359" s="476"/>
      <c r="C359" s="305"/>
      <c r="D359" s="305"/>
      <c r="E359" s="305"/>
      <c r="F359" s="305"/>
      <c r="G359" s="305"/>
      <c r="H359" s="305"/>
      <c r="I359" s="305"/>
      <c r="L359" s="305"/>
      <c r="M359" s="305"/>
      <c r="N359" s="305"/>
      <c r="O359" s="305"/>
      <c r="P359" s="305"/>
      <c r="Q359" s="305"/>
      <c r="R359" s="305"/>
      <c r="U359" s="305"/>
      <c r="V359" s="305"/>
      <c r="W359" s="305"/>
      <c r="X359" s="305"/>
      <c r="Y359" s="305"/>
      <c r="Z359" s="305"/>
      <c r="AA359" s="305"/>
      <c r="AD359" s="305"/>
      <c r="AE359" s="305"/>
      <c r="AF359" s="305"/>
      <c r="AG359" s="305"/>
      <c r="AH359" s="305"/>
      <c r="AI359" s="305"/>
      <c r="AJ359" s="305"/>
    </row>
    <row r="360" spans="2:36" x14ac:dyDescent="0.25">
      <c r="B360" s="476"/>
      <c r="C360" s="305"/>
      <c r="D360" s="305"/>
      <c r="E360" s="305"/>
      <c r="F360" s="305"/>
      <c r="G360" s="305"/>
      <c r="H360" s="305"/>
      <c r="I360" s="305"/>
      <c r="L360" s="305"/>
      <c r="M360" s="305"/>
      <c r="N360" s="305"/>
      <c r="O360" s="305"/>
      <c r="P360" s="305"/>
      <c r="Q360" s="305"/>
      <c r="R360" s="305"/>
      <c r="U360" s="305"/>
      <c r="V360" s="305"/>
      <c r="W360" s="305"/>
      <c r="X360" s="305"/>
      <c r="Y360" s="305"/>
      <c r="Z360" s="305"/>
      <c r="AA360" s="305"/>
      <c r="AD360" s="305"/>
      <c r="AE360" s="305"/>
      <c r="AF360" s="305"/>
      <c r="AG360" s="305"/>
      <c r="AH360" s="305"/>
      <c r="AI360" s="305"/>
      <c r="AJ360" s="305"/>
    </row>
    <row r="361" spans="2:36" x14ac:dyDescent="0.25">
      <c r="B361" s="476"/>
      <c r="C361" s="305"/>
      <c r="D361" s="305"/>
      <c r="E361" s="305"/>
      <c r="F361" s="305"/>
      <c r="G361" s="305"/>
      <c r="H361" s="305"/>
      <c r="I361" s="305"/>
      <c r="L361" s="305"/>
      <c r="M361" s="305"/>
      <c r="N361" s="305"/>
      <c r="O361" s="305"/>
      <c r="P361" s="305"/>
      <c r="Q361" s="305"/>
      <c r="R361" s="305"/>
      <c r="U361" s="305"/>
      <c r="V361" s="305"/>
      <c r="W361" s="305"/>
      <c r="X361" s="305"/>
      <c r="Y361" s="305"/>
      <c r="Z361" s="305"/>
      <c r="AA361" s="305"/>
      <c r="AD361" s="305"/>
      <c r="AE361" s="305"/>
      <c r="AF361" s="305"/>
      <c r="AG361" s="305"/>
      <c r="AH361" s="305"/>
      <c r="AI361" s="305"/>
      <c r="AJ361" s="305"/>
    </row>
    <row r="362" spans="2:36" x14ac:dyDescent="0.25">
      <c r="B362" s="476"/>
      <c r="C362" s="305"/>
      <c r="D362" s="305"/>
      <c r="E362" s="305"/>
      <c r="F362" s="305"/>
      <c r="G362" s="305"/>
      <c r="H362" s="305"/>
      <c r="I362" s="305"/>
      <c r="L362" s="305"/>
      <c r="M362" s="305"/>
      <c r="N362" s="305"/>
      <c r="O362" s="305"/>
      <c r="P362" s="305"/>
      <c r="Q362" s="305"/>
      <c r="R362" s="305"/>
      <c r="U362" s="305"/>
      <c r="V362" s="305"/>
      <c r="W362" s="305"/>
      <c r="X362" s="305"/>
      <c r="Y362" s="305"/>
      <c r="Z362" s="305"/>
      <c r="AA362" s="305"/>
      <c r="AD362" s="305"/>
      <c r="AE362" s="305"/>
      <c r="AF362" s="305"/>
      <c r="AG362" s="305"/>
      <c r="AH362" s="305"/>
      <c r="AI362" s="305"/>
      <c r="AJ362" s="305"/>
    </row>
    <row r="363" spans="2:36" x14ac:dyDescent="0.25">
      <c r="B363" s="476"/>
      <c r="C363" s="305"/>
      <c r="D363" s="305"/>
      <c r="E363" s="305"/>
      <c r="F363" s="305"/>
      <c r="G363" s="305"/>
      <c r="H363" s="305"/>
      <c r="I363" s="305"/>
      <c r="L363" s="305"/>
      <c r="M363" s="305"/>
      <c r="N363" s="305"/>
      <c r="O363" s="305"/>
      <c r="P363" s="305"/>
      <c r="Q363" s="305"/>
      <c r="R363" s="305"/>
      <c r="U363" s="305"/>
      <c r="V363" s="305"/>
      <c r="W363" s="305"/>
      <c r="X363" s="305"/>
      <c r="Y363" s="305"/>
      <c r="Z363" s="305"/>
      <c r="AA363" s="305"/>
      <c r="AD363" s="305"/>
      <c r="AE363" s="305"/>
      <c r="AF363" s="305"/>
      <c r="AG363" s="305"/>
      <c r="AH363" s="305"/>
      <c r="AI363" s="305"/>
      <c r="AJ363" s="305"/>
    </row>
    <row r="364" spans="2:36" x14ac:dyDescent="0.25">
      <c r="B364" s="476"/>
      <c r="C364" s="305"/>
      <c r="D364" s="305"/>
      <c r="E364" s="305"/>
      <c r="F364" s="305"/>
      <c r="G364" s="305"/>
      <c r="H364" s="305"/>
      <c r="I364" s="305"/>
      <c r="L364" s="305"/>
      <c r="M364" s="305"/>
      <c r="N364" s="305"/>
      <c r="O364" s="305"/>
      <c r="P364" s="305"/>
      <c r="Q364" s="305"/>
      <c r="R364" s="305"/>
      <c r="U364" s="305"/>
      <c r="V364" s="305"/>
      <c r="W364" s="305"/>
      <c r="X364" s="305"/>
      <c r="Y364" s="305"/>
      <c r="Z364" s="305"/>
      <c r="AA364" s="305"/>
      <c r="AD364" s="305"/>
      <c r="AE364" s="305"/>
      <c r="AF364" s="305"/>
      <c r="AG364" s="305"/>
      <c r="AH364" s="305"/>
      <c r="AI364" s="305"/>
      <c r="AJ364" s="305"/>
    </row>
    <row r="365" spans="2:36" x14ac:dyDescent="0.25">
      <c r="B365" s="476"/>
      <c r="C365" s="305"/>
      <c r="D365" s="305"/>
      <c r="E365" s="305"/>
      <c r="F365" s="305"/>
      <c r="G365" s="305"/>
      <c r="H365" s="305"/>
      <c r="I365" s="305"/>
      <c r="L365" s="305"/>
      <c r="M365" s="305"/>
      <c r="N365" s="305"/>
      <c r="O365" s="305"/>
      <c r="P365" s="305"/>
      <c r="Q365" s="305"/>
      <c r="R365" s="305"/>
      <c r="U365" s="305"/>
      <c r="V365" s="305"/>
      <c r="W365" s="305"/>
      <c r="X365" s="305"/>
      <c r="Y365" s="305"/>
      <c r="Z365" s="305"/>
      <c r="AA365" s="305"/>
      <c r="AD365" s="305"/>
      <c r="AE365" s="305"/>
      <c r="AF365" s="305"/>
      <c r="AG365" s="305"/>
      <c r="AH365" s="305"/>
      <c r="AI365" s="305"/>
      <c r="AJ365" s="305"/>
    </row>
    <row r="366" spans="2:36" x14ac:dyDescent="0.25">
      <c r="B366" s="476"/>
      <c r="C366" s="305"/>
      <c r="D366" s="305"/>
      <c r="E366" s="305"/>
      <c r="F366" s="305"/>
      <c r="G366" s="305"/>
      <c r="H366" s="305"/>
      <c r="I366" s="305"/>
      <c r="L366" s="305"/>
      <c r="M366" s="305"/>
      <c r="N366" s="305"/>
      <c r="O366" s="305"/>
      <c r="P366" s="305"/>
      <c r="Q366" s="305"/>
      <c r="R366" s="305"/>
      <c r="U366" s="305"/>
      <c r="V366" s="305"/>
      <c r="W366" s="305"/>
      <c r="X366" s="305"/>
      <c r="Y366" s="305"/>
      <c r="Z366" s="305"/>
      <c r="AA366" s="305"/>
      <c r="AD366" s="305"/>
      <c r="AE366" s="305"/>
      <c r="AF366" s="305"/>
      <c r="AG366" s="305"/>
      <c r="AH366" s="305"/>
      <c r="AI366" s="305"/>
      <c r="AJ366" s="305"/>
    </row>
    <row r="367" spans="2:36" x14ac:dyDescent="0.25">
      <c r="B367" s="476"/>
      <c r="C367" s="305"/>
      <c r="D367" s="305"/>
      <c r="E367" s="305"/>
      <c r="F367" s="305"/>
      <c r="G367" s="305"/>
      <c r="H367" s="305"/>
      <c r="I367" s="305"/>
      <c r="L367" s="305"/>
      <c r="M367" s="305"/>
      <c r="N367" s="305"/>
      <c r="O367" s="305"/>
      <c r="P367" s="305"/>
      <c r="Q367" s="305"/>
      <c r="R367" s="305"/>
      <c r="U367" s="305"/>
      <c r="V367" s="305"/>
      <c r="W367" s="305"/>
      <c r="X367" s="305"/>
      <c r="Y367" s="305"/>
      <c r="Z367" s="305"/>
      <c r="AA367" s="305"/>
      <c r="AD367" s="305"/>
      <c r="AE367" s="305"/>
      <c r="AF367" s="305"/>
      <c r="AG367" s="305"/>
      <c r="AH367" s="305"/>
      <c r="AI367" s="305"/>
      <c r="AJ367" s="305"/>
    </row>
    <row r="368" spans="2:36" x14ac:dyDescent="0.25">
      <c r="B368" s="476"/>
      <c r="C368" s="305"/>
      <c r="D368" s="305"/>
      <c r="E368" s="305"/>
      <c r="F368" s="305"/>
      <c r="G368" s="305"/>
      <c r="H368" s="305"/>
      <c r="I368" s="305"/>
      <c r="L368" s="305"/>
      <c r="M368" s="305"/>
      <c r="N368" s="305"/>
      <c r="O368" s="305"/>
      <c r="P368" s="305"/>
      <c r="Q368" s="305"/>
      <c r="R368" s="305"/>
      <c r="U368" s="305"/>
      <c r="V368" s="305"/>
      <c r="W368" s="305"/>
      <c r="X368" s="305"/>
      <c r="Y368" s="305"/>
      <c r="Z368" s="305"/>
      <c r="AA368" s="305"/>
      <c r="AD368" s="305"/>
      <c r="AE368" s="305"/>
      <c r="AF368" s="305"/>
      <c r="AG368" s="305"/>
      <c r="AH368" s="305"/>
      <c r="AI368" s="305"/>
      <c r="AJ368" s="305"/>
    </row>
    <row r="369" spans="2:36" x14ac:dyDescent="0.25">
      <c r="B369" s="476"/>
      <c r="C369" s="305"/>
      <c r="D369" s="305"/>
      <c r="E369" s="305"/>
      <c r="F369" s="305"/>
      <c r="G369" s="305"/>
      <c r="H369" s="305"/>
      <c r="I369" s="305"/>
      <c r="L369" s="305"/>
      <c r="M369" s="305"/>
      <c r="N369" s="305"/>
      <c r="O369" s="305"/>
      <c r="P369" s="305"/>
      <c r="Q369" s="305"/>
      <c r="R369" s="305"/>
      <c r="U369" s="305"/>
      <c r="V369" s="305"/>
      <c r="W369" s="305"/>
      <c r="X369" s="305"/>
      <c r="Y369" s="305"/>
      <c r="Z369" s="305"/>
      <c r="AA369" s="305"/>
      <c r="AD369" s="305"/>
      <c r="AE369" s="305"/>
      <c r="AF369" s="305"/>
      <c r="AG369" s="305"/>
      <c r="AH369" s="305"/>
      <c r="AI369" s="305"/>
      <c r="AJ369" s="305"/>
    </row>
    <row r="370" spans="2:36" x14ac:dyDescent="0.25">
      <c r="B370" s="476"/>
      <c r="C370" s="305"/>
      <c r="D370" s="305"/>
      <c r="E370" s="305"/>
      <c r="F370" s="305"/>
      <c r="G370" s="305"/>
      <c r="H370" s="305"/>
      <c r="I370" s="305"/>
      <c r="L370" s="305"/>
      <c r="M370" s="305"/>
      <c r="N370" s="305"/>
      <c r="O370" s="305"/>
      <c r="P370" s="305"/>
      <c r="Q370" s="305"/>
      <c r="R370" s="305"/>
      <c r="U370" s="305"/>
      <c r="V370" s="305"/>
      <c r="W370" s="305"/>
      <c r="X370" s="305"/>
      <c r="Y370" s="305"/>
      <c r="Z370" s="305"/>
      <c r="AA370" s="305"/>
      <c r="AD370" s="305"/>
      <c r="AE370" s="305"/>
      <c r="AF370" s="305"/>
      <c r="AG370" s="305"/>
      <c r="AH370" s="305"/>
      <c r="AI370" s="305"/>
      <c r="AJ370" s="305"/>
    </row>
    <row r="371" spans="2:36" x14ac:dyDescent="0.25">
      <c r="B371" s="476"/>
      <c r="C371" s="305"/>
      <c r="D371" s="305"/>
      <c r="E371" s="305"/>
      <c r="F371" s="305"/>
      <c r="G371" s="305"/>
      <c r="H371" s="305"/>
      <c r="I371" s="305"/>
      <c r="L371" s="305"/>
      <c r="M371" s="305"/>
      <c r="N371" s="305"/>
      <c r="O371" s="305"/>
      <c r="P371" s="305"/>
      <c r="Q371" s="305"/>
      <c r="R371" s="305"/>
      <c r="U371" s="305"/>
      <c r="V371" s="305"/>
      <c r="W371" s="305"/>
      <c r="X371" s="305"/>
      <c r="Y371" s="305"/>
      <c r="Z371" s="305"/>
      <c r="AA371" s="305"/>
      <c r="AD371" s="305"/>
      <c r="AE371" s="305"/>
      <c r="AF371" s="305"/>
      <c r="AG371" s="305"/>
      <c r="AH371" s="305"/>
      <c r="AI371" s="305"/>
      <c r="AJ371" s="305"/>
    </row>
    <row r="372" spans="2:36" x14ac:dyDescent="0.25">
      <c r="B372" s="476"/>
      <c r="C372" s="305"/>
      <c r="D372" s="305"/>
      <c r="E372" s="305"/>
      <c r="F372" s="305"/>
      <c r="G372" s="305"/>
      <c r="H372" s="305"/>
      <c r="I372" s="305"/>
      <c r="L372" s="305"/>
      <c r="M372" s="305"/>
      <c r="N372" s="305"/>
      <c r="O372" s="305"/>
      <c r="P372" s="305"/>
      <c r="Q372" s="305"/>
      <c r="R372" s="305"/>
      <c r="U372" s="305"/>
      <c r="V372" s="305"/>
      <c r="W372" s="305"/>
      <c r="X372" s="305"/>
      <c r="Y372" s="305"/>
      <c r="Z372" s="305"/>
      <c r="AA372" s="305"/>
      <c r="AD372" s="305"/>
      <c r="AE372" s="305"/>
      <c r="AF372" s="305"/>
      <c r="AG372" s="305"/>
      <c r="AH372" s="305"/>
      <c r="AI372" s="305"/>
      <c r="AJ372" s="305"/>
    </row>
    <row r="373" spans="2:36" x14ac:dyDescent="0.25">
      <c r="B373" s="476"/>
      <c r="C373" s="305"/>
      <c r="D373" s="305"/>
      <c r="E373" s="305"/>
      <c r="F373" s="305"/>
      <c r="G373" s="305"/>
      <c r="H373" s="305"/>
      <c r="I373" s="305"/>
      <c r="L373" s="305"/>
      <c r="M373" s="305"/>
      <c r="N373" s="305"/>
      <c r="O373" s="305"/>
      <c r="P373" s="305"/>
      <c r="Q373" s="305"/>
      <c r="R373" s="305"/>
      <c r="U373" s="305"/>
      <c r="V373" s="305"/>
      <c r="W373" s="305"/>
      <c r="X373" s="305"/>
      <c r="Y373" s="305"/>
      <c r="Z373" s="305"/>
      <c r="AA373" s="305"/>
      <c r="AD373" s="305"/>
      <c r="AE373" s="305"/>
      <c r="AF373" s="305"/>
      <c r="AG373" s="305"/>
      <c r="AH373" s="305"/>
      <c r="AI373" s="305"/>
      <c r="AJ373" s="305"/>
    </row>
    <row r="374" spans="2:36" x14ac:dyDescent="0.25">
      <c r="B374" s="476"/>
      <c r="C374" s="305"/>
      <c r="D374" s="305"/>
      <c r="E374" s="305"/>
      <c r="F374" s="305"/>
      <c r="G374" s="305"/>
      <c r="H374" s="305"/>
      <c r="I374" s="305"/>
      <c r="L374" s="305"/>
      <c r="M374" s="305"/>
      <c r="N374" s="305"/>
      <c r="O374" s="305"/>
      <c r="P374" s="305"/>
      <c r="Q374" s="305"/>
      <c r="R374" s="305"/>
      <c r="U374" s="305"/>
      <c r="V374" s="305"/>
      <c r="W374" s="305"/>
      <c r="X374" s="305"/>
      <c r="Y374" s="305"/>
      <c r="Z374" s="305"/>
      <c r="AA374" s="305"/>
      <c r="AD374" s="305"/>
      <c r="AE374" s="305"/>
      <c r="AF374" s="305"/>
      <c r="AG374" s="305"/>
      <c r="AH374" s="305"/>
      <c r="AI374" s="305"/>
      <c r="AJ374" s="305"/>
    </row>
    <row r="375" spans="2:36" x14ac:dyDescent="0.25">
      <c r="B375" s="476"/>
      <c r="C375" s="305"/>
      <c r="D375" s="305"/>
      <c r="E375" s="305"/>
      <c r="F375" s="305"/>
      <c r="G375" s="305"/>
      <c r="H375" s="305"/>
      <c r="I375" s="305"/>
      <c r="L375" s="305"/>
      <c r="M375" s="305"/>
      <c r="N375" s="305"/>
      <c r="O375" s="305"/>
      <c r="P375" s="305"/>
      <c r="Q375" s="305"/>
      <c r="R375" s="305"/>
      <c r="U375" s="305"/>
      <c r="V375" s="305"/>
      <c r="W375" s="305"/>
      <c r="X375" s="305"/>
      <c r="Y375" s="305"/>
      <c r="Z375" s="305"/>
      <c r="AA375" s="305"/>
      <c r="AD375" s="305"/>
      <c r="AE375" s="305"/>
      <c r="AF375" s="305"/>
      <c r="AG375" s="305"/>
      <c r="AH375" s="305"/>
      <c r="AI375" s="305"/>
      <c r="AJ375" s="305"/>
    </row>
  </sheetData>
  <conditionalFormatting sqref="D2:I2">
    <cfRule type="cellIs" dxfId="8" priority="6" operator="equal">
      <formula>$E$3</formula>
    </cfRule>
  </conditionalFormatting>
  <conditionalFormatting sqref="M2:R2">
    <cfRule type="cellIs" dxfId="7" priority="3" operator="equal">
      <formula>$E$3</formula>
    </cfRule>
  </conditionalFormatting>
  <conditionalFormatting sqref="V2:AA2">
    <cfRule type="cellIs" dxfId="6" priority="2" operator="equal">
      <formula>$E$3</formula>
    </cfRule>
  </conditionalFormatting>
  <conditionalFormatting sqref="AE2:AJ2">
    <cfRule type="cellIs" dxfId="5" priority="1" operator="equal">
      <formula>$E$3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1:O375"/>
  <sheetViews>
    <sheetView workbookViewId="0"/>
  </sheetViews>
  <sheetFormatPr defaultRowHeight="15" x14ac:dyDescent="0.25"/>
  <cols>
    <col min="1" max="1" width="2.85546875" style="303" customWidth="1"/>
    <col min="2" max="9" width="13.7109375" style="304" customWidth="1"/>
    <col min="10" max="16384" width="9.140625" style="303"/>
  </cols>
  <sheetData>
    <row r="1" spans="2:15" x14ac:dyDescent="0.25">
      <c r="C1" s="303"/>
      <c r="E1" s="303"/>
      <c r="G1" s="303"/>
      <c r="I1" s="303"/>
    </row>
    <row r="2" spans="2:15" customFormat="1" x14ac:dyDescent="0.25"/>
    <row r="3" spans="2:15" customFormat="1" x14ac:dyDescent="0.25"/>
    <row r="4" spans="2:15" customFormat="1" x14ac:dyDescent="0.25"/>
    <row r="5" spans="2:15" customFormat="1" x14ac:dyDescent="0.25"/>
    <row r="6" spans="2:15" ht="15.75" x14ac:dyDescent="0.25">
      <c r="B6" s="307" t="s">
        <v>66</v>
      </c>
      <c r="C6" s="307" t="s">
        <v>67</v>
      </c>
      <c r="D6" s="300" t="s">
        <v>689</v>
      </c>
      <c r="E6" s="300" t="s">
        <v>690</v>
      </c>
      <c r="F6" s="300" t="s">
        <v>691</v>
      </c>
      <c r="G6" s="300" t="s">
        <v>692</v>
      </c>
      <c r="H6" s="300" t="s">
        <v>693</v>
      </c>
      <c r="I6" s="300" t="s">
        <v>694</v>
      </c>
      <c r="J6" s="300" t="s">
        <v>695</v>
      </c>
      <c r="K6" s="300" t="s">
        <v>696</v>
      </c>
      <c r="L6" s="300" t="s">
        <v>697</v>
      </c>
      <c r="M6" s="300" t="s">
        <v>698</v>
      </c>
      <c r="N6" s="300" t="s">
        <v>699</v>
      </c>
      <c r="O6" s="300" t="s">
        <v>700</v>
      </c>
    </row>
    <row r="7" spans="2:15" x14ac:dyDescent="0.25">
      <c r="B7" s="305">
        <v>1</v>
      </c>
      <c r="C7" s="305">
        <v>1</v>
      </c>
      <c r="D7" s="305">
        <v>254</v>
      </c>
      <c r="E7" s="305">
        <v>230</v>
      </c>
      <c r="F7" s="305">
        <v>204</v>
      </c>
      <c r="G7" s="305">
        <v>139</v>
      </c>
      <c r="H7" s="305">
        <v>105</v>
      </c>
      <c r="I7" s="305">
        <v>89</v>
      </c>
      <c r="J7" s="305">
        <v>74</v>
      </c>
      <c r="K7" s="305">
        <v>64</v>
      </c>
      <c r="L7" s="305">
        <v>67</v>
      </c>
      <c r="M7" s="305">
        <v>79</v>
      </c>
      <c r="N7" s="305">
        <v>111</v>
      </c>
      <c r="O7" s="305">
        <v>182</v>
      </c>
    </row>
    <row r="8" spans="2:15" x14ac:dyDescent="0.25">
      <c r="B8" s="305">
        <v>2</v>
      </c>
      <c r="C8" s="305">
        <v>2</v>
      </c>
      <c r="D8" s="305">
        <v>254</v>
      </c>
      <c r="E8" s="305">
        <v>230</v>
      </c>
      <c r="F8" s="305">
        <v>204</v>
      </c>
      <c r="G8" s="305">
        <v>139</v>
      </c>
      <c r="H8" s="305">
        <v>105</v>
      </c>
      <c r="I8" s="305">
        <v>89</v>
      </c>
      <c r="J8" s="305">
        <v>74</v>
      </c>
      <c r="K8" s="305">
        <v>64</v>
      </c>
      <c r="L8" s="305">
        <v>67</v>
      </c>
      <c r="M8" s="305">
        <v>79</v>
      </c>
      <c r="N8" s="305">
        <v>111</v>
      </c>
      <c r="O8" s="305">
        <v>182</v>
      </c>
    </row>
    <row r="9" spans="2:15" x14ac:dyDescent="0.25">
      <c r="B9" s="305">
        <v>3</v>
      </c>
      <c r="C9" s="305">
        <v>3</v>
      </c>
      <c r="D9" s="305">
        <v>0</v>
      </c>
      <c r="E9" s="305">
        <v>0</v>
      </c>
      <c r="F9" s="305">
        <v>0</v>
      </c>
      <c r="G9" s="305">
        <v>0</v>
      </c>
      <c r="H9" s="305">
        <v>0</v>
      </c>
      <c r="I9" s="305">
        <v>0</v>
      </c>
      <c r="J9" s="305">
        <v>0</v>
      </c>
      <c r="K9" s="305">
        <v>0</v>
      </c>
      <c r="L9" s="305">
        <v>0</v>
      </c>
      <c r="M9" s="305">
        <v>0</v>
      </c>
      <c r="N9" s="305">
        <v>0</v>
      </c>
      <c r="O9" s="305">
        <v>0</v>
      </c>
    </row>
    <row r="10" spans="2:15" x14ac:dyDescent="0.25">
      <c r="B10" s="305">
        <v>4</v>
      </c>
      <c r="C10" s="305">
        <v>4</v>
      </c>
      <c r="D10" s="305">
        <v>0</v>
      </c>
      <c r="E10" s="305">
        <v>0</v>
      </c>
      <c r="F10" s="305">
        <v>0</v>
      </c>
      <c r="G10" s="305">
        <v>0</v>
      </c>
      <c r="H10" s="305">
        <v>0</v>
      </c>
      <c r="I10" s="305">
        <v>0</v>
      </c>
      <c r="J10" s="305">
        <v>0</v>
      </c>
      <c r="K10" s="305">
        <v>0</v>
      </c>
      <c r="L10" s="305">
        <v>0</v>
      </c>
      <c r="M10" s="305">
        <v>0</v>
      </c>
      <c r="N10" s="305">
        <v>0</v>
      </c>
      <c r="O10" s="305">
        <v>0</v>
      </c>
    </row>
    <row r="11" spans="2:15" x14ac:dyDescent="0.25">
      <c r="B11" s="305">
        <v>5</v>
      </c>
      <c r="C11" s="305">
        <v>5</v>
      </c>
      <c r="D11" s="305">
        <v>0</v>
      </c>
      <c r="E11" s="305">
        <v>0</v>
      </c>
      <c r="F11" s="305">
        <v>0</v>
      </c>
      <c r="G11" s="305">
        <v>0</v>
      </c>
      <c r="H11" s="305">
        <v>0</v>
      </c>
      <c r="I11" s="305">
        <v>0</v>
      </c>
      <c r="J11" s="305">
        <v>0</v>
      </c>
      <c r="K11" s="305">
        <v>0</v>
      </c>
      <c r="L11" s="305">
        <v>0</v>
      </c>
      <c r="M11" s="305">
        <v>0</v>
      </c>
      <c r="N11" s="305">
        <v>0</v>
      </c>
      <c r="O11" s="305">
        <v>0</v>
      </c>
    </row>
    <row r="12" spans="2:15" x14ac:dyDescent="0.25">
      <c r="B12" s="305">
        <v>6</v>
      </c>
      <c r="C12" s="305">
        <v>6</v>
      </c>
      <c r="D12" s="305">
        <v>1782</v>
      </c>
      <c r="E12" s="305">
        <v>1653</v>
      </c>
      <c r="F12" s="305">
        <v>1470</v>
      </c>
      <c r="G12" s="305">
        <v>1010</v>
      </c>
      <c r="H12" s="305">
        <v>738</v>
      </c>
      <c r="I12" s="305">
        <v>616</v>
      </c>
      <c r="J12" s="305">
        <v>506</v>
      </c>
      <c r="K12" s="305">
        <v>416</v>
      </c>
      <c r="L12" s="305">
        <v>433</v>
      </c>
      <c r="M12" s="305">
        <v>511</v>
      </c>
      <c r="N12" s="305">
        <v>722</v>
      </c>
      <c r="O12" s="305">
        <v>1244</v>
      </c>
    </row>
    <row r="13" spans="2:15" x14ac:dyDescent="0.25">
      <c r="B13" s="305">
        <v>7</v>
      </c>
      <c r="C13" s="305">
        <v>7</v>
      </c>
      <c r="D13" s="305">
        <v>1986</v>
      </c>
      <c r="E13" s="305">
        <v>1860</v>
      </c>
      <c r="F13" s="305">
        <v>1656</v>
      </c>
      <c r="G13" s="305">
        <v>1139</v>
      </c>
      <c r="H13" s="305">
        <v>830</v>
      </c>
      <c r="I13" s="305">
        <v>688</v>
      </c>
      <c r="J13" s="305">
        <v>565</v>
      </c>
      <c r="K13" s="305">
        <v>464</v>
      </c>
      <c r="L13" s="305">
        <v>480</v>
      </c>
      <c r="M13" s="305">
        <v>567</v>
      </c>
      <c r="N13" s="305">
        <v>796</v>
      </c>
      <c r="O13" s="305">
        <v>1370</v>
      </c>
    </row>
    <row r="14" spans="2:15" x14ac:dyDescent="0.25">
      <c r="B14" s="305">
        <v>8</v>
      </c>
      <c r="C14" s="305">
        <v>8</v>
      </c>
      <c r="D14" s="305">
        <v>2029</v>
      </c>
      <c r="E14" s="305">
        <v>1910</v>
      </c>
      <c r="F14" s="305">
        <v>1702</v>
      </c>
      <c r="G14" s="305">
        <v>1175</v>
      </c>
      <c r="H14" s="305">
        <v>854</v>
      </c>
      <c r="I14" s="305">
        <v>707</v>
      </c>
      <c r="J14" s="305">
        <v>580</v>
      </c>
      <c r="K14" s="305">
        <v>475</v>
      </c>
      <c r="L14" s="305">
        <v>490</v>
      </c>
      <c r="M14" s="305">
        <v>578</v>
      </c>
      <c r="N14" s="305">
        <v>811</v>
      </c>
      <c r="O14" s="305">
        <v>1392</v>
      </c>
    </row>
    <row r="15" spans="2:15" x14ac:dyDescent="0.25">
      <c r="B15" s="305">
        <v>9</v>
      </c>
      <c r="C15" s="305">
        <v>9</v>
      </c>
      <c r="D15" s="305">
        <v>2046</v>
      </c>
      <c r="E15" s="305">
        <v>1932</v>
      </c>
      <c r="F15" s="305">
        <v>1722</v>
      </c>
      <c r="G15" s="305">
        <v>1192</v>
      </c>
      <c r="H15" s="305">
        <v>864</v>
      </c>
      <c r="I15" s="305">
        <v>715</v>
      </c>
      <c r="J15" s="305">
        <v>586</v>
      </c>
      <c r="K15" s="305">
        <v>480</v>
      </c>
      <c r="L15" s="305">
        <v>494</v>
      </c>
      <c r="M15" s="305">
        <v>583</v>
      </c>
      <c r="N15" s="305">
        <v>816</v>
      </c>
      <c r="O15" s="305">
        <v>1399</v>
      </c>
    </row>
    <row r="16" spans="2:15" x14ac:dyDescent="0.25">
      <c r="B16" s="305">
        <v>10</v>
      </c>
      <c r="C16" s="305">
        <v>10</v>
      </c>
      <c r="D16" s="305">
        <v>2096</v>
      </c>
      <c r="E16" s="305">
        <v>1994</v>
      </c>
      <c r="F16" s="305">
        <v>1777</v>
      </c>
      <c r="G16" s="305">
        <v>1236</v>
      </c>
      <c r="H16" s="305">
        <v>891</v>
      </c>
      <c r="I16" s="305">
        <v>736</v>
      </c>
      <c r="J16" s="305">
        <v>603</v>
      </c>
      <c r="K16" s="305">
        <v>494</v>
      </c>
      <c r="L16" s="305">
        <v>506</v>
      </c>
      <c r="M16" s="305">
        <v>596</v>
      </c>
      <c r="N16" s="305">
        <v>832</v>
      </c>
      <c r="O16" s="305">
        <v>1423</v>
      </c>
    </row>
    <row r="17" spans="2:15" x14ac:dyDescent="0.25">
      <c r="B17" s="305">
        <v>11</v>
      </c>
      <c r="C17" s="305">
        <v>11</v>
      </c>
      <c r="D17" s="305">
        <v>2210</v>
      </c>
      <c r="E17" s="305">
        <v>2123</v>
      </c>
      <c r="F17" s="305">
        <v>1895</v>
      </c>
      <c r="G17" s="305">
        <v>1328</v>
      </c>
      <c r="H17" s="305">
        <v>952</v>
      </c>
      <c r="I17" s="305">
        <v>785</v>
      </c>
      <c r="J17" s="305">
        <v>641</v>
      </c>
      <c r="K17" s="305">
        <v>524</v>
      </c>
      <c r="L17" s="305">
        <v>533</v>
      </c>
      <c r="M17" s="305">
        <v>627</v>
      </c>
      <c r="N17" s="305">
        <v>873</v>
      </c>
      <c r="O17" s="305">
        <v>1487</v>
      </c>
    </row>
    <row r="18" spans="2:15" x14ac:dyDescent="0.25">
      <c r="B18" s="305">
        <v>12</v>
      </c>
      <c r="C18" s="305">
        <v>12</v>
      </c>
      <c r="D18" s="305">
        <v>2494</v>
      </c>
      <c r="E18" s="305">
        <v>2425</v>
      </c>
      <c r="F18" s="305">
        <v>2172</v>
      </c>
      <c r="G18" s="305">
        <v>1534</v>
      </c>
      <c r="H18" s="305">
        <v>1094</v>
      </c>
      <c r="I18" s="305">
        <v>896</v>
      </c>
      <c r="J18" s="305">
        <v>728</v>
      </c>
      <c r="K18" s="305">
        <v>594</v>
      </c>
      <c r="L18" s="305">
        <v>598</v>
      </c>
      <c r="M18" s="305">
        <v>705</v>
      </c>
      <c r="N18" s="305">
        <v>979</v>
      </c>
      <c r="O18" s="305">
        <v>1662</v>
      </c>
    </row>
    <row r="19" spans="2:15" x14ac:dyDescent="0.25">
      <c r="B19" s="305">
        <v>13</v>
      </c>
      <c r="C19" s="305">
        <v>13</v>
      </c>
      <c r="D19" s="305">
        <v>0</v>
      </c>
      <c r="E19" s="305">
        <v>0</v>
      </c>
      <c r="F19" s="305">
        <v>0</v>
      </c>
      <c r="G19" s="305">
        <v>0</v>
      </c>
      <c r="H19" s="305">
        <v>0</v>
      </c>
      <c r="I19" s="305">
        <v>0</v>
      </c>
      <c r="J19" s="305">
        <v>0</v>
      </c>
      <c r="K19" s="305">
        <v>0</v>
      </c>
      <c r="L19" s="305">
        <v>0</v>
      </c>
      <c r="M19" s="305">
        <v>0</v>
      </c>
      <c r="N19" s="305">
        <v>0</v>
      </c>
      <c r="O19" s="305">
        <v>0</v>
      </c>
    </row>
    <row r="20" spans="2:15" x14ac:dyDescent="0.25">
      <c r="B20" s="305">
        <v>14</v>
      </c>
      <c r="C20" s="305">
        <v>14</v>
      </c>
      <c r="D20" s="305">
        <v>98</v>
      </c>
      <c r="E20" s="305">
        <v>100</v>
      </c>
      <c r="F20" s="305">
        <v>87</v>
      </c>
      <c r="G20" s="305">
        <v>60</v>
      </c>
      <c r="H20" s="305">
        <v>44</v>
      </c>
      <c r="I20" s="305">
        <v>36</v>
      </c>
      <c r="J20" s="305">
        <v>29</v>
      </c>
      <c r="K20" s="305">
        <v>25</v>
      </c>
      <c r="L20" s="305">
        <v>25</v>
      </c>
      <c r="M20" s="305">
        <v>31</v>
      </c>
      <c r="N20" s="305">
        <v>40</v>
      </c>
      <c r="O20" s="305">
        <v>70</v>
      </c>
    </row>
    <row r="21" spans="2:15" x14ac:dyDescent="0.25">
      <c r="B21" s="305">
        <v>15</v>
      </c>
      <c r="C21" s="305">
        <v>15</v>
      </c>
      <c r="D21" s="305">
        <v>160</v>
      </c>
      <c r="E21" s="305">
        <v>164</v>
      </c>
      <c r="F21" s="305">
        <v>142</v>
      </c>
      <c r="G21" s="305">
        <v>97</v>
      </c>
      <c r="H21" s="305">
        <v>71</v>
      </c>
      <c r="I21" s="305">
        <v>59</v>
      </c>
      <c r="J21" s="305">
        <v>49</v>
      </c>
      <c r="K21" s="305">
        <v>41</v>
      </c>
      <c r="L21" s="305">
        <v>42</v>
      </c>
      <c r="M21" s="305">
        <v>51</v>
      </c>
      <c r="N21" s="305">
        <v>64</v>
      </c>
      <c r="O21" s="305">
        <v>114</v>
      </c>
    </row>
    <row r="22" spans="2:15" x14ac:dyDescent="0.25">
      <c r="B22" s="305">
        <v>16</v>
      </c>
      <c r="C22" s="305">
        <v>16</v>
      </c>
      <c r="D22" s="305">
        <v>162</v>
      </c>
      <c r="E22" s="305">
        <v>167</v>
      </c>
      <c r="F22" s="305">
        <v>145</v>
      </c>
      <c r="G22" s="305">
        <v>99</v>
      </c>
      <c r="H22" s="305">
        <v>72</v>
      </c>
      <c r="I22" s="305">
        <v>60</v>
      </c>
      <c r="J22" s="305">
        <v>49</v>
      </c>
      <c r="K22" s="305">
        <v>42</v>
      </c>
      <c r="L22" s="305">
        <v>43</v>
      </c>
      <c r="M22" s="305">
        <v>52</v>
      </c>
      <c r="N22" s="305">
        <v>65</v>
      </c>
      <c r="O22" s="305">
        <v>116</v>
      </c>
    </row>
    <row r="23" spans="2:15" x14ac:dyDescent="0.25">
      <c r="B23" s="305">
        <v>17</v>
      </c>
      <c r="C23" s="305">
        <v>17</v>
      </c>
      <c r="D23" s="305">
        <v>3311</v>
      </c>
      <c r="E23" s="305">
        <v>3391</v>
      </c>
      <c r="F23" s="305">
        <v>3037</v>
      </c>
      <c r="G23" s="305">
        <v>2195</v>
      </c>
      <c r="H23" s="305">
        <v>1574</v>
      </c>
      <c r="I23" s="305">
        <v>1314</v>
      </c>
      <c r="J23" s="305">
        <v>1074</v>
      </c>
      <c r="K23" s="305">
        <v>891</v>
      </c>
      <c r="L23" s="305">
        <v>882</v>
      </c>
      <c r="M23" s="305">
        <v>1014</v>
      </c>
      <c r="N23" s="305">
        <v>1352</v>
      </c>
      <c r="O23" s="305">
        <v>2233</v>
      </c>
    </row>
    <row r="24" spans="2:15" x14ac:dyDescent="0.25">
      <c r="B24" s="305">
        <v>18</v>
      </c>
      <c r="C24" s="305">
        <v>18</v>
      </c>
      <c r="D24" s="305">
        <v>3688</v>
      </c>
      <c r="E24" s="305">
        <v>3840</v>
      </c>
      <c r="F24" s="305">
        <v>3458</v>
      </c>
      <c r="G24" s="305">
        <v>2518</v>
      </c>
      <c r="H24" s="305">
        <v>1797</v>
      </c>
      <c r="I24" s="305">
        <v>1506</v>
      </c>
      <c r="J24" s="305">
        <v>1233</v>
      </c>
      <c r="K24" s="305">
        <v>1028</v>
      </c>
      <c r="L24" s="305">
        <v>1011</v>
      </c>
      <c r="M24" s="305">
        <v>1163</v>
      </c>
      <c r="N24" s="305">
        <v>1520</v>
      </c>
      <c r="O24" s="305">
        <v>2466</v>
      </c>
    </row>
    <row r="25" spans="2:15" x14ac:dyDescent="0.25">
      <c r="B25" s="305">
        <v>19</v>
      </c>
      <c r="C25" s="305">
        <v>19</v>
      </c>
      <c r="D25" s="305">
        <v>0</v>
      </c>
      <c r="E25" s="305">
        <v>0</v>
      </c>
      <c r="F25" s="305">
        <v>0</v>
      </c>
      <c r="G25" s="305">
        <v>0</v>
      </c>
      <c r="H25" s="305">
        <v>0</v>
      </c>
      <c r="I25" s="305">
        <v>0</v>
      </c>
      <c r="J25" s="305">
        <v>0</v>
      </c>
      <c r="K25" s="305">
        <v>0</v>
      </c>
      <c r="L25" s="305">
        <v>0</v>
      </c>
      <c r="M25" s="305">
        <v>0</v>
      </c>
      <c r="N25" s="305">
        <v>0</v>
      </c>
      <c r="O25" s="305">
        <v>0</v>
      </c>
    </row>
    <row r="26" spans="2:15" x14ac:dyDescent="0.25">
      <c r="B26" s="305">
        <v>20</v>
      </c>
      <c r="C26" s="305">
        <v>20</v>
      </c>
      <c r="D26" s="305">
        <v>331</v>
      </c>
      <c r="E26" s="305">
        <v>332</v>
      </c>
      <c r="F26" s="305">
        <v>301</v>
      </c>
      <c r="G26" s="305">
        <v>215</v>
      </c>
      <c r="H26" s="305">
        <v>136</v>
      </c>
      <c r="I26" s="305">
        <v>104</v>
      </c>
      <c r="J26" s="305">
        <v>82</v>
      </c>
      <c r="K26" s="305">
        <v>65</v>
      </c>
      <c r="L26" s="305">
        <v>56</v>
      </c>
      <c r="M26" s="305">
        <v>70</v>
      </c>
      <c r="N26" s="305">
        <v>122</v>
      </c>
      <c r="O26" s="305">
        <v>236</v>
      </c>
    </row>
    <row r="27" spans="2:15" x14ac:dyDescent="0.25">
      <c r="B27" s="305">
        <v>21</v>
      </c>
      <c r="C27" s="305">
        <v>21</v>
      </c>
      <c r="D27" s="305">
        <v>0</v>
      </c>
      <c r="E27" s="305">
        <v>0</v>
      </c>
      <c r="F27" s="305">
        <v>0</v>
      </c>
      <c r="G27" s="305">
        <v>0</v>
      </c>
      <c r="H27" s="305">
        <v>0</v>
      </c>
      <c r="I27" s="305">
        <v>0</v>
      </c>
      <c r="J27" s="305">
        <v>0</v>
      </c>
      <c r="K27" s="305">
        <v>0</v>
      </c>
      <c r="L27" s="305">
        <v>0</v>
      </c>
      <c r="M27" s="305">
        <v>0</v>
      </c>
      <c r="N27" s="305">
        <v>0</v>
      </c>
      <c r="O27" s="305">
        <v>0</v>
      </c>
    </row>
    <row r="28" spans="2:15" x14ac:dyDescent="0.25">
      <c r="B28" s="305">
        <v>22</v>
      </c>
      <c r="C28" s="305">
        <v>22</v>
      </c>
      <c r="D28" s="305">
        <v>193</v>
      </c>
      <c r="E28" s="305">
        <v>196</v>
      </c>
      <c r="F28" s="305">
        <v>199</v>
      </c>
      <c r="G28" s="305">
        <v>150</v>
      </c>
      <c r="H28" s="305">
        <v>96</v>
      </c>
      <c r="I28" s="305">
        <v>73</v>
      </c>
      <c r="J28" s="305">
        <v>58</v>
      </c>
      <c r="K28" s="305">
        <v>45</v>
      </c>
      <c r="L28" s="305">
        <v>39</v>
      </c>
      <c r="M28" s="305">
        <v>46</v>
      </c>
      <c r="N28" s="305">
        <v>78</v>
      </c>
      <c r="O28" s="305">
        <v>146</v>
      </c>
    </row>
    <row r="29" spans="2:15" x14ac:dyDescent="0.25">
      <c r="B29" s="305">
        <v>23</v>
      </c>
      <c r="C29" s="305">
        <v>23</v>
      </c>
      <c r="D29" s="305">
        <v>273</v>
      </c>
      <c r="E29" s="305">
        <v>299</v>
      </c>
      <c r="F29" s="305">
        <v>299</v>
      </c>
      <c r="G29" s="305">
        <v>234</v>
      </c>
      <c r="H29" s="305">
        <v>148</v>
      </c>
      <c r="I29" s="305">
        <v>109</v>
      </c>
      <c r="J29" s="305">
        <v>85</v>
      </c>
      <c r="K29" s="305">
        <v>67</v>
      </c>
      <c r="L29" s="305">
        <v>58</v>
      </c>
      <c r="M29" s="305">
        <v>76</v>
      </c>
      <c r="N29" s="305">
        <v>125</v>
      </c>
      <c r="O29" s="305">
        <v>201</v>
      </c>
    </row>
    <row r="30" spans="2:15" x14ac:dyDescent="0.25">
      <c r="B30" s="305">
        <v>24</v>
      </c>
      <c r="C30" s="305">
        <v>24</v>
      </c>
      <c r="D30" s="305">
        <v>903</v>
      </c>
      <c r="E30" s="305">
        <v>899</v>
      </c>
      <c r="F30" s="305">
        <v>860</v>
      </c>
      <c r="G30" s="305">
        <v>626</v>
      </c>
      <c r="H30" s="305">
        <v>397</v>
      </c>
      <c r="I30" s="305">
        <v>306</v>
      </c>
      <c r="J30" s="305">
        <v>245</v>
      </c>
      <c r="K30" s="305">
        <v>196</v>
      </c>
      <c r="L30" s="305">
        <v>173</v>
      </c>
      <c r="M30" s="305">
        <v>207</v>
      </c>
      <c r="N30" s="305">
        <v>353</v>
      </c>
      <c r="O30" s="305">
        <v>658</v>
      </c>
    </row>
    <row r="31" spans="2:15" x14ac:dyDescent="0.25">
      <c r="B31" s="305">
        <v>25</v>
      </c>
      <c r="C31" s="305">
        <v>25</v>
      </c>
      <c r="D31" s="305">
        <v>530</v>
      </c>
      <c r="E31" s="305">
        <v>532</v>
      </c>
      <c r="F31" s="305">
        <v>499</v>
      </c>
      <c r="G31" s="305">
        <v>375</v>
      </c>
      <c r="H31" s="305">
        <v>257</v>
      </c>
      <c r="I31" s="305">
        <v>201</v>
      </c>
      <c r="J31" s="305">
        <v>166</v>
      </c>
      <c r="K31" s="305">
        <v>135</v>
      </c>
      <c r="L31" s="305">
        <v>123</v>
      </c>
      <c r="M31" s="305">
        <v>152</v>
      </c>
      <c r="N31" s="305">
        <v>224</v>
      </c>
      <c r="O31" s="305">
        <v>376</v>
      </c>
    </row>
    <row r="32" spans="2:15" x14ac:dyDescent="0.25">
      <c r="B32" s="305">
        <v>26</v>
      </c>
      <c r="C32" s="305">
        <v>26</v>
      </c>
      <c r="D32" s="305">
        <v>0</v>
      </c>
      <c r="E32" s="305">
        <v>0</v>
      </c>
      <c r="F32" s="305">
        <v>0</v>
      </c>
      <c r="G32" s="305">
        <v>0</v>
      </c>
      <c r="H32" s="305">
        <v>0</v>
      </c>
      <c r="I32" s="305">
        <v>0</v>
      </c>
      <c r="J32" s="305">
        <v>0</v>
      </c>
      <c r="K32" s="305">
        <v>0</v>
      </c>
      <c r="L32" s="305">
        <v>0</v>
      </c>
      <c r="M32" s="305">
        <v>0</v>
      </c>
      <c r="N32" s="305">
        <v>0</v>
      </c>
      <c r="O32" s="305">
        <v>0</v>
      </c>
    </row>
    <row r="33" spans="2:15" x14ac:dyDescent="0.25">
      <c r="B33" s="305">
        <v>27</v>
      </c>
      <c r="C33" s="305">
        <v>27</v>
      </c>
      <c r="D33" s="305">
        <v>0</v>
      </c>
      <c r="E33" s="305">
        <v>0</v>
      </c>
      <c r="F33" s="305">
        <v>0</v>
      </c>
      <c r="G33" s="305">
        <v>0</v>
      </c>
      <c r="H33" s="305">
        <v>0</v>
      </c>
      <c r="I33" s="305">
        <v>0</v>
      </c>
      <c r="J33" s="305">
        <v>0</v>
      </c>
      <c r="K33" s="305">
        <v>0</v>
      </c>
      <c r="L33" s="305">
        <v>0</v>
      </c>
      <c r="M33" s="305">
        <v>0</v>
      </c>
      <c r="N33" s="305">
        <v>0</v>
      </c>
      <c r="O33" s="305">
        <v>0</v>
      </c>
    </row>
    <row r="34" spans="2:15" x14ac:dyDescent="0.25">
      <c r="B34" s="305">
        <v>28</v>
      </c>
      <c r="C34" s="305">
        <v>28</v>
      </c>
      <c r="D34" s="305">
        <v>644</v>
      </c>
      <c r="E34" s="305">
        <v>653</v>
      </c>
      <c r="F34" s="305">
        <v>614</v>
      </c>
      <c r="G34" s="305">
        <v>469</v>
      </c>
      <c r="H34" s="305">
        <v>321</v>
      </c>
      <c r="I34" s="305">
        <v>251</v>
      </c>
      <c r="J34" s="305">
        <v>208</v>
      </c>
      <c r="K34" s="305">
        <v>173</v>
      </c>
      <c r="L34" s="305">
        <v>159</v>
      </c>
      <c r="M34" s="305">
        <v>191</v>
      </c>
      <c r="N34" s="305">
        <v>279</v>
      </c>
      <c r="O34" s="305">
        <v>458</v>
      </c>
    </row>
    <row r="35" spans="2:15" x14ac:dyDescent="0.25">
      <c r="B35" s="305">
        <v>29</v>
      </c>
      <c r="C35" s="305">
        <v>29</v>
      </c>
      <c r="D35" s="305">
        <v>0</v>
      </c>
      <c r="E35" s="305">
        <v>0</v>
      </c>
      <c r="F35" s="305">
        <v>0</v>
      </c>
      <c r="G35" s="305">
        <v>0</v>
      </c>
      <c r="H35" s="305">
        <v>0</v>
      </c>
      <c r="I35" s="305">
        <v>0</v>
      </c>
      <c r="J35" s="305">
        <v>0</v>
      </c>
      <c r="K35" s="305">
        <v>0</v>
      </c>
      <c r="L35" s="305">
        <v>0</v>
      </c>
      <c r="M35" s="305">
        <v>0</v>
      </c>
      <c r="N35" s="305">
        <v>0</v>
      </c>
      <c r="O35" s="305">
        <v>0</v>
      </c>
    </row>
    <row r="36" spans="2:15" x14ac:dyDescent="0.25">
      <c r="B36" s="305">
        <v>30</v>
      </c>
      <c r="C36" s="305">
        <v>30</v>
      </c>
      <c r="D36" s="305">
        <v>0</v>
      </c>
      <c r="E36" s="305">
        <v>0</v>
      </c>
      <c r="F36" s="305">
        <v>0</v>
      </c>
      <c r="G36" s="305">
        <v>0</v>
      </c>
      <c r="H36" s="305">
        <v>0</v>
      </c>
      <c r="I36" s="305">
        <v>0</v>
      </c>
      <c r="J36" s="305">
        <v>0</v>
      </c>
      <c r="K36" s="305">
        <v>0</v>
      </c>
      <c r="L36" s="305">
        <v>0</v>
      </c>
      <c r="M36" s="305">
        <v>0</v>
      </c>
      <c r="N36" s="305">
        <v>0</v>
      </c>
      <c r="O36" s="305">
        <v>0</v>
      </c>
    </row>
    <row r="37" spans="2:15" x14ac:dyDescent="0.25">
      <c r="B37" s="305">
        <v>31</v>
      </c>
      <c r="C37" s="305">
        <v>31</v>
      </c>
      <c r="D37" s="305">
        <v>2741</v>
      </c>
      <c r="E37" s="305">
        <v>2834</v>
      </c>
      <c r="F37" s="305">
        <v>2757</v>
      </c>
      <c r="G37" s="305">
        <v>2060</v>
      </c>
      <c r="H37" s="305">
        <v>1331</v>
      </c>
      <c r="I37" s="305">
        <v>1029</v>
      </c>
      <c r="J37" s="305">
        <v>818</v>
      </c>
      <c r="K37" s="305">
        <v>656</v>
      </c>
      <c r="L37" s="305">
        <v>582</v>
      </c>
      <c r="M37" s="305">
        <v>707</v>
      </c>
      <c r="N37" s="305">
        <v>1138</v>
      </c>
      <c r="O37" s="305">
        <v>1973</v>
      </c>
    </row>
    <row r="38" spans="2:15" x14ac:dyDescent="0.25">
      <c r="B38" s="305">
        <v>32</v>
      </c>
      <c r="C38" s="305">
        <v>32</v>
      </c>
      <c r="D38" s="305">
        <v>2868</v>
      </c>
      <c r="E38" s="305">
        <v>2975</v>
      </c>
      <c r="F38" s="305">
        <v>2894</v>
      </c>
      <c r="G38" s="305">
        <v>2169</v>
      </c>
      <c r="H38" s="305">
        <v>1403</v>
      </c>
      <c r="I38" s="305">
        <v>1086</v>
      </c>
      <c r="J38" s="305">
        <v>866</v>
      </c>
      <c r="K38" s="305">
        <v>695</v>
      </c>
      <c r="L38" s="305">
        <v>618</v>
      </c>
      <c r="M38" s="305">
        <v>745</v>
      </c>
      <c r="N38" s="305">
        <v>1193</v>
      </c>
      <c r="O38" s="305">
        <v>2064</v>
      </c>
    </row>
    <row r="39" spans="2:15" x14ac:dyDescent="0.25">
      <c r="B39" s="305">
        <v>33</v>
      </c>
      <c r="C39" s="305">
        <v>33</v>
      </c>
      <c r="D39" s="305">
        <v>4106</v>
      </c>
      <c r="E39" s="305">
        <v>4280</v>
      </c>
      <c r="F39" s="305">
        <v>4229</v>
      </c>
      <c r="G39" s="305">
        <v>3229</v>
      </c>
      <c r="H39" s="305">
        <v>2110</v>
      </c>
      <c r="I39" s="305">
        <v>1651</v>
      </c>
      <c r="J39" s="305">
        <v>1327</v>
      </c>
      <c r="K39" s="305">
        <v>1082</v>
      </c>
      <c r="L39" s="305">
        <v>981</v>
      </c>
      <c r="M39" s="305">
        <v>1164</v>
      </c>
      <c r="N39" s="305">
        <v>1770</v>
      </c>
      <c r="O39" s="305">
        <v>2980</v>
      </c>
    </row>
    <row r="40" spans="2:15" x14ac:dyDescent="0.25">
      <c r="B40" s="305">
        <v>34</v>
      </c>
      <c r="C40" s="305">
        <v>34</v>
      </c>
      <c r="D40" s="305">
        <v>8964</v>
      </c>
      <c r="E40" s="305">
        <v>9424</v>
      </c>
      <c r="F40" s="305">
        <v>9006</v>
      </c>
      <c r="G40" s="305">
        <v>6785</v>
      </c>
      <c r="H40" s="305">
        <v>4648</v>
      </c>
      <c r="I40" s="305">
        <v>3802</v>
      </c>
      <c r="J40" s="305">
        <v>3112</v>
      </c>
      <c r="K40" s="305">
        <v>2608</v>
      </c>
      <c r="L40" s="305">
        <v>2486</v>
      </c>
      <c r="M40" s="305">
        <v>2876</v>
      </c>
      <c r="N40" s="305">
        <v>3917</v>
      </c>
      <c r="O40" s="305">
        <v>6283</v>
      </c>
    </row>
    <row r="41" spans="2:15" x14ac:dyDescent="0.25">
      <c r="B41" s="305">
        <v>35</v>
      </c>
      <c r="C41" s="305">
        <v>35</v>
      </c>
      <c r="D41" s="305">
        <v>0</v>
      </c>
      <c r="E41" s="305">
        <v>0</v>
      </c>
      <c r="F41" s="305">
        <v>0</v>
      </c>
      <c r="G41" s="305">
        <v>0</v>
      </c>
      <c r="H41" s="305">
        <v>0</v>
      </c>
      <c r="I41" s="305">
        <v>0</v>
      </c>
      <c r="J41" s="305">
        <v>0</v>
      </c>
      <c r="K41" s="305">
        <v>0</v>
      </c>
      <c r="L41" s="305">
        <v>0</v>
      </c>
      <c r="M41" s="305">
        <v>0</v>
      </c>
      <c r="N41" s="305">
        <v>0</v>
      </c>
      <c r="O41" s="305">
        <v>0</v>
      </c>
    </row>
    <row r="42" spans="2:15" x14ac:dyDescent="0.25">
      <c r="B42" s="305">
        <v>36</v>
      </c>
      <c r="C42" s="305">
        <v>36</v>
      </c>
      <c r="D42" s="305">
        <v>0</v>
      </c>
      <c r="E42" s="305">
        <v>0</v>
      </c>
      <c r="F42" s="305">
        <v>0</v>
      </c>
      <c r="G42" s="305">
        <v>0</v>
      </c>
      <c r="H42" s="305">
        <v>0</v>
      </c>
      <c r="I42" s="305">
        <v>0</v>
      </c>
      <c r="J42" s="305">
        <v>0</v>
      </c>
      <c r="K42" s="305">
        <v>0</v>
      </c>
      <c r="L42" s="305">
        <v>0</v>
      </c>
      <c r="M42" s="305">
        <v>0</v>
      </c>
      <c r="N42" s="305">
        <v>0</v>
      </c>
      <c r="O42" s="305">
        <v>0</v>
      </c>
    </row>
    <row r="43" spans="2:15" x14ac:dyDescent="0.25">
      <c r="B43" s="305">
        <v>37</v>
      </c>
      <c r="C43" s="305">
        <v>37</v>
      </c>
      <c r="D43" s="305">
        <v>694</v>
      </c>
      <c r="E43" s="305">
        <v>734</v>
      </c>
      <c r="F43" s="305">
        <v>619</v>
      </c>
      <c r="G43" s="305">
        <v>408</v>
      </c>
      <c r="H43" s="305">
        <v>322</v>
      </c>
      <c r="I43" s="305">
        <v>319</v>
      </c>
      <c r="J43" s="305">
        <v>254</v>
      </c>
      <c r="K43" s="305">
        <v>213</v>
      </c>
      <c r="L43" s="305">
        <v>230</v>
      </c>
      <c r="M43" s="305">
        <v>283</v>
      </c>
      <c r="N43" s="305">
        <v>305</v>
      </c>
      <c r="O43" s="305">
        <v>468</v>
      </c>
    </row>
    <row r="44" spans="2:15" x14ac:dyDescent="0.25">
      <c r="B44" s="305">
        <v>38</v>
      </c>
      <c r="C44" s="305">
        <v>38</v>
      </c>
      <c r="D44" s="305">
        <v>777</v>
      </c>
      <c r="E44" s="305">
        <v>825</v>
      </c>
      <c r="F44" s="305">
        <v>698</v>
      </c>
      <c r="G44" s="305">
        <v>464</v>
      </c>
      <c r="H44" s="305">
        <v>367</v>
      </c>
      <c r="I44" s="305">
        <v>364</v>
      </c>
      <c r="J44" s="305">
        <v>288</v>
      </c>
      <c r="K44" s="305">
        <v>244</v>
      </c>
      <c r="L44" s="305">
        <v>261</v>
      </c>
      <c r="M44" s="305">
        <v>317</v>
      </c>
      <c r="N44" s="305">
        <v>343</v>
      </c>
      <c r="O44" s="305">
        <v>522</v>
      </c>
    </row>
    <row r="45" spans="2:15" x14ac:dyDescent="0.25">
      <c r="B45" s="305">
        <v>39</v>
      </c>
      <c r="C45" s="305">
        <v>39</v>
      </c>
      <c r="D45" s="305">
        <v>980</v>
      </c>
      <c r="E45" s="305">
        <v>1037</v>
      </c>
      <c r="F45" s="305">
        <v>887</v>
      </c>
      <c r="G45" s="305">
        <v>609</v>
      </c>
      <c r="H45" s="305">
        <v>483</v>
      </c>
      <c r="I45" s="305">
        <v>475</v>
      </c>
      <c r="J45" s="305">
        <v>384</v>
      </c>
      <c r="K45" s="305">
        <v>329</v>
      </c>
      <c r="L45" s="305">
        <v>353</v>
      </c>
      <c r="M45" s="305">
        <v>422</v>
      </c>
      <c r="N45" s="305">
        <v>452</v>
      </c>
      <c r="O45" s="305">
        <v>675</v>
      </c>
    </row>
    <row r="46" spans="2:15" x14ac:dyDescent="0.25">
      <c r="B46" s="305">
        <v>40</v>
      </c>
      <c r="C46" s="305">
        <v>40</v>
      </c>
      <c r="D46" s="305">
        <v>1113</v>
      </c>
      <c r="E46" s="305">
        <v>1185</v>
      </c>
      <c r="F46" s="305">
        <v>1021</v>
      </c>
      <c r="G46" s="305">
        <v>695</v>
      </c>
      <c r="H46" s="305">
        <v>554</v>
      </c>
      <c r="I46" s="305">
        <v>543</v>
      </c>
      <c r="J46" s="305">
        <v>443</v>
      </c>
      <c r="K46" s="305">
        <v>384</v>
      </c>
      <c r="L46" s="305">
        <v>404</v>
      </c>
      <c r="M46" s="305">
        <v>473</v>
      </c>
      <c r="N46" s="305">
        <v>506</v>
      </c>
      <c r="O46" s="305">
        <v>761</v>
      </c>
    </row>
    <row r="47" spans="2:15" x14ac:dyDescent="0.25">
      <c r="B47" s="305">
        <v>41</v>
      </c>
      <c r="C47" s="305">
        <v>41</v>
      </c>
      <c r="D47" s="305">
        <v>0</v>
      </c>
      <c r="E47" s="305">
        <v>0</v>
      </c>
      <c r="F47" s="305">
        <v>0</v>
      </c>
      <c r="G47" s="305">
        <v>0</v>
      </c>
      <c r="H47" s="305">
        <v>0</v>
      </c>
      <c r="I47" s="305">
        <v>0</v>
      </c>
      <c r="J47" s="305">
        <v>0</v>
      </c>
      <c r="K47" s="305">
        <v>0</v>
      </c>
      <c r="L47" s="305">
        <v>0</v>
      </c>
      <c r="M47" s="305">
        <v>0</v>
      </c>
      <c r="N47" s="305">
        <v>0</v>
      </c>
      <c r="O47" s="305">
        <v>0</v>
      </c>
    </row>
    <row r="48" spans="2:15" x14ac:dyDescent="0.25">
      <c r="B48" s="305">
        <v>42</v>
      </c>
      <c r="C48" s="305">
        <v>42</v>
      </c>
      <c r="D48" s="305">
        <v>1198</v>
      </c>
      <c r="E48" s="305">
        <v>1279</v>
      </c>
      <c r="F48" s="305">
        <v>1099</v>
      </c>
      <c r="G48" s="305">
        <v>746</v>
      </c>
      <c r="H48" s="305">
        <v>590</v>
      </c>
      <c r="I48" s="305">
        <v>580</v>
      </c>
      <c r="J48" s="305">
        <v>472</v>
      </c>
      <c r="K48" s="305">
        <v>407</v>
      </c>
      <c r="L48" s="305">
        <v>429</v>
      </c>
      <c r="M48" s="305">
        <v>505</v>
      </c>
      <c r="N48" s="305">
        <v>541</v>
      </c>
      <c r="O48" s="305">
        <v>814</v>
      </c>
    </row>
    <row r="49" spans="2:15" x14ac:dyDescent="0.25">
      <c r="B49" s="305">
        <v>43</v>
      </c>
      <c r="C49" s="305">
        <v>43</v>
      </c>
      <c r="D49" s="305">
        <v>1256</v>
      </c>
      <c r="E49" s="305">
        <v>1368</v>
      </c>
      <c r="F49" s="305">
        <v>1189</v>
      </c>
      <c r="G49" s="305">
        <v>818</v>
      </c>
      <c r="H49" s="305">
        <v>634</v>
      </c>
      <c r="I49" s="305">
        <v>627</v>
      </c>
      <c r="J49" s="305">
        <v>510</v>
      </c>
      <c r="K49" s="305">
        <v>442</v>
      </c>
      <c r="L49" s="305">
        <v>458</v>
      </c>
      <c r="M49" s="305">
        <v>538</v>
      </c>
      <c r="N49" s="305">
        <v>574</v>
      </c>
      <c r="O49" s="305">
        <v>853</v>
      </c>
    </row>
    <row r="50" spans="2:15" x14ac:dyDescent="0.25">
      <c r="B50" s="305">
        <v>44</v>
      </c>
      <c r="C50" s="305">
        <v>44</v>
      </c>
      <c r="D50" s="305">
        <v>10220</v>
      </c>
      <c r="E50" s="305">
        <v>10792</v>
      </c>
      <c r="F50" s="305">
        <v>10195</v>
      </c>
      <c r="G50" s="305">
        <v>7603</v>
      </c>
      <c r="H50" s="305">
        <v>5282</v>
      </c>
      <c r="I50" s="305">
        <v>4429</v>
      </c>
      <c r="J50" s="305">
        <v>3623</v>
      </c>
      <c r="K50" s="305">
        <v>3050</v>
      </c>
      <c r="L50" s="305">
        <v>2944</v>
      </c>
      <c r="M50" s="305">
        <v>3414</v>
      </c>
      <c r="N50" s="305">
        <v>4491</v>
      </c>
      <c r="O50" s="305">
        <v>7136</v>
      </c>
    </row>
    <row r="51" spans="2:15" x14ac:dyDescent="0.25">
      <c r="B51" s="305">
        <v>45</v>
      </c>
      <c r="C51" s="305">
        <v>45</v>
      </c>
      <c r="D51" s="305">
        <v>10635</v>
      </c>
      <c r="E51" s="305">
        <v>11252</v>
      </c>
      <c r="F51" s="305">
        <v>10623</v>
      </c>
      <c r="G51" s="305">
        <v>7967</v>
      </c>
      <c r="H51" s="305">
        <v>5592</v>
      </c>
      <c r="I51" s="305">
        <v>4728</v>
      </c>
      <c r="J51" s="305">
        <v>3902</v>
      </c>
      <c r="K51" s="305">
        <v>3327</v>
      </c>
      <c r="L51" s="305">
        <v>3210</v>
      </c>
      <c r="M51" s="305">
        <v>3687</v>
      </c>
      <c r="N51" s="305">
        <v>4782</v>
      </c>
      <c r="O51" s="305">
        <v>7465</v>
      </c>
    </row>
    <row r="52" spans="2:15" x14ac:dyDescent="0.25">
      <c r="B52" s="305">
        <v>46</v>
      </c>
      <c r="C52" s="305">
        <v>46</v>
      </c>
      <c r="D52" s="305">
        <v>11501</v>
      </c>
      <c r="E52" s="305">
        <v>12373</v>
      </c>
      <c r="F52" s="305">
        <v>11723</v>
      </c>
      <c r="G52" s="305">
        <v>9005</v>
      </c>
      <c r="H52" s="305">
        <v>6480</v>
      </c>
      <c r="I52" s="305">
        <v>5615</v>
      </c>
      <c r="J52" s="305">
        <v>4616</v>
      </c>
      <c r="K52" s="305">
        <v>3934</v>
      </c>
      <c r="L52" s="305">
        <v>3816</v>
      </c>
      <c r="M52" s="305">
        <v>4347</v>
      </c>
      <c r="N52" s="305">
        <v>5440</v>
      </c>
      <c r="O52" s="305">
        <v>8117</v>
      </c>
    </row>
    <row r="53" spans="2:15" x14ac:dyDescent="0.25">
      <c r="B53" s="305">
        <v>47</v>
      </c>
      <c r="C53" s="305">
        <v>47</v>
      </c>
      <c r="D53" s="305">
        <v>327</v>
      </c>
      <c r="E53" s="305">
        <v>368</v>
      </c>
      <c r="F53" s="305">
        <v>312</v>
      </c>
      <c r="G53" s="305">
        <v>220</v>
      </c>
      <c r="H53" s="305">
        <v>193</v>
      </c>
      <c r="I53" s="305">
        <v>201</v>
      </c>
      <c r="J53" s="305">
        <v>177</v>
      </c>
      <c r="K53" s="305">
        <v>148</v>
      </c>
      <c r="L53" s="305">
        <v>159</v>
      </c>
      <c r="M53" s="305">
        <v>191</v>
      </c>
      <c r="N53" s="305">
        <v>181</v>
      </c>
      <c r="O53" s="305">
        <v>233</v>
      </c>
    </row>
    <row r="54" spans="2:15" x14ac:dyDescent="0.25">
      <c r="B54" s="305">
        <v>48</v>
      </c>
      <c r="C54" s="305">
        <v>48</v>
      </c>
      <c r="D54" s="305">
        <v>334</v>
      </c>
      <c r="E54" s="305">
        <v>377</v>
      </c>
      <c r="F54" s="305">
        <v>320</v>
      </c>
      <c r="G54" s="305">
        <v>226</v>
      </c>
      <c r="H54" s="305">
        <v>197</v>
      </c>
      <c r="I54" s="305">
        <v>207</v>
      </c>
      <c r="J54" s="305">
        <v>181</v>
      </c>
      <c r="K54" s="305">
        <v>151</v>
      </c>
      <c r="L54" s="305">
        <v>163</v>
      </c>
      <c r="M54" s="305">
        <v>196</v>
      </c>
      <c r="N54" s="305">
        <v>186</v>
      </c>
      <c r="O54" s="305">
        <v>238</v>
      </c>
    </row>
    <row r="55" spans="2:15" x14ac:dyDescent="0.25">
      <c r="B55" s="305">
        <v>49</v>
      </c>
      <c r="C55" s="305">
        <v>49</v>
      </c>
      <c r="D55" s="305">
        <v>506</v>
      </c>
      <c r="E55" s="305">
        <v>547</v>
      </c>
      <c r="F55" s="305">
        <v>453</v>
      </c>
      <c r="G55" s="305">
        <v>326</v>
      </c>
      <c r="H55" s="305">
        <v>301</v>
      </c>
      <c r="I55" s="305">
        <v>314</v>
      </c>
      <c r="J55" s="305">
        <v>277</v>
      </c>
      <c r="K55" s="305">
        <v>229</v>
      </c>
      <c r="L55" s="305">
        <v>255</v>
      </c>
      <c r="M55" s="305">
        <v>305</v>
      </c>
      <c r="N55" s="305">
        <v>282</v>
      </c>
      <c r="O55" s="305">
        <v>351</v>
      </c>
    </row>
    <row r="56" spans="2:15" x14ac:dyDescent="0.25">
      <c r="B56" s="305">
        <v>50</v>
      </c>
      <c r="C56" s="305">
        <v>50</v>
      </c>
      <c r="D56" s="305">
        <v>655</v>
      </c>
      <c r="E56" s="305">
        <v>716</v>
      </c>
      <c r="F56" s="305">
        <v>606</v>
      </c>
      <c r="G56" s="305">
        <v>448</v>
      </c>
      <c r="H56" s="305">
        <v>409</v>
      </c>
      <c r="I56" s="305">
        <v>425</v>
      </c>
      <c r="J56" s="305">
        <v>370</v>
      </c>
      <c r="K56" s="305">
        <v>310</v>
      </c>
      <c r="L56" s="305">
        <v>338</v>
      </c>
      <c r="M56" s="305">
        <v>399</v>
      </c>
      <c r="N56" s="305">
        <v>375</v>
      </c>
      <c r="O56" s="305">
        <v>464</v>
      </c>
    </row>
    <row r="57" spans="2:15" x14ac:dyDescent="0.25">
      <c r="B57" s="305">
        <v>51</v>
      </c>
      <c r="C57" s="305">
        <v>51</v>
      </c>
      <c r="D57" s="305">
        <v>665</v>
      </c>
      <c r="E57" s="305">
        <v>729</v>
      </c>
      <c r="F57" s="305">
        <v>618</v>
      </c>
      <c r="G57" s="305">
        <v>457</v>
      </c>
      <c r="H57" s="305">
        <v>417</v>
      </c>
      <c r="I57" s="305">
        <v>434</v>
      </c>
      <c r="J57" s="305">
        <v>377</v>
      </c>
      <c r="K57" s="305">
        <v>316</v>
      </c>
      <c r="L57" s="305">
        <v>345</v>
      </c>
      <c r="M57" s="305">
        <v>407</v>
      </c>
      <c r="N57" s="305">
        <v>383</v>
      </c>
      <c r="O57" s="305">
        <v>472</v>
      </c>
    </row>
    <row r="58" spans="2:15" x14ac:dyDescent="0.25">
      <c r="B58" s="305">
        <v>52</v>
      </c>
      <c r="C58" s="305">
        <v>52</v>
      </c>
      <c r="D58" s="305">
        <v>688</v>
      </c>
      <c r="E58" s="305">
        <v>756</v>
      </c>
      <c r="F58" s="305">
        <v>642</v>
      </c>
      <c r="G58" s="305">
        <v>477</v>
      </c>
      <c r="H58" s="305">
        <v>434</v>
      </c>
      <c r="I58" s="305">
        <v>452</v>
      </c>
      <c r="J58" s="305">
        <v>392</v>
      </c>
      <c r="K58" s="305">
        <v>329</v>
      </c>
      <c r="L58" s="305">
        <v>358</v>
      </c>
      <c r="M58" s="305">
        <v>422</v>
      </c>
      <c r="N58" s="305">
        <v>398</v>
      </c>
      <c r="O58" s="305">
        <v>490</v>
      </c>
    </row>
    <row r="59" spans="2:15" x14ac:dyDescent="0.25">
      <c r="B59" s="305">
        <v>53</v>
      </c>
      <c r="C59" s="305">
        <v>53</v>
      </c>
      <c r="D59" s="305">
        <v>0</v>
      </c>
      <c r="E59" s="305">
        <v>0</v>
      </c>
      <c r="F59" s="305">
        <v>0</v>
      </c>
      <c r="G59" s="305">
        <v>0</v>
      </c>
      <c r="H59" s="305">
        <v>0</v>
      </c>
      <c r="I59" s="305">
        <v>0</v>
      </c>
      <c r="J59" s="305">
        <v>0</v>
      </c>
      <c r="K59" s="305">
        <v>0</v>
      </c>
      <c r="L59" s="305">
        <v>0</v>
      </c>
      <c r="M59" s="305">
        <v>0</v>
      </c>
      <c r="N59" s="305">
        <v>0</v>
      </c>
      <c r="O59" s="305">
        <v>0</v>
      </c>
    </row>
    <row r="60" spans="2:15" x14ac:dyDescent="0.25">
      <c r="B60" s="305">
        <v>54</v>
      </c>
      <c r="C60" s="305">
        <v>54</v>
      </c>
      <c r="D60" s="305">
        <v>0</v>
      </c>
      <c r="E60" s="305">
        <v>0</v>
      </c>
      <c r="F60" s="305">
        <v>0</v>
      </c>
      <c r="G60" s="305">
        <v>0</v>
      </c>
      <c r="H60" s="305">
        <v>0</v>
      </c>
      <c r="I60" s="305">
        <v>0</v>
      </c>
      <c r="J60" s="305">
        <v>0</v>
      </c>
      <c r="K60" s="305">
        <v>0</v>
      </c>
      <c r="L60" s="305">
        <v>0</v>
      </c>
      <c r="M60" s="305">
        <v>0</v>
      </c>
      <c r="N60" s="305">
        <v>0</v>
      </c>
      <c r="O60" s="305">
        <v>0</v>
      </c>
    </row>
    <row r="61" spans="2:15" x14ac:dyDescent="0.25">
      <c r="B61" s="305">
        <v>55</v>
      </c>
      <c r="C61" s="305">
        <v>55</v>
      </c>
      <c r="D61" s="305">
        <v>0</v>
      </c>
      <c r="E61" s="305">
        <v>0</v>
      </c>
      <c r="F61" s="305">
        <v>0</v>
      </c>
      <c r="G61" s="305">
        <v>0</v>
      </c>
      <c r="H61" s="305">
        <v>0</v>
      </c>
      <c r="I61" s="305">
        <v>0</v>
      </c>
      <c r="J61" s="305">
        <v>0</v>
      </c>
      <c r="K61" s="305">
        <v>0</v>
      </c>
      <c r="L61" s="305">
        <v>0</v>
      </c>
      <c r="M61" s="305">
        <v>0</v>
      </c>
      <c r="N61" s="305">
        <v>0</v>
      </c>
      <c r="O61" s="305">
        <v>0</v>
      </c>
    </row>
    <row r="62" spans="2:15" x14ac:dyDescent="0.25">
      <c r="B62" s="305">
        <v>56</v>
      </c>
      <c r="C62" s="305">
        <v>56</v>
      </c>
      <c r="D62" s="305">
        <v>0</v>
      </c>
      <c r="E62" s="305">
        <v>0</v>
      </c>
      <c r="F62" s="305">
        <v>0</v>
      </c>
      <c r="G62" s="305">
        <v>0</v>
      </c>
      <c r="H62" s="305">
        <v>0</v>
      </c>
      <c r="I62" s="305">
        <v>0</v>
      </c>
      <c r="J62" s="305">
        <v>0</v>
      </c>
      <c r="K62" s="305">
        <v>0</v>
      </c>
      <c r="L62" s="305">
        <v>0</v>
      </c>
      <c r="M62" s="305">
        <v>0</v>
      </c>
      <c r="N62" s="305">
        <v>0</v>
      </c>
      <c r="O62" s="305">
        <v>0</v>
      </c>
    </row>
    <row r="63" spans="2:15" x14ac:dyDescent="0.25">
      <c r="B63" s="305">
        <v>57</v>
      </c>
      <c r="C63" s="305">
        <v>57</v>
      </c>
      <c r="D63" s="305">
        <v>301</v>
      </c>
      <c r="E63" s="305">
        <v>313</v>
      </c>
      <c r="F63" s="305">
        <v>256</v>
      </c>
      <c r="G63" s="305">
        <v>192</v>
      </c>
      <c r="H63" s="305">
        <v>234</v>
      </c>
      <c r="I63" s="305">
        <v>276</v>
      </c>
      <c r="J63" s="305">
        <v>283</v>
      </c>
      <c r="K63" s="305">
        <v>228</v>
      </c>
      <c r="L63" s="305">
        <v>262</v>
      </c>
      <c r="M63" s="305">
        <v>341</v>
      </c>
      <c r="N63" s="305">
        <v>279</v>
      </c>
      <c r="O63" s="305">
        <v>251</v>
      </c>
    </row>
    <row r="64" spans="2:15" x14ac:dyDescent="0.25">
      <c r="B64" s="305">
        <v>58</v>
      </c>
      <c r="C64" s="305">
        <v>58</v>
      </c>
      <c r="D64" s="305">
        <v>363</v>
      </c>
      <c r="E64" s="305">
        <v>378</v>
      </c>
      <c r="F64" s="305">
        <v>305</v>
      </c>
      <c r="G64" s="305">
        <v>231</v>
      </c>
      <c r="H64" s="305">
        <v>275</v>
      </c>
      <c r="I64" s="305">
        <v>320</v>
      </c>
      <c r="J64" s="305">
        <v>321</v>
      </c>
      <c r="K64" s="305">
        <v>261</v>
      </c>
      <c r="L64" s="305">
        <v>302</v>
      </c>
      <c r="M64" s="305">
        <v>392</v>
      </c>
      <c r="N64" s="305">
        <v>324</v>
      </c>
      <c r="O64" s="305">
        <v>301</v>
      </c>
    </row>
    <row r="65" spans="2:15" x14ac:dyDescent="0.25">
      <c r="B65" s="305">
        <v>59</v>
      </c>
      <c r="C65" s="305">
        <v>59</v>
      </c>
      <c r="D65" s="305">
        <v>0</v>
      </c>
      <c r="E65" s="305">
        <v>0</v>
      </c>
      <c r="F65" s="305">
        <v>0</v>
      </c>
      <c r="G65" s="305">
        <v>0</v>
      </c>
      <c r="H65" s="305">
        <v>0</v>
      </c>
      <c r="I65" s="305">
        <v>0</v>
      </c>
      <c r="J65" s="305">
        <v>0</v>
      </c>
      <c r="K65" s="305">
        <v>0</v>
      </c>
      <c r="L65" s="305">
        <v>0</v>
      </c>
      <c r="M65" s="305">
        <v>0</v>
      </c>
      <c r="N65" s="305">
        <v>0</v>
      </c>
      <c r="O65" s="305">
        <v>0</v>
      </c>
    </row>
    <row r="66" spans="2:15" x14ac:dyDescent="0.25">
      <c r="B66" s="305">
        <v>60</v>
      </c>
      <c r="C66" s="305">
        <v>60</v>
      </c>
      <c r="D66" s="305">
        <v>0</v>
      </c>
      <c r="E66" s="305">
        <v>0</v>
      </c>
      <c r="F66" s="305">
        <v>0</v>
      </c>
      <c r="G66" s="305">
        <v>0</v>
      </c>
      <c r="H66" s="305">
        <v>0</v>
      </c>
      <c r="I66" s="305">
        <v>0</v>
      </c>
      <c r="J66" s="305">
        <v>0</v>
      </c>
      <c r="K66" s="305">
        <v>0</v>
      </c>
      <c r="L66" s="305">
        <v>0</v>
      </c>
      <c r="M66" s="305">
        <v>0</v>
      </c>
      <c r="N66" s="305">
        <v>0</v>
      </c>
      <c r="O66" s="305">
        <v>0</v>
      </c>
    </row>
    <row r="67" spans="2:15" x14ac:dyDescent="0.25">
      <c r="B67" s="305">
        <v>61</v>
      </c>
      <c r="C67" s="305">
        <v>61</v>
      </c>
      <c r="D67" s="305">
        <v>1490</v>
      </c>
      <c r="E67" s="305">
        <v>1571</v>
      </c>
      <c r="F67" s="305">
        <v>1285</v>
      </c>
      <c r="G67" s="305">
        <v>980</v>
      </c>
      <c r="H67" s="305">
        <v>982</v>
      </c>
      <c r="I67" s="305">
        <v>1072</v>
      </c>
      <c r="J67" s="305">
        <v>970</v>
      </c>
      <c r="K67" s="305">
        <v>798</v>
      </c>
      <c r="L67" s="305">
        <v>882</v>
      </c>
      <c r="M67" s="305">
        <v>1096</v>
      </c>
      <c r="N67" s="305">
        <v>987</v>
      </c>
      <c r="O67" s="305">
        <v>1087</v>
      </c>
    </row>
    <row r="68" spans="2:15" x14ac:dyDescent="0.25">
      <c r="B68" s="305">
        <v>62</v>
      </c>
      <c r="C68" s="305">
        <v>62</v>
      </c>
      <c r="D68" s="305">
        <v>1564</v>
      </c>
      <c r="E68" s="305">
        <v>1652</v>
      </c>
      <c r="F68" s="305">
        <v>1355</v>
      </c>
      <c r="G68" s="305">
        <v>1034</v>
      </c>
      <c r="H68" s="305">
        <v>1036</v>
      </c>
      <c r="I68" s="305">
        <v>1132</v>
      </c>
      <c r="J68" s="305">
        <v>1027</v>
      </c>
      <c r="K68" s="305">
        <v>846</v>
      </c>
      <c r="L68" s="305">
        <v>930</v>
      </c>
      <c r="M68" s="305">
        <v>1160</v>
      </c>
      <c r="N68" s="305">
        <v>1046</v>
      </c>
      <c r="O68" s="305">
        <v>1145</v>
      </c>
    </row>
    <row r="69" spans="2:15" x14ac:dyDescent="0.25">
      <c r="B69" s="305">
        <v>63</v>
      </c>
      <c r="C69" s="305">
        <v>63</v>
      </c>
      <c r="D69" s="305">
        <v>1727</v>
      </c>
      <c r="E69" s="305">
        <v>1830</v>
      </c>
      <c r="F69" s="305">
        <v>1521</v>
      </c>
      <c r="G69" s="305">
        <v>1164</v>
      </c>
      <c r="H69" s="305">
        <v>1160</v>
      </c>
      <c r="I69" s="305">
        <v>1275</v>
      </c>
      <c r="J69" s="305">
        <v>1156</v>
      </c>
      <c r="K69" s="305">
        <v>961</v>
      </c>
      <c r="L69" s="305">
        <v>1045</v>
      </c>
      <c r="M69" s="305">
        <v>1303</v>
      </c>
      <c r="N69" s="305">
        <v>1187</v>
      </c>
      <c r="O69" s="305">
        <v>1284</v>
      </c>
    </row>
    <row r="70" spans="2:15" x14ac:dyDescent="0.25">
      <c r="B70" s="305">
        <v>64</v>
      </c>
      <c r="C70" s="305">
        <v>64</v>
      </c>
      <c r="D70" s="305">
        <v>0</v>
      </c>
      <c r="E70" s="305">
        <v>0</v>
      </c>
      <c r="F70" s="305">
        <v>0</v>
      </c>
      <c r="G70" s="305">
        <v>0</v>
      </c>
      <c r="H70" s="305">
        <v>0</v>
      </c>
      <c r="I70" s="305">
        <v>0</v>
      </c>
      <c r="J70" s="305">
        <v>0</v>
      </c>
      <c r="K70" s="305">
        <v>0</v>
      </c>
      <c r="L70" s="305">
        <v>0</v>
      </c>
      <c r="M70" s="305">
        <v>0</v>
      </c>
      <c r="N70" s="305">
        <v>0</v>
      </c>
      <c r="O70" s="305">
        <v>0</v>
      </c>
    </row>
    <row r="71" spans="2:15" x14ac:dyDescent="0.25">
      <c r="B71" s="305">
        <v>65</v>
      </c>
      <c r="C71" s="305">
        <v>65</v>
      </c>
      <c r="D71" s="305">
        <v>82</v>
      </c>
      <c r="E71" s="305">
        <v>89</v>
      </c>
      <c r="F71" s="305">
        <v>76</v>
      </c>
      <c r="G71" s="305">
        <v>81</v>
      </c>
      <c r="H71" s="305">
        <v>116</v>
      </c>
      <c r="I71" s="305">
        <v>136</v>
      </c>
      <c r="J71" s="305">
        <v>120</v>
      </c>
      <c r="K71" s="305">
        <v>103</v>
      </c>
      <c r="L71" s="305">
        <v>117</v>
      </c>
      <c r="M71" s="305">
        <v>156</v>
      </c>
      <c r="N71" s="305">
        <v>118</v>
      </c>
      <c r="O71" s="305">
        <v>87</v>
      </c>
    </row>
    <row r="72" spans="2:15" x14ac:dyDescent="0.25">
      <c r="B72" s="305">
        <v>66</v>
      </c>
      <c r="C72" s="305">
        <v>66</v>
      </c>
      <c r="D72" s="305">
        <v>14784</v>
      </c>
      <c r="E72" s="305">
        <v>16151</v>
      </c>
      <c r="F72" s="305">
        <v>15026</v>
      </c>
      <c r="G72" s="305">
        <v>11938</v>
      </c>
      <c r="H72" s="305">
        <v>9548</v>
      </c>
      <c r="I72" s="305">
        <v>8841</v>
      </c>
      <c r="J72" s="305">
        <v>7484</v>
      </c>
      <c r="K72" s="305">
        <v>6291</v>
      </c>
      <c r="L72" s="305">
        <v>6327</v>
      </c>
      <c r="M72" s="305">
        <v>7597</v>
      </c>
      <c r="N72" s="305">
        <v>8344</v>
      </c>
      <c r="O72" s="305">
        <v>10989</v>
      </c>
    </row>
    <row r="73" spans="2:15" x14ac:dyDescent="0.25">
      <c r="B73" s="305">
        <v>67</v>
      </c>
      <c r="C73" s="305">
        <v>67</v>
      </c>
      <c r="D73" s="305">
        <v>0</v>
      </c>
      <c r="E73" s="305">
        <v>0</v>
      </c>
      <c r="F73" s="305">
        <v>0</v>
      </c>
      <c r="G73" s="305">
        <v>0</v>
      </c>
      <c r="H73" s="305">
        <v>0</v>
      </c>
      <c r="I73" s="305">
        <v>0</v>
      </c>
      <c r="J73" s="305">
        <v>0</v>
      </c>
      <c r="K73" s="305">
        <v>0</v>
      </c>
      <c r="L73" s="305">
        <v>0</v>
      </c>
      <c r="M73" s="305">
        <v>0</v>
      </c>
      <c r="N73" s="305">
        <v>0</v>
      </c>
      <c r="O73" s="305">
        <v>0</v>
      </c>
    </row>
    <row r="74" spans="2:15" x14ac:dyDescent="0.25">
      <c r="B74" s="305">
        <v>68</v>
      </c>
      <c r="C74" s="305">
        <v>68</v>
      </c>
      <c r="D74" s="305">
        <v>0</v>
      </c>
      <c r="E74" s="305">
        <v>0</v>
      </c>
      <c r="F74" s="305">
        <v>0</v>
      </c>
      <c r="G74" s="305">
        <v>0</v>
      </c>
      <c r="H74" s="305">
        <v>0</v>
      </c>
      <c r="I74" s="305">
        <v>0</v>
      </c>
      <c r="J74" s="305">
        <v>0</v>
      </c>
      <c r="K74" s="305">
        <v>0</v>
      </c>
      <c r="L74" s="305">
        <v>0</v>
      </c>
      <c r="M74" s="305">
        <v>0</v>
      </c>
      <c r="N74" s="305">
        <v>0</v>
      </c>
      <c r="O74" s="305">
        <v>0</v>
      </c>
    </row>
    <row r="75" spans="2:15" x14ac:dyDescent="0.25">
      <c r="B75" s="305">
        <v>69</v>
      </c>
      <c r="C75" s="305">
        <v>69</v>
      </c>
      <c r="D75" s="305">
        <v>0</v>
      </c>
      <c r="E75" s="305">
        <v>0</v>
      </c>
      <c r="F75" s="305">
        <v>0</v>
      </c>
      <c r="G75" s="305">
        <v>0</v>
      </c>
      <c r="H75" s="305">
        <v>0</v>
      </c>
      <c r="I75" s="305">
        <v>0</v>
      </c>
      <c r="J75" s="305">
        <v>0</v>
      </c>
      <c r="K75" s="305">
        <v>0</v>
      </c>
      <c r="L75" s="305">
        <v>0</v>
      </c>
      <c r="M75" s="305">
        <v>0</v>
      </c>
      <c r="N75" s="305">
        <v>0</v>
      </c>
      <c r="O75" s="305">
        <v>0</v>
      </c>
    </row>
    <row r="76" spans="2:15" x14ac:dyDescent="0.25">
      <c r="B76" s="305">
        <v>70</v>
      </c>
      <c r="C76" s="305">
        <v>70</v>
      </c>
      <c r="D76" s="305">
        <v>21</v>
      </c>
      <c r="E76" s="305">
        <v>21</v>
      </c>
      <c r="F76" s="305">
        <v>14</v>
      </c>
      <c r="G76" s="305">
        <v>21</v>
      </c>
      <c r="H76" s="305">
        <v>42</v>
      </c>
      <c r="I76" s="305">
        <v>45</v>
      </c>
      <c r="J76" s="305">
        <v>41</v>
      </c>
      <c r="K76" s="305">
        <v>22</v>
      </c>
      <c r="L76" s="305">
        <v>39</v>
      </c>
      <c r="M76" s="305">
        <v>51</v>
      </c>
      <c r="N76" s="305">
        <v>26</v>
      </c>
      <c r="O76" s="305">
        <v>18</v>
      </c>
    </row>
    <row r="77" spans="2:15" x14ac:dyDescent="0.25">
      <c r="B77" s="305">
        <v>71</v>
      </c>
      <c r="C77" s="305">
        <v>71</v>
      </c>
      <c r="D77" s="305">
        <v>91</v>
      </c>
      <c r="E77" s="305">
        <v>95</v>
      </c>
      <c r="F77" s="305">
        <v>80</v>
      </c>
      <c r="G77" s="305">
        <v>80</v>
      </c>
      <c r="H77" s="305">
        <v>107</v>
      </c>
      <c r="I77" s="305">
        <v>125</v>
      </c>
      <c r="J77" s="305">
        <v>118</v>
      </c>
      <c r="K77" s="305">
        <v>90</v>
      </c>
      <c r="L77" s="305">
        <v>111</v>
      </c>
      <c r="M77" s="305">
        <v>140</v>
      </c>
      <c r="N77" s="305">
        <v>108</v>
      </c>
      <c r="O77" s="305">
        <v>92</v>
      </c>
    </row>
    <row r="78" spans="2:15" x14ac:dyDescent="0.25">
      <c r="B78" s="305">
        <v>72</v>
      </c>
      <c r="C78" s="305">
        <v>72</v>
      </c>
      <c r="D78" s="305">
        <v>95</v>
      </c>
      <c r="E78" s="305">
        <v>100</v>
      </c>
      <c r="F78" s="305">
        <v>84</v>
      </c>
      <c r="G78" s="305">
        <v>84</v>
      </c>
      <c r="H78" s="305">
        <v>112</v>
      </c>
      <c r="I78" s="305">
        <v>131</v>
      </c>
      <c r="J78" s="305">
        <v>124</v>
      </c>
      <c r="K78" s="305">
        <v>94</v>
      </c>
      <c r="L78" s="305">
        <v>117</v>
      </c>
      <c r="M78" s="305">
        <v>146</v>
      </c>
      <c r="N78" s="305">
        <v>114</v>
      </c>
      <c r="O78" s="305">
        <v>96</v>
      </c>
    </row>
    <row r="79" spans="2:15" x14ac:dyDescent="0.25">
      <c r="B79" s="305">
        <v>73</v>
      </c>
      <c r="C79" s="305">
        <v>73</v>
      </c>
      <c r="D79" s="305">
        <v>113</v>
      </c>
      <c r="E79" s="305">
        <v>117</v>
      </c>
      <c r="F79" s="305">
        <v>100</v>
      </c>
      <c r="G79" s="305">
        <v>100</v>
      </c>
      <c r="H79" s="305">
        <v>134</v>
      </c>
      <c r="I79" s="305">
        <v>156</v>
      </c>
      <c r="J79" s="305">
        <v>148</v>
      </c>
      <c r="K79" s="305">
        <v>113</v>
      </c>
      <c r="L79" s="305">
        <v>138</v>
      </c>
      <c r="M79" s="305">
        <v>172</v>
      </c>
      <c r="N79" s="305">
        <v>135</v>
      </c>
      <c r="O79" s="305">
        <v>113</v>
      </c>
    </row>
    <row r="80" spans="2:15" x14ac:dyDescent="0.25">
      <c r="B80" s="305">
        <v>74</v>
      </c>
      <c r="C80" s="305">
        <v>74</v>
      </c>
      <c r="D80" s="305">
        <v>597</v>
      </c>
      <c r="E80" s="305">
        <v>674</v>
      </c>
      <c r="F80" s="305">
        <v>602</v>
      </c>
      <c r="G80" s="305">
        <v>483</v>
      </c>
      <c r="H80" s="305">
        <v>585</v>
      </c>
      <c r="I80" s="305">
        <v>685</v>
      </c>
      <c r="J80" s="305">
        <v>728</v>
      </c>
      <c r="K80" s="305">
        <v>620</v>
      </c>
      <c r="L80" s="305">
        <v>731</v>
      </c>
      <c r="M80" s="305">
        <v>923</v>
      </c>
      <c r="N80" s="305">
        <v>688</v>
      </c>
      <c r="O80" s="305">
        <v>575</v>
      </c>
    </row>
    <row r="81" spans="2:15" x14ac:dyDescent="0.25">
      <c r="B81" s="305">
        <v>75</v>
      </c>
      <c r="C81" s="305">
        <v>75</v>
      </c>
      <c r="D81" s="305">
        <v>774</v>
      </c>
      <c r="E81" s="305">
        <v>861</v>
      </c>
      <c r="F81" s="305">
        <v>767</v>
      </c>
      <c r="G81" s="305">
        <v>642</v>
      </c>
      <c r="H81" s="305">
        <v>782</v>
      </c>
      <c r="I81" s="305">
        <v>923</v>
      </c>
      <c r="J81" s="305">
        <v>951</v>
      </c>
      <c r="K81" s="305">
        <v>804</v>
      </c>
      <c r="L81" s="305">
        <v>942</v>
      </c>
      <c r="M81" s="305">
        <v>1191</v>
      </c>
      <c r="N81" s="305">
        <v>910</v>
      </c>
      <c r="O81" s="305">
        <v>755</v>
      </c>
    </row>
    <row r="82" spans="2:15" x14ac:dyDescent="0.25">
      <c r="B82" s="305">
        <v>76</v>
      </c>
      <c r="C82" s="305">
        <v>76</v>
      </c>
      <c r="D82" s="305">
        <v>682</v>
      </c>
      <c r="E82" s="305">
        <v>765</v>
      </c>
      <c r="F82" s="305">
        <v>681</v>
      </c>
      <c r="G82" s="305">
        <v>564</v>
      </c>
      <c r="H82" s="305">
        <v>689</v>
      </c>
      <c r="I82" s="305">
        <v>811</v>
      </c>
      <c r="J82" s="305">
        <v>844</v>
      </c>
      <c r="K82" s="305">
        <v>713</v>
      </c>
      <c r="L82" s="305">
        <v>843</v>
      </c>
      <c r="M82" s="305">
        <v>1070</v>
      </c>
      <c r="N82" s="305">
        <v>801</v>
      </c>
      <c r="O82" s="305">
        <v>660</v>
      </c>
    </row>
    <row r="83" spans="2:15" x14ac:dyDescent="0.25">
      <c r="B83" s="305">
        <v>77</v>
      </c>
      <c r="C83" s="305">
        <v>77</v>
      </c>
      <c r="D83" s="305">
        <v>885</v>
      </c>
      <c r="E83" s="305">
        <v>982</v>
      </c>
      <c r="F83" s="305">
        <v>856</v>
      </c>
      <c r="G83" s="305">
        <v>757</v>
      </c>
      <c r="H83" s="305">
        <v>948</v>
      </c>
      <c r="I83" s="305">
        <v>1127</v>
      </c>
      <c r="J83" s="305">
        <v>1135</v>
      </c>
      <c r="K83" s="305">
        <v>937</v>
      </c>
      <c r="L83" s="305">
        <v>1110</v>
      </c>
      <c r="M83" s="305">
        <v>1426</v>
      </c>
      <c r="N83" s="305">
        <v>1070</v>
      </c>
      <c r="O83" s="305">
        <v>868</v>
      </c>
    </row>
    <row r="84" spans="2:15" x14ac:dyDescent="0.25">
      <c r="B84" s="305">
        <v>78</v>
      </c>
      <c r="C84" s="305">
        <v>78</v>
      </c>
      <c r="D84" s="305">
        <v>922</v>
      </c>
      <c r="E84" s="305">
        <v>1023</v>
      </c>
      <c r="F84" s="305">
        <v>894</v>
      </c>
      <c r="G84" s="305">
        <v>792</v>
      </c>
      <c r="H84" s="305">
        <v>996</v>
      </c>
      <c r="I84" s="305">
        <v>1182</v>
      </c>
      <c r="J84" s="305">
        <v>1187</v>
      </c>
      <c r="K84" s="305">
        <v>980</v>
      </c>
      <c r="L84" s="305">
        <v>1156</v>
      </c>
      <c r="M84" s="305">
        <v>1500</v>
      </c>
      <c r="N84" s="305">
        <v>1128</v>
      </c>
      <c r="O84" s="305">
        <v>909</v>
      </c>
    </row>
    <row r="85" spans="2:15" x14ac:dyDescent="0.25">
      <c r="B85" s="305">
        <v>79</v>
      </c>
      <c r="C85" s="305">
        <v>79</v>
      </c>
      <c r="D85" s="305">
        <v>0</v>
      </c>
      <c r="E85" s="305">
        <v>0</v>
      </c>
      <c r="F85" s="305">
        <v>0</v>
      </c>
      <c r="G85" s="305">
        <v>0</v>
      </c>
      <c r="H85" s="305">
        <v>0</v>
      </c>
      <c r="I85" s="305">
        <v>0</v>
      </c>
      <c r="J85" s="305">
        <v>0</v>
      </c>
      <c r="K85" s="305">
        <v>0</v>
      </c>
      <c r="L85" s="305">
        <v>0</v>
      </c>
      <c r="M85" s="305">
        <v>0</v>
      </c>
      <c r="N85" s="305">
        <v>0</v>
      </c>
      <c r="O85" s="305">
        <v>0</v>
      </c>
    </row>
    <row r="86" spans="2:15" x14ac:dyDescent="0.25">
      <c r="B86" s="305">
        <v>80</v>
      </c>
      <c r="C86" s="305">
        <v>80</v>
      </c>
      <c r="D86" s="305">
        <v>52</v>
      </c>
      <c r="E86" s="305">
        <v>59</v>
      </c>
      <c r="F86" s="305">
        <v>49</v>
      </c>
      <c r="G86" s="305">
        <v>53</v>
      </c>
      <c r="H86" s="305">
        <v>73</v>
      </c>
      <c r="I86" s="305">
        <v>87</v>
      </c>
      <c r="J86" s="305">
        <v>79</v>
      </c>
      <c r="K86" s="305">
        <v>66</v>
      </c>
      <c r="L86" s="305">
        <v>78</v>
      </c>
      <c r="M86" s="305">
        <v>100</v>
      </c>
      <c r="N86" s="305">
        <v>73</v>
      </c>
      <c r="O86" s="305">
        <v>54</v>
      </c>
    </row>
    <row r="87" spans="2:15" x14ac:dyDescent="0.25">
      <c r="B87" s="305">
        <v>81</v>
      </c>
      <c r="C87" s="305">
        <v>81</v>
      </c>
      <c r="D87" s="305">
        <v>1235</v>
      </c>
      <c r="E87" s="305">
        <v>1367</v>
      </c>
      <c r="F87" s="305">
        <v>1190</v>
      </c>
      <c r="G87" s="305">
        <v>1104</v>
      </c>
      <c r="H87" s="305">
        <v>1432</v>
      </c>
      <c r="I87" s="305">
        <v>1702</v>
      </c>
      <c r="J87" s="305">
        <v>1647</v>
      </c>
      <c r="K87" s="305">
        <v>1366</v>
      </c>
      <c r="L87" s="305">
        <v>1586</v>
      </c>
      <c r="M87" s="305">
        <v>2091</v>
      </c>
      <c r="N87" s="305">
        <v>1580</v>
      </c>
      <c r="O87" s="305">
        <v>1253</v>
      </c>
    </row>
    <row r="88" spans="2:15" x14ac:dyDescent="0.25">
      <c r="B88" s="305">
        <v>82</v>
      </c>
      <c r="C88" s="305">
        <v>82</v>
      </c>
      <c r="D88" s="305">
        <v>0</v>
      </c>
      <c r="E88" s="305">
        <v>0</v>
      </c>
      <c r="F88" s="305">
        <v>0</v>
      </c>
      <c r="G88" s="305">
        <v>0</v>
      </c>
      <c r="H88" s="305">
        <v>0</v>
      </c>
      <c r="I88" s="305">
        <v>0</v>
      </c>
      <c r="J88" s="305">
        <v>0</v>
      </c>
      <c r="K88" s="305">
        <v>0</v>
      </c>
      <c r="L88" s="305">
        <v>0</v>
      </c>
      <c r="M88" s="305">
        <v>0</v>
      </c>
      <c r="N88" s="305">
        <v>0</v>
      </c>
      <c r="O88" s="305">
        <v>0</v>
      </c>
    </row>
    <row r="89" spans="2:15" x14ac:dyDescent="0.25">
      <c r="B89" s="305">
        <v>83</v>
      </c>
      <c r="C89" s="305">
        <v>83</v>
      </c>
      <c r="D89" s="305">
        <v>56</v>
      </c>
      <c r="E89" s="305">
        <v>63</v>
      </c>
      <c r="F89" s="305">
        <v>52</v>
      </c>
      <c r="G89" s="305">
        <v>57</v>
      </c>
      <c r="H89" s="305">
        <v>78</v>
      </c>
      <c r="I89" s="305">
        <v>93</v>
      </c>
      <c r="J89" s="305">
        <v>84</v>
      </c>
      <c r="K89" s="305">
        <v>71</v>
      </c>
      <c r="L89" s="305">
        <v>83</v>
      </c>
      <c r="M89" s="305">
        <v>107</v>
      </c>
      <c r="N89" s="305">
        <v>78</v>
      </c>
      <c r="O89" s="305">
        <v>58</v>
      </c>
    </row>
    <row r="90" spans="2:15" x14ac:dyDescent="0.25">
      <c r="B90" s="305">
        <v>84</v>
      </c>
      <c r="C90" s="305">
        <v>84</v>
      </c>
      <c r="D90" s="305">
        <v>0</v>
      </c>
      <c r="E90" s="305">
        <v>0</v>
      </c>
      <c r="F90" s="305">
        <v>0</v>
      </c>
      <c r="G90" s="305">
        <v>0</v>
      </c>
      <c r="H90" s="305">
        <v>0</v>
      </c>
      <c r="I90" s="305">
        <v>0</v>
      </c>
      <c r="J90" s="305">
        <v>0</v>
      </c>
      <c r="K90" s="305">
        <v>0</v>
      </c>
      <c r="L90" s="305">
        <v>0</v>
      </c>
      <c r="M90" s="305">
        <v>0</v>
      </c>
      <c r="N90" s="305">
        <v>0</v>
      </c>
      <c r="O90" s="305">
        <v>0</v>
      </c>
    </row>
    <row r="91" spans="2:15" x14ac:dyDescent="0.25">
      <c r="B91" s="305">
        <v>85</v>
      </c>
      <c r="C91" s="305">
        <v>85</v>
      </c>
      <c r="D91" s="305">
        <v>108</v>
      </c>
      <c r="E91" s="305">
        <v>141</v>
      </c>
      <c r="F91" s="305">
        <v>106</v>
      </c>
      <c r="G91" s="305">
        <v>107</v>
      </c>
      <c r="H91" s="305">
        <v>138</v>
      </c>
      <c r="I91" s="305">
        <v>153</v>
      </c>
      <c r="J91" s="305">
        <v>202</v>
      </c>
      <c r="K91" s="305">
        <v>216</v>
      </c>
      <c r="L91" s="305">
        <v>245</v>
      </c>
      <c r="M91" s="305">
        <v>207</v>
      </c>
      <c r="N91" s="305">
        <v>128</v>
      </c>
      <c r="O91" s="305">
        <v>106</v>
      </c>
    </row>
    <row r="92" spans="2:15" x14ac:dyDescent="0.25">
      <c r="B92" s="305">
        <v>86</v>
      </c>
      <c r="C92" s="305">
        <v>86</v>
      </c>
      <c r="D92" s="305">
        <v>0</v>
      </c>
      <c r="E92" s="305">
        <v>0</v>
      </c>
      <c r="F92" s="305">
        <v>0</v>
      </c>
      <c r="G92" s="305">
        <v>0</v>
      </c>
      <c r="H92" s="305">
        <v>0</v>
      </c>
      <c r="I92" s="305">
        <v>0</v>
      </c>
      <c r="J92" s="305">
        <v>0</v>
      </c>
      <c r="K92" s="305">
        <v>0</v>
      </c>
      <c r="L92" s="305">
        <v>0</v>
      </c>
      <c r="M92" s="305">
        <v>0</v>
      </c>
      <c r="N92" s="305">
        <v>0</v>
      </c>
      <c r="O92" s="305">
        <v>0</v>
      </c>
    </row>
    <row r="93" spans="2:15" x14ac:dyDescent="0.25">
      <c r="B93" s="305">
        <v>87</v>
      </c>
      <c r="C93" s="305">
        <v>87</v>
      </c>
      <c r="D93" s="305">
        <v>0</v>
      </c>
      <c r="E93" s="305">
        <v>0</v>
      </c>
      <c r="F93" s="305">
        <v>0</v>
      </c>
      <c r="G93" s="305">
        <v>0</v>
      </c>
      <c r="H93" s="305">
        <v>0</v>
      </c>
      <c r="I93" s="305">
        <v>0</v>
      </c>
      <c r="J93" s="305">
        <v>0</v>
      </c>
      <c r="K93" s="305">
        <v>0</v>
      </c>
      <c r="L93" s="305">
        <v>0</v>
      </c>
      <c r="M93" s="305">
        <v>0</v>
      </c>
      <c r="N93" s="305">
        <v>0</v>
      </c>
      <c r="O93" s="305">
        <v>0</v>
      </c>
    </row>
    <row r="94" spans="2:15" x14ac:dyDescent="0.25">
      <c r="B94" s="305">
        <v>88</v>
      </c>
      <c r="C94" s="305">
        <v>88</v>
      </c>
      <c r="D94" s="305">
        <v>177</v>
      </c>
      <c r="E94" s="305">
        <v>222</v>
      </c>
      <c r="F94" s="305">
        <v>180</v>
      </c>
      <c r="G94" s="305">
        <v>158</v>
      </c>
      <c r="H94" s="305">
        <v>203</v>
      </c>
      <c r="I94" s="305">
        <v>222</v>
      </c>
      <c r="J94" s="305">
        <v>265</v>
      </c>
      <c r="K94" s="305">
        <v>285</v>
      </c>
      <c r="L94" s="305">
        <v>336</v>
      </c>
      <c r="M94" s="305">
        <v>350</v>
      </c>
      <c r="N94" s="305">
        <v>232</v>
      </c>
      <c r="O94" s="305">
        <v>170</v>
      </c>
    </row>
    <row r="95" spans="2:15" x14ac:dyDescent="0.25">
      <c r="B95" s="305">
        <v>89</v>
      </c>
      <c r="C95" s="305">
        <v>89</v>
      </c>
      <c r="D95" s="305">
        <v>209</v>
      </c>
      <c r="E95" s="305">
        <v>261</v>
      </c>
      <c r="F95" s="305">
        <v>211</v>
      </c>
      <c r="G95" s="305">
        <v>192</v>
      </c>
      <c r="H95" s="305">
        <v>251</v>
      </c>
      <c r="I95" s="305">
        <v>274</v>
      </c>
      <c r="J95" s="305">
        <v>329</v>
      </c>
      <c r="K95" s="305">
        <v>346</v>
      </c>
      <c r="L95" s="305">
        <v>415</v>
      </c>
      <c r="M95" s="305">
        <v>427</v>
      </c>
      <c r="N95" s="305">
        <v>282</v>
      </c>
      <c r="O95" s="305">
        <v>204</v>
      </c>
    </row>
    <row r="96" spans="2:15" x14ac:dyDescent="0.25">
      <c r="B96" s="305">
        <v>90</v>
      </c>
      <c r="C96" s="305">
        <v>90</v>
      </c>
      <c r="D96" s="305">
        <v>0</v>
      </c>
      <c r="E96" s="305">
        <v>0</v>
      </c>
      <c r="F96" s="305">
        <v>0</v>
      </c>
      <c r="G96" s="305">
        <v>0</v>
      </c>
      <c r="H96" s="305">
        <v>0</v>
      </c>
      <c r="I96" s="305">
        <v>0</v>
      </c>
      <c r="J96" s="305">
        <v>0</v>
      </c>
      <c r="K96" s="305">
        <v>0</v>
      </c>
      <c r="L96" s="305">
        <v>0</v>
      </c>
      <c r="M96" s="305">
        <v>0</v>
      </c>
      <c r="N96" s="305">
        <v>0</v>
      </c>
      <c r="O96" s="305">
        <v>0</v>
      </c>
    </row>
    <row r="97" spans="2:15" x14ac:dyDescent="0.25">
      <c r="B97" s="305">
        <v>91</v>
      </c>
      <c r="C97" s="305">
        <v>91</v>
      </c>
      <c r="D97" s="305">
        <v>0</v>
      </c>
      <c r="E97" s="305">
        <v>0</v>
      </c>
      <c r="F97" s="305">
        <v>0</v>
      </c>
      <c r="G97" s="305">
        <v>0</v>
      </c>
      <c r="H97" s="305">
        <v>0</v>
      </c>
      <c r="I97" s="305">
        <v>0</v>
      </c>
      <c r="J97" s="305">
        <v>0</v>
      </c>
      <c r="K97" s="305">
        <v>0</v>
      </c>
      <c r="L97" s="305">
        <v>0</v>
      </c>
      <c r="M97" s="305">
        <v>0</v>
      </c>
      <c r="N97" s="305">
        <v>0</v>
      </c>
      <c r="O97" s="305">
        <v>0</v>
      </c>
    </row>
    <row r="98" spans="2:15" x14ac:dyDescent="0.25">
      <c r="B98" s="305">
        <v>92</v>
      </c>
      <c r="C98" s="305">
        <v>92</v>
      </c>
      <c r="D98" s="305">
        <v>670</v>
      </c>
      <c r="E98" s="305">
        <v>854</v>
      </c>
      <c r="F98" s="305">
        <v>670</v>
      </c>
      <c r="G98" s="305">
        <v>702</v>
      </c>
      <c r="H98" s="305">
        <v>972</v>
      </c>
      <c r="I98" s="305">
        <v>1087</v>
      </c>
      <c r="J98" s="305">
        <v>1293</v>
      </c>
      <c r="K98" s="305">
        <v>1370</v>
      </c>
      <c r="L98" s="305">
        <v>1578</v>
      </c>
      <c r="M98" s="305">
        <v>1552</v>
      </c>
      <c r="N98" s="305">
        <v>985</v>
      </c>
      <c r="O98" s="305">
        <v>718</v>
      </c>
    </row>
    <row r="99" spans="2:15" x14ac:dyDescent="0.25">
      <c r="B99" s="305">
        <v>93</v>
      </c>
      <c r="C99" s="305">
        <v>93</v>
      </c>
      <c r="D99" s="305">
        <v>34</v>
      </c>
      <c r="E99" s="305">
        <v>34</v>
      </c>
      <c r="F99" s="305">
        <v>29</v>
      </c>
      <c r="G99" s="305">
        <v>36</v>
      </c>
      <c r="H99" s="305">
        <v>55</v>
      </c>
      <c r="I99" s="305">
        <v>69</v>
      </c>
      <c r="J99" s="305">
        <v>77</v>
      </c>
      <c r="K99" s="305">
        <v>71</v>
      </c>
      <c r="L99" s="305">
        <v>79</v>
      </c>
      <c r="M99" s="305">
        <v>84</v>
      </c>
      <c r="N99" s="305">
        <v>59</v>
      </c>
      <c r="O99" s="305">
        <v>44</v>
      </c>
    </row>
    <row r="100" spans="2:15" x14ac:dyDescent="0.25">
      <c r="B100" s="305">
        <v>94</v>
      </c>
      <c r="C100" s="305">
        <v>94</v>
      </c>
      <c r="D100" s="305">
        <v>806</v>
      </c>
      <c r="E100" s="305">
        <v>1008</v>
      </c>
      <c r="F100" s="305">
        <v>805</v>
      </c>
      <c r="G100" s="305">
        <v>860</v>
      </c>
      <c r="H100" s="305">
        <v>1199</v>
      </c>
      <c r="I100" s="305">
        <v>1362</v>
      </c>
      <c r="J100" s="305">
        <v>1595</v>
      </c>
      <c r="K100" s="305">
        <v>1676</v>
      </c>
      <c r="L100" s="305">
        <v>1904</v>
      </c>
      <c r="M100" s="305">
        <v>1886</v>
      </c>
      <c r="N100" s="305">
        <v>1231</v>
      </c>
      <c r="O100" s="305">
        <v>897</v>
      </c>
    </row>
    <row r="101" spans="2:15" x14ac:dyDescent="0.25">
      <c r="B101" s="305">
        <v>95</v>
      </c>
      <c r="C101" s="305">
        <v>95</v>
      </c>
      <c r="D101" s="305">
        <v>0</v>
      </c>
      <c r="E101" s="305">
        <v>0</v>
      </c>
      <c r="F101" s="305">
        <v>0</v>
      </c>
      <c r="G101" s="305">
        <v>0</v>
      </c>
      <c r="H101" s="305">
        <v>0</v>
      </c>
      <c r="I101" s="305">
        <v>0</v>
      </c>
      <c r="J101" s="305">
        <v>0</v>
      </c>
      <c r="K101" s="305">
        <v>0</v>
      </c>
      <c r="L101" s="305">
        <v>0</v>
      </c>
      <c r="M101" s="305">
        <v>0</v>
      </c>
      <c r="N101" s="305">
        <v>0</v>
      </c>
      <c r="O101" s="305">
        <v>0</v>
      </c>
    </row>
    <row r="102" spans="2:15" x14ac:dyDescent="0.25">
      <c r="B102" s="305">
        <v>96</v>
      </c>
      <c r="C102" s="305">
        <v>96</v>
      </c>
      <c r="D102" s="305">
        <v>0</v>
      </c>
      <c r="E102" s="305">
        <v>0</v>
      </c>
      <c r="F102" s="305">
        <v>0</v>
      </c>
      <c r="G102" s="305">
        <v>0</v>
      </c>
      <c r="H102" s="305">
        <v>0</v>
      </c>
      <c r="I102" s="305">
        <v>0</v>
      </c>
      <c r="J102" s="305">
        <v>0</v>
      </c>
      <c r="K102" s="305">
        <v>0</v>
      </c>
      <c r="L102" s="305">
        <v>0</v>
      </c>
      <c r="M102" s="305">
        <v>0</v>
      </c>
      <c r="N102" s="305">
        <v>0</v>
      </c>
      <c r="O102" s="305">
        <v>0</v>
      </c>
    </row>
    <row r="103" spans="2:15" x14ac:dyDescent="0.25">
      <c r="B103" s="305">
        <v>97</v>
      </c>
      <c r="C103" s="305">
        <v>97</v>
      </c>
      <c r="D103" s="305">
        <v>160</v>
      </c>
      <c r="E103" s="305">
        <v>205</v>
      </c>
      <c r="F103" s="305">
        <v>155</v>
      </c>
      <c r="G103" s="305">
        <v>174</v>
      </c>
      <c r="H103" s="305">
        <v>241</v>
      </c>
      <c r="I103" s="305">
        <v>314</v>
      </c>
      <c r="J103" s="305">
        <v>406</v>
      </c>
      <c r="K103" s="305">
        <v>424</v>
      </c>
      <c r="L103" s="305">
        <v>471</v>
      </c>
      <c r="M103" s="305">
        <v>387</v>
      </c>
      <c r="N103" s="305">
        <v>227</v>
      </c>
      <c r="O103" s="305">
        <v>181</v>
      </c>
    </row>
    <row r="104" spans="2:15" x14ac:dyDescent="0.25">
      <c r="B104" s="305">
        <v>98</v>
      </c>
      <c r="C104" s="305">
        <v>98</v>
      </c>
      <c r="D104" s="305">
        <v>93</v>
      </c>
      <c r="E104" s="305">
        <v>121</v>
      </c>
      <c r="F104" s="305">
        <v>92</v>
      </c>
      <c r="G104" s="305">
        <v>99</v>
      </c>
      <c r="H104" s="305">
        <v>128</v>
      </c>
      <c r="I104" s="305">
        <v>170</v>
      </c>
      <c r="J104" s="305">
        <v>219</v>
      </c>
      <c r="K104" s="305">
        <v>233</v>
      </c>
      <c r="L104" s="305">
        <v>252</v>
      </c>
      <c r="M104" s="305">
        <v>202</v>
      </c>
      <c r="N104" s="305">
        <v>123</v>
      </c>
      <c r="O104" s="305">
        <v>98</v>
      </c>
    </row>
    <row r="105" spans="2:15" x14ac:dyDescent="0.25">
      <c r="B105" s="305">
        <v>99</v>
      </c>
      <c r="C105" s="305">
        <v>99</v>
      </c>
      <c r="D105" s="305">
        <v>80</v>
      </c>
      <c r="E105" s="305">
        <v>85</v>
      </c>
      <c r="F105" s="305">
        <v>85</v>
      </c>
      <c r="G105" s="305">
        <v>73</v>
      </c>
      <c r="H105" s="305">
        <v>60</v>
      </c>
      <c r="I105" s="305">
        <v>54</v>
      </c>
      <c r="J105" s="305">
        <v>49</v>
      </c>
      <c r="K105" s="305">
        <v>46</v>
      </c>
      <c r="L105" s="305">
        <v>47</v>
      </c>
      <c r="M105" s="305">
        <v>51</v>
      </c>
      <c r="N105" s="305">
        <v>58</v>
      </c>
      <c r="O105" s="305">
        <v>69</v>
      </c>
    </row>
    <row r="106" spans="2:15" x14ac:dyDescent="0.25">
      <c r="B106" s="305">
        <v>100</v>
      </c>
      <c r="C106" s="305">
        <v>100</v>
      </c>
      <c r="D106" s="305">
        <v>5</v>
      </c>
      <c r="E106" s="305">
        <v>6</v>
      </c>
      <c r="F106" s="305">
        <v>6</v>
      </c>
      <c r="G106" s="305">
        <v>5</v>
      </c>
      <c r="H106" s="305">
        <v>4</v>
      </c>
      <c r="I106" s="305">
        <v>4</v>
      </c>
      <c r="J106" s="305">
        <v>4</v>
      </c>
      <c r="K106" s="305">
        <v>3</v>
      </c>
      <c r="L106" s="305">
        <v>4</v>
      </c>
      <c r="M106" s="305">
        <v>5</v>
      </c>
      <c r="N106" s="305">
        <v>5</v>
      </c>
      <c r="O106" s="305">
        <v>5</v>
      </c>
    </row>
    <row r="107" spans="2:15" x14ac:dyDescent="0.25">
      <c r="B107" s="305">
        <v>101</v>
      </c>
      <c r="C107" s="305">
        <v>101</v>
      </c>
      <c r="D107" s="305">
        <v>113</v>
      </c>
      <c r="E107" s="305">
        <v>135</v>
      </c>
      <c r="F107" s="305">
        <v>105</v>
      </c>
      <c r="G107" s="305">
        <v>76</v>
      </c>
      <c r="H107" s="305">
        <v>93</v>
      </c>
      <c r="I107" s="305">
        <v>91</v>
      </c>
      <c r="J107" s="305">
        <v>117</v>
      </c>
      <c r="K107" s="305">
        <v>132</v>
      </c>
      <c r="L107" s="305">
        <v>162</v>
      </c>
      <c r="M107" s="305">
        <v>169</v>
      </c>
      <c r="N107" s="305">
        <v>115</v>
      </c>
      <c r="O107" s="305">
        <v>96</v>
      </c>
    </row>
    <row r="108" spans="2:15" x14ac:dyDescent="0.25">
      <c r="B108" s="305">
        <v>102</v>
      </c>
      <c r="C108" s="305">
        <v>102</v>
      </c>
      <c r="D108" s="305">
        <v>154</v>
      </c>
      <c r="E108" s="305">
        <v>142</v>
      </c>
      <c r="F108" s="305">
        <v>121</v>
      </c>
      <c r="G108" s="305">
        <v>185</v>
      </c>
      <c r="H108" s="305">
        <v>243</v>
      </c>
      <c r="I108" s="305">
        <v>291</v>
      </c>
      <c r="J108" s="305">
        <v>286</v>
      </c>
      <c r="K108" s="305">
        <v>281</v>
      </c>
      <c r="L108" s="305">
        <v>327</v>
      </c>
      <c r="M108" s="305">
        <v>364</v>
      </c>
      <c r="N108" s="305">
        <v>268</v>
      </c>
      <c r="O108" s="305">
        <v>205</v>
      </c>
    </row>
    <row r="109" spans="2:15" x14ac:dyDescent="0.25">
      <c r="B109" s="305">
        <v>103</v>
      </c>
      <c r="C109" s="305">
        <v>103</v>
      </c>
      <c r="D109" s="305">
        <v>160</v>
      </c>
      <c r="E109" s="305">
        <v>148</v>
      </c>
      <c r="F109" s="305">
        <v>126</v>
      </c>
      <c r="G109" s="305">
        <v>191</v>
      </c>
      <c r="H109" s="305">
        <v>251</v>
      </c>
      <c r="I109" s="305">
        <v>302</v>
      </c>
      <c r="J109" s="305">
        <v>297</v>
      </c>
      <c r="K109" s="305">
        <v>292</v>
      </c>
      <c r="L109" s="305">
        <v>339</v>
      </c>
      <c r="M109" s="305">
        <v>378</v>
      </c>
      <c r="N109" s="305">
        <v>280</v>
      </c>
      <c r="O109" s="305">
        <v>213</v>
      </c>
    </row>
    <row r="110" spans="2:15" x14ac:dyDescent="0.25">
      <c r="B110" s="305">
        <v>104</v>
      </c>
      <c r="C110" s="305">
        <v>104</v>
      </c>
      <c r="D110" s="305">
        <v>45</v>
      </c>
      <c r="E110" s="305">
        <v>46</v>
      </c>
      <c r="F110" s="305">
        <v>41</v>
      </c>
      <c r="G110" s="305">
        <v>29</v>
      </c>
      <c r="H110" s="305">
        <v>22</v>
      </c>
      <c r="I110" s="305">
        <v>21</v>
      </c>
      <c r="J110" s="305">
        <v>18</v>
      </c>
      <c r="K110" s="305">
        <v>16</v>
      </c>
      <c r="L110" s="305">
        <v>21</v>
      </c>
      <c r="M110" s="305">
        <v>27</v>
      </c>
      <c r="N110" s="305">
        <v>26</v>
      </c>
      <c r="O110" s="305">
        <v>35</v>
      </c>
    </row>
    <row r="111" spans="2:15" x14ac:dyDescent="0.25">
      <c r="B111" s="305">
        <v>105</v>
      </c>
      <c r="C111" s="305">
        <v>105</v>
      </c>
      <c r="D111" s="305">
        <v>0</v>
      </c>
      <c r="E111" s="305">
        <v>0</v>
      </c>
      <c r="F111" s="305">
        <v>0</v>
      </c>
      <c r="G111" s="305">
        <v>0</v>
      </c>
      <c r="H111" s="305">
        <v>0</v>
      </c>
      <c r="I111" s="305">
        <v>0</v>
      </c>
      <c r="J111" s="305">
        <v>0</v>
      </c>
      <c r="K111" s="305">
        <v>0</v>
      </c>
      <c r="L111" s="305">
        <v>0</v>
      </c>
      <c r="M111" s="305">
        <v>0</v>
      </c>
      <c r="N111" s="305">
        <v>0</v>
      </c>
      <c r="O111" s="305">
        <v>0</v>
      </c>
    </row>
    <row r="112" spans="2:15" x14ac:dyDescent="0.25">
      <c r="B112" s="305">
        <v>106</v>
      </c>
      <c r="C112" s="305">
        <v>106</v>
      </c>
      <c r="D112" s="305">
        <v>0</v>
      </c>
      <c r="E112" s="305">
        <v>0</v>
      </c>
      <c r="F112" s="305">
        <v>0</v>
      </c>
      <c r="G112" s="305">
        <v>0</v>
      </c>
      <c r="H112" s="305">
        <v>0</v>
      </c>
      <c r="I112" s="305">
        <v>0</v>
      </c>
      <c r="J112" s="305">
        <v>0</v>
      </c>
      <c r="K112" s="305">
        <v>0</v>
      </c>
      <c r="L112" s="305">
        <v>0</v>
      </c>
      <c r="M112" s="305">
        <v>0</v>
      </c>
      <c r="N112" s="305">
        <v>0</v>
      </c>
      <c r="O112" s="305">
        <v>0</v>
      </c>
    </row>
    <row r="113" spans="2:15" x14ac:dyDescent="0.25">
      <c r="B113" s="305">
        <v>107</v>
      </c>
      <c r="C113" s="305">
        <v>107</v>
      </c>
      <c r="D113" s="305">
        <v>0</v>
      </c>
      <c r="E113" s="305">
        <v>0</v>
      </c>
      <c r="F113" s="305">
        <v>0</v>
      </c>
      <c r="G113" s="305">
        <v>0</v>
      </c>
      <c r="H113" s="305">
        <v>0</v>
      </c>
      <c r="I113" s="305">
        <v>0</v>
      </c>
      <c r="J113" s="305">
        <v>0</v>
      </c>
      <c r="K113" s="305">
        <v>0</v>
      </c>
      <c r="L113" s="305">
        <v>0</v>
      </c>
      <c r="M113" s="305">
        <v>0</v>
      </c>
      <c r="N113" s="305">
        <v>0</v>
      </c>
      <c r="O113" s="305">
        <v>0</v>
      </c>
    </row>
    <row r="114" spans="2:15" x14ac:dyDescent="0.25">
      <c r="B114" s="305">
        <v>108</v>
      </c>
      <c r="C114" s="305">
        <v>108</v>
      </c>
      <c r="D114" s="305">
        <v>0</v>
      </c>
      <c r="E114" s="305">
        <v>0</v>
      </c>
      <c r="F114" s="305">
        <v>0</v>
      </c>
      <c r="G114" s="305">
        <v>0</v>
      </c>
      <c r="H114" s="305">
        <v>0</v>
      </c>
      <c r="I114" s="305">
        <v>0</v>
      </c>
      <c r="J114" s="305">
        <v>0</v>
      </c>
      <c r="K114" s="305">
        <v>0</v>
      </c>
      <c r="L114" s="305">
        <v>0</v>
      </c>
      <c r="M114" s="305">
        <v>0</v>
      </c>
      <c r="N114" s="305">
        <v>0</v>
      </c>
      <c r="O114" s="305">
        <v>0</v>
      </c>
    </row>
    <row r="115" spans="2:15" x14ac:dyDescent="0.25">
      <c r="B115" s="305">
        <v>109</v>
      </c>
      <c r="C115" s="305">
        <v>109</v>
      </c>
      <c r="D115" s="305">
        <v>26</v>
      </c>
      <c r="E115" s="305">
        <v>26</v>
      </c>
      <c r="F115" s="305">
        <v>23</v>
      </c>
      <c r="G115" s="305">
        <v>17</v>
      </c>
      <c r="H115" s="305">
        <v>12</v>
      </c>
      <c r="I115" s="305">
        <v>11</v>
      </c>
      <c r="J115" s="305">
        <v>9</v>
      </c>
      <c r="K115" s="305">
        <v>8</v>
      </c>
      <c r="L115" s="305">
        <v>12</v>
      </c>
      <c r="M115" s="305">
        <v>15</v>
      </c>
      <c r="N115" s="305">
        <v>15</v>
      </c>
      <c r="O115" s="305">
        <v>21</v>
      </c>
    </row>
    <row r="116" spans="2:15" x14ac:dyDescent="0.25">
      <c r="B116" s="305">
        <v>110</v>
      </c>
      <c r="C116" s="305">
        <v>110</v>
      </c>
      <c r="D116" s="305">
        <v>20</v>
      </c>
      <c r="E116" s="305">
        <v>19</v>
      </c>
      <c r="F116" s="305">
        <v>15</v>
      </c>
      <c r="G116" s="305">
        <v>20</v>
      </c>
      <c r="H116" s="305">
        <v>27</v>
      </c>
      <c r="I116" s="305">
        <v>33</v>
      </c>
      <c r="J116" s="305">
        <v>38</v>
      </c>
      <c r="K116" s="305">
        <v>40</v>
      </c>
      <c r="L116" s="305">
        <v>43</v>
      </c>
      <c r="M116" s="305">
        <v>45</v>
      </c>
      <c r="N116" s="305">
        <v>32</v>
      </c>
      <c r="O116" s="305">
        <v>23</v>
      </c>
    </row>
    <row r="117" spans="2:15" x14ac:dyDescent="0.25">
      <c r="B117" s="305">
        <v>111</v>
      </c>
      <c r="C117" s="305">
        <v>111</v>
      </c>
      <c r="D117" s="305">
        <v>132</v>
      </c>
      <c r="E117" s="305">
        <v>123</v>
      </c>
      <c r="F117" s="305">
        <v>104</v>
      </c>
      <c r="G117" s="305">
        <v>137</v>
      </c>
      <c r="H117" s="305">
        <v>192</v>
      </c>
      <c r="I117" s="305">
        <v>235</v>
      </c>
      <c r="J117" s="305">
        <v>264</v>
      </c>
      <c r="K117" s="305">
        <v>273</v>
      </c>
      <c r="L117" s="305">
        <v>312</v>
      </c>
      <c r="M117" s="305">
        <v>308</v>
      </c>
      <c r="N117" s="305">
        <v>219</v>
      </c>
      <c r="O117" s="305">
        <v>170</v>
      </c>
    </row>
    <row r="118" spans="2:15" x14ac:dyDescent="0.25">
      <c r="B118" s="305">
        <v>112</v>
      </c>
      <c r="C118" s="305">
        <v>112</v>
      </c>
      <c r="D118" s="305">
        <v>134</v>
      </c>
      <c r="E118" s="305">
        <v>124</v>
      </c>
      <c r="F118" s="305">
        <v>105</v>
      </c>
      <c r="G118" s="305">
        <v>138</v>
      </c>
      <c r="H118" s="305">
        <v>194</v>
      </c>
      <c r="I118" s="305">
        <v>237</v>
      </c>
      <c r="J118" s="305">
        <v>266</v>
      </c>
      <c r="K118" s="305">
        <v>275</v>
      </c>
      <c r="L118" s="305">
        <v>314</v>
      </c>
      <c r="M118" s="305">
        <v>311</v>
      </c>
      <c r="N118" s="305">
        <v>221</v>
      </c>
      <c r="O118" s="305">
        <v>171</v>
      </c>
    </row>
    <row r="119" spans="2:15" x14ac:dyDescent="0.25">
      <c r="B119" s="305">
        <v>113</v>
      </c>
      <c r="C119" s="305">
        <v>113</v>
      </c>
      <c r="D119" s="305">
        <v>166</v>
      </c>
      <c r="E119" s="305">
        <v>154</v>
      </c>
      <c r="F119" s="305">
        <v>131</v>
      </c>
      <c r="G119" s="305">
        <v>176</v>
      </c>
      <c r="H119" s="305">
        <v>247</v>
      </c>
      <c r="I119" s="305">
        <v>301</v>
      </c>
      <c r="J119" s="305">
        <v>343</v>
      </c>
      <c r="K119" s="305">
        <v>348</v>
      </c>
      <c r="L119" s="305">
        <v>398</v>
      </c>
      <c r="M119" s="305">
        <v>394</v>
      </c>
      <c r="N119" s="305">
        <v>285</v>
      </c>
      <c r="O119" s="305">
        <v>212</v>
      </c>
    </row>
    <row r="120" spans="2:15" x14ac:dyDescent="0.25">
      <c r="B120" s="305">
        <v>114</v>
      </c>
      <c r="C120" s="305">
        <v>114</v>
      </c>
      <c r="D120" s="305">
        <v>201</v>
      </c>
      <c r="E120" s="305">
        <v>191</v>
      </c>
      <c r="F120" s="305">
        <v>163</v>
      </c>
      <c r="G120" s="305">
        <v>225</v>
      </c>
      <c r="H120" s="305">
        <v>302</v>
      </c>
      <c r="I120" s="305">
        <v>384</v>
      </c>
      <c r="J120" s="305">
        <v>433</v>
      </c>
      <c r="K120" s="305">
        <v>425</v>
      </c>
      <c r="L120" s="305">
        <v>483</v>
      </c>
      <c r="M120" s="305">
        <v>475</v>
      </c>
      <c r="N120" s="305">
        <v>341</v>
      </c>
      <c r="O120" s="305">
        <v>254</v>
      </c>
    </row>
    <row r="121" spans="2:15" x14ac:dyDescent="0.25">
      <c r="B121" s="305">
        <v>115</v>
      </c>
      <c r="C121" s="305">
        <v>115</v>
      </c>
      <c r="D121" s="305">
        <v>25</v>
      </c>
      <c r="E121" s="305">
        <v>27</v>
      </c>
      <c r="F121" s="305">
        <v>24</v>
      </c>
      <c r="G121" s="305">
        <v>18</v>
      </c>
      <c r="H121" s="305">
        <v>17</v>
      </c>
      <c r="I121" s="305">
        <v>17</v>
      </c>
      <c r="J121" s="305">
        <v>17</v>
      </c>
      <c r="K121" s="305">
        <v>14</v>
      </c>
      <c r="L121" s="305">
        <v>18</v>
      </c>
      <c r="M121" s="305">
        <v>20</v>
      </c>
      <c r="N121" s="305">
        <v>19</v>
      </c>
      <c r="O121" s="305">
        <v>20</v>
      </c>
    </row>
    <row r="122" spans="2:15" x14ac:dyDescent="0.25">
      <c r="B122" s="305">
        <v>116</v>
      </c>
      <c r="C122" s="305">
        <v>116</v>
      </c>
      <c r="D122" s="305">
        <v>6</v>
      </c>
      <c r="E122" s="305">
        <v>6</v>
      </c>
      <c r="F122" s="305">
        <v>5</v>
      </c>
      <c r="G122" s="305">
        <v>4</v>
      </c>
      <c r="H122" s="305">
        <v>3</v>
      </c>
      <c r="I122" s="305">
        <v>2</v>
      </c>
      <c r="J122" s="305">
        <v>2</v>
      </c>
      <c r="K122" s="305">
        <v>2</v>
      </c>
      <c r="L122" s="305">
        <v>3</v>
      </c>
      <c r="M122" s="305">
        <v>3</v>
      </c>
      <c r="N122" s="305">
        <v>3</v>
      </c>
      <c r="O122" s="305">
        <v>5</v>
      </c>
    </row>
    <row r="123" spans="2:15" x14ac:dyDescent="0.25">
      <c r="B123" s="305">
        <v>117</v>
      </c>
      <c r="C123" s="305">
        <v>117</v>
      </c>
      <c r="D123" s="305">
        <v>19</v>
      </c>
      <c r="E123" s="305">
        <v>20</v>
      </c>
      <c r="F123" s="305">
        <v>18</v>
      </c>
      <c r="G123" s="305">
        <v>13</v>
      </c>
      <c r="H123" s="305">
        <v>10</v>
      </c>
      <c r="I123" s="305">
        <v>10</v>
      </c>
      <c r="J123" s="305">
        <v>8</v>
      </c>
      <c r="K123" s="305">
        <v>7</v>
      </c>
      <c r="L123" s="305">
        <v>9</v>
      </c>
      <c r="M123" s="305">
        <v>11</v>
      </c>
      <c r="N123" s="305">
        <v>11</v>
      </c>
      <c r="O123" s="305">
        <v>14</v>
      </c>
    </row>
    <row r="124" spans="2:15" x14ac:dyDescent="0.25">
      <c r="B124" s="305">
        <v>118</v>
      </c>
      <c r="C124" s="305">
        <v>118</v>
      </c>
      <c r="D124" s="305">
        <v>26</v>
      </c>
      <c r="E124" s="305">
        <v>26</v>
      </c>
      <c r="F124" s="305">
        <v>23</v>
      </c>
      <c r="G124" s="305">
        <v>17</v>
      </c>
      <c r="H124" s="305">
        <v>12</v>
      </c>
      <c r="I124" s="305">
        <v>11</v>
      </c>
      <c r="J124" s="305">
        <v>9</v>
      </c>
      <c r="K124" s="305">
        <v>8</v>
      </c>
      <c r="L124" s="305">
        <v>12</v>
      </c>
      <c r="M124" s="305">
        <v>15</v>
      </c>
      <c r="N124" s="305">
        <v>15</v>
      </c>
      <c r="O124" s="305">
        <v>21</v>
      </c>
    </row>
    <row r="125" spans="2:15" x14ac:dyDescent="0.25">
      <c r="B125" s="305">
        <v>119</v>
      </c>
      <c r="C125" s="305">
        <v>119</v>
      </c>
      <c r="D125" s="305">
        <v>32</v>
      </c>
      <c r="E125" s="305">
        <v>31</v>
      </c>
      <c r="F125" s="305">
        <v>28</v>
      </c>
      <c r="G125" s="305">
        <v>20</v>
      </c>
      <c r="H125" s="305">
        <v>15</v>
      </c>
      <c r="I125" s="305">
        <v>13</v>
      </c>
      <c r="J125" s="305">
        <v>11</v>
      </c>
      <c r="K125" s="305">
        <v>10</v>
      </c>
      <c r="L125" s="305">
        <v>15</v>
      </c>
      <c r="M125" s="305">
        <v>19</v>
      </c>
      <c r="N125" s="305">
        <v>19</v>
      </c>
      <c r="O125" s="305">
        <v>25</v>
      </c>
    </row>
    <row r="126" spans="2:15" x14ac:dyDescent="0.25">
      <c r="B126" s="305">
        <v>120</v>
      </c>
      <c r="C126" s="305">
        <v>120</v>
      </c>
      <c r="D126" s="305">
        <v>45</v>
      </c>
      <c r="E126" s="305">
        <v>48</v>
      </c>
      <c r="F126" s="305">
        <v>46</v>
      </c>
      <c r="G126" s="305">
        <v>34</v>
      </c>
      <c r="H126" s="305">
        <v>27</v>
      </c>
      <c r="I126" s="305">
        <v>24</v>
      </c>
      <c r="J126" s="305">
        <v>20</v>
      </c>
      <c r="K126" s="305">
        <v>17</v>
      </c>
      <c r="L126" s="305">
        <v>18</v>
      </c>
      <c r="M126" s="305">
        <v>20</v>
      </c>
      <c r="N126" s="305">
        <v>24</v>
      </c>
      <c r="O126" s="305">
        <v>34</v>
      </c>
    </row>
    <row r="127" spans="2:15" x14ac:dyDescent="0.25">
      <c r="B127" s="305">
        <v>121</v>
      </c>
      <c r="C127" s="305">
        <v>121</v>
      </c>
      <c r="D127" s="305">
        <v>107</v>
      </c>
      <c r="E127" s="305">
        <v>113</v>
      </c>
      <c r="F127" s="305">
        <v>103</v>
      </c>
      <c r="G127" s="305">
        <v>80</v>
      </c>
      <c r="H127" s="305">
        <v>62</v>
      </c>
      <c r="I127" s="305">
        <v>55</v>
      </c>
      <c r="J127" s="305">
        <v>48</v>
      </c>
      <c r="K127" s="305">
        <v>42</v>
      </c>
      <c r="L127" s="305">
        <v>45</v>
      </c>
      <c r="M127" s="305">
        <v>51</v>
      </c>
      <c r="N127" s="305">
        <v>59</v>
      </c>
      <c r="O127" s="305">
        <v>80</v>
      </c>
    </row>
    <row r="128" spans="2:15" x14ac:dyDescent="0.25">
      <c r="B128" s="305">
        <v>122</v>
      </c>
      <c r="C128" s="305">
        <v>122</v>
      </c>
      <c r="D128" s="305">
        <v>121</v>
      </c>
      <c r="E128" s="305">
        <v>130</v>
      </c>
      <c r="F128" s="305">
        <v>117</v>
      </c>
      <c r="G128" s="305">
        <v>91</v>
      </c>
      <c r="H128" s="305">
        <v>71</v>
      </c>
      <c r="I128" s="305">
        <v>63</v>
      </c>
      <c r="J128" s="305">
        <v>55</v>
      </c>
      <c r="K128" s="305">
        <v>48</v>
      </c>
      <c r="L128" s="305">
        <v>52</v>
      </c>
      <c r="M128" s="305">
        <v>58</v>
      </c>
      <c r="N128" s="305">
        <v>67</v>
      </c>
      <c r="O128" s="305">
        <v>90</v>
      </c>
    </row>
    <row r="129" spans="2:15" x14ac:dyDescent="0.25">
      <c r="B129" s="305">
        <v>123</v>
      </c>
      <c r="C129" s="305">
        <v>123</v>
      </c>
      <c r="D129" s="305">
        <v>382</v>
      </c>
      <c r="E129" s="305">
        <v>404</v>
      </c>
      <c r="F129" s="305">
        <v>388</v>
      </c>
      <c r="G129" s="305">
        <v>277</v>
      </c>
      <c r="H129" s="305">
        <v>193</v>
      </c>
      <c r="I129" s="305">
        <v>167</v>
      </c>
      <c r="J129" s="305">
        <v>142</v>
      </c>
      <c r="K129" s="305">
        <v>121</v>
      </c>
      <c r="L129" s="305">
        <v>126</v>
      </c>
      <c r="M129" s="305">
        <v>150</v>
      </c>
      <c r="N129" s="305">
        <v>187</v>
      </c>
      <c r="O129" s="305">
        <v>270</v>
      </c>
    </row>
    <row r="130" spans="2:15" x14ac:dyDescent="0.25">
      <c r="B130" s="305">
        <v>124</v>
      </c>
      <c r="C130" s="305">
        <v>124</v>
      </c>
      <c r="D130" s="305">
        <v>0</v>
      </c>
      <c r="E130" s="305">
        <v>0</v>
      </c>
      <c r="F130" s="305">
        <v>0</v>
      </c>
      <c r="G130" s="305">
        <v>0</v>
      </c>
      <c r="H130" s="305">
        <v>0</v>
      </c>
      <c r="I130" s="305">
        <v>0</v>
      </c>
      <c r="J130" s="305">
        <v>0</v>
      </c>
      <c r="K130" s="305">
        <v>0</v>
      </c>
      <c r="L130" s="305">
        <v>0</v>
      </c>
      <c r="M130" s="305">
        <v>0</v>
      </c>
      <c r="N130" s="305">
        <v>0</v>
      </c>
      <c r="O130" s="305">
        <v>0</v>
      </c>
    </row>
    <row r="131" spans="2:15" x14ac:dyDescent="0.25">
      <c r="B131" s="305">
        <v>125</v>
      </c>
      <c r="C131" s="305">
        <v>125</v>
      </c>
      <c r="D131" s="305">
        <v>501</v>
      </c>
      <c r="E131" s="305">
        <v>523</v>
      </c>
      <c r="F131" s="305">
        <v>497</v>
      </c>
      <c r="G131" s="305">
        <v>350</v>
      </c>
      <c r="H131" s="305">
        <v>245</v>
      </c>
      <c r="I131" s="305">
        <v>210</v>
      </c>
      <c r="J131" s="305">
        <v>176</v>
      </c>
      <c r="K131" s="305">
        <v>150</v>
      </c>
      <c r="L131" s="305">
        <v>155</v>
      </c>
      <c r="M131" s="305">
        <v>186</v>
      </c>
      <c r="N131" s="305">
        <v>241</v>
      </c>
      <c r="O131" s="305">
        <v>353</v>
      </c>
    </row>
    <row r="132" spans="2:15" x14ac:dyDescent="0.25">
      <c r="B132" s="305">
        <v>126</v>
      </c>
      <c r="C132" s="305">
        <v>126</v>
      </c>
      <c r="D132" s="305">
        <v>328</v>
      </c>
      <c r="E132" s="305">
        <v>327</v>
      </c>
      <c r="F132" s="305">
        <v>331</v>
      </c>
      <c r="G132" s="305">
        <v>297</v>
      </c>
      <c r="H132" s="305">
        <v>218</v>
      </c>
      <c r="I132" s="305">
        <v>163</v>
      </c>
      <c r="J132" s="305">
        <v>126</v>
      </c>
      <c r="K132" s="305">
        <v>94</v>
      </c>
      <c r="L132" s="305">
        <v>94</v>
      </c>
      <c r="M132" s="305">
        <v>130</v>
      </c>
      <c r="N132" s="305">
        <v>213</v>
      </c>
      <c r="O132" s="305">
        <v>305</v>
      </c>
    </row>
    <row r="133" spans="2:15" x14ac:dyDescent="0.25">
      <c r="B133" s="305">
        <v>127</v>
      </c>
      <c r="C133" s="305">
        <v>127</v>
      </c>
      <c r="D133" s="305">
        <v>775</v>
      </c>
      <c r="E133" s="305">
        <v>775</v>
      </c>
      <c r="F133" s="305">
        <v>712</v>
      </c>
      <c r="G133" s="305">
        <v>476</v>
      </c>
      <c r="H133" s="305">
        <v>312</v>
      </c>
      <c r="I133" s="305">
        <v>260</v>
      </c>
      <c r="J133" s="305">
        <v>217</v>
      </c>
      <c r="K133" s="305">
        <v>184</v>
      </c>
      <c r="L133" s="305">
        <v>188</v>
      </c>
      <c r="M133" s="305">
        <v>222</v>
      </c>
      <c r="N133" s="305">
        <v>316</v>
      </c>
      <c r="O133" s="305">
        <v>520</v>
      </c>
    </row>
    <row r="134" spans="2:15" x14ac:dyDescent="0.25">
      <c r="B134" s="305">
        <v>128</v>
      </c>
      <c r="C134" s="305">
        <v>128</v>
      </c>
      <c r="D134" s="305">
        <v>0</v>
      </c>
      <c r="E134" s="305">
        <v>0</v>
      </c>
      <c r="F134" s="305">
        <v>0</v>
      </c>
      <c r="G134" s="305">
        <v>0</v>
      </c>
      <c r="H134" s="305">
        <v>0</v>
      </c>
      <c r="I134" s="305">
        <v>0</v>
      </c>
      <c r="J134" s="305">
        <v>0</v>
      </c>
      <c r="K134" s="305">
        <v>0</v>
      </c>
      <c r="L134" s="305">
        <v>0</v>
      </c>
      <c r="M134" s="305">
        <v>0</v>
      </c>
      <c r="N134" s="305">
        <v>0</v>
      </c>
      <c r="O134" s="305">
        <v>0</v>
      </c>
    </row>
    <row r="135" spans="2:15" x14ac:dyDescent="0.25">
      <c r="B135" s="305">
        <v>129</v>
      </c>
      <c r="C135" s="305">
        <v>129</v>
      </c>
      <c r="D135" s="305">
        <v>972</v>
      </c>
      <c r="E135" s="305">
        <v>971</v>
      </c>
      <c r="F135" s="305">
        <v>908</v>
      </c>
      <c r="G135" s="305">
        <v>662</v>
      </c>
      <c r="H135" s="305">
        <v>473</v>
      </c>
      <c r="I135" s="305">
        <v>397</v>
      </c>
      <c r="J135" s="305">
        <v>336</v>
      </c>
      <c r="K135" s="305">
        <v>288</v>
      </c>
      <c r="L135" s="305">
        <v>292</v>
      </c>
      <c r="M135" s="305">
        <v>347</v>
      </c>
      <c r="N135" s="305">
        <v>471</v>
      </c>
      <c r="O135" s="305">
        <v>705</v>
      </c>
    </row>
    <row r="136" spans="2:15" x14ac:dyDescent="0.25">
      <c r="B136" s="305">
        <v>130</v>
      </c>
      <c r="C136" s="305">
        <v>130</v>
      </c>
      <c r="D136" s="305">
        <v>1086</v>
      </c>
      <c r="E136" s="305">
        <v>1088</v>
      </c>
      <c r="F136" s="305">
        <v>1018</v>
      </c>
      <c r="G136" s="305">
        <v>737</v>
      </c>
      <c r="H136" s="305">
        <v>522</v>
      </c>
      <c r="I136" s="305">
        <v>438</v>
      </c>
      <c r="J136" s="305">
        <v>369</v>
      </c>
      <c r="K136" s="305">
        <v>316</v>
      </c>
      <c r="L136" s="305">
        <v>321</v>
      </c>
      <c r="M136" s="305">
        <v>383</v>
      </c>
      <c r="N136" s="305">
        <v>522</v>
      </c>
      <c r="O136" s="305">
        <v>787</v>
      </c>
    </row>
    <row r="137" spans="2:15" x14ac:dyDescent="0.25">
      <c r="B137" s="305">
        <v>131</v>
      </c>
      <c r="C137" s="305">
        <v>131</v>
      </c>
      <c r="D137" s="305">
        <v>144</v>
      </c>
      <c r="E137" s="305">
        <v>143</v>
      </c>
      <c r="F137" s="305">
        <v>144</v>
      </c>
      <c r="G137" s="305">
        <v>143</v>
      </c>
      <c r="H137" s="305">
        <v>135</v>
      </c>
      <c r="I137" s="305">
        <v>122</v>
      </c>
      <c r="J137" s="305">
        <v>110</v>
      </c>
      <c r="K137" s="305">
        <v>96</v>
      </c>
      <c r="L137" s="305">
        <v>97</v>
      </c>
      <c r="M137" s="305">
        <v>112</v>
      </c>
      <c r="N137" s="305">
        <v>131</v>
      </c>
      <c r="O137" s="305">
        <v>142</v>
      </c>
    </row>
    <row r="138" spans="2:15" x14ac:dyDescent="0.25">
      <c r="B138" s="305">
        <v>132</v>
      </c>
      <c r="C138" s="305">
        <v>132</v>
      </c>
      <c r="D138" s="305">
        <v>31</v>
      </c>
      <c r="E138" s="305">
        <v>30</v>
      </c>
      <c r="F138" s="305">
        <v>29</v>
      </c>
      <c r="G138" s="305">
        <v>24</v>
      </c>
      <c r="H138" s="305">
        <v>17</v>
      </c>
      <c r="I138" s="305">
        <v>12</v>
      </c>
      <c r="J138" s="305">
        <v>10</v>
      </c>
      <c r="K138" s="305">
        <v>9</v>
      </c>
      <c r="L138" s="305">
        <v>9</v>
      </c>
      <c r="M138" s="305">
        <v>11</v>
      </c>
      <c r="N138" s="305">
        <v>17</v>
      </c>
      <c r="O138" s="305">
        <v>25</v>
      </c>
    </row>
    <row r="139" spans="2:15" x14ac:dyDescent="0.25">
      <c r="B139" s="305">
        <v>133</v>
      </c>
      <c r="C139" s="305">
        <v>133</v>
      </c>
      <c r="D139" s="305">
        <v>0</v>
      </c>
      <c r="E139" s="305">
        <v>0</v>
      </c>
      <c r="F139" s="305">
        <v>0</v>
      </c>
      <c r="G139" s="305">
        <v>0</v>
      </c>
      <c r="H139" s="305">
        <v>0</v>
      </c>
      <c r="I139" s="305">
        <v>0</v>
      </c>
      <c r="J139" s="305">
        <v>0</v>
      </c>
      <c r="K139" s="305">
        <v>0</v>
      </c>
      <c r="L139" s="305">
        <v>0</v>
      </c>
      <c r="M139" s="305">
        <v>0</v>
      </c>
      <c r="N139" s="305">
        <v>0</v>
      </c>
      <c r="O139" s="305">
        <v>0</v>
      </c>
    </row>
    <row r="140" spans="2:15" x14ac:dyDescent="0.25">
      <c r="B140" s="305">
        <v>134</v>
      </c>
      <c r="C140" s="305">
        <v>134</v>
      </c>
      <c r="D140" s="305">
        <v>297</v>
      </c>
      <c r="E140" s="305">
        <v>240</v>
      </c>
      <c r="F140" s="305">
        <v>215</v>
      </c>
      <c r="G140" s="305">
        <v>163</v>
      </c>
      <c r="H140" s="305">
        <v>117</v>
      </c>
      <c r="I140" s="305">
        <v>96</v>
      </c>
      <c r="J140" s="305">
        <v>82</v>
      </c>
      <c r="K140" s="305">
        <v>71</v>
      </c>
      <c r="L140" s="305">
        <v>68</v>
      </c>
      <c r="M140" s="305">
        <v>87</v>
      </c>
      <c r="N140" s="305">
        <v>162</v>
      </c>
      <c r="O140" s="305">
        <v>258</v>
      </c>
    </row>
    <row r="141" spans="2:15" x14ac:dyDescent="0.25">
      <c r="B141" s="305">
        <v>135</v>
      </c>
      <c r="C141" s="305">
        <v>135</v>
      </c>
      <c r="D141" s="305">
        <v>0</v>
      </c>
      <c r="E141" s="305">
        <v>0</v>
      </c>
      <c r="F141" s="305">
        <v>0</v>
      </c>
      <c r="G141" s="305">
        <v>0</v>
      </c>
      <c r="H141" s="305">
        <v>0</v>
      </c>
      <c r="I141" s="305">
        <v>0</v>
      </c>
      <c r="J141" s="305">
        <v>0</v>
      </c>
      <c r="K141" s="305">
        <v>0</v>
      </c>
      <c r="L141" s="305">
        <v>0</v>
      </c>
      <c r="M141" s="305">
        <v>0</v>
      </c>
      <c r="N141" s="305">
        <v>0</v>
      </c>
      <c r="O141" s="305">
        <v>0</v>
      </c>
    </row>
    <row r="142" spans="2:15" x14ac:dyDescent="0.25">
      <c r="B142" s="305">
        <v>136</v>
      </c>
      <c r="C142" s="305">
        <v>136</v>
      </c>
      <c r="D142" s="305">
        <v>0</v>
      </c>
      <c r="E142" s="305">
        <v>0</v>
      </c>
      <c r="F142" s="305">
        <v>0</v>
      </c>
      <c r="G142" s="305">
        <v>0</v>
      </c>
      <c r="H142" s="305">
        <v>0</v>
      </c>
      <c r="I142" s="305">
        <v>0</v>
      </c>
      <c r="J142" s="305">
        <v>0</v>
      </c>
      <c r="K142" s="305">
        <v>0</v>
      </c>
      <c r="L142" s="305">
        <v>0</v>
      </c>
      <c r="M142" s="305">
        <v>0</v>
      </c>
      <c r="N142" s="305">
        <v>0</v>
      </c>
      <c r="O142" s="305">
        <v>0</v>
      </c>
    </row>
    <row r="143" spans="2:15" x14ac:dyDescent="0.25">
      <c r="B143" s="305">
        <v>137</v>
      </c>
      <c r="C143" s="305">
        <v>137</v>
      </c>
      <c r="D143" s="305">
        <v>0</v>
      </c>
      <c r="E143" s="305">
        <v>0</v>
      </c>
      <c r="F143" s="305">
        <v>0</v>
      </c>
      <c r="G143" s="305">
        <v>0</v>
      </c>
      <c r="H143" s="305">
        <v>0</v>
      </c>
      <c r="I143" s="305">
        <v>0</v>
      </c>
      <c r="J143" s="305">
        <v>0</v>
      </c>
      <c r="K143" s="305">
        <v>0</v>
      </c>
      <c r="L143" s="305">
        <v>0</v>
      </c>
      <c r="M143" s="305">
        <v>0</v>
      </c>
      <c r="N143" s="305">
        <v>0</v>
      </c>
      <c r="O143" s="305">
        <v>0</v>
      </c>
    </row>
    <row r="144" spans="2:15" x14ac:dyDescent="0.25">
      <c r="B144" s="305">
        <v>138</v>
      </c>
      <c r="C144" s="305">
        <v>138</v>
      </c>
      <c r="D144" s="305">
        <v>0</v>
      </c>
      <c r="E144" s="305">
        <v>0</v>
      </c>
      <c r="F144" s="305">
        <v>0</v>
      </c>
      <c r="G144" s="305">
        <v>0</v>
      </c>
      <c r="H144" s="305">
        <v>0</v>
      </c>
      <c r="I144" s="305">
        <v>0</v>
      </c>
      <c r="J144" s="305">
        <v>0</v>
      </c>
      <c r="K144" s="305">
        <v>0</v>
      </c>
      <c r="L144" s="305">
        <v>0</v>
      </c>
      <c r="M144" s="305">
        <v>0</v>
      </c>
      <c r="N144" s="305">
        <v>0</v>
      </c>
      <c r="O144" s="305">
        <v>0</v>
      </c>
    </row>
    <row r="145" spans="2:15" x14ac:dyDescent="0.25">
      <c r="B145" s="305">
        <v>139</v>
      </c>
      <c r="C145" s="305">
        <v>139</v>
      </c>
      <c r="D145" s="305">
        <v>0</v>
      </c>
      <c r="E145" s="305">
        <v>0</v>
      </c>
      <c r="F145" s="305">
        <v>0</v>
      </c>
      <c r="G145" s="305">
        <v>0</v>
      </c>
      <c r="H145" s="305">
        <v>0</v>
      </c>
      <c r="I145" s="305">
        <v>0</v>
      </c>
      <c r="J145" s="305">
        <v>0</v>
      </c>
      <c r="K145" s="305">
        <v>0</v>
      </c>
      <c r="L145" s="305">
        <v>0</v>
      </c>
      <c r="M145" s="305">
        <v>0</v>
      </c>
      <c r="N145" s="305">
        <v>0</v>
      </c>
      <c r="O145" s="305">
        <v>0</v>
      </c>
    </row>
    <row r="146" spans="2:15" x14ac:dyDescent="0.25">
      <c r="B146" s="305">
        <v>140</v>
      </c>
      <c r="C146" s="305">
        <v>140</v>
      </c>
      <c r="D146" s="305">
        <v>0</v>
      </c>
      <c r="E146" s="305">
        <v>0</v>
      </c>
      <c r="F146" s="305">
        <v>0</v>
      </c>
      <c r="G146" s="305">
        <v>0</v>
      </c>
      <c r="H146" s="305">
        <v>0</v>
      </c>
      <c r="I146" s="305">
        <v>0</v>
      </c>
      <c r="J146" s="305">
        <v>0</v>
      </c>
      <c r="K146" s="305">
        <v>0</v>
      </c>
      <c r="L146" s="305">
        <v>0</v>
      </c>
      <c r="M146" s="305">
        <v>0</v>
      </c>
      <c r="N146" s="305">
        <v>0</v>
      </c>
      <c r="O146" s="305">
        <v>0</v>
      </c>
    </row>
    <row r="147" spans="2:15" x14ac:dyDescent="0.25">
      <c r="B147" s="305">
        <v>141</v>
      </c>
      <c r="C147" s="305">
        <v>141</v>
      </c>
      <c r="D147" s="305">
        <v>1053</v>
      </c>
      <c r="E147" s="305">
        <v>855</v>
      </c>
      <c r="F147" s="305">
        <v>756</v>
      </c>
      <c r="G147" s="305">
        <v>593</v>
      </c>
      <c r="H147" s="305">
        <v>444</v>
      </c>
      <c r="I147" s="305">
        <v>378</v>
      </c>
      <c r="J147" s="305">
        <v>335</v>
      </c>
      <c r="K147" s="305">
        <v>300</v>
      </c>
      <c r="L147" s="305">
        <v>292</v>
      </c>
      <c r="M147" s="305">
        <v>352</v>
      </c>
      <c r="N147" s="305">
        <v>563</v>
      </c>
      <c r="O147" s="305">
        <v>910</v>
      </c>
    </row>
    <row r="148" spans="2:15" x14ac:dyDescent="0.25">
      <c r="B148" s="305">
        <v>142</v>
      </c>
      <c r="C148" s="305">
        <v>142</v>
      </c>
      <c r="D148" s="305">
        <v>0</v>
      </c>
      <c r="E148" s="305">
        <v>0</v>
      </c>
      <c r="F148" s="305">
        <v>0</v>
      </c>
      <c r="G148" s="305">
        <v>0</v>
      </c>
      <c r="H148" s="305">
        <v>0</v>
      </c>
      <c r="I148" s="305">
        <v>0</v>
      </c>
      <c r="J148" s="305">
        <v>0</v>
      </c>
      <c r="K148" s="305">
        <v>0</v>
      </c>
      <c r="L148" s="305">
        <v>0</v>
      </c>
      <c r="M148" s="305">
        <v>0</v>
      </c>
      <c r="N148" s="305">
        <v>0</v>
      </c>
      <c r="O148" s="305">
        <v>0</v>
      </c>
    </row>
    <row r="149" spans="2:15" x14ac:dyDescent="0.25">
      <c r="B149" s="305">
        <v>143</v>
      </c>
      <c r="C149" s="305">
        <v>143</v>
      </c>
      <c r="D149" s="305">
        <v>0</v>
      </c>
      <c r="E149" s="305">
        <v>0</v>
      </c>
      <c r="F149" s="305">
        <v>0</v>
      </c>
      <c r="G149" s="305">
        <v>0</v>
      </c>
      <c r="H149" s="305">
        <v>0</v>
      </c>
      <c r="I149" s="305">
        <v>0</v>
      </c>
      <c r="J149" s="305">
        <v>0</v>
      </c>
      <c r="K149" s="305">
        <v>0</v>
      </c>
      <c r="L149" s="305">
        <v>0</v>
      </c>
      <c r="M149" s="305">
        <v>0</v>
      </c>
      <c r="N149" s="305">
        <v>0</v>
      </c>
      <c r="O149" s="305">
        <v>0</v>
      </c>
    </row>
    <row r="150" spans="2:15" x14ac:dyDescent="0.25">
      <c r="B150" s="305">
        <v>144</v>
      </c>
      <c r="C150" s="305">
        <v>144</v>
      </c>
      <c r="D150" s="305">
        <v>1888</v>
      </c>
      <c r="E150" s="305">
        <v>1463</v>
      </c>
      <c r="F150" s="305">
        <v>1285</v>
      </c>
      <c r="G150" s="305">
        <v>993</v>
      </c>
      <c r="H150" s="305">
        <v>719</v>
      </c>
      <c r="I150" s="305">
        <v>601</v>
      </c>
      <c r="J150" s="305">
        <v>532</v>
      </c>
      <c r="K150" s="305">
        <v>471</v>
      </c>
      <c r="L150" s="305">
        <v>454</v>
      </c>
      <c r="M150" s="305">
        <v>571</v>
      </c>
      <c r="N150" s="305">
        <v>974</v>
      </c>
      <c r="O150" s="305">
        <v>1649</v>
      </c>
    </row>
    <row r="151" spans="2:15" x14ac:dyDescent="0.25">
      <c r="B151" s="305">
        <v>145</v>
      </c>
      <c r="C151" s="305">
        <v>145</v>
      </c>
      <c r="D151" s="305">
        <v>117</v>
      </c>
      <c r="E151" s="305">
        <v>135</v>
      </c>
      <c r="F151" s="305">
        <v>148</v>
      </c>
      <c r="G151" s="305">
        <v>111</v>
      </c>
      <c r="H151" s="305">
        <v>78</v>
      </c>
      <c r="I151" s="305">
        <v>64</v>
      </c>
      <c r="J151" s="305">
        <v>58</v>
      </c>
      <c r="K151" s="305">
        <v>54</v>
      </c>
      <c r="L151" s="305">
        <v>52</v>
      </c>
      <c r="M151" s="305">
        <v>56</v>
      </c>
      <c r="N151" s="305">
        <v>65</v>
      </c>
      <c r="O151" s="305">
        <v>88</v>
      </c>
    </row>
    <row r="152" spans="2:15" x14ac:dyDescent="0.25">
      <c r="B152" s="305">
        <v>146</v>
      </c>
      <c r="C152" s="305">
        <v>146</v>
      </c>
      <c r="D152" s="305">
        <v>0</v>
      </c>
      <c r="E152" s="305">
        <v>0</v>
      </c>
      <c r="F152" s="305">
        <v>0</v>
      </c>
      <c r="G152" s="305">
        <v>0</v>
      </c>
      <c r="H152" s="305">
        <v>0</v>
      </c>
      <c r="I152" s="305">
        <v>0</v>
      </c>
      <c r="J152" s="305">
        <v>0</v>
      </c>
      <c r="K152" s="305">
        <v>0</v>
      </c>
      <c r="L152" s="305">
        <v>0</v>
      </c>
      <c r="M152" s="305">
        <v>0</v>
      </c>
      <c r="N152" s="305">
        <v>0</v>
      </c>
      <c r="O152" s="305">
        <v>0</v>
      </c>
    </row>
    <row r="153" spans="2:15" x14ac:dyDescent="0.25">
      <c r="B153" s="305">
        <v>147</v>
      </c>
      <c r="C153" s="305">
        <v>147</v>
      </c>
      <c r="D153" s="305">
        <v>0</v>
      </c>
      <c r="E153" s="305">
        <v>0</v>
      </c>
      <c r="F153" s="305">
        <v>0</v>
      </c>
      <c r="G153" s="305">
        <v>0</v>
      </c>
      <c r="H153" s="305">
        <v>0</v>
      </c>
      <c r="I153" s="305">
        <v>0</v>
      </c>
      <c r="J153" s="305">
        <v>0</v>
      </c>
      <c r="K153" s="305">
        <v>0</v>
      </c>
      <c r="L153" s="305">
        <v>0</v>
      </c>
      <c r="M153" s="305">
        <v>0</v>
      </c>
      <c r="N153" s="305">
        <v>0</v>
      </c>
      <c r="O153" s="305">
        <v>0</v>
      </c>
    </row>
    <row r="154" spans="2:15" x14ac:dyDescent="0.25">
      <c r="B154" s="305">
        <v>148</v>
      </c>
      <c r="C154" s="305">
        <v>148</v>
      </c>
      <c r="D154" s="305">
        <v>1620</v>
      </c>
      <c r="E154" s="305">
        <v>1260</v>
      </c>
      <c r="F154" s="305">
        <v>1107</v>
      </c>
      <c r="G154" s="305">
        <v>856</v>
      </c>
      <c r="H154" s="305">
        <v>621</v>
      </c>
      <c r="I154" s="305">
        <v>521</v>
      </c>
      <c r="J154" s="305">
        <v>461</v>
      </c>
      <c r="K154" s="305">
        <v>410</v>
      </c>
      <c r="L154" s="305">
        <v>396</v>
      </c>
      <c r="M154" s="305">
        <v>496</v>
      </c>
      <c r="N154" s="305">
        <v>839</v>
      </c>
      <c r="O154" s="305">
        <v>1414</v>
      </c>
    </row>
    <row r="155" spans="2:15" x14ac:dyDescent="0.25">
      <c r="B155" s="305">
        <v>149</v>
      </c>
      <c r="C155" s="305">
        <v>149</v>
      </c>
      <c r="D155" s="305">
        <v>273</v>
      </c>
      <c r="E155" s="305">
        <v>232</v>
      </c>
      <c r="F155" s="305">
        <v>206</v>
      </c>
      <c r="G155" s="305">
        <v>160</v>
      </c>
      <c r="H155" s="305">
        <v>123</v>
      </c>
      <c r="I155" s="305">
        <v>107</v>
      </c>
      <c r="J155" s="305">
        <v>96</v>
      </c>
      <c r="K155" s="305">
        <v>86</v>
      </c>
      <c r="L155" s="305">
        <v>85</v>
      </c>
      <c r="M155" s="305">
        <v>101</v>
      </c>
      <c r="N155" s="305">
        <v>147</v>
      </c>
      <c r="O155" s="305">
        <v>230</v>
      </c>
    </row>
    <row r="156" spans="2:15" x14ac:dyDescent="0.25">
      <c r="B156" s="305">
        <v>150</v>
      </c>
      <c r="C156" s="305">
        <v>150</v>
      </c>
      <c r="D156" s="305">
        <v>0</v>
      </c>
      <c r="E156" s="305">
        <v>0</v>
      </c>
      <c r="F156" s="305">
        <v>0</v>
      </c>
      <c r="G156" s="305">
        <v>0</v>
      </c>
      <c r="H156" s="305">
        <v>0</v>
      </c>
      <c r="I156" s="305">
        <v>0</v>
      </c>
      <c r="J156" s="305">
        <v>0</v>
      </c>
      <c r="K156" s="305">
        <v>0</v>
      </c>
      <c r="L156" s="305">
        <v>0</v>
      </c>
      <c r="M156" s="305">
        <v>0</v>
      </c>
      <c r="N156" s="305">
        <v>0</v>
      </c>
      <c r="O156" s="305">
        <v>0</v>
      </c>
    </row>
    <row r="157" spans="2:15" x14ac:dyDescent="0.25">
      <c r="B157" s="305">
        <v>151</v>
      </c>
      <c r="C157" s="305">
        <v>151</v>
      </c>
      <c r="D157" s="305">
        <v>0</v>
      </c>
      <c r="E157" s="305">
        <v>0</v>
      </c>
      <c r="F157" s="305">
        <v>0</v>
      </c>
      <c r="G157" s="305">
        <v>0</v>
      </c>
      <c r="H157" s="305">
        <v>0</v>
      </c>
      <c r="I157" s="305">
        <v>0</v>
      </c>
      <c r="J157" s="305">
        <v>0</v>
      </c>
      <c r="K157" s="305">
        <v>0</v>
      </c>
      <c r="L157" s="305">
        <v>0</v>
      </c>
      <c r="M157" s="305">
        <v>0</v>
      </c>
      <c r="N157" s="305">
        <v>0</v>
      </c>
      <c r="O157" s="305">
        <v>0</v>
      </c>
    </row>
    <row r="158" spans="2:15" x14ac:dyDescent="0.25">
      <c r="B158" s="305">
        <v>152</v>
      </c>
      <c r="C158" s="305">
        <v>152</v>
      </c>
      <c r="D158" s="305">
        <v>0</v>
      </c>
      <c r="E158" s="305">
        <v>0</v>
      </c>
      <c r="F158" s="305">
        <v>0</v>
      </c>
      <c r="G158" s="305">
        <v>0</v>
      </c>
      <c r="H158" s="305">
        <v>0</v>
      </c>
      <c r="I158" s="305">
        <v>0</v>
      </c>
      <c r="J158" s="305">
        <v>0</v>
      </c>
      <c r="K158" s="305">
        <v>0</v>
      </c>
      <c r="L158" s="305">
        <v>0</v>
      </c>
      <c r="M158" s="305">
        <v>0</v>
      </c>
      <c r="N158" s="305">
        <v>0</v>
      </c>
      <c r="O158" s="305">
        <v>0</v>
      </c>
    </row>
    <row r="159" spans="2:15" x14ac:dyDescent="0.25">
      <c r="B159" s="305">
        <v>153</v>
      </c>
      <c r="C159" s="305">
        <v>153</v>
      </c>
      <c r="D159" s="305">
        <v>0</v>
      </c>
      <c r="E159" s="305">
        <v>0</v>
      </c>
      <c r="F159" s="305">
        <v>0</v>
      </c>
      <c r="G159" s="305">
        <v>0</v>
      </c>
      <c r="H159" s="305">
        <v>0</v>
      </c>
      <c r="I159" s="305">
        <v>0</v>
      </c>
      <c r="J159" s="305">
        <v>0</v>
      </c>
      <c r="K159" s="305">
        <v>0</v>
      </c>
      <c r="L159" s="305">
        <v>0</v>
      </c>
      <c r="M159" s="305">
        <v>0</v>
      </c>
      <c r="N159" s="305">
        <v>0</v>
      </c>
      <c r="O159" s="305">
        <v>0</v>
      </c>
    </row>
    <row r="160" spans="2:15" x14ac:dyDescent="0.25">
      <c r="B160" s="305">
        <v>154</v>
      </c>
      <c r="C160" s="305">
        <v>154</v>
      </c>
      <c r="D160" s="305">
        <v>150</v>
      </c>
      <c r="E160" s="305">
        <v>155</v>
      </c>
      <c r="F160" s="305">
        <v>150</v>
      </c>
      <c r="G160" s="305">
        <v>132</v>
      </c>
      <c r="H160" s="305">
        <v>122</v>
      </c>
      <c r="I160" s="305">
        <v>112</v>
      </c>
      <c r="J160" s="305">
        <v>106</v>
      </c>
      <c r="K160" s="305">
        <v>103</v>
      </c>
      <c r="L160" s="305">
        <v>106</v>
      </c>
      <c r="M160" s="305">
        <v>112</v>
      </c>
      <c r="N160" s="305">
        <v>117</v>
      </c>
      <c r="O160" s="305">
        <v>132</v>
      </c>
    </row>
    <row r="161" spans="2:15" x14ac:dyDescent="0.25">
      <c r="B161" s="305">
        <v>155</v>
      </c>
      <c r="C161" s="305">
        <v>155</v>
      </c>
      <c r="D161" s="305">
        <v>333</v>
      </c>
      <c r="E161" s="305">
        <v>284</v>
      </c>
      <c r="F161" s="305">
        <v>242</v>
      </c>
      <c r="G161" s="305">
        <v>160</v>
      </c>
      <c r="H161" s="305">
        <v>111</v>
      </c>
      <c r="I161" s="305">
        <v>90</v>
      </c>
      <c r="J161" s="305">
        <v>73</v>
      </c>
      <c r="K161" s="305">
        <v>63</v>
      </c>
      <c r="L161" s="305">
        <v>61</v>
      </c>
      <c r="M161" s="305">
        <v>77</v>
      </c>
      <c r="N161" s="305">
        <v>132</v>
      </c>
      <c r="O161" s="305">
        <v>252</v>
      </c>
    </row>
    <row r="162" spans="2:15" x14ac:dyDescent="0.25">
      <c r="B162" s="305">
        <v>156</v>
      </c>
      <c r="C162" s="305">
        <v>156</v>
      </c>
      <c r="D162" s="305">
        <v>1475</v>
      </c>
      <c r="E162" s="305">
        <v>1369</v>
      </c>
      <c r="F162" s="305">
        <v>1138</v>
      </c>
      <c r="G162" s="305">
        <v>755</v>
      </c>
      <c r="H162" s="305">
        <v>452</v>
      </c>
      <c r="I162" s="305">
        <v>341</v>
      </c>
      <c r="J162" s="305">
        <v>274</v>
      </c>
      <c r="K162" s="305">
        <v>224</v>
      </c>
      <c r="L162" s="305">
        <v>219</v>
      </c>
      <c r="M162" s="305">
        <v>299</v>
      </c>
      <c r="N162" s="305">
        <v>599</v>
      </c>
      <c r="O162" s="305">
        <v>1113</v>
      </c>
    </row>
    <row r="163" spans="2:15" x14ac:dyDescent="0.25">
      <c r="B163" s="305">
        <v>157</v>
      </c>
      <c r="C163" s="305">
        <v>157</v>
      </c>
      <c r="D163" s="305">
        <v>0</v>
      </c>
      <c r="E163" s="305">
        <v>0</v>
      </c>
      <c r="F163" s="305">
        <v>0</v>
      </c>
      <c r="G163" s="305">
        <v>0</v>
      </c>
      <c r="H163" s="305">
        <v>0</v>
      </c>
      <c r="I163" s="305">
        <v>0</v>
      </c>
      <c r="J163" s="305">
        <v>0</v>
      </c>
      <c r="K163" s="305">
        <v>0</v>
      </c>
      <c r="L163" s="305">
        <v>0</v>
      </c>
      <c r="M163" s="305">
        <v>0</v>
      </c>
      <c r="N163" s="305">
        <v>0</v>
      </c>
      <c r="O163" s="305">
        <v>0</v>
      </c>
    </row>
    <row r="164" spans="2:15" x14ac:dyDescent="0.25">
      <c r="B164" s="305">
        <v>158</v>
      </c>
      <c r="C164" s="305">
        <v>158</v>
      </c>
      <c r="D164" s="305">
        <v>83</v>
      </c>
      <c r="E164" s="305">
        <v>83</v>
      </c>
      <c r="F164" s="305">
        <v>87</v>
      </c>
      <c r="G164" s="305">
        <v>68</v>
      </c>
      <c r="H164" s="305">
        <v>47</v>
      </c>
      <c r="I164" s="305">
        <v>40</v>
      </c>
      <c r="J164" s="305">
        <v>35</v>
      </c>
      <c r="K164" s="305">
        <v>30</v>
      </c>
      <c r="L164" s="305">
        <v>27</v>
      </c>
      <c r="M164" s="305">
        <v>33</v>
      </c>
      <c r="N164" s="305">
        <v>51</v>
      </c>
      <c r="O164" s="305">
        <v>79</v>
      </c>
    </row>
    <row r="165" spans="2:15" x14ac:dyDescent="0.25">
      <c r="B165" s="305">
        <v>159</v>
      </c>
      <c r="C165" s="305">
        <v>159</v>
      </c>
      <c r="D165" s="305">
        <v>0</v>
      </c>
      <c r="E165" s="305">
        <v>0</v>
      </c>
      <c r="F165" s="305">
        <v>0</v>
      </c>
      <c r="G165" s="305">
        <v>0</v>
      </c>
      <c r="H165" s="305">
        <v>0</v>
      </c>
      <c r="I165" s="305">
        <v>0</v>
      </c>
      <c r="J165" s="305">
        <v>0</v>
      </c>
      <c r="K165" s="305">
        <v>0</v>
      </c>
      <c r="L165" s="305">
        <v>0</v>
      </c>
      <c r="M165" s="305">
        <v>0</v>
      </c>
      <c r="N165" s="305">
        <v>0</v>
      </c>
      <c r="O165" s="305">
        <v>0</v>
      </c>
    </row>
    <row r="166" spans="2:15" x14ac:dyDescent="0.25">
      <c r="B166" s="305">
        <v>160</v>
      </c>
      <c r="C166" s="305">
        <v>160</v>
      </c>
      <c r="D166" s="305">
        <v>11</v>
      </c>
      <c r="E166" s="305">
        <v>11</v>
      </c>
      <c r="F166" s="305">
        <v>11</v>
      </c>
      <c r="G166" s="305">
        <v>9</v>
      </c>
      <c r="H166" s="305">
        <v>7</v>
      </c>
      <c r="I166" s="305">
        <v>6</v>
      </c>
      <c r="J166" s="305">
        <v>6</v>
      </c>
      <c r="K166" s="305">
        <v>5</v>
      </c>
      <c r="L166" s="305">
        <v>6</v>
      </c>
      <c r="M166" s="305">
        <v>7</v>
      </c>
      <c r="N166" s="305">
        <v>7</v>
      </c>
      <c r="O166" s="305">
        <v>9</v>
      </c>
    </row>
    <row r="167" spans="2:15" x14ac:dyDescent="0.25">
      <c r="B167" s="305">
        <v>161</v>
      </c>
      <c r="C167" s="305">
        <v>161</v>
      </c>
      <c r="D167" s="305">
        <v>177</v>
      </c>
      <c r="E167" s="305">
        <v>185</v>
      </c>
      <c r="F167" s="305">
        <v>161</v>
      </c>
      <c r="G167" s="305">
        <v>108</v>
      </c>
      <c r="H167" s="305">
        <v>83</v>
      </c>
      <c r="I167" s="305">
        <v>77</v>
      </c>
      <c r="J167" s="305">
        <v>65</v>
      </c>
      <c r="K167" s="305">
        <v>55</v>
      </c>
      <c r="L167" s="305">
        <v>70</v>
      </c>
      <c r="M167" s="305">
        <v>91</v>
      </c>
      <c r="N167" s="305">
        <v>98</v>
      </c>
      <c r="O167" s="305">
        <v>130</v>
      </c>
    </row>
    <row r="168" spans="2:15" x14ac:dyDescent="0.25">
      <c r="B168" s="305">
        <v>162</v>
      </c>
      <c r="C168" s="305">
        <v>162</v>
      </c>
      <c r="D168" s="305">
        <v>0</v>
      </c>
      <c r="E168" s="305">
        <v>0</v>
      </c>
      <c r="F168" s="305">
        <v>0</v>
      </c>
      <c r="G168" s="305">
        <v>0</v>
      </c>
      <c r="H168" s="305">
        <v>0</v>
      </c>
      <c r="I168" s="305">
        <v>0</v>
      </c>
      <c r="J168" s="305">
        <v>0</v>
      </c>
      <c r="K168" s="305">
        <v>0</v>
      </c>
      <c r="L168" s="305">
        <v>0</v>
      </c>
      <c r="M168" s="305">
        <v>0</v>
      </c>
      <c r="N168" s="305">
        <v>0</v>
      </c>
      <c r="O168" s="305">
        <v>0</v>
      </c>
    </row>
    <row r="169" spans="2:15" x14ac:dyDescent="0.25">
      <c r="B169" s="305">
        <v>163</v>
      </c>
      <c r="C169" s="305">
        <v>163</v>
      </c>
      <c r="D169" s="305">
        <v>0</v>
      </c>
      <c r="E169" s="305">
        <v>0</v>
      </c>
      <c r="F169" s="305">
        <v>0</v>
      </c>
      <c r="G169" s="305">
        <v>0</v>
      </c>
      <c r="H169" s="305">
        <v>0</v>
      </c>
      <c r="I169" s="305">
        <v>0</v>
      </c>
      <c r="J169" s="305">
        <v>0</v>
      </c>
      <c r="K169" s="305">
        <v>0</v>
      </c>
      <c r="L169" s="305">
        <v>0</v>
      </c>
      <c r="M169" s="305">
        <v>0</v>
      </c>
      <c r="N169" s="305">
        <v>0</v>
      </c>
      <c r="O169" s="305">
        <v>0</v>
      </c>
    </row>
    <row r="170" spans="2:15" x14ac:dyDescent="0.25">
      <c r="B170" s="305">
        <v>164</v>
      </c>
      <c r="C170" s="305">
        <v>164</v>
      </c>
      <c r="D170" s="305">
        <v>132</v>
      </c>
      <c r="E170" s="305">
        <v>139</v>
      </c>
      <c r="F170" s="305">
        <v>120</v>
      </c>
      <c r="G170" s="305">
        <v>78</v>
      </c>
      <c r="H170" s="305">
        <v>61</v>
      </c>
      <c r="I170" s="305">
        <v>57</v>
      </c>
      <c r="J170" s="305">
        <v>47</v>
      </c>
      <c r="K170" s="305">
        <v>39</v>
      </c>
      <c r="L170" s="305">
        <v>49</v>
      </c>
      <c r="M170" s="305">
        <v>64</v>
      </c>
      <c r="N170" s="305">
        <v>71</v>
      </c>
      <c r="O170" s="305">
        <v>95</v>
      </c>
    </row>
    <row r="171" spans="2:15" x14ac:dyDescent="0.25">
      <c r="B171" s="305">
        <v>165</v>
      </c>
      <c r="C171" s="305">
        <v>165</v>
      </c>
      <c r="D171" s="305">
        <v>0</v>
      </c>
      <c r="E171" s="305">
        <v>0</v>
      </c>
      <c r="F171" s="305">
        <v>0</v>
      </c>
      <c r="G171" s="305">
        <v>0</v>
      </c>
      <c r="H171" s="305">
        <v>0</v>
      </c>
      <c r="I171" s="305">
        <v>0</v>
      </c>
      <c r="J171" s="305">
        <v>0</v>
      </c>
      <c r="K171" s="305">
        <v>0</v>
      </c>
      <c r="L171" s="305">
        <v>0</v>
      </c>
      <c r="M171" s="305">
        <v>0</v>
      </c>
      <c r="N171" s="305">
        <v>0</v>
      </c>
      <c r="O171" s="305">
        <v>0</v>
      </c>
    </row>
    <row r="172" spans="2:15" x14ac:dyDescent="0.25">
      <c r="B172" s="305">
        <v>166</v>
      </c>
      <c r="C172" s="305">
        <v>166</v>
      </c>
      <c r="D172" s="305">
        <v>0</v>
      </c>
      <c r="E172" s="305">
        <v>0</v>
      </c>
      <c r="F172" s="305">
        <v>0</v>
      </c>
      <c r="G172" s="305">
        <v>0</v>
      </c>
      <c r="H172" s="305">
        <v>0</v>
      </c>
      <c r="I172" s="305">
        <v>0</v>
      </c>
      <c r="J172" s="305">
        <v>0</v>
      </c>
      <c r="K172" s="305">
        <v>0</v>
      </c>
      <c r="L172" s="305">
        <v>0</v>
      </c>
      <c r="M172" s="305">
        <v>0</v>
      </c>
      <c r="N172" s="305">
        <v>0</v>
      </c>
      <c r="O172" s="305">
        <v>0</v>
      </c>
    </row>
    <row r="173" spans="2:15" x14ac:dyDescent="0.25">
      <c r="B173" s="305">
        <v>167</v>
      </c>
      <c r="C173" s="305">
        <v>167</v>
      </c>
      <c r="D173" s="305">
        <v>0</v>
      </c>
      <c r="E173" s="305">
        <v>0</v>
      </c>
      <c r="F173" s="305">
        <v>0</v>
      </c>
      <c r="G173" s="305">
        <v>0</v>
      </c>
      <c r="H173" s="305">
        <v>0</v>
      </c>
      <c r="I173" s="305">
        <v>0</v>
      </c>
      <c r="J173" s="305">
        <v>0</v>
      </c>
      <c r="K173" s="305">
        <v>0</v>
      </c>
      <c r="L173" s="305">
        <v>0</v>
      </c>
      <c r="M173" s="305">
        <v>0</v>
      </c>
      <c r="N173" s="305">
        <v>0</v>
      </c>
      <c r="O173" s="305">
        <v>0</v>
      </c>
    </row>
    <row r="174" spans="2:15" x14ac:dyDescent="0.25">
      <c r="B174" s="305">
        <v>168</v>
      </c>
      <c r="C174" s="305">
        <v>168</v>
      </c>
      <c r="D174" s="305">
        <v>3274</v>
      </c>
      <c r="E174" s="305">
        <v>3390</v>
      </c>
      <c r="F174" s="305">
        <v>3410</v>
      </c>
      <c r="G174" s="305">
        <v>2728</v>
      </c>
      <c r="H174" s="305">
        <v>1651</v>
      </c>
      <c r="I174" s="305">
        <v>1127</v>
      </c>
      <c r="J174" s="305">
        <v>962</v>
      </c>
      <c r="K174" s="305">
        <v>850</v>
      </c>
      <c r="L174" s="305">
        <v>760</v>
      </c>
      <c r="M174" s="305">
        <v>836</v>
      </c>
      <c r="N174" s="305">
        <v>1358</v>
      </c>
      <c r="O174" s="305">
        <v>2433</v>
      </c>
    </row>
    <row r="175" spans="2:15" x14ac:dyDescent="0.25">
      <c r="B175" s="305">
        <v>169</v>
      </c>
      <c r="C175" s="305">
        <v>169</v>
      </c>
      <c r="D175" s="305">
        <v>4692</v>
      </c>
      <c r="E175" s="305">
        <v>4903</v>
      </c>
      <c r="F175" s="305">
        <v>4744</v>
      </c>
      <c r="G175" s="305">
        <v>3757</v>
      </c>
      <c r="H175" s="305">
        <v>2274</v>
      </c>
      <c r="I175" s="305">
        <v>1555</v>
      </c>
      <c r="J175" s="305">
        <v>1297</v>
      </c>
      <c r="K175" s="305">
        <v>1123</v>
      </c>
      <c r="L175" s="305">
        <v>1005</v>
      </c>
      <c r="M175" s="305">
        <v>1129</v>
      </c>
      <c r="N175" s="305">
        <v>1865</v>
      </c>
      <c r="O175" s="305">
        <v>3359</v>
      </c>
    </row>
    <row r="176" spans="2:15" x14ac:dyDescent="0.25">
      <c r="B176" s="305">
        <v>170</v>
      </c>
      <c r="C176" s="305">
        <v>170</v>
      </c>
      <c r="D176" s="305">
        <v>0</v>
      </c>
      <c r="E176" s="305">
        <v>0</v>
      </c>
      <c r="F176" s="305">
        <v>0</v>
      </c>
      <c r="G176" s="305">
        <v>0</v>
      </c>
      <c r="H176" s="305">
        <v>0</v>
      </c>
      <c r="I176" s="305">
        <v>0</v>
      </c>
      <c r="J176" s="305">
        <v>0</v>
      </c>
      <c r="K176" s="305">
        <v>0</v>
      </c>
      <c r="L176" s="305">
        <v>0</v>
      </c>
      <c r="M176" s="305">
        <v>0</v>
      </c>
      <c r="N176" s="305">
        <v>0</v>
      </c>
      <c r="O176" s="305">
        <v>0</v>
      </c>
    </row>
    <row r="177" spans="2:15" x14ac:dyDescent="0.25">
      <c r="B177" s="305">
        <v>171</v>
      </c>
      <c r="C177" s="305">
        <v>171</v>
      </c>
      <c r="D177" s="305">
        <v>111</v>
      </c>
      <c r="E177" s="305">
        <v>143</v>
      </c>
      <c r="F177" s="305">
        <v>224</v>
      </c>
      <c r="G177" s="305">
        <v>196</v>
      </c>
      <c r="H177" s="305">
        <v>66</v>
      </c>
      <c r="I177" s="305">
        <v>18</v>
      </c>
      <c r="J177" s="305">
        <v>11</v>
      </c>
      <c r="K177" s="305">
        <v>14</v>
      </c>
      <c r="L177" s="305">
        <v>21</v>
      </c>
      <c r="M177" s="305">
        <v>22</v>
      </c>
      <c r="N177" s="305">
        <v>37</v>
      </c>
      <c r="O177" s="305">
        <v>84</v>
      </c>
    </row>
    <row r="178" spans="2:15" x14ac:dyDescent="0.25">
      <c r="B178" s="305">
        <v>172</v>
      </c>
      <c r="C178" s="305">
        <v>172</v>
      </c>
      <c r="D178" s="305">
        <v>4724</v>
      </c>
      <c r="E178" s="305">
        <v>5023</v>
      </c>
      <c r="F178" s="305">
        <v>5015</v>
      </c>
      <c r="G178" s="305">
        <v>4072</v>
      </c>
      <c r="H178" s="305">
        <v>2455</v>
      </c>
      <c r="I178" s="305">
        <v>1615</v>
      </c>
      <c r="J178" s="305">
        <v>1326</v>
      </c>
      <c r="K178" s="305">
        <v>1156</v>
      </c>
      <c r="L178" s="305">
        <v>1033</v>
      </c>
      <c r="M178" s="305">
        <v>1118</v>
      </c>
      <c r="N178" s="305">
        <v>1792</v>
      </c>
      <c r="O178" s="305">
        <v>3301</v>
      </c>
    </row>
    <row r="179" spans="2:15" x14ac:dyDescent="0.25">
      <c r="B179" s="305">
        <v>173</v>
      </c>
      <c r="C179" s="305">
        <v>173</v>
      </c>
      <c r="D179" s="305">
        <v>4720</v>
      </c>
      <c r="E179" s="305">
        <v>5041</v>
      </c>
      <c r="F179" s="305">
        <v>5059</v>
      </c>
      <c r="G179" s="305">
        <v>4145</v>
      </c>
      <c r="H179" s="305">
        <v>2508</v>
      </c>
      <c r="I179" s="305">
        <v>1636</v>
      </c>
      <c r="J179" s="305">
        <v>1339</v>
      </c>
      <c r="K179" s="305">
        <v>1168</v>
      </c>
      <c r="L179" s="305">
        <v>1044</v>
      </c>
      <c r="M179" s="305">
        <v>1119</v>
      </c>
      <c r="N179" s="305">
        <v>1769</v>
      </c>
      <c r="O179" s="305">
        <v>3279</v>
      </c>
    </row>
    <row r="180" spans="2:15" x14ac:dyDescent="0.25">
      <c r="B180" s="305">
        <v>174</v>
      </c>
      <c r="C180" s="305">
        <v>174</v>
      </c>
      <c r="D180" s="305">
        <v>0</v>
      </c>
      <c r="E180" s="305">
        <v>0</v>
      </c>
      <c r="F180" s="305">
        <v>0</v>
      </c>
      <c r="G180" s="305">
        <v>0</v>
      </c>
      <c r="H180" s="305">
        <v>0</v>
      </c>
      <c r="I180" s="305">
        <v>0</v>
      </c>
      <c r="J180" s="305">
        <v>0</v>
      </c>
      <c r="K180" s="305">
        <v>0</v>
      </c>
      <c r="L180" s="305">
        <v>0</v>
      </c>
      <c r="M180" s="305">
        <v>0</v>
      </c>
      <c r="N180" s="305">
        <v>0</v>
      </c>
      <c r="O180" s="305">
        <v>0</v>
      </c>
    </row>
    <row r="181" spans="2:15" x14ac:dyDescent="0.25">
      <c r="B181" s="305">
        <v>175</v>
      </c>
      <c r="C181" s="305">
        <v>175</v>
      </c>
      <c r="D181" s="305">
        <v>4720</v>
      </c>
      <c r="E181" s="305">
        <v>5041</v>
      </c>
      <c r="F181" s="305">
        <v>5059</v>
      </c>
      <c r="G181" s="305">
        <v>4145</v>
      </c>
      <c r="H181" s="305">
        <v>2508</v>
      </c>
      <c r="I181" s="305">
        <v>1636</v>
      </c>
      <c r="J181" s="305">
        <v>1339</v>
      </c>
      <c r="K181" s="305">
        <v>1168</v>
      </c>
      <c r="L181" s="305">
        <v>1044</v>
      </c>
      <c r="M181" s="305">
        <v>1119</v>
      </c>
      <c r="N181" s="305">
        <v>1769</v>
      </c>
      <c r="O181" s="305">
        <v>3279</v>
      </c>
    </row>
    <row r="182" spans="2:15" x14ac:dyDescent="0.25">
      <c r="B182" s="305">
        <v>176</v>
      </c>
      <c r="C182" s="305">
        <v>176</v>
      </c>
      <c r="D182" s="305">
        <v>4720</v>
      </c>
      <c r="E182" s="305">
        <v>5041</v>
      </c>
      <c r="F182" s="305">
        <v>5059</v>
      </c>
      <c r="G182" s="305">
        <v>4145</v>
      </c>
      <c r="H182" s="305">
        <v>2508</v>
      </c>
      <c r="I182" s="305">
        <v>1636</v>
      </c>
      <c r="J182" s="305">
        <v>1339</v>
      </c>
      <c r="K182" s="305">
        <v>1168</v>
      </c>
      <c r="L182" s="305">
        <v>1044</v>
      </c>
      <c r="M182" s="305">
        <v>1119</v>
      </c>
      <c r="N182" s="305">
        <v>1769</v>
      </c>
      <c r="O182" s="305">
        <v>3279</v>
      </c>
    </row>
    <row r="183" spans="2:15" x14ac:dyDescent="0.25">
      <c r="B183" s="305">
        <v>177</v>
      </c>
      <c r="C183" s="305">
        <v>177</v>
      </c>
      <c r="D183" s="305">
        <v>0</v>
      </c>
      <c r="E183" s="305">
        <v>0</v>
      </c>
      <c r="F183" s="305">
        <v>0</v>
      </c>
      <c r="G183" s="305">
        <v>0</v>
      </c>
      <c r="H183" s="305">
        <v>0</v>
      </c>
      <c r="I183" s="305">
        <v>0</v>
      </c>
      <c r="J183" s="305">
        <v>0</v>
      </c>
      <c r="K183" s="305">
        <v>0</v>
      </c>
      <c r="L183" s="305">
        <v>0</v>
      </c>
      <c r="M183" s="305">
        <v>0</v>
      </c>
      <c r="N183" s="305">
        <v>0</v>
      </c>
      <c r="O183" s="305">
        <v>0</v>
      </c>
    </row>
    <row r="184" spans="2:15" x14ac:dyDescent="0.25">
      <c r="B184" s="305">
        <v>178</v>
      </c>
      <c r="C184" s="305">
        <v>178</v>
      </c>
      <c r="D184" s="305">
        <v>4718</v>
      </c>
      <c r="E184" s="305">
        <v>5041</v>
      </c>
      <c r="F184" s="305">
        <v>5059</v>
      </c>
      <c r="G184" s="305">
        <v>4144</v>
      </c>
      <c r="H184" s="305">
        <v>2508</v>
      </c>
      <c r="I184" s="305">
        <v>1636</v>
      </c>
      <c r="J184" s="305">
        <v>1339</v>
      </c>
      <c r="K184" s="305">
        <v>1168</v>
      </c>
      <c r="L184" s="305">
        <v>1044</v>
      </c>
      <c r="M184" s="305">
        <v>1119</v>
      </c>
      <c r="N184" s="305">
        <v>1769</v>
      </c>
      <c r="O184" s="305">
        <v>3277</v>
      </c>
    </row>
    <row r="185" spans="2:15" x14ac:dyDescent="0.25">
      <c r="B185" s="305">
        <v>179</v>
      </c>
      <c r="C185" s="305">
        <v>179</v>
      </c>
      <c r="D185" s="305">
        <v>0</v>
      </c>
      <c r="E185" s="305">
        <v>0</v>
      </c>
      <c r="F185" s="305">
        <v>0</v>
      </c>
      <c r="G185" s="305">
        <v>0</v>
      </c>
      <c r="H185" s="305">
        <v>0</v>
      </c>
      <c r="I185" s="305">
        <v>0</v>
      </c>
      <c r="J185" s="305">
        <v>0</v>
      </c>
      <c r="K185" s="305">
        <v>0</v>
      </c>
      <c r="L185" s="305">
        <v>0</v>
      </c>
      <c r="M185" s="305">
        <v>0</v>
      </c>
      <c r="N185" s="305">
        <v>0</v>
      </c>
      <c r="O185" s="305">
        <v>0</v>
      </c>
    </row>
    <row r="186" spans="2:15" x14ac:dyDescent="0.25">
      <c r="B186" s="305">
        <v>180</v>
      </c>
      <c r="C186" s="305">
        <v>180</v>
      </c>
      <c r="D186" s="305">
        <v>0</v>
      </c>
      <c r="E186" s="305">
        <v>0</v>
      </c>
      <c r="F186" s="305">
        <v>0</v>
      </c>
      <c r="G186" s="305">
        <v>0</v>
      </c>
      <c r="H186" s="305">
        <v>0</v>
      </c>
      <c r="I186" s="305">
        <v>0</v>
      </c>
      <c r="J186" s="305">
        <v>0</v>
      </c>
      <c r="K186" s="305">
        <v>0</v>
      </c>
      <c r="L186" s="305">
        <v>0</v>
      </c>
      <c r="M186" s="305">
        <v>0</v>
      </c>
      <c r="N186" s="305">
        <v>0</v>
      </c>
      <c r="O186" s="305">
        <v>0</v>
      </c>
    </row>
    <row r="187" spans="2:15" x14ac:dyDescent="0.25">
      <c r="B187" s="305">
        <v>181</v>
      </c>
      <c r="C187" s="305">
        <v>181</v>
      </c>
      <c r="D187" s="305">
        <v>0</v>
      </c>
      <c r="E187" s="305">
        <v>0</v>
      </c>
      <c r="F187" s="305">
        <v>0</v>
      </c>
      <c r="G187" s="305">
        <v>0</v>
      </c>
      <c r="H187" s="305">
        <v>0</v>
      </c>
      <c r="I187" s="305">
        <v>0</v>
      </c>
      <c r="J187" s="305">
        <v>0</v>
      </c>
      <c r="K187" s="305">
        <v>0</v>
      </c>
      <c r="L187" s="305">
        <v>0</v>
      </c>
      <c r="M187" s="305">
        <v>0</v>
      </c>
      <c r="N187" s="305">
        <v>0</v>
      </c>
      <c r="O187" s="305">
        <v>0</v>
      </c>
    </row>
    <row r="188" spans="2:15" x14ac:dyDescent="0.25">
      <c r="B188" s="305">
        <v>182</v>
      </c>
      <c r="C188" s="305">
        <v>182</v>
      </c>
      <c r="D188" s="305">
        <v>0</v>
      </c>
      <c r="E188" s="305">
        <v>0</v>
      </c>
      <c r="F188" s="305">
        <v>0</v>
      </c>
      <c r="G188" s="305">
        <v>0</v>
      </c>
      <c r="H188" s="305">
        <v>0</v>
      </c>
      <c r="I188" s="305">
        <v>0</v>
      </c>
      <c r="J188" s="305">
        <v>0</v>
      </c>
      <c r="K188" s="305">
        <v>0</v>
      </c>
      <c r="L188" s="305">
        <v>0</v>
      </c>
      <c r="M188" s="305">
        <v>0</v>
      </c>
      <c r="N188" s="305">
        <v>0</v>
      </c>
      <c r="O188" s="305">
        <v>0</v>
      </c>
    </row>
    <row r="189" spans="2:15" x14ac:dyDescent="0.25">
      <c r="B189" s="305">
        <v>183</v>
      </c>
      <c r="C189" s="305">
        <v>183</v>
      </c>
      <c r="D189" s="305">
        <v>168</v>
      </c>
      <c r="E189" s="305">
        <v>128</v>
      </c>
      <c r="F189" s="305">
        <v>115</v>
      </c>
      <c r="G189" s="305">
        <v>83</v>
      </c>
      <c r="H189" s="305">
        <v>62</v>
      </c>
      <c r="I189" s="305">
        <v>53</v>
      </c>
      <c r="J189" s="305">
        <v>47</v>
      </c>
      <c r="K189" s="305">
        <v>42</v>
      </c>
      <c r="L189" s="305">
        <v>42</v>
      </c>
      <c r="M189" s="305">
        <v>53</v>
      </c>
      <c r="N189" s="305">
        <v>86</v>
      </c>
      <c r="O189" s="305">
        <v>143</v>
      </c>
    </row>
    <row r="190" spans="2:15" x14ac:dyDescent="0.25">
      <c r="B190" s="305">
        <v>184</v>
      </c>
      <c r="C190" s="305">
        <v>184</v>
      </c>
      <c r="D190" s="305">
        <v>0</v>
      </c>
      <c r="E190" s="305">
        <v>0</v>
      </c>
      <c r="F190" s="305">
        <v>0</v>
      </c>
      <c r="G190" s="305">
        <v>0</v>
      </c>
      <c r="H190" s="305">
        <v>0</v>
      </c>
      <c r="I190" s="305">
        <v>0</v>
      </c>
      <c r="J190" s="305">
        <v>0</v>
      </c>
      <c r="K190" s="305">
        <v>0</v>
      </c>
      <c r="L190" s="305">
        <v>0</v>
      </c>
      <c r="M190" s="305">
        <v>0</v>
      </c>
      <c r="N190" s="305">
        <v>0</v>
      </c>
      <c r="O190" s="305">
        <v>0</v>
      </c>
    </row>
    <row r="191" spans="2:15" x14ac:dyDescent="0.25">
      <c r="B191" s="305">
        <v>185</v>
      </c>
      <c r="C191" s="305">
        <v>185</v>
      </c>
      <c r="D191" s="305">
        <v>0</v>
      </c>
      <c r="E191" s="305">
        <v>0</v>
      </c>
      <c r="F191" s="305">
        <v>0</v>
      </c>
      <c r="G191" s="305">
        <v>0</v>
      </c>
      <c r="H191" s="305">
        <v>0</v>
      </c>
      <c r="I191" s="305">
        <v>0</v>
      </c>
      <c r="J191" s="305">
        <v>0</v>
      </c>
      <c r="K191" s="305">
        <v>0</v>
      </c>
      <c r="L191" s="305">
        <v>0</v>
      </c>
      <c r="M191" s="305">
        <v>0</v>
      </c>
      <c r="N191" s="305">
        <v>0</v>
      </c>
      <c r="O191" s="305">
        <v>0</v>
      </c>
    </row>
    <row r="192" spans="2:15" x14ac:dyDescent="0.25">
      <c r="B192" s="305">
        <v>186</v>
      </c>
      <c r="C192" s="305">
        <v>186</v>
      </c>
      <c r="D192" s="305">
        <v>0</v>
      </c>
      <c r="E192" s="305">
        <v>0</v>
      </c>
      <c r="F192" s="305">
        <v>0</v>
      </c>
      <c r="G192" s="305">
        <v>0</v>
      </c>
      <c r="H192" s="305">
        <v>0</v>
      </c>
      <c r="I192" s="305">
        <v>0</v>
      </c>
      <c r="J192" s="305">
        <v>0</v>
      </c>
      <c r="K192" s="305">
        <v>0</v>
      </c>
      <c r="L192" s="305">
        <v>0</v>
      </c>
      <c r="M192" s="305">
        <v>0</v>
      </c>
      <c r="N192" s="305">
        <v>0</v>
      </c>
      <c r="O192" s="305">
        <v>0</v>
      </c>
    </row>
    <row r="193" spans="2:15" x14ac:dyDescent="0.25">
      <c r="B193" s="305">
        <v>187</v>
      </c>
      <c r="C193" s="305">
        <v>187</v>
      </c>
      <c r="D193" s="305">
        <v>122</v>
      </c>
      <c r="E193" s="305">
        <v>123</v>
      </c>
      <c r="F193" s="305">
        <v>122</v>
      </c>
      <c r="G193" s="305">
        <v>101</v>
      </c>
      <c r="H193" s="305">
        <v>87</v>
      </c>
      <c r="I193" s="305">
        <v>77</v>
      </c>
      <c r="J193" s="305">
        <v>68</v>
      </c>
      <c r="K193" s="305">
        <v>62</v>
      </c>
      <c r="L193" s="305">
        <v>61</v>
      </c>
      <c r="M193" s="305">
        <v>68</v>
      </c>
      <c r="N193" s="305">
        <v>86</v>
      </c>
      <c r="O193" s="305">
        <v>112</v>
      </c>
    </row>
    <row r="194" spans="2:15" x14ac:dyDescent="0.25">
      <c r="B194" s="305">
        <v>188</v>
      </c>
      <c r="C194" s="305">
        <v>188</v>
      </c>
      <c r="D194" s="305">
        <v>826</v>
      </c>
      <c r="E194" s="305">
        <v>606</v>
      </c>
      <c r="F194" s="305">
        <v>501</v>
      </c>
      <c r="G194" s="305">
        <v>344</v>
      </c>
      <c r="H194" s="305">
        <v>209</v>
      </c>
      <c r="I194" s="305">
        <v>166</v>
      </c>
      <c r="J194" s="305">
        <v>140</v>
      </c>
      <c r="K194" s="305">
        <v>118</v>
      </c>
      <c r="L194" s="305">
        <v>108</v>
      </c>
      <c r="M194" s="305">
        <v>173</v>
      </c>
      <c r="N194" s="305">
        <v>474</v>
      </c>
      <c r="O194" s="305">
        <v>892</v>
      </c>
    </row>
    <row r="195" spans="2:15" x14ac:dyDescent="0.25">
      <c r="B195" s="305">
        <v>189</v>
      </c>
      <c r="C195" s="305">
        <v>189</v>
      </c>
      <c r="D195" s="305">
        <v>0</v>
      </c>
      <c r="E195" s="305">
        <v>0</v>
      </c>
      <c r="F195" s="305">
        <v>0</v>
      </c>
      <c r="G195" s="305">
        <v>0</v>
      </c>
      <c r="H195" s="305">
        <v>0</v>
      </c>
      <c r="I195" s="305">
        <v>0</v>
      </c>
      <c r="J195" s="305">
        <v>0</v>
      </c>
      <c r="K195" s="305">
        <v>0</v>
      </c>
      <c r="L195" s="305">
        <v>0</v>
      </c>
      <c r="M195" s="305">
        <v>0</v>
      </c>
      <c r="N195" s="305">
        <v>0</v>
      </c>
      <c r="O195" s="305">
        <v>0</v>
      </c>
    </row>
    <row r="196" spans="2:15" x14ac:dyDescent="0.25">
      <c r="B196" s="305">
        <v>190</v>
      </c>
      <c r="C196" s="305">
        <v>190</v>
      </c>
      <c r="D196" s="305">
        <v>654</v>
      </c>
      <c r="E196" s="305">
        <v>726</v>
      </c>
      <c r="F196" s="305">
        <v>770</v>
      </c>
      <c r="G196" s="305">
        <v>680</v>
      </c>
      <c r="H196" s="305">
        <v>440</v>
      </c>
      <c r="I196" s="305">
        <v>305</v>
      </c>
      <c r="J196" s="305">
        <v>263</v>
      </c>
      <c r="K196" s="305">
        <v>241</v>
      </c>
      <c r="L196" s="305">
        <v>236</v>
      </c>
      <c r="M196" s="305">
        <v>288</v>
      </c>
      <c r="N196" s="305">
        <v>400</v>
      </c>
      <c r="O196" s="305">
        <v>533</v>
      </c>
    </row>
    <row r="197" spans="2:15" x14ac:dyDescent="0.25">
      <c r="B197" s="305">
        <v>191</v>
      </c>
      <c r="C197" s="305">
        <v>191</v>
      </c>
      <c r="D197" s="305">
        <v>1600</v>
      </c>
      <c r="E197" s="305">
        <v>1810</v>
      </c>
      <c r="F197" s="305">
        <v>1675</v>
      </c>
      <c r="G197" s="305">
        <v>1187</v>
      </c>
      <c r="H197" s="305">
        <v>632</v>
      </c>
      <c r="I197" s="305">
        <v>439</v>
      </c>
      <c r="J197" s="305">
        <v>333</v>
      </c>
      <c r="K197" s="305">
        <v>260</v>
      </c>
      <c r="L197" s="305">
        <v>246</v>
      </c>
      <c r="M197" s="305">
        <v>359</v>
      </c>
      <c r="N197" s="305">
        <v>644</v>
      </c>
      <c r="O197" s="305">
        <v>1186</v>
      </c>
    </row>
    <row r="198" spans="2:15" x14ac:dyDescent="0.25">
      <c r="B198" s="305">
        <v>192</v>
      </c>
      <c r="C198" s="305">
        <v>192</v>
      </c>
      <c r="D198" s="305">
        <v>0</v>
      </c>
      <c r="E198" s="305">
        <v>0</v>
      </c>
      <c r="F198" s="305">
        <v>0</v>
      </c>
      <c r="G198" s="305">
        <v>0</v>
      </c>
      <c r="H198" s="305">
        <v>0</v>
      </c>
      <c r="I198" s="305">
        <v>0</v>
      </c>
      <c r="J198" s="305">
        <v>0</v>
      </c>
      <c r="K198" s="305">
        <v>0</v>
      </c>
      <c r="L198" s="305">
        <v>0</v>
      </c>
      <c r="M198" s="305">
        <v>0</v>
      </c>
      <c r="N198" s="305">
        <v>0</v>
      </c>
      <c r="O198" s="305">
        <v>0</v>
      </c>
    </row>
    <row r="199" spans="2:15" x14ac:dyDescent="0.25">
      <c r="B199" s="305">
        <v>193</v>
      </c>
      <c r="C199" s="305">
        <v>193</v>
      </c>
      <c r="D199" s="305">
        <v>0</v>
      </c>
      <c r="E199" s="305">
        <v>0</v>
      </c>
      <c r="F199" s="305">
        <v>0</v>
      </c>
      <c r="G199" s="305">
        <v>0</v>
      </c>
      <c r="H199" s="305">
        <v>0</v>
      </c>
      <c r="I199" s="305">
        <v>0</v>
      </c>
      <c r="J199" s="305">
        <v>0</v>
      </c>
      <c r="K199" s="305">
        <v>0</v>
      </c>
      <c r="L199" s="305">
        <v>0</v>
      </c>
      <c r="M199" s="305">
        <v>0</v>
      </c>
      <c r="N199" s="305">
        <v>0</v>
      </c>
      <c r="O199" s="305">
        <v>0</v>
      </c>
    </row>
    <row r="200" spans="2:15" x14ac:dyDescent="0.25">
      <c r="B200" s="305">
        <v>194</v>
      </c>
      <c r="C200" s="305">
        <v>194</v>
      </c>
      <c r="D200" s="305">
        <v>0</v>
      </c>
      <c r="E200" s="305">
        <v>0</v>
      </c>
      <c r="F200" s="305">
        <v>0</v>
      </c>
      <c r="G200" s="305">
        <v>0</v>
      </c>
      <c r="H200" s="305">
        <v>0</v>
      </c>
      <c r="I200" s="305">
        <v>0</v>
      </c>
      <c r="J200" s="305">
        <v>0</v>
      </c>
      <c r="K200" s="305">
        <v>0</v>
      </c>
      <c r="L200" s="305">
        <v>0</v>
      </c>
      <c r="M200" s="305">
        <v>0</v>
      </c>
      <c r="N200" s="305">
        <v>0</v>
      </c>
      <c r="O200" s="305">
        <v>0</v>
      </c>
    </row>
    <row r="201" spans="2:15" x14ac:dyDescent="0.25">
      <c r="B201" s="305">
        <v>195</v>
      </c>
      <c r="C201" s="305">
        <v>195</v>
      </c>
      <c r="D201" s="305">
        <v>0</v>
      </c>
      <c r="E201" s="305">
        <v>0</v>
      </c>
      <c r="F201" s="305">
        <v>0</v>
      </c>
      <c r="G201" s="305">
        <v>0</v>
      </c>
      <c r="H201" s="305">
        <v>0</v>
      </c>
      <c r="I201" s="305">
        <v>0</v>
      </c>
      <c r="J201" s="305">
        <v>0</v>
      </c>
      <c r="K201" s="305">
        <v>0</v>
      </c>
      <c r="L201" s="305">
        <v>0</v>
      </c>
      <c r="M201" s="305">
        <v>0</v>
      </c>
      <c r="N201" s="305">
        <v>0</v>
      </c>
      <c r="O201" s="305">
        <v>0</v>
      </c>
    </row>
    <row r="202" spans="2:15" x14ac:dyDescent="0.25">
      <c r="B202" s="305">
        <v>196</v>
      </c>
      <c r="C202" s="305">
        <v>196</v>
      </c>
      <c r="D202" s="305">
        <v>63</v>
      </c>
      <c r="E202" s="305">
        <v>47</v>
      </c>
      <c r="F202" s="305">
        <v>46</v>
      </c>
      <c r="G202" s="305">
        <v>37</v>
      </c>
      <c r="H202" s="305">
        <v>26</v>
      </c>
      <c r="I202" s="305">
        <v>20</v>
      </c>
      <c r="J202" s="305">
        <v>18</v>
      </c>
      <c r="K202" s="305">
        <v>15</v>
      </c>
      <c r="L202" s="305">
        <v>15</v>
      </c>
      <c r="M202" s="305">
        <v>20</v>
      </c>
      <c r="N202" s="305">
        <v>38</v>
      </c>
      <c r="O202" s="305">
        <v>58</v>
      </c>
    </row>
    <row r="203" spans="2:15" x14ac:dyDescent="0.25">
      <c r="B203" s="305">
        <v>197</v>
      </c>
      <c r="C203" s="305">
        <v>197</v>
      </c>
      <c r="D203" s="305">
        <v>65</v>
      </c>
      <c r="E203" s="305">
        <v>64</v>
      </c>
      <c r="F203" s="305">
        <v>58</v>
      </c>
      <c r="G203" s="305">
        <v>43</v>
      </c>
      <c r="H203" s="305">
        <v>33</v>
      </c>
      <c r="I203" s="305">
        <v>29</v>
      </c>
      <c r="J203" s="305">
        <v>25</v>
      </c>
      <c r="K203" s="305">
        <v>22</v>
      </c>
      <c r="L203" s="305">
        <v>22</v>
      </c>
      <c r="M203" s="305">
        <v>25</v>
      </c>
      <c r="N203" s="305">
        <v>34</v>
      </c>
      <c r="O203" s="305">
        <v>49</v>
      </c>
    </row>
    <row r="204" spans="2:15" x14ac:dyDescent="0.25">
      <c r="B204" s="305">
        <v>198</v>
      </c>
      <c r="C204" s="305">
        <v>198</v>
      </c>
      <c r="D204" s="305">
        <v>129</v>
      </c>
      <c r="E204" s="305">
        <v>125</v>
      </c>
      <c r="F204" s="305">
        <v>114</v>
      </c>
      <c r="G204" s="305">
        <v>84</v>
      </c>
      <c r="H204" s="305">
        <v>65</v>
      </c>
      <c r="I204" s="305">
        <v>56</v>
      </c>
      <c r="J204" s="305">
        <v>49</v>
      </c>
      <c r="K204" s="305">
        <v>44</v>
      </c>
      <c r="L204" s="305">
        <v>44</v>
      </c>
      <c r="M204" s="305">
        <v>51</v>
      </c>
      <c r="N204" s="305">
        <v>70</v>
      </c>
      <c r="O204" s="305">
        <v>102</v>
      </c>
    </row>
    <row r="205" spans="2:15" x14ac:dyDescent="0.25">
      <c r="B205" s="305">
        <v>199</v>
      </c>
      <c r="C205" s="305">
        <v>199</v>
      </c>
      <c r="D205" s="305">
        <v>1139</v>
      </c>
      <c r="E205" s="305">
        <v>1143</v>
      </c>
      <c r="F205" s="305">
        <v>1073</v>
      </c>
      <c r="G205" s="305">
        <v>780</v>
      </c>
      <c r="H205" s="305">
        <v>551</v>
      </c>
      <c r="I205" s="305">
        <v>461</v>
      </c>
      <c r="J205" s="305">
        <v>389</v>
      </c>
      <c r="K205" s="305">
        <v>332</v>
      </c>
      <c r="L205" s="305">
        <v>338</v>
      </c>
      <c r="M205" s="305">
        <v>402</v>
      </c>
      <c r="N205" s="305">
        <v>546</v>
      </c>
      <c r="O205" s="305">
        <v>822</v>
      </c>
    </row>
    <row r="206" spans="2:15" x14ac:dyDescent="0.25">
      <c r="B206" s="305">
        <v>200</v>
      </c>
      <c r="C206" s="305">
        <v>200</v>
      </c>
      <c r="D206" s="305">
        <v>0</v>
      </c>
      <c r="E206" s="305">
        <v>0</v>
      </c>
      <c r="F206" s="305">
        <v>0</v>
      </c>
      <c r="G206" s="305">
        <v>0</v>
      </c>
      <c r="H206" s="305">
        <v>0</v>
      </c>
      <c r="I206" s="305">
        <v>0</v>
      </c>
      <c r="J206" s="305">
        <v>0</v>
      </c>
      <c r="K206" s="305">
        <v>0</v>
      </c>
      <c r="L206" s="305">
        <v>0</v>
      </c>
      <c r="M206" s="305">
        <v>0</v>
      </c>
      <c r="N206" s="305">
        <v>0</v>
      </c>
      <c r="O206" s="305">
        <v>0</v>
      </c>
    </row>
    <row r="207" spans="2:15" x14ac:dyDescent="0.25">
      <c r="B207" s="305">
        <v>201</v>
      </c>
      <c r="C207" s="305">
        <v>201</v>
      </c>
      <c r="D207" s="305">
        <v>25</v>
      </c>
      <c r="E207" s="305">
        <v>25</v>
      </c>
      <c r="F207" s="305">
        <v>23</v>
      </c>
      <c r="G207" s="305">
        <v>18</v>
      </c>
      <c r="H207" s="305">
        <v>12</v>
      </c>
      <c r="I207" s="305">
        <v>9</v>
      </c>
      <c r="J207" s="305">
        <v>7</v>
      </c>
      <c r="K207" s="305">
        <v>6</v>
      </c>
      <c r="L207" s="305">
        <v>7</v>
      </c>
      <c r="M207" s="305">
        <v>8</v>
      </c>
      <c r="N207" s="305">
        <v>12</v>
      </c>
      <c r="O207" s="305">
        <v>18</v>
      </c>
    </row>
    <row r="208" spans="2:15" x14ac:dyDescent="0.25">
      <c r="B208" s="305">
        <v>202</v>
      </c>
      <c r="C208" s="305">
        <v>202</v>
      </c>
      <c r="D208" s="305">
        <v>10</v>
      </c>
      <c r="E208" s="305">
        <v>9</v>
      </c>
      <c r="F208" s="305">
        <v>9</v>
      </c>
      <c r="G208" s="305">
        <v>7</v>
      </c>
      <c r="H208" s="305">
        <v>5</v>
      </c>
      <c r="I208" s="305">
        <v>3</v>
      </c>
      <c r="J208" s="305">
        <v>3</v>
      </c>
      <c r="K208" s="305">
        <v>2</v>
      </c>
      <c r="L208" s="305">
        <v>3</v>
      </c>
      <c r="M208" s="305">
        <v>3</v>
      </c>
      <c r="N208" s="305">
        <v>5</v>
      </c>
      <c r="O208" s="305">
        <v>8</v>
      </c>
    </row>
    <row r="209" spans="2:15" x14ac:dyDescent="0.25">
      <c r="B209" s="305">
        <v>203</v>
      </c>
      <c r="C209" s="305">
        <v>203</v>
      </c>
      <c r="D209" s="305">
        <v>42</v>
      </c>
      <c r="E209" s="305">
        <v>42</v>
      </c>
      <c r="F209" s="305">
        <v>39</v>
      </c>
      <c r="G209" s="305">
        <v>30</v>
      </c>
      <c r="H209" s="305">
        <v>21</v>
      </c>
      <c r="I209" s="305">
        <v>15</v>
      </c>
      <c r="J209" s="305">
        <v>13</v>
      </c>
      <c r="K209" s="305">
        <v>11</v>
      </c>
      <c r="L209" s="305">
        <v>11</v>
      </c>
      <c r="M209" s="305">
        <v>14</v>
      </c>
      <c r="N209" s="305">
        <v>20</v>
      </c>
      <c r="O209" s="305">
        <v>31</v>
      </c>
    </row>
    <row r="210" spans="2:15" x14ac:dyDescent="0.25">
      <c r="B210" s="305">
        <v>204</v>
      </c>
      <c r="C210" s="305">
        <v>204</v>
      </c>
      <c r="D210" s="305">
        <v>528</v>
      </c>
      <c r="E210" s="305">
        <v>987</v>
      </c>
      <c r="F210" s="305">
        <v>1505</v>
      </c>
      <c r="G210" s="305">
        <v>1863</v>
      </c>
      <c r="H210" s="305">
        <v>1991</v>
      </c>
      <c r="I210" s="305">
        <v>1578</v>
      </c>
      <c r="J210" s="305">
        <v>1164</v>
      </c>
      <c r="K210" s="305">
        <v>786</v>
      </c>
      <c r="L210" s="305">
        <v>455</v>
      </c>
      <c r="M210" s="305">
        <v>275</v>
      </c>
      <c r="N210" s="305">
        <v>198</v>
      </c>
      <c r="O210" s="305">
        <v>230</v>
      </c>
    </row>
    <row r="211" spans="2:15" x14ac:dyDescent="0.25">
      <c r="B211" s="305">
        <v>205</v>
      </c>
      <c r="C211" s="305">
        <v>205</v>
      </c>
      <c r="D211" s="305">
        <v>219</v>
      </c>
      <c r="E211" s="305">
        <v>241</v>
      </c>
      <c r="F211" s="305">
        <v>239</v>
      </c>
      <c r="G211" s="305">
        <v>190</v>
      </c>
      <c r="H211" s="305">
        <v>119</v>
      </c>
      <c r="I211" s="305">
        <v>87</v>
      </c>
      <c r="J211" s="305">
        <v>68</v>
      </c>
      <c r="K211" s="305">
        <v>54</v>
      </c>
      <c r="L211" s="305">
        <v>47</v>
      </c>
      <c r="M211" s="305">
        <v>61</v>
      </c>
      <c r="N211" s="305">
        <v>100</v>
      </c>
      <c r="O211" s="305">
        <v>161</v>
      </c>
    </row>
    <row r="212" spans="2:15" x14ac:dyDescent="0.25">
      <c r="B212" s="305">
        <v>206</v>
      </c>
      <c r="C212" s="305">
        <v>206</v>
      </c>
      <c r="D212" s="305">
        <v>610</v>
      </c>
      <c r="E212" s="305">
        <v>615</v>
      </c>
      <c r="F212" s="305">
        <v>578</v>
      </c>
      <c r="G212" s="305">
        <v>439</v>
      </c>
      <c r="H212" s="305">
        <v>300</v>
      </c>
      <c r="I212" s="305">
        <v>235</v>
      </c>
      <c r="J212" s="305">
        <v>195</v>
      </c>
      <c r="K212" s="305">
        <v>161</v>
      </c>
      <c r="L212" s="305">
        <v>148</v>
      </c>
      <c r="M212" s="305">
        <v>180</v>
      </c>
      <c r="N212" s="305">
        <v>263</v>
      </c>
      <c r="O212" s="305">
        <v>434</v>
      </c>
    </row>
    <row r="213" spans="2:15" x14ac:dyDescent="0.25">
      <c r="B213" s="305">
        <v>207</v>
      </c>
      <c r="C213" s="305">
        <v>207</v>
      </c>
      <c r="D213" s="305">
        <v>620</v>
      </c>
      <c r="E213" s="305">
        <v>626</v>
      </c>
      <c r="F213" s="305">
        <v>589</v>
      </c>
      <c r="G213" s="305">
        <v>448</v>
      </c>
      <c r="H213" s="305">
        <v>307</v>
      </c>
      <c r="I213" s="305">
        <v>240</v>
      </c>
      <c r="J213" s="305">
        <v>199</v>
      </c>
      <c r="K213" s="305">
        <v>164</v>
      </c>
      <c r="L213" s="305">
        <v>151</v>
      </c>
      <c r="M213" s="305">
        <v>183</v>
      </c>
      <c r="N213" s="305">
        <v>268</v>
      </c>
      <c r="O213" s="305">
        <v>441</v>
      </c>
    </row>
    <row r="214" spans="2:15" x14ac:dyDescent="0.25">
      <c r="B214" s="305">
        <v>208</v>
      </c>
      <c r="C214" s="305">
        <v>208</v>
      </c>
      <c r="D214" s="305">
        <v>0</v>
      </c>
      <c r="E214" s="305">
        <v>0</v>
      </c>
      <c r="F214" s="305">
        <v>0</v>
      </c>
      <c r="G214" s="305">
        <v>0</v>
      </c>
      <c r="H214" s="305">
        <v>0</v>
      </c>
      <c r="I214" s="305">
        <v>0</v>
      </c>
      <c r="J214" s="305">
        <v>0</v>
      </c>
      <c r="K214" s="305">
        <v>0</v>
      </c>
      <c r="L214" s="305">
        <v>0</v>
      </c>
      <c r="M214" s="305">
        <v>0</v>
      </c>
      <c r="N214" s="305">
        <v>0</v>
      </c>
      <c r="O214" s="305">
        <v>0</v>
      </c>
    </row>
    <row r="215" spans="2:15" x14ac:dyDescent="0.25">
      <c r="B215" s="305">
        <v>209</v>
      </c>
      <c r="C215" s="305">
        <v>209</v>
      </c>
      <c r="D215" s="305">
        <v>756</v>
      </c>
      <c r="E215" s="305">
        <v>833</v>
      </c>
      <c r="F215" s="305">
        <v>833</v>
      </c>
      <c r="G215" s="305">
        <v>643</v>
      </c>
      <c r="H215" s="305">
        <v>406</v>
      </c>
      <c r="I215" s="305">
        <v>302</v>
      </c>
      <c r="J215" s="305">
        <v>237</v>
      </c>
      <c r="K215" s="305">
        <v>187</v>
      </c>
      <c r="L215" s="305">
        <v>162</v>
      </c>
      <c r="M215" s="305">
        <v>204</v>
      </c>
      <c r="N215" s="305">
        <v>339</v>
      </c>
      <c r="O215" s="305">
        <v>555</v>
      </c>
    </row>
    <row r="216" spans="2:15" x14ac:dyDescent="0.25">
      <c r="B216" s="305">
        <v>210</v>
      </c>
      <c r="C216" s="305">
        <v>210</v>
      </c>
      <c r="D216" s="305">
        <v>0</v>
      </c>
      <c r="E216" s="305">
        <v>0</v>
      </c>
      <c r="F216" s="305">
        <v>0</v>
      </c>
      <c r="G216" s="305">
        <v>0</v>
      </c>
      <c r="H216" s="305">
        <v>0</v>
      </c>
      <c r="I216" s="305">
        <v>0</v>
      </c>
      <c r="J216" s="305">
        <v>0</v>
      </c>
      <c r="K216" s="305">
        <v>0</v>
      </c>
      <c r="L216" s="305">
        <v>0</v>
      </c>
      <c r="M216" s="305">
        <v>0</v>
      </c>
      <c r="N216" s="305">
        <v>0</v>
      </c>
      <c r="O216" s="305">
        <v>0</v>
      </c>
    </row>
    <row r="217" spans="2:15" x14ac:dyDescent="0.25">
      <c r="B217" s="305">
        <v>211</v>
      </c>
      <c r="C217" s="305">
        <v>211</v>
      </c>
      <c r="D217" s="305">
        <v>595</v>
      </c>
      <c r="E217" s="305">
        <v>527</v>
      </c>
      <c r="F217" s="305">
        <v>466</v>
      </c>
      <c r="G217" s="305">
        <v>322</v>
      </c>
      <c r="H217" s="305">
        <v>237</v>
      </c>
      <c r="I217" s="305">
        <v>198</v>
      </c>
      <c r="J217" s="305">
        <v>167</v>
      </c>
      <c r="K217" s="305">
        <v>142</v>
      </c>
      <c r="L217" s="305">
        <v>145</v>
      </c>
      <c r="M217" s="305">
        <v>174</v>
      </c>
      <c r="N217" s="305">
        <v>255</v>
      </c>
      <c r="O217" s="305">
        <v>432</v>
      </c>
    </row>
    <row r="218" spans="2:15" x14ac:dyDescent="0.25">
      <c r="B218" s="305">
        <v>212</v>
      </c>
      <c r="C218" s="305">
        <v>212</v>
      </c>
      <c r="D218" s="305">
        <v>0</v>
      </c>
      <c r="E218" s="305">
        <v>0</v>
      </c>
      <c r="F218" s="305">
        <v>0</v>
      </c>
      <c r="G218" s="305">
        <v>0</v>
      </c>
      <c r="H218" s="305">
        <v>0</v>
      </c>
      <c r="I218" s="305">
        <v>0</v>
      </c>
      <c r="J218" s="305">
        <v>0</v>
      </c>
      <c r="K218" s="305">
        <v>0</v>
      </c>
      <c r="L218" s="305">
        <v>0</v>
      </c>
      <c r="M218" s="305">
        <v>0</v>
      </c>
      <c r="N218" s="305">
        <v>0</v>
      </c>
      <c r="O218" s="305">
        <v>0</v>
      </c>
    </row>
    <row r="219" spans="2:15" x14ac:dyDescent="0.25">
      <c r="B219" s="305">
        <v>213</v>
      </c>
      <c r="C219" s="305">
        <v>213</v>
      </c>
      <c r="D219" s="305">
        <v>0</v>
      </c>
      <c r="E219" s="305">
        <v>0</v>
      </c>
      <c r="F219" s="305">
        <v>0</v>
      </c>
      <c r="G219" s="305">
        <v>0</v>
      </c>
      <c r="H219" s="305">
        <v>0</v>
      </c>
      <c r="I219" s="305">
        <v>0</v>
      </c>
      <c r="J219" s="305">
        <v>0</v>
      </c>
      <c r="K219" s="305">
        <v>0</v>
      </c>
      <c r="L219" s="305">
        <v>0</v>
      </c>
      <c r="M219" s="305">
        <v>0</v>
      </c>
      <c r="N219" s="305">
        <v>0</v>
      </c>
      <c r="O219" s="305">
        <v>0</v>
      </c>
    </row>
    <row r="220" spans="2:15" x14ac:dyDescent="0.25">
      <c r="B220" s="305">
        <v>214</v>
      </c>
      <c r="C220" s="305">
        <v>214</v>
      </c>
      <c r="D220" s="305">
        <v>0</v>
      </c>
      <c r="E220" s="305">
        <v>0</v>
      </c>
      <c r="F220" s="305">
        <v>0</v>
      </c>
      <c r="G220" s="305">
        <v>0</v>
      </c>
      <c r="H220" s="305">
        <v>0</v>
      </c>
      <c r="I220" s="305">
        <v>0</v>
      </c>
      <c r="J220" s="305">
        <v>0</v>
      </c>
      <c r="K220" s="305">
        <v>0</v>
      </c>
      <c r="L220" s="305">
        <v>0</v>
      </c>
      <c r="M220" s="305">
        <v>0</v>
      </c>
      <c r="N220" s="305">
        <v>0</v>
      </c>
      <c r="O220" s="305">
        <v>0</v>
      </c>
    </row>
    <row r="221" spans="2:15" x14ac:dyDescent="0.25">
      <c r="B221" s="305">
        <v>215</v>
      </c>
      <c r="C221" s="305">
        <v>215</v>
      </c>
      <c r="D221" s="305">
        <v>181</v>
      </c>
      <c r="E221" s="305">
        <v>236</v>
      </c>
      <c r="F221" s="305">
        <v>177</v>
      </c>
      <c r="G221" s="305">
        <v>185</v>
      </c>
      <c r="H221" s="305">
        <v>251</v>
      </c>
      <c r="I221" s="305">
        <v>278</v>
      </c>
      <c r="J221" s="305">
        <v>356</v>
      </c>
      <c r="K221" s="305">
        <v>383</v>
      </c>
      <c r="L221" s="305">
        <v>434</v>
      </c>
      <c r="M221" s="305">
        <v>382</v>
      </c>
      <c r="N221" s="305">
        <v>236</v>
      </c>
      <c r="O221" s="305">
        <v>185</v>
      </c>
    </row>
    <row r="222" spans="2:15" x14ac:dyDescent="0.25">
      <c r="B222" s="305">
        <v>216</v>
      </c>
      <c r="C222" s="305">
        <v>216</v>
      </c>
      <c r="D222" s="305">
        <v>226</v>
      </c>
      <c r="E222" s="305">
        <v>283</v>
      </c>
      <c r="F222" s="305">
        <v>228</v>
      </c>
      <c r="G222" s="305">
        <v>212</v>
      </c>
      <c r="H222" s="305">
        <v>279</v>
      </c>
      <c r="I222" s="305">
        <v>305</v>
      </c>
      <c r="J222" s="305">
        <v>366</v>
      </c>
      <c r="K222" s="305">
        <v>384</v>
      </c>
      <c r="L222" s="305">
        <v>460</v>
      </c>
      <c r="M222" s="305">
        <v>474</v>
      </c>
      <c r="N222" s="305">
        <v>311</v>
      </c>
      <c r="O222" s="305">
        <v>223</v>
      </c>
    </row>
    <row r="223" spans="2:15" x14ac:dyDescent="0.25">
      <c r="B223" s="305">
        <v>217</v>
      </c>
      <c r="C223" s="305">
        <v>217</v>
      </c>
      <c r="D223" s="305">
        <v>493</v>
      </c>
      <c r="E223" s="305">
        <v>630</v>
      </c>
      <c r="F223" s="305">
        <v>492</v>
      </c>
      <c r="G223" s="305">
        <v>495</v>
      </c>
      <c r="H223" s="305">
        <v>676</v>
      </c>
      <c r="I223" s="305">
        <v>746</v>
      </c>
      <c r="J223" s="305">
        <v>913</v>
      </c>
      <c r="K223" s="305">
        <v>964</v>
      </c>
      <c r="L223" s="305">
        <v>1118</v>
      </c>
      <c r="M223" s="305">
        <v>1091</v>
      </c>
      <c r="N223" s="305">
        <v>690</v>
      </c>
      <c r="O223" s="305">
        <v>510</v>
      </c>
    </row>
    <row r="224" spans="2:15" x14ac:dyDescent="0.25">
      <c r="B224" s="305">
        <v>218</v>
      </c>
      <c r="C224" s="305">
        <v>218</v>
      </c>
      <c r="D224" s="305">
        <v>0</v>
      </c>
      <c r="E224" s="305">
        <v>0</v>
      </c>
      <c r="F224" s="305">
        <v>0</v>
      </c>
      <c r="G224" s="305">
        <v>0</v>
      </c>
      <c r="H224" s="305">
        <v>0</v>
      </c>
      <c r="I224" s="305">
        <v>0</v>
      </c>
      <c r="J224" s="305">
        <v>0</v>
      </c>
      <c r="K224" s="305">
        <v>0</v>
      </c>
      <c r="L224" s="305">
        <v>0</v>
      </c>
      <c r="M224" s="305">
        <v>0</v>
      </c>
      <c r="N224" s="305">
        <v>0</v>
      </c>
      <c r="O224" s="305">
        <v>0</v>
      </c>
    </row>
    <row r="225" spans="2:15" x14ac:dyDescent="0.25">
      <c r="B225" s="305">
        <v>219</v>
      </c>
      <c r="C225" s="305">
        <v>219</v>
      </c>
      <c r="D225" s="305">
        <v>0</v>
      </c>
      <c r="E225" s="305">
        <v>0</v>
      </c>
      <c r="F225" s="305">
        <v>0</v>
      </c>
      <c r="G225" s="305">
        <v>0</v>
      </c>
      <c r="H225" s="305">
        <v>0</v>
      </c>
      <c r="I225" s="305">
        <v>0</v>
      </c>
      <c r="J225" s="305">
        <v>0</v>
      </c>
      <c r="K225" s="305">
        <v>0</v>
      </c>
      <c r="L225" s="305">
        <v>0</v>
      </c>
      <c r="M225" s="305">
        <v>0</v>
      </c>
      <c r="N225" s="305">
        <v>0</v>
      </c>
      <c r="O225" s="305">
        <v>0</v>
      </c>
    </row>
    <row r="226" spans="2:15" x14ac:dyDescent="0.25">
      <c r="B226" s="305">
        <v>220</v>
      </c>
      <c r="C226" s="305">
        <v>220</v>
      </c>
      <c r="D226" s="305">
        <v>59</v>
      </c>
      <c r="E226" s="305">
        <v>58</v>
      </c>
      <c r="F226" s="305">
        <v>49</v>
      </c>
      <c r="G226" s="305">
        <v>62</v>
      </c>
      <c r="H226" s="305">
        <v>96</v>
      </c>
      <c r="I226" s="305">
        <v>118</v>
      </c>
      <c r="J226" s="305">
        <v>132</v>
      </c>
      <c r="K226" s="305">
        <v>119</v>
      </c>
      <c r="L226" s="305">
        <v>132</v>
      </c>
      <c r="M226" s="305">
        <v>147</v>
      </c>
      <c r="N226" s="305">
        <v>103</v>
      </c>
      <c r="O226" s="305">
        <v>77</v>
      </c>
    </row>
    <row r="227" spans="2:15" x14ac:dyDescent="0.25">
      <c r="B227" s="305">
        <v>221</v>
      </c>
      <c r="C227" s="305">
        <v>221</v>
      </c>
      <c r="D227" s="305">
        <v>0</v>
      </c>
      <c r="E227" s="305">
        <v>0</v>
      </c>
      <c r="F227" s="305">
        <v>0</v>
      </c>
      <c r="G227" s="305">
        <v>0</v>
      </c>
      <c r="H227" s="305">
        <v>0</v>
      </c>
      <c r="I227" s="305">
        <v>0</v>
      </c>
      <c r="J227" s="305">
        <v>0</v>
      </c>
      <c r="K227" s="305">
        <v>0</v>
      </c>
      <c r="L227" s="305">
        <v>0</v>
      </c>
      <c r="M227" s="305">
        <v>0</v>
      </c>
      <c r="N227" s="305">
        <v>0</v>
      </c>
      <c r="O227" s="305">
        <v>0</v>
      </c>
    </row>
    <row r="228" spans="2:15" x14ac:dyDescent="0.25">
      <c r="B228" s="305">
        <v>222</v>
      </c>
      <c r="C228" s="305">
        <v>222</v>
      </c>
      <c r="D228" s="305">
        <v>1143</v>
      </c>
      <c r="E228" s="305">
        <v>1265</v>
      </c>
      <c r="F228" s="305">
        <v>1101</v>
      </c>
      <c r="G228" s="305">
        <v>1021</v>
      </c>
      <c r="H228" s="305">
        <v>1325</v>
      </c>
      <c r="I228" s="305">
        <v>1575</v>
      </c>
      <c r="J228" s="305">
        <v>1524</v>
      </c>
      <c r="K228" s="305">
        <v>1264</v>
      </c>
      <c r="L228" s="305">
        <v>1467</v>
      </c>
      <c r="M228" s="305">
        <v>1935</v>
      </c>
      <c r="N228" s="305">
        <v>1462</v>
      </c>
      <c r="O228" s="305">
        <v>1160</v>
      </c>
    </row>
    <row r="229" spans="2:15" x14ac:dyDescent="0.25">
      <c r="B229" s="305">
        <v>223</v>
      </c>
      <c r="C229" s="305">
        <v>223</v>
      </c>
      <c r="D229" s="305">
        <v>0</v>
      </c>
      <c r="E229" s="305">
        <v>0</v>
      </c>
      <c r="F229" s="305">
        <v>0</v>
      </c>
      <c r="G229" s="305">
        <v>0</v>
      </c>
      <c r="H229" s="305">
        <v>0</v>
      </c>
      <c r="I229" s="305">
        <v>0</v>
      </c>
      <c r="J229" s="305">
        <v>0</v>
      </c>
      <c r="K229" s="305">
        <v>0</v>
      </c>
      <c r="L229" s="305">
        <v>0</v>
      </c>
      <c r="M229" s="305">
        <v>0</v>
      </c>
      <c r="N229" s="305">
        <v>0</v>
      </c>
      <c r="O229" s="305">
        <v>0</v>
      </c>
    </row>
    <row r="230" spans="2:15" x14ac:dyDescent="0.25">
      <c r="B230" s="305">
        <v>224</v>
      </c>
      <c r="C230" s="305">
        <v>224</v>
      </c>
      <c r="D230" s="305">
        <v>0</v>
      </c>
      <c r="E230" s="305">
        <v>0</v>
      </c>
      <c r="F230" s="305">
        <v>0</v>
      </c>
      <c r="G230" s="305">
        <v>0</v>
      </c>
      <c r="H230" s="305">
        <v>0</v>
      </c>
      <c r="I230" s="305">
        <v>0</v>
      </c>
      <c r="J230" s="305">
        <v>0</v>
      </c>
      <c r="K230" s="305">
        <v>0</v>
      </c>
      <c r="L230" s="305">
        <v>0</v>
      </c>
      <c r="M230" s="305">
        <v>0</v>
      </c>
      <c r="N230" s="305">
        <v>0</v>
      </c>
      <c r="O230" s="305">
        <v>0</v>
      </c>
    </row>
    <row r="231" spans="2:15" x14ac:dyDescent="0.25">
      <c r="B231" s="305">
        <v>225</v>
      </c>
      <c r="C231" s="305">
        <v>225</v>
      </c>
      <c r="D231" s="305">
        <v>379</v>
      </c>
      <c r="E231" s="305">
        <v>470</v>
      </c>
      <c r="F231" s="305">
        <v>506</v>
      </c>
      <c r="G231" s="305">
        <v>370</v>
      </c>
      <c r="H231" s="305">
        <v>183</v>
      </c>
      <c r="I231" s="305">
        <v>72</v>
      </c>
      <c r="J231" s="305">
        <v>39</v>
      </c>
      <c r="K231" s="305">
        <v>25</v>
      </c>
      <c r="L231" s="305">
        <v>20</v>
      </c>
      <c r="M231" s="305">
        <v>31</v>
      </c>
      <c r="N231" s="305">
        <v>76</v>
      </c>
      <c r="O231" s="305">
        <v>212</v>
      </c>
    </row>
    <row r="232" spans="2:15" x14ac:dyDescent="0.25">
      <c r="B232" s="305">
        <v>226</v>
      </c>
      <c r="C232" s="305">
        <v>226</v>
      </c>
      <c r="D232" s="305">
        <v>0</v>
      </c>
      <c r="E232" s="305">
        <v>0</v>
      </c>
      <c r="F232" s="305">
        <v>0</v>
      </c>
      <c r="G232" s="305">
        <v>0</v>
      </c>
      <c r="H232" s="305">
        <v>0</v>
      </c>
      <c r="I232" s="305">
        <v>0</v>
      </c>
      <c r="J232" s="305">
        <v>0</v>
      </c>
      <c r="K232" s="305">
        <v>0</v>
      </c>
      <c r="L232" s="305">
        <v>0</v>
      </c>
      <c r="M232" s="305">
        <v>0</v>
      </c>
      <c r="N232" s="305">
        <v>0</v>
      </c>
      <c r="O232" s="305">
        <v>0</v>
      </c>
    </row>
    <row r="233" spans="2:15" x14ac:dyDescent="0.25">
      <c r="B233" s="305">
        <v>227</v>
      </c>
      <c r="C233" s="305">
        <v>227</v>
      </c>
      <c r="D233" s="305">
        <v>1456</v>
      </c>
      <c r="E233" s="305">
        <v>1620</v>
      </c>
      <c r="F233" s="305">
        <v>1615</v>
      </c>
      <c r="G233" s="305">
        <v>1285</v>
      </c>
      <c r="H233" s="305">
        <v>883</v>
      </c>
      <c r="I233" s="305">
        <v>661</v>
      </c>
      <c r="J233" s="305">
        <v>528</v>
      </c>
      <c r="K233" s="305">
        <v>449</v>
      </c>
      <c r="L233" s="305">
        <v>412</v>
      </c>
      <c r="M233" s="305">
        <v>481</v>
      </c>
      <c r="N233" s="305">
        <v>708</v>
      </c>
      <c r="O233" s="305">
        <v>1096</v>
      </c>
    </row>
    <row r="234" spans="2:15" x14ac:dyDescent="0.25">
      <c r="B234" s="305">
        <v>228</v>
      </c>
      <c r="C234" s="305">
        <v>228</v>
      </c>
      <c r="D234" s="305">
        <v>1590</v>
      </c>
      <c r="E234" s="305">
        <v>1771</v>
      </c>
      <c r="F234" s="305">
        <v>1763</v>
      </c>
      <c r="G234" s="305">
        <v>1403</v>
      </c>
      <c r="H234" s="305">
        <v>965</v>
      </c>
      <c r="I234" s="305">
        <v>722</v>
      </c>
      <c r="J234" s="305">
        <v>577</v>
      </c>
      <c r="K234" s="305">
        <v>490</v>
      </c>
      <c r="L234" s="305">
        <v>451</v>
      </c>
      <c r="M234" s="305">
        <v>527</v>
      </c>
      <c r="N234" s="305">
        <v>773</v>
      </c>
      <c r="O234" s="305">
        <v>1197</v>
      </c>
    </row>
    <row r="235" spans="2:15" x14ac:dyDescent="0.25">
      <c r="B235" s="305">
        <v>229</v>
      </c>
      <c r="C235" s="305">
        <v>229</v>
      </c>
      <c r="D235" s="305">
        <v>3700</v>
      </c>
      <c r="E235" s="305">
        <v>4305</v>
      </c>
      <c r="F235" s="305">
        <v>4469</v>
      </c>
      <c r="G235" s="305">
        <v>3568</v>
      </c>
      <c r="H235" s="305">
        <v>2289</v>
      </c>
      <c r="I235" s="305">
        <v>1476</v>
      </c>
      <c r="J235" s="305">
        <v>1050</v>
      </c>
      <c r="K235" s="305">
        <v>810</v>
      </c>
      <c r="L235" s="305">
        <v>704</v>
      </c>
      <c r="M235" s="305">
        <v>889</v>
      </c>
      <c r="N235" s="305">
        <v>1491</v>
      </c>
      <c r="O235" s="305">
        <v>2585</v>
      </c>
    </row>
    <row r="236" spans="2:15" x14ac:dyDescent="0.25">
      <c r="B236" s="305">
        <v>230</v>
      </c>
      <c r="C236" s="305">
        <v>230</v>
      </c>
      <c r="D236" s="305">
        <v>3728</v>
      </c>
      <c r="E236" s="305">
        <v>4324</v>
      </c>
      <c r="F236" s="305">
        <v>4500</v>
      </c>
      <c r="G236" s="305">
        <v>3582</v>
      </c>
      <c r="H236" s="305">
        <v>2297</v>
      </c>
      <c r="I236" s="305">
        <v>1482</v>
      </c>
      <c r="J236" s="305">
        <v>1057</v>
      </c>
      <c r="K236" s="305">
        <v>816</v>
      </c>
      <c r="L236" s="305">
        <v>709</v>
      </c>
      <c r="M236" s="305">
        <v>895</v>
      </c>
      <c r="N236" s="305">
        <v>1495</v>
      </c>
      <c r="O236" s="305">
        <v>2602</v>
      </c>
    </row>
    <row r="237" spans="2:15" x14ac:dyDescent="0.25">
      <c r="B237" s="305">
        <v>231</v>
      </c>
      <c r="C237" s="305">
        <v>231</v>
      </c>
      <c r="D237" s="305">
        <v>0</v>
      </c>
      <c r="E237" s="305">
        <v>0</v>
      </c>
      <c r="F237" s="305">
        <v>0</v>
      </c>
      <c r="G237" s="305">
        <v>0</v>
      </c>
      <c r="H237" s="305">
        <v>0</v>
      </c>
      <c r="I237" s="305">
        <v>0</v>
      </c>
      <c r="J237" s="305">
        <v>0</v>
      </c>
      <c r="K237" s="305">
        <v>0</v>
      </c>
      <c r="L237" s="305">
        <v>0</v>
      </c>
      <c r="M237" s="305">
        <v>0</v>
      </c>
      <c r="N237" s="305">
        <v>0</v>
      </c>
      <c r="O237" s="305">
        <v>0</v>
      </c>
    </row>
    <row r="238" spans="2:15" x14ac:dyDescent="0.25">
      <c r="B238" s="305">
        <v>232</v>
      </c>
      <c r="C238" s="305">
        <v>232</v>
      </c>
      <c r="D238" s="305">
        <v>0</v>
      </c>
      <c r="E238" s="305">
        <v>0</v>
      </c>
      <c r="F238" s="305">
        <v>0</v>
      </c>
      <c r="G238" s="305">
        <v>0</v>
      </c>
      <c r="H238" s="305">
        <v>0</v>
      </c>
      <c r="I238" s="305">
        <v>0</v>
      </c>
      <c r="J238" s="305">
        <v>0</v>
      </c>
      <c r="K238" s="305">
        <v>0</v>
      </c>
      <c r="L238" s="305">
        <v>0</v>
      </c>
      <c r="M238" s="305">
        <v>0</v>
      </c>
      <c r="N238" s="305">
        <v>0</v>
      </c>
      <c r="O238" s="305">
        <v>0</v>
      </c>
    </row>
    <row r="239" spans="2:15" x14ac:dyDescent="0.25">
      <c r="B239" s="305">
        <v>233</v>
      </c>
      <c r="C239" s="305">
        <v>233</v>
      </c>
      <c r="D239" s="305">
        <v>0</v>
      </c>
      <c r="E239" s="305">
        <v>0</v>
      </c>
      <c r="F239" s="305">
        <v>0</v>
      </c>
      <c r="G239" s="305">
        <v>0</v>
      </c>
      <c r="H239" s="305">
        <v>0</v>
      </c>
      <c r="I239" s="305">
        <v>0</v>
      </c>
      <c r="J239" s="305">
        <v>0</v>
      </c>
      <c r="K239" s="305">
        <v>0</v>
      </c>
      <c r="L239" s="305">
        <v>0</v>
      </c>
      <c r="M239" s="305">
        <v>0</v>
      </c>
      <c r="N239" s="305">
        <v>0</v>
      </c>
      <c r="O239" s="305">
        <v>0</v>
      </c>
    </row>
    <row r="240" spans="2:15" x14ac:dyDescent="0.25">
      <c r="B240" s="305">
        <v>234</v>
      </c>
      <c r="C240" s="305">
        <v>234</v>
      </c>
      <c r="D240" s="305">
        <v>0</v>
      </c>
      <c r="E240" s="305">
        <v>0</v>
      </c>
      <c r="F240" s="305">
        <v>0</v>
      </c>
      <c r="G240" s="305">
        <v>0</v>
      </c>
      <c r="H240" s="305">
        <v>0</v>
      </c>
      <c r="I240" s="305">
        <v>0</v>
      </c>
      <c r="J240" s="305">
        <v>0</v>
      </c>
      <c r="K240" s="305">
        <v>0</v>
      </c>
      <c r="L240" s="305">
        <v>0</v>
      </c>
      <c r="M240" s="305">
        <v>0</v>
      </c>
      <c r="N240" s="305">
        <v>0</v>
      </c>
      <c r="O240" s="305">
        <v>0</v>
      </c>
    </row>
    <row r="241" spans="2:15" x14ac:dyDescent="0.25">
      <c r="B241" s="305">
        <v>235</v>
      </c>
      <c r="C241" s="305">
        <v>235</v>
      </c>
      <c r="D241" s="305">
        <v>0</v>
      </c>
      <c r="E241" s="305">
        <v>0</v>
      </c>
      <c r="F241" s="305">
        <v>0</v>
      </c>
      <c r="G241" s="305">
        <v>0</v>
      </c>
      <c r="H241" s="305">
        <v>0</v>
      </c>
      <c r="I241" s="305">
        <v>0</v>
      </c>
      <c r="J241" s="305">
        <v>0</v>
      </c>
      <c r="K241" s="305">
        <v>0</v>
      </c>
      <c r="L241" s="305">
        <v>0</v>
      </c>
      <c r="M241" s="305">
        <v>0</v>
      </c>
      <c r="N241" s="305">
        <v>0</v>
      </c>
      <c r="O241" s="305">
        <v>0</v>
      </c>
    </row>
    <row r="242" spans="2:15" x14ac:dyDescent="0.25">
      <c r="B242" s="305">
        <v>236</v>
      </c>
      <c r="C242" s="305">
        <v>236</v>
      </c>
      <c r="D242" s="305">
        <v>0</v>
      </c>
      <c r="E242" s="305">
        <v>0</v>
      </c>
      <c r="F242" s="305">
        <v>0</v>
      </c>
      <c r="G242" s="305">
        <v>0</v>
      </c>
      <c r="H242" s="305">
        <v>0</v>
      </c>
      <c r="I242" s="305">
        <v>0</v>
      </c>
      <c r="J242" s="305">
        <v>0</v>
      </c>
      <c r="K242" s="305">
        <v>0</v>
      </c>
      <c r="L242" s="305">
        <v>0</v>
      </c>
      <c r="M242" s="305">
        <v>0</v>
      </c>
      <c r="N242" s="305">
        <v>0</v>
      </c>
      <c r="O242" s="305">
        <v>0</v>
      </c>
    </row>
    <row r="243" spans="2:15" x14ac:dyDescent="0.25">
      <c r="B243" s="305">
        <v>237</v>
      </c>
      <c r="C243" s="305">
        <v>237</v>
      </c>
      <c r="D243" s="305">
        <v>752</v>
      </c>
      <c r="E243" s="305">
        <v>794</v>
      </c>
      <c r="F243" s="305">
        <v>672</v>
      </c>
      <c r="G243" s="305">
        <v>445</v>
      </c>
      <c r="H243" s="305">
        <v>350</v>
      </c>
      <c r="I243" s="305">
        <v>346</v>
      </c>
      <c r="J243" s="305">
        <v>276</v>
      </c>
      <c r="K243" s="305">
        <v>233</v>
      </c>
      <c r="L243" s="305">
        <v>256</v>
      </c>
      <c r="M243" s="305">
        <v>316</v>
      </c>
      <c r="N243" s="305">
        <v>338</v>
      </c>
      <c r="O243" s="305">
        <v>512</v>
      </c>
    </row>
    <row r="244" spans="2:15" x14ac:dyDescent="0.25">
      <c r="B244" s="305">
        <v>238</v>
      </c>
      <c r="C244" s="305">
        <v>238</v>
      </c>
      <c r="D244" s="305">
        <v>835</v>
      </c>
      <c r="E244" s="305">
        <v>885</v>
      </c>
      <c r="F244" s="305">
        <v>751</v>
      </c>
      <c r="G244" s="305">
        <v>501</v>
      </c>
      <c r="H244" s="305">
        <v>395</v>
      </c>
      <c r="I244" s="305">
        <v>390</v>
      </c>
      <c r="J244" s="305">
        <v>310</v>
      </c>
      <c r="K244" s="305">
        <v>263</v>
      </c>
      <c r="L244" s="305">
        <v>287</v>
      </c>
      <c r="M244" s="305">
        <v>350</v>
      </c>
      <c r="N244" s="305">
        <v>376</v>
      </c>
      <c r="O244" s="305">
        <v>566</v>
      </c>
    </row>
    <row r="245" spans="2:15" x14ac:dyDescent="0.25">
      <c r="B245" s="305">
        <v>239</v>
      </c>
      <c r="C245" s="305">
        <v>239</v>
      </c>
      <c r="D245" s="305">
        <v>922</v>
      </c>
      <c r="E245" s="305">
        <v>977</v>
      </c>
      <c r="F245" s="305">
        <v>834</v>
      </c>
      <c r="G245" s="305">
        <v>571</v>
      </c>
      <c r="H245" s="305">
        <v>455</v>
      </c>
      <c r="I245" s="305">
        <v>448</v>
      </c>
      <c r="J245" s="305">
        <v>362</v>
      </c>
      <c r="K245" s="305">
        <v>309</v>
      </c>
      <c r="L245" s="305">
        <v>327</v>
      </c>
      <c r="M245" s="305">
        <v>389</v>
      </c>
      <c r="N245" s="305">
        <v>419</v>
      </c>
      <c r="O245" s="305">
        <v>631</v>
      </c>
    </row>
    <row r="246" spans="2:15" x14ac:dyDescent="0.25">
      <c r="B246" s="305">
        <v>240</v>
      </c>
      <c r="C246" s="305">
        <v>240</v>
      </c>
      <c r="D246" s="305">
        <v>1171</v>
      </c>
      <c r="E246" s="305">
        <v>1244</v>
      </c>
      <c r="F246" s="305">
        <v>1074</v>
      </c>
      <c r="G246" s="305">
        <v>733</v>
      </c>
      <c r="H246" s="305">
        <v>582</v>
      </c>
      <c r="I246" s="305">
        <v>569</v>
      </c>
      <c r="J246" s="305">
        <v>466</v>
      </c>
      <c r="K246" s="305">
        <v>403</v>
      </c>
      <c r="L246" s="305">
        <v>430</v>
      </c>
      <c r="M246" s="305">
        <v>506</v>
      </c>
      <c r="N246" s="305">
        <v>540</v>
      </c>
      <c r="O246" s="305">
        <v>806</v>
      </c>
    </row>
    <row r="247" spans="2:15" x14ac:dyDescent="0.25">
      <c r="B247" s="305">
        <v>241</v>
      </c>
      <c r="C247" s="305">
        <v>241</v>
      </c>
      <c r="D247" s="305">
        <v>265</v>
      </c>
      <c r="E247" s="305">
        <v>286</v>
      </c>
      <c r="F247" s="305">
        <v>287</v>
      </c>
      <c r="G247" s="305">
        <v>232</v>
      </c>
      <c r="H247" s="305">
        <v>180</v>
      </c>
      <c r="I247" s="305">
        <v>157</v>
      </c>
      <c r="J247" s="305">
        <v>140</v>
      </c>
      <c r="K247" s="305">
        <v>129</v>
      </c>
      <c r="L247" s="305">
        <v>133</v>
      </c>
      <c r="M247" s="305">
        <v>152</v>
      </c>
      <c r="N247" s="305">
        <v>180</v>
      </c>
      <c r="O247" s="305">
        <v>224</v>
      </c>
    </row>
    <row r="248" spans="2:15" x14ac:dyDescent="0.25">
      <c r="B248" s="305">
        <v>242</v>
      </c>
      <c r="C248" s="305">
        <v>242</v>
      </c>
      <c r="D248" s="305">
        <v>1256</v>
      </c>
      <c r="E248" s="305">
        <v>1339</v>
      </c>
      <c r="F248" s="305">
        <v>1152</v>
      </c>
      <c r="G248" s="305">
        <v>783</v>
      </c>
      <c r="H248" s="305">
        <v>618</v>
      </c>
      <c r="I248" s="305">
        <v>606</v>
      </c>
      <c r="J248" s="305">
        <v>494</v>
      </c>
      <c r="K248" s="305">
        <v>427</v>
      </c>
      <c r="L248" s="305">
        <v>455</v>
      </c>
      <c r="M248" s="305">
        <v>537</v>
      </c>
      <c r="N248" s="305">
        <v>574</v>
      </c>
      <c r="O248" s="305">
        <v>859</v>
      </c>
    </row>
    <row r="249" spans="2:15" x14ac:dyDescent="0.25">
      <c r="B249" s="305">
        <v>243</v>
      </c>
      <c r="C249" s="305">
        <v>243</v>
      </c>
      <c r="D249" s="305">
        <v>1314</v>
      </c>
      <c r="E249" s="305">
        <v>1428</v>
      </c>
      <c r="F249" s="305">
        <v>1242</v>
      </c>
      <c r="G249" s="305">
        <v>856</v>
      </c>
      <c r="H249" s="305">
        <v>662</v>
      </c>
      <c r="I249" s="305">
        <v>653</v>
      </c>
      <c r="J249" s="305">
        <v>533</v>
      </c>
      <c r="K249" s="305">
        <v>462</v>
      </c>
      <c r="L249" s="305">
        <v>484</v>
      </c>
      <c r="M249" s="305">
        <v>571</v>
      </c>
      <c r="N249" s="305">
        <v>607</v>
      </c>
      <c r="O249" s="305">
        <v>898</v>
      </c>
    </row>
    <row r="250" spans="2:15" x14ac:dyDescent="0.25">
      <c r="B250" s="305">
        <v>244</v>
      </c>
      <c r="C250" s="305">
        <v>244</v>
      </c>
      <c r="D250" s="305">
        <v>10278</v>
      </c>
      <c r="E250" s="305">
        <v>10851</v>
      </c>
      <c r="F250" s="305">
        <v>10248</v>
      </c>
      <c r="G250" s="305">
        <v>7640</v>
      </c>
      <c r="H250" s="305">
        <v>5311</v>
      </c>
      <c r="I250" s="305">
        <v>4456</v>
      </c>
      <c r="J250" s="305">
        <v>3645</v>
      </c>
      <c r="K250" s="305">
        <v>3069</v>
      </c>
      <c r="L250" s="305">
        <v>2970</v>
      </c>
      <c r="M250" s="305">
        <v>3447</v>
      </c>
      <c r="N250" s="305">
        <v>4525</v>
      </c>
      <c r="O250" s="305">
        <v>7180</v>
      </c>
    </row>
    <row r="251" spans="2:15" x14ac:dyDescent="0.25">
      <c r="B251" s="305">
        <v>245</v>
      </c>
      <c r="C251" s="305">
        <v>245</v>
      </c>
      <c r="D251" s="305">
        <v>10693</v>
      </c>
      <c r="E251" s="305">
        <v>11311</v>
      </c>
      <c r="F251" s="305">
        <v>10676</v>
      </c>
      <c r="G251" s="305">
        <v>8004</v>
      </c>
      <c r="H251" s="305">
        <v>5621</v>
      </c>
      <c r="I251" s="305">
        <v>4754</v>
      </c>
      <c r="J251" s="305">
        <v>3925</v>
      </c>
      <c r="K251" s="305">
        <v>3347</v>
      </c>
      <c r="L251" s="305">
        <v>3236</v>
      </c>
      <c r="M251" s="305">
        <v>3720</v>
      </c>
      <c r="N251" s="305">
        <v>4816</v>
      </c>
      <c r="O251" s="305">
        <v>7509</v>
      </c>
    </row>
    <row r="252" spans="2:15" x14ac:dyDescent="0.25">
      <c r="B252" s="305">
        <v>246</v>
      </c>
      <c r="C252" s="305">
        <v>246</v>
      </c>
      <c r="D252" s="305">
        <v>11559</v>
      </c>
      <c r="E252" s="305">
        <v>12433</v>
      </c>
      <c r="F252" s="305">
        <v>11776</v>
      </c>
      <c r="G252" s="305">
        <v>9042</v>
      </c>
      <c r="H252" s="305">
        <v>6508</v>
      </c>
      <c r="I252" s="305">
        <v>5641</v>
      </c>
      <c r="J252" s="305">
        <v>4639</v>
      </c>
      <c r="K252" s="305">
        <v>3954</v>
      </c>
      <c r="L252" s="305">
        <v>3842</v>
      </c>
      <c r="M252" s="305">
        <v>4380</v>
      </c>
      <c r="N252" s="305">
        <v>5473</v>
      </c>
      <c r="O252" s="305">
        <v>8161</v>
      </c>
    </row>
    <row r="253" spans="2:15" x14ac:dyDescent="0.25">
      <c r="B253" s="305">
        <v>247</v>
      </c>
      <c r="C253" s="305">
        <v>247</v>
      </c>
      <c r="D253" s="305">
        <v>289</v>
      </c>
      <c r="E253" s="305">
        <v>323</v>
      </c>
      <c r="F253" s="305">
        <v>328</v>
      </c>
      <c r="G253" s="305">
        <v>253</v>
      </c>
      <c r="H253" s="305">
        <v>177</v>
      </c>
      <c r="I253" s="305">
        <v>139</v>
      </c>
      <c r="J253" s="305">
        <v>116</v>
      </c>
      <c r="K253" s="305">
        <v>101</v>
      </c>
      <c r="L253" s="305">
        <v>103</v>
      </c>
      <c r="M253" s="305">
        <v>128</v>
      </c>
      <c r="N253" s="305">
        <v>166</v>
      </c>
      <c r="O253" s="305">
        <v>231</v>
      </c>
    </row>
    <row r="254" spans="2:15" x14ac:dyDescent="0.25">
      <c r="B254" s="305">
        <v>248</v>
      </c>
      <c r="C254" s="305">
        <v>248</v>
      </c>
      <c r="D254" s="305">
        <v>301</v>
      </c>
      <c r="E254" s="305">
        <v>336</v>
      </c>
      <c r="F254" s="305">
        <v>341</v>
      </c>
      <c r="G254" s="305">
        <v>263</v>
      </c>
      <c r="H254" s="305">
        <v>184</v>
      </c>
      <c r="I254" s="305">
        <v>145</v>
      </c>
      <c r="J254" s="305">
        <v>121</v>
      </c>
      <c r="K254" s="305">
        <v>105</v>
      </c>
      <c r="L254" s="305">
        <v>107</v>
      </c>
      <c r="M254" s="305">
        <v>133</v>
      </c>
      <c r="N254" s="305">
        <v>173</v>
      </c>
      <c r="O254" s="305">
        <v>241</v>
      </c>
    </row>
    <row r="255" spans="2:15" x14ac:dyDescent="0.25">
      <c r="B255" s="305">
        <v>249</v>
      </c>
      <c r="C255" s="305">
        <v>249</v>
      </c>
      <c r="D255" s="305">
        <v>512</v>
      </c>
      <c r="E255" s="305">
        <v>553</v>
      </c>
      <c r="F255" s="305">
        <v>458</v>
      </c>
      <c r="G255" s="305">
        <v>331</v>
      </c>
      <c r="H255" s="305">
        <v>305</v>
      </c>
      <c r="I255" s="305">
        <v>319</v>
      </c>
      <c r="J255" s="305">
        <v>281</v>
      </c>
      <c r="K255" s="305">
        <v>232</v>
      </c>
      <c r="L255" s="305">
        <v>258</v>
      </c>
      <c r="M255" s="305">
        <v>309</v>
      </c>
      <c r="N255" s="305">
        <v>286</v>
      </c>
      <c r="O255" s="305">
        <v>355</v>
      </c>
    </row>
    <row r="256" spans="2:15" x14ac:dyDescent="0.25">
      <c r="B256" s="305">
        <v>250</v>
      </c>
      <c r="C256" s="305">
        <v>250</v>
      </c>
      <c r="D256" s="305">
        <v>0</v>
      </c>
      <c r="E256" s="305">
        <v>0</v>
      </c>
      <c r="F256" s="305">
        <v>0</v>
      </c>
      <c r="G256" s="305">
        <v>0</v>
      </c>
      <c r="H256" s="305">
        <v>0</v>
      </c>
      <c r="I256" s="305">
        <v>0</v>
      </c>
      <c r="J256" s="305">
        <v>0</v>
      </c>
      <c r="K256" s="305">
        <v>0</v>
      </c>
      <c r="L256" s="305">
        <v>0</v>
      </c>
      <c r="M256" s="305">
        <v>0</v>
      </c>
      <c r="N256" s="305">
        <v>0</v>
      </c>
      <c r="O256" s="305">
        <v>0</v>
      </c>
    </row>
    <row r="257" spans="2:15" x14ac:dyDescent="0.25">
      <c r="B257" s="305">
        <v>251</v>
      </c>
      <c r="C257" s="305">
        <v>251</v>
      </c>
      <c r="D257" s="305">
        <v>322</v>
      </c>
      <c r="E257" s="305">
        <v>322</v>
      </c>
      <c r="F257" s="305">
        <v>322</v>
      </c>
      <c r="G257" s="305">
        <v>241</v>
      </c>
      <c r="H257" s="305">
        <v>152</v>
      </c>
      <c r="I257" s="305">
        <v>116</v>
      </c>
      <c r="J257" s="305">
        <v>91</v>
      </c>
      <c r="K257" s="305">
        <v>72</v>
      </c>
      <c r="L257" s="305">
        <v>61</v>
      </c>
      <c r="M257" s="305">
        <v>74</v>
      </c>
      <c r="N257" s="305">
        <v>127</v>
      </c>
      <c r="O257" s="305">
        <v>242</v>
      </c>
    </row>
    <row r="258" spans="2:15" x14ac:dyDescent="0.25">
      <c r="B258" s="305">
        <v>252</v>
      </c>
      <c r="C258" s="305">
        <v>252</v>
      </c>
      <c r="D258" s="305">
        <v>102</v>
      </c>
      <c r="E258" s="305">
        <v>115</v>
      </c>
      <c r="F258" s="305">
        <v>113</v>
      </c>
      <c r="G258" s="305">
        <v>89</v>
      </c>
      <c r="H258" s="305">
        <v>66</v>
      </c>
      <c r="I258" s="305">
        <v>56</v>
      </c>
      <c r="J258" s="305">
        <v>51</v>
      </c>
      <c r="K258" s="305">
        <v>47</v>
      </c>
      <c r="L258" s="305">
        <v>48</v>
      </c>
      <c r="M258" s="305">
        <v>52</v>
      </c>
      <c r="N258" s="305">
        <v>61</v>
      </c>
      <c r="O258" s="305">
        <v>80</v>
      </c>
    </row>
    <row r="259" spans="2:15" x14ac:dyDescent="0.25">
      <c r="B259" s="305">
        <v>253</v>
      </c>
      <c r="C259" s="305">
        <v>253</v>
      </c>
      <c r="D259" s="305">
        <v>1759</v>
      </c>
      <c r="E259" s="305">
        <v>1996</v>
      </c>
      <c r="F259" s="305">
        <v>1864</v>
      </c>
      <c r="G259" s="305">
        <v>1343</v>
      </c>
      <c r="H259" s="305">
        <v>710</v>
      </c>
      <c r="I259" s="305">
        <v>482</v>
      </c>
      <c r="J259" s="305">
        <v>365</v>
      </c>
      <c r="K259" s="305">
        <v>285</v>
      </c>
      <c r="L259" s="305">
        <v>269</v>
      </c>
      <c r="M259" s="305">
        <v>386</v>
      </c>
      <c r="N259" s="305">
        <v>698</v>
      </c>
      <c r="O259" s="305">
        <v>1306</v>
      </c>
    </row>
    <row r="260" spans="2:15" x14ac:dyDescent="0.25">
      <c r="B260" s="305">
        <v>254</v>
      </c>
      <c r="C260" s="305">
        <v>254</v>
      </c>
      <c r="D260" s="305">
        <v>158</v>
      </c>
      <c r="E260" s="305">
        <v>159</v>
      </c>
      <c r="F260" s="305">
        <v>159</v>
      </c>
      <c r="G260" s="305">
        <v>132</v>
      </c>
      <c r="H260" s="305">
        <v>80</v>
      </c>
      <c r="I260" s="305">
        <v>55</v>
      </c>
      <c r="J260" s="305">
        <v>55</v>
      </c>
      <c r="K260" s="305">
        <v>44</v>
      </c>
      <c r="L260" s="305">
        <v>30</v>
      </c>
      <c r="M260" s="305">
        <v>36</v>
      </c>
      <c r="N260" s="305">
        <v>96</v>
      </c>
      <c r="O260" s="305">
        <v>201</v>
      </c>
    </row>
    <row r="261" spans="2:15" x14ac:dyDescent="0.25">
      <c r="B261" s="305">
        <v>255</v>
      </c>
      <c r="C261" s="305">
        <v>255</v>
      </c>
      <c r="D261" s="305">
        <v>347</v>
      </c>
      <c r="E261" s="305">
        <v>235</v>
      </c>
      <c r="F261" s="305">
        <v>213</v>
      </c>
      <c r="G261" s="305">
        <v>134</v>
      </c>
      <c r="H261" s="305">
        <v>71</v>
      </c>
      <c r="I261" s="305">
        <v>53</v>
      </c>
      <c r="J261" s="305">
        <v>44</v>
      </c>
      <c r="K261" s="305">
        <v>37</v>
      </c>
      <c r="L261" s="305">
        <v>35</v>
      </c>
      <c r="M261" s="305">
        <v>68</v>
      </c>
      <c r="N261" s="305">
        <v>201</v>
      </c>
      <c r="O261" s="305">
        <v>360</v>
      </c>
    </row>
    <row r="262" spans="2:15" x14ac:dyDescent="0.25">
      <c r="B262" s="305">
        <v>256</v>
      </c>
      <c r="C262" s="305">
        <v>256</v>
      </c>
      <c r="D262" s="305">
        <v>0</v>
      </c>
      <c r="E262" s="305">
        <v>0</v>
      </c>
      <c r="F262" s="305">
        <v>0</v>
      </c>
      <c r="G262" s="305">
        <v>0</v>
      </c>
      <c r="H262" s="305">
        <v>0</v>
      </c>
      <c r="I262" s="305">
        <v>0</v>
      </c>
      <c r="J262" s="305">
        <v>0</v>
      </c>
      <c r="K262" s="305">
        <v>0</v>
      </c>
      <c r="L262" s="305">
        <v>0</v>
      </c>
      <c r="M262" s="305">
        <v>0</v>
      </c>
      <c r="N262" s="305">
        <v>0</v>
      </c>
      <c r="O262" s="305">
        <v>0</v>
      </c>
    </row>
    <row r="263" spans="2:15" x14ac:dyDescent="0.25">
      <c r="B263" s="305">
        <v>257</v>
      </c>
      <c r="C263" s="305">
        <v>257</v>
      </c>
      <c r="D263" s="305">
        <v>3125</v>
      </c>
      <c r="E263" s="305">
        <v>3519</v>
      </c>
      <c r="F263" s="305">
        <v>3369</v>
      </c>
      <c r="G263" s="305">
        <v>2386</v>
      </c>
      <c r="H263" s="305">
        <v>1189</v>
      </c>
      <c r="I263" s="305">
        <v>783</v>
      </c>
      <c r="J263" s="305">
        <v>600</v>
      </c>
      <c r="K263" s="305">
        <v>482</v>
      </c>
      <c r="L263" s="305">
        <v>459</v>
      </c>
      <c r="M263" s="305">
        <v>635</v>
      </c>
      <c r="N263" s="305">
        <v>1197</v>
      </c>
      <c r="O263" s="305">
        <v>2332</v>
      </c>
    </row>
    <row r="264" spans="2:15" x14ac:dyDescent="0.25">
      <c r="B264" s="305">
        <v>258</v>
      </c>
      <c r="C264" s="305">
        <v>258</v>
      </c>
      <c r="D264" s="305">
        <v>415</v>
      </c>
      <c r="E264" s="305">
        <v>286</v>
      </c>
      <c r="F264" s="305">
        <v>249</v>
      </c>
      <c r="G264" s="305">
        <v>158</v>
      </c>
      <c r="H264" s="305">
        <v>84</v>
      </c>
      <c r="I264" s="305">
        <v>63</v>
      </c>
      <c r="J264" s="305">
        <v>53</v>
      </c>
      <c r="K264" s="305">
        <v>44</v>
      </c>
      <c r="L264" s="305">
        <v>43</v>
      </c>
      <c r="M264" s="305">
        <v>79</v>
      </c>
      <c r="N264" s="305">
        <v>236</v>
      </c>
      <c r="O264" s="305">
        <v>430</v>
      </c>
    </row>
    <row r="265" spans="2:15" x14ac:dyDescent="0.25">
      <c r="B265" s="305">
        <v>259</v>
      </c>
      <c r="C265" s="305">
        <v>259</v>
      </c>
      <c r="D265" s="305">
        <v>102</v>
      </c>
      <c r="E265" s="305">
        <v>115</v>
      </c>
      <c r="F265" s="305">
        <v>113</v>
      </c>
      <c r="G265" s="305">
        <v>89</v>
      </c>
      <c r="H265" s="305">
        <v>66</v>
      </c>
      <c r="I265" s="305">
        <v>56</v>
      </c>
      <c r="J265" s="305">
        <v>51</v>
      </c>
      <c r="K265" s="305">
        <v>47</v>
      </c>
      <c r="L265" s="305">
        <v>48</v>
      </c>
      <c r="M265" s="305">
        <v>52</v>
      </c>
      <c r="N265" s="305">
        <v>61</v>
      </c>
      <c r="O265" s="305">
        <v>80</v>
      </c>
    </row>
    <row r="266" spans="2:15" x14ac:dyDescent="0.25">
      <c r="B266" s="305">
        <v>260</v>
      </c>
      <c r="C266" s="305">
        <v>260</v>
      </c>
      <c r="D266" s="305">
        <v>0</v>
      </c>
      <c r="E266" s="305">
        <v>0</v>
      </c>
      <c r="F266" s="305">
        <v>0</v>
      </c>
      <c r="G266" s="305">
        <v>0</v>
      </c>
      <c r="H266" s="305">
        <v>0</v>
      </c>
      <c r="I266" s="305">
        <v>0</v>
      </c>
      <c r="J266" s="305">
        <v>0</v>
      </c>
      <c r="K266" s="305">
        <v>0</v>
      </c>
      <c r="L266" s="305">
        <v>0</v>
      </c>
      <c r="M266" s="305">
        <v>0</v>
      </c>
      <c r="N266" s="305">
        <v>0</v>
      </c>
      <c r="O266" s="305">
        <v>0</v>
      </c>
    </row>
    <row r="267" spans="2:15" x14ac:dyDescent="0.25">
      <c r="B267" s="305">
        <v>261</v>
      </c>
      <c r="C267" s="305">
        <v>261</v>
      </c>
      <c r="D267" s="305">
        <v>322</v>
      </c>
      <c r="E267" s="305">
        <v>360</v>
      </c>
      <c r="F267" s="305">
        <v>365</v>
      </c>
      <c r="G267" s="305">
        <v>283</v>
      </c>
      <c r="H267" s="305">
        <v>198</v>
      </c>
      <c r="I267" s="305">
        <v>156</v>
      </c>
      <c r="J267" s="305">
        <v>130</v>
      </c>
      <c r="K267" s="305">
        <v>113</v>
      </c>
      <c r="L267" s="305">
        <v>115</v>
      </c>
      <c r="M267" s="305">
        <v>143</v>
      </c>
      <c r="N267" s="305">
        <v>185</v>
      </c>
      <c r="O267" s="305">
        <v>257</v>
      </c>
    </row>
    <row r="268" spans="2:15" x14ac:dyDescent="0.25">
      <c r="B268" s="305">
        <v>262</v>
      </c>
      <c r="C268" s="305">
        <v>262</v>
      </c>
      <c r="D268" s="305">
        <v>153</v>
      </c>
      <c r="E268" s="305">
        <v>117</v>
      </c>
      <c r="F268" s="305">
        <v>105</v>
      </c>
      <c r="G268" s="305">
        <v>76</v>
      </c>
      <c r="H268" s="305">
        <v>57</v>
      </c>
      <c r="I268" s="305">
        <v>49</v>
      </c>
      <c r="J268" s="305">
        <v>43</v>
      </c>
      <c r="K268" s="305">
        <v>38</v>
      </c>
      <c r="L268" s="305">
        <v>38</v>
      </c>
      <c r="M268" s="305">
        <v>48</v>
      </c>
      <c r="N268" s="305">
        <v>79</v>
      </c>
      <c r="O268" s="305">
        <v>131</v>
      </c>
    </row>
    <row r="269" spans="2:15" x14ac:dyDescent="0.25">
      <c r="B269" s="305">
        <v>263</v>
      </c>
      <c r="C269" s="305">
        <v>263</v>
      </c>
      <c r="D269" s="305">
        <v>310</v>
      </c>
      <c r="E269" s="305">
        <v>251</v>
      </c>
      <c r="F269" s="305">
        <v>224</v>
      </c>
      <c r="G269" s="305">
        <v>170</v>
      </c>
      <c r="H269" s="305">
        <v>122</v>
      </c>
      <c r="I269" s="305">
        <v>100</v>
      </c>
      <c r="J269" s="305">
        <v>85</v>
      </c>
      <c r="K269" s="305">
        <v>74</v>
      </c>
      <c r="L269" s="305">
        <v>71</v>
      </c>
      <c r="M269" s="305">
        <v>91</v>
      </c>
      <c r="N269" s="305">
        <v>169</v>
      </c>
      <c r="O269" s="305">
        <v>269</v>
      </c>
    </row>
    <row r="270" spans="2:15" x14ac:dyDescent="0.25">
      <c r="B270" s="305">
        <v>264</v>
      </c>
      <c r="C270" s="305">
        <v>264</v>
      </c>
      <c r="D270" s="305">
        <v>0</v>
      </c>
      <c r="E270" s="305">
        <v>0</v>
      </c>
      <c r="F270" s="305">
        <v>0</v>
      </c>
      <c r="G270" s="305">
        <v>0</v>
      </c>
      <c r="H270" s="305">
        <v>0</v>
      </c>
      <c r="I270" s="305">
        <v>0</v>
      </c>
      <c r="J270" s="305">
        <v>0</v>
      </c>
      <c r="K270" s="305">
        <v>0</v>
      </c>
      <c r="L270" s="305">
        <v>0</v>
      </c>
      <c r="M270" s="305">
        <v>0</v>
      </c>
      <c r="N270" s="305">
        <v>0</v>
      </c>
      <c r="O270" s="305">
        <v>0</v>
      </c>
    </row>
    <row r="271" spans="2:15" x14ac:dyDescent="0.25">
      <c r="B271" s="305">
        <v>265</v>
      </c>
      <c r="C271" s="305">
        <v>265</v>
      </c>
      <c r="D271" s="305">
        <v>69</v>
      </c>
      <c r="E271" s="305">
        <v>54</v>
      </c>
      <c r="F271" s="305">
        <v>49</v>
      </c>
      <c r="G271" s="305">
        <v>41</v>
      </c>
      <c r="H271" s="305">
        <v>31</v>
      </c>
      <c r="I271" s="305">
        <v>27</v>
      </c>
      <c r="J271" s="305">
        <v>25</v>
      </c>
      <c r="K271" s="305">
        <v>22</v>
      </c>
      <c r="L271" s="305">
        <v>21</v>
      </c>
      <c r="M271" s="305">
        <v>25</v>
      </c>
      <c r="N271" s="305">
        <v>40</v>
      </c>
      <c r="O271" s="305">
        <v>62</v>
      </c>
    </row>
    <row r="272" spans="2:15" x14ac:dyDescent="0.25">
      <c r="B272" s="305">
        <v>266</v>
      </c>
      <c r="C272" s="305">
        <v>266</v>
      </c>
      <c r="D272" s="305">
        <v>14842</v>
      </c>
      <c r="E272" s="305">
        <v>16211</v>
      </c>
      <c r="F272" s="305">
        <v>15079</v>
      </c>
      <c r="G272" s="305">
        <v>11975</v>
      </c>
      <c r="H272" s="305">
        <v>9577</v>
      </c>
      <c r="I272" s="305">
        <v>8867</v>
      </c>
      <c r="J272" s="305">
        <v>7506</v>
      </c>
      <c r="K272" s="305">
        <v>6311</v>
      </c>
      <c r="L272" s="305">
        <v>6353</v>
      </c>
      <c r="M272" s="305">
        <v>7630</v>
      </c>
      <c r="N272" s="305">
        <v>8377</v>
      </c>
      <c r="O272" s="305">
        <v>11034</v>
      </c>
    </row>
    <row r="273" spans="2:15" x14ac:dyDescent="0.25">
      <c r="B273" s="305">
        <v>267</v>
      </c>
      <c r="C273" s="305">
        <v>267</v>
      </c>
      <c r="D273" s="305">
        <v>271</v>
      </c>
      <c r="E273" s="305">
        <v>230</v>
      </c>
      <c r="F273" s="305">
        <v>205</v>
      </c>
      <c r="G273" s="305">
        <v>159</v>
      </c>
      <c r="H273" s="305">
        <v>122</v>
      </c>
      <c r="I273" s="305">
        <v>107</v>
      </c>
      <c r="J273" s="305">
        <v>95</v>
      </c>
      <c r="K273" s="305">
        <v>85</v>
      </c>
      <c r="L273" s="305">
        <v>85</v>
      </c>
      <c r="M273" s="305">
        <v>100</v>
      </c>
      <c r="N273" s="305">
        <v>146</v>
      </c>
      <c r="O273" s="305">
        <v>230</v>
      </c>
    </row>
    <row r="274" spans="2:15" x14ac:dyDescent="0.25">
      <c r="B274" s="305">
        <v>268</v>
      </c>
      <c r="C274" s="305">
        <v>268</v>
      </c>
      <c r="D274" s="305">
        <v>0</v>
      </c>
      <c r="E274" s="305">
        <v>0</v>
      </c>
      <c r="F274" s="305">
        <v>0</v>
      </c>
      <c r="G274" s="305">
        <v>0</v>
      </c>
      <c r="H274" s="305">
        <v>0</v>
      </c>
      <c r="I274" s="305">
        <v>0</v>
      </c>
      <c r="J274" s="305">
        <v>0</v>
      </c>
      <c r="K274" s="305">
        <v>0</v>
      </c>
      <c r="L274" s="305">
        <v>0</v>
      </c>
      <c r="M274" s="305">
        <v>0</v>
      </c>
      <c r="N274" s="305">
        <v>0</v>
      </c>
      <c r="O274" s="305">
        <v>0</v>
      </c>
    </row>
    <row r="275" spans="2:15" x14ac:dyDescent="0.25">
      <c r="B275" s="305">
        <v>269</v>
      </c>
      <c r="C275" s="305">
        <v>269</v>
      </c>
      <c r="D275" s="305">
        <v>383</v>
      </c>
      <c r="E275" s="305">
        <v>584</v>
      </c>
      <c r="F275" s="305">
        <v>747</v>
      </c>
      <c r="G275" s="305">
        <v>1021</v>
      </c>
      <c r="H275" s="305">
        <v>1186</v>
      </c>
      <c r="I275" s="305">
        <v>1053</v>
      </c>
      <c r="J275" s="305">
        <v>670</v>
      </c>
      <c r="K275" s="305">
        <v>422</v>
      </c>
      <c r="L275" s="305">
        <v>315</v>
      </c>
      <c r="M275" s="305">
        <v>266</v>
      </c>
      <c r="N275" s="305">
        <v>263</v>
      </c>
      <c r="O275" s="305">
        <v>293</v>
      </c>
    </row>
    <row r="276" spans="2:15" x14ac:dyDescent="0.25">
      <c r="B276" s="305">
        <v>270</v>
      </c>
      <c r="C276" s="305">
        <v>270</v>
      </c>
      <c r="D276" s="305">
        <v>1435</v>
      </c>
      <c r="E276" s="305">
        <v>1626</v>
      </c>
      <c r="F276" s="305">
        <v>1501</v>
      </c>
      <c r="G276" s="305">
        <v>1062</v>
      </c>
      <c r="H276" s="305">
        <v>562</v>
      </c>
      <c r="I276" s="305">
        <v>390</v>
      </c>
      <c r="J276" s="305">
        <v>294</v>
      </c>
      <c r="K276" s="305">
        <v>227</v>
      </c>
      <c r="L276" s="305">
        <v>216</v>
      </c>
      <c r="M276" s="305">
        <v>316</v>
      </c>
      <c r="N276" s="305">
        <v>570</v>
      </c>
      <c r="O276" s="305">
        <v>1064</v>
      </c>
    </row>
    <row r="277" spans="2:15" x14ac:dyDescent="0.25">
      <c r="B277" s="305">
        <v>271</v>
      </c>
      <c r="C277" s="305">
        <v>271</v>
      </c>
      <c r="D277" s="305">
        <v>6904</v>
      </c>
      <c r="E277" s="305">
        <v>8298</v>
      </c>
      <c r="F277" s="305">
        <v>8801</v>
      </c>
      <c r="G277" s="305">
        <v>7326</v>
      </c>
      <c r="H277" s="305">
        <v>4115</v>
      </c>
      <c r="I277" s="305">
        <v>2349</v>
      </c>
      <c r="J277" s="305">
        <v>1663</v>
      </c>
      <c r="K277" s="305">
        <v>1280</v>
      </c>
      <c r="L277" s="305">
        <v>1155</v>
      </c>
      <c r="M277" s="305">
        <v>1495</v>
      </c>
      <c r="N277" s="305">
        <v>2601</v>
      </c>
      <c r="O277" s="305">
        <v>4780</v>
      </c>
    </row>
    <row r="278" spans="2:15" x14ac:dyDescent="0.25">
      <c r="B278" s="305">
        <v>272</v>
      </c>
      <c r="C278" s="305">
        <v>272</v>
      </c>
      <c r="D278" s="305">
        <v>0</v>
      </c>
      <c r="E278" s="305">
        <v>0</v>
      </c>
      <c r="F278" s="305">
        <v>0</v>
      </c>
      <c r="G278" s="305">
        <v>0</v>
      </c>
      <c r="H278" s="305">
        <v>0</v>
      </c>
      <c r="I278" s="305">
        <v>0</v>
      </c>
      <c r="J278" s="305">
        <v>0</v>
      </c>
      <c r="K278" s="305">
        <v>0</v>
      </c>
      <c r="L278" s="305">
        <v>0</v>
      </c>
      <c r="M278" s="305">
        <v>0</v>
      </c>
      <c r="N278" s="305">
        <v>0</v>
      </c>
      <c r="O278" s="305">
        <v>0</v>
      </c>
    </row>
    <row r="279" spans="2:15" x14ac:dyDescent="0.25">
      <c r="B279" s="305">
        <v>273</v>
      </c>
      <c r="C279" s="305">
        <v>273</v>
      </c>
      <c r="D279" s="305">
        <v>4457</v>
      </c>
      <c r="E279" s="305">
        <v>5124</v>
      </c>
      <c r="F279" s="305">
        <v>5144</v>
      </c>
      <c r="G279" s="305">
        <v>3833</v>
      </c>
      <c r="H279" s="305">
        <v>1893</v>
      </c>
      <c r="I279" s="305">
        <v>1127</v>
      </c>
      <c r="J279" s="305">
        <v>811</v>
      </c>
      <c r="K279" s="305">
        <v>622</v>
      </c>
      <c r="L279" s="305">
        <v>567</v>
      </c>
      <c r="M279" s="305">
        <v>794</v>
      </c>
      <c r="N279" s="305">
        <v>1573</v>
      </c>
      <c r="O279" s="305">
        <v>3179</v>
      </c>
    </row>
    <row r="280" spans="2:15" x14ac:dyDescent="0.25">
      <c r="B280" s="305">
        <v>274</v>
      </c>
      <c r="C280" s="305">
        <v>274</v>
      </c>
      <c r="D280" s="305">
        <v>7182</v>
      </c>
      <c r="E280" s="305">
        <v>8754</v>
      </c>
      <c r="F280" s="305">
        <v>9319</v>
      </c>
      <c r="G280" s="305">
        <v>8029</v>
      </c>
      <c r="H280" s="305">
        <v>4608</v>
      </c>
      <c r="I280" s="305">
        <v>2683</v>
      </c>
      <c r="J280" s="305">
        <v>1928</v>
      </c>
      <c r="K280" s="305">
        <v>1523</v>
      </c>
      <c r="L280" s="305">
        <v>1385</v>
      </c>
      <c r="M280" s="305">
        <v>1705</v>
      </c>
      <c r="N280" s="305">
        <v>2772</v>
      </c>
      <c r="O280" s="305">
        <v>4877</v>
      </c>
    </row>
    <row r="281" spans="2:15" x14ac:dyDescent="0.25">
      <c r="B281" s="305">
        <v>275</v>
      </c>
      <c r="C281" s="305">
        <v>275</v>
      </c>
      <c r="D281" s="305">
        <v>15155</v>
      </c>
      <c r="E281" s="305">
        <v>20528</v>
      </c>
      <c r="F281" s="305">
        <v>23995</v>
      </c>
      <c r="G281" s="305">
        <v>23999</v>
      </c>
      <c r="H281" s="305">
        <v>15616</v>
      </c>
      <c r="I281" s="305">
        <v>7321</v>
      </c>
      <c r="J281" s="305">
        <v>4212</v>
      </c>
      <c r="K281" s="305">
        <v>2957</v>
      </c>
      <c r="L281" s="305">
        <v>2333</v>
      </c>
      <c r="M281" s="305">
        <v>2620</v>
      </c>
      <c r="N281" s="305">
        <v>4346</v>
      </c>
      <c r="O281" s="305">
        <v>8574</v>
      </c>
    </row>
    <row r="282" spans="2:15" x14ac:dyDescent="0.25">
      <c r="B282" s="305">
        <v>276</v>
      </c>
      <c r="C282" s="305">
        <v>276</v>
      </c>
      <c r="D282" s="305">
        <v>6621</v>
      </c>
      <c r="E282" s="305">
        <v>10134</v>
      </c>
      <c r="F282" s="305">
        <v>12568</v>
      </c>
      <c r="G282" s="305">
        <v>13240</v>
      </c>
      <c r="H282" s="305">
        <v>8842</v>
      </c>
      <c r="I282" s="305">
        <v>3664</v>
      </c>
      <c r="J282" s="305">
        <v>1797</v>
      </c>
      <c r="K282" s="305">
        <v>1112</v>
      </c>
      <c r="L282" s="305">
        <v>823</v>
      </c>
      <c r="M282" s="305">
        <v>955</v>
      </c>
      <c r="N282" s="305">
        <v>1653</v>
      </c>
      <c r="O282" s="305">
        <v>3360</v>
      </c>
    </row>
    <row r="283" spans="2:15" x14ac:dyDescent="0.25">
      <c r="B283" s="305">
        <v>277</v>
      </c>
      <c r="C283" s="305">
        <v>277</v>
      </c>
      <c r="D283" s="305">
        <v>143</v>
      </c>
      <c r="E283" s="305">
        <v>208</v>
      </c>
      <c r="F283" s="305">
        <v>320</v>
      </c>
      <c r="G283" s="305">
        <v>406</v>
      </c>
      <c r="H283" s="305">
        <v>389</v>
      </c>
      <c r="I283" s="305">
        <v>267</v>
      </c>
      <c r="J283" s="305">
        <v>198</v>
      </c>
      <c r="K283" s="305">
        <v>149</v>
      </c>
      <c r="L283" s="305">
        <v>129</v>
      </c>
      <c r="M283" s="305">
        <v>115</v>
      </c>
      <c r="N283" s="305">
        <v>115</v>
      </c>
      <c r="O283" s="305">
        <v>119</v>
      </c>
    </row>
    <row r="284" spans="2:15" x14ac:dyDescent="0.25">
      <c r="B284" s="305">
        <v>278</v>
      </c>
      <c r="C284" s="305">
        <v>278</v>
      </c>
      <c r="D284" s="305">
        <v>306</v>
      </c>
      <c r="E284" s="305">
        <v>345</v>
      </c>
      <c r="F284" s="305">
        <v>323</v>
      </c>
      <c r="G284" s="305">
        <v>216</v>
      </c>
      <c r="H284" s="305">
        <v>123</v>
      </c>
      <c r="I284" s="305">
        <v>92</v>
      </c>
      <c r="J284" s="305">
        <v>78</v>
      </c>
      <c r="K284" s="305">
        <v>69</v>
      </c>
      <c r="L284" s="305">
        <v>70</v>
      </c>
      <c r="M284" s="305">
        <v>94</v>
      </c>
      <c r="N284" s="305">
        <v>130</v>
      </c>
      <c r="O284" s="305">
        <v>207</v>
      </c>
    </row>
    <row r="285" spans="2:15" x14ac:dyDescent="0.25">
      <c r="B285" s="305">
        <v>279</v>
      </c>
      <c r="C285" s="305">
        <v>279</v>
      </c>
      <c r="D285" s="305">
        <v>475</v>
      </c>
      <c r="E285" s="305">
        <v>742</v>
      </c>
      <c r="F285" s="305">
        <v>843</v>
      </c>
      <c r="G285" s="305">
        <v>757</v>
      </c>
      <c r="H285" s="305">
        <v>462</v>
      </c>
      <c r="I285" s="305">
        <v>245</v>
      </c>
      <c r="J285" s="305">
        <v>145</v>
      </c>
      <c r="K285" s="305">
        <v>89</v>
      </c>
      <c r="L285" s="305">
        <v>63</v>
      </c>
      <c r="M285" s="305">
        <v>60</v>
      </c>
      <c r="N285" s="305">
        <v>117</v>
      </c>
      <c r="O285" s="305">
        <v>238</v>
      </c>
    </row>
    <row r="286" spans="2:15" x14ac:dyDescent="0.25">
      <c r="B286" s="305">
        <v>280</v>
      </c>
      <c r="C286" s="305">
        <v>280</v>
      </c>
      <c r="D286" s="305">
        <v>529</v>
      </c>
      <c r="E286" s="305">
        <v>989</v>
      </c>
      <c r="F286" s="305">
        <v>1509</v>
      </c>
      <c r="G286" s="305">
        <v>1867</v>
      </c>
      <c r="H286" s="305">
        <v>1996</v>
      </c>
      <c r="I286" s="305">
        <v>1582</v>
      </c>
      <c r="J286" s="305">
        <v>1167</v>
      </c>
      <c r="K286" s="305">
        <v>788</v>
      </c>
      <c r="L286" s="305">
        <v>456</v>
      </c>
      <c r="M286" s="305">
        <v>276</v>
      </c>
      <c r="N286" s="305">
        <v>198</v>
      </c>
      <c r="O286" s="305">
        <v>230</v>
      </c>
    </row>
    <row r="287" spans="2:15" x14ac:dyDescent="0.25">
      <c r="B287" s="305">
        <v>281</v>
      </c>
      <c r="C287" s="305">
        <v>281</v>
      </c>
      <c r="D287" s="305">
        <v>86</v>
      </c>
      <c r="E287" s="305">
        <v>91</v>
      </c>
      <c r="F287" s="305">
        <v>92</v>
      </c>
      <c r="G287" s="305">
        <v>85</v>
      </c>
      <c r="H287" s="305">
        <v>77</v>
      </c>
      <c r="I287" s="305">
        <v>71</v>
      </c>
      <c r="J287" s="305">
        <v>67</v>
      </c>
      <c r="K287" s="305">
        <v>64</v>
      </c>
      <c r="L287" s="305">
        <v>63</v>
      </c>
      <c r="M287" s="305">
        <v>67</v>
      </c>
      <c r="N287" s="305">
        <v>72</v>
      </c>
      <c r="O287" s="305">
        <v>78</v>
      </c>
    </row>
    <row r="288" spans="2:15" x14ac:dyDescent="0.25">
      <c r="B288" s="305">
        <v>282</v>
      </c>
      <c r="C288" s="305">
        <v>282</v>
      </c>
      <c r="D288" s="305">
        <v>100</v>
      </c>
      <c r="E288" s="305">
        <v>106</v>
      </c>
      <c r="F288" s="305">
        <v>106</v>
      </c>
      <c r="G288" s="305">
        <v>90</v>
      </c>
      <c r="H288" s="305">
        <v>73</v>
      </c>
      <c r="I288" s="305">
        <v>65</v>
      </c>
      <c r="J288" s="305">
        <v>60</v>
      </c>
      <c r="K288" s="305">
        <v>56</v>
      </c>
      <c r="L288" s="305">
        <v>57</v>
      </c>
      <c r="M288" s="305">
        <v>62</v>
      </c>
      <c r="N288" s="305">
        <v>71</v>
      </c>
      <c r="O288" s="305">
        <v>86</v>
      </c>
    </row>
    <row r="289" spans="2:15" x14ac:dyDescent="0.25">
      <c r="B289" s="305">
        <v>283</v>
      </c>
      <c r="C289" s="305">
        <v>283</v>
      </c>
      <c r="D289" s="305">
        <v>176</v>
      </c>
      <c r="E289" s="305">
        <v>124</v>
      </c>
      <c r="F289" s="305">
        <v>122</v>
      </c>
      <c r="G289" s="305">
        <v>108</v>
      </c>
      <c r="H289" s="305">
        <v>74</v>
      </c>
      <c r="I289" s="305">
        <v>62</v>
      </c>
      <c r="J289" s="305">
        <v>61</v>
      </c>
      <c r="K289" s="305">
        <v>51</v>
      </c>
      <c r="L289" s="305">
        <v>45</v>
      </c>
      <c r="M289" s="305">
        <v>62</v>
      </c>
      <c r="N289" s="305">
        <v>123</v>
      </c>
      <c r="O289" s="305">
        <v>185</v>
      </c>
    </row>
    <row r="290" spans="2:15" x14ac:dyDescent="0.25">
      <c r="B290" s="305">
        <v>284</v>
      </c>
      <c r="C290" s="305">
        <v>284</v>
      </c>
      <c r="D290" s="305">
        <v>166</v>
      </c>
      <c r="E290" s="305">
        <v>211</v>
      </c>
      <c r="F290" s="305">
        <v>161</v>
      </c>
      <c r="G290" s="305">
        <v>179</v>
      </c>
      <c r="H290" s="305">
        <v>249</v>
      </c>
      <c r="I290" s="305">
        <v>324</v>
      </c>
      <c r="J290" s="305">
        <v>420</v>
      </c>
      <c r="K290" s="305">
        <v>438</v>
      </c>
      <c r="L290" s="305">
        <v>487</v>
      </c>
      <c r="M290" s="305">
        <v>400</v>
      </c>
      <c r="N290" s="305">
        <v>235</v>
      </c>
      <c r="O290" s="305">
        <v>187</v>
      </c>
    </row>
    <row r="291" spans="2:15" x14ac:dyDescent="0.25">
      <c r="B291" s="305">
        <v>285</v>
      </c>
      <c r="C291" s="305">
        <v>285</v>
      </c>
      <c r="D291" s="305">
        <v>23475</v>
      </c>
      <c r="E291" s="305">
        <v>30153</v>
      </c>
      <c r="F291" s="305">
        <v>34783</v>
      </c>
      <c r="G291" s="305">
        <v>33793</v>
      </c>
      <c r="H291" s="305">
        <v>25953</v>
      </c>
      <c r="I291" s="305">
        <v>18042</v>
      </c>
      <c r="J291" s="305">
        <v>11536</v>
      </c>
      <c r="K291" s="305">
        <v>7115</v>
      </c>
      <c r="L291" s="305">
        <v>5318</v>
      </c>
      <c r="M291" s="305">
        <v>6424</v>
      </c>
      <c r="N291" s="305">
        <v>10145</v>
      </c>
      <c r="O291" s="305">
        <v>16181</v>
      </c>
    </row>
    <row r="292" spans="2:15" x14ac:dyDescent="0.25">
      <c r="B292" s="305">
        <v>286</v>
      </c>
      <c r="C292" s="305">
        <v>286</v>
      </c>
      <c r="D292" s="305">
        <v>56</v>
      </c>
      <c r="E292" s="305">
        <v>66</v>
      </c>
      <c r="F292" s="305">
        <v>56</v>
      </c>
      <c r="G292" s="305">
        <v>58</v>
      </c>
      <c r="H292" s="305">
        <v>82</v>
      </c>
      <c r="I292" s="305">
        <v>93</v>
      </c>
      <c r="J292" s="305">
        <v>91</v>
      </c>
      <c r="K292" s="305">
        <v>88</v>
      </c>
      <c r="L292" s="305">
        <v>99</v>
      </c>
      <c r="M292" s="305">
        <v>121</v>
      </c>
      <c r="N292" s="305">
        <v>83</v>
      </c>
      <c r="O292" s="305">
        <v>62</v>
      </c>
    </row>
    <row r="293" spans="2:15" x14ac:dyDescent="0.25">
      <c r="B293" s="305">
        <v>287</v>
      </c>
      <c r="C293" s="305">
        <v>287</v>
      </c>
      <c r="D293" s="305">
        <v>23831</v>
      </c>
      <c r="E293" s="305">
        <v>30604</v>
      </c>
      <c r="F293" s="305">
        <v>35308</v>
      </c>
      <c r="G293" s="305">
        <v>34309</v>
      </c>
      <c r="H293" s="305">
        <v>26349</v>
      </c>
      <c r="I293" s="305">
        <v>18318</v>
      </c>
      <c r="J293" s="305">
        <v>11713</v>
      </c>
      <c r="K293" s="305">
        <v>7223</v>
      </c>
      <c r="L293" s="305">
        <v>5400</v>
      </c>
      <c r="M293" s="305">
        <v>6518</v>
      </c>
      <c r="N293" s="305">
        <v>10298</v>
      </c>
      <c r="O293" s="305">
        <v>16424</v>
      </c>
    </row>
    <row r="294" spans="2:15" x14ac:dyDescent="0.25">
      <c r="B294" s="305">
        <v>288</v>
      </c>
      <c r="C294" s="305">
        <v>288</v>
      </c>
      <c r="D294" s="305">
        <v>8125</v>
      </c>
      <c r="E294" s="305">
        <v>13406</v>
      </c>
      <c r="F294" s="305">
        <v>18188</v>
      </c>
      <c r="G294" s="305">
        <v>21466</v>
      </c>
      <c r="H294" s="305">
        <v>15553</v>
      </c>
      <c r="I294" s="305">
        <v>7399</v>
      </c>
      <c r="J294" s="305">
        <v>2952</v>
      </c>
      <c r="K294" s="305">
        <v>1594</v>
      </c>
      <c r="L294" s="305">
        <v>1089</v>
      </c>
      <c r="M294" s="305">
        <v>1115</v>
      </c>
      <c r="N294" s="305">
        <v>1908</v>
      </c>
      <c r="O294" s="305">
        <v>3893</v>
      </c>
    </row>
    <row r="295" spans="2:15" x14ac:dyDescent="0.25">
      <c r="B295" s="305">
        <v>289</v>
      </c>
      <c r="C295" s="305">
        <v>289</v>
      </c>
      <c r="D295" s="305">
        <v>65</v>
      </c>
      <c r="E295" s="305">
        <v>68</v>
      </c>
      <c r="F295" s="305">
        <v>69</v>
      </c>
      <c r="G295" s="305">
        <v>59</v>
      </c>
      <c r="H295" s="305">
        <v>49</v>
      </c>
      <c r="I295" s="305">
        <v>44</v>
      </c>
      <c r="J295" s="305">
        <v>40</v>
      </c>
      <c r="K295" s="305">
        <v>38</v>
      </c>
      <c r="L295" s="305">
        <v>38</v>
      </c>
      <c r="M295" s="305">
        <v>42</v>
      </c>
      <c r="N295" s="305">
        <v>47</v>
      </c>
      <c r="O295" s="305">
        <v>56</v>
      </c>
    </row>
    <row r="296" spans="2:15" x14ac:dyDescent="0.25">
      <c r="B296" s="305">
        <v>290</v>
      </c>
      <c r="C296" s="305">
        <v>290</v>
      </c>
      <c r="D296" s="305">
        <v>693</v>
      </c>
      <c r="E296" s="305">
        <v>1074</v>
      </c>
      <c r="F296" s="305">
        <v>1361</v>
      </c>
      <c r="G296" s="305">
        <v>1810</v>
      </c>
      <c r="H296" s="305">
        <v>2113</v>
      </c>
      <c r="I296" s="305">
        <v>2082</v>
      </c>
      <c r="J296" s="305">
        <v>1453</v>
      </c>
      <c r="K296" s="305">
        <v>964</v>
      </c>
      <c r="L296" s="305">
        <v>599</v>
      </c>
      <c r="M296" s="305">
        <v>342</v>
      </c>
      <c r="N296" s="305">
        <v>250</v>
      </c>
      <c r="O296" s="305">
        <v>352</v>
      </c>
    </row>
    <row r="297" spans="2:15" x14ac:dyDescent="0.25">
      <c r="B297" s="305">
        <v>291</v>
      </c>
      <c r="C297" s="305">
        <v>291</v>
      </c>
      <c r="D297" s="305">
        <v>505</v>
      </c>
      <c r="E297" s="305">
        <v>747</v>
      </c>
      <c r="F297" s="305">
        <v>834</v>
      </c>
      <c r="G297" s="305">
        <v>729</v>
      </c>
      <c r="H297" s="305">
        <v>463</v>
      </c>
      <c r="I297" s="305">
        <v>216</v>
      </c>
      <c r="J297" s="305">
        <v>99</v>
      </c>
      <c r="K297" s="305">
        <v>57</v>
      </c>
      <c r="L297" s="305">
        <v>47</v>
      </c>
      <c r="M297" s="305">
        <v>54</v>
      </c>
      <c r="N297" s="305">
        <v>94</v>
      </c>
      <c r="O297" s="305">
        <v>229</v>
      </c>
    </row>
    <row r="298" spans="2:15" x14ac:dyDescent="0.25">
      <c r="B298" s="305">
        <v>292</v>
      </c>
      <c r="C298" s="305">
        <v>292</v>
      </c>
      <c r="D298" s="305">
        <v>7025</v>
      </c>
      <c r="E298" s="305">
        <v>11806</v>
      </c>
      <c r="F298" s="305">
        <v>14929</v>
      </c>
      <c r="G298" s="305">
        <v>15442</v>
      </c>
      <c r="H298" s="305">
        <v>12640</v>
      </c>
      <c r="I298" s="305">
        <v>5794</v>
      </c>
      <c r="J298" s="305">
        <v>1850</v>
      </c>
      <c r="K298" s="305">
        <v>694</v>
      </c>
      <c r="L298" s="305">
        <v>346</v>
      </c>
      <c r="M298" s="305">
        <v>428</v>
      </c>
      <c r="N298" s="305">
        <v>1111</v>
      </c>
      <c r="O298" s="305">
        <v>2993</v>
      </c>
    </row>
    <row r="299" spans="2:15" x14ac:dyDescent="0.25">
      <c r="B299" s="305">
        <v>293</v>
      </c>
      <c r="C299" s="305">
        <v>293</v>
      </c>
      <c r="D299" s="305">
        <v>1669</v>
      </c>
      <c r="E299" s="305">
        <v>2538</v>
      </c>
      <c r="F299" s="305">
        <v>4532</v>
      </c>
      <c r="G299" s="305">
        <v>7527</v>
      </c>
      <c r="H299" s="305">
        <v>4002</v>
      </c>
      <c r="I299" s="305">
        <v>2123</v>
      </c>
      <c r="J299" s="305">
        <v>1308</v>
      </c>
      <c r="K299" s="305">
        <v>1012</v>
      </c>
      <c r="L299" s="305">
        <v>820</v>
      </c>
      <c r="M299" s="305">
        <v>765</v>
      </c>
      <c r="N299" s="305">
        <v>931</v>
      </c>
      <c r="O299" s="305">
        <v>1173</v>
      </c>
    </row>
    <row r="300" spans="2:15" x14ac:dyDescent="0.25">
      <c r="B300" s="305">
        <v>294</v>
      </c>
      <c r="C300" s="305">
        <v>294</v>
      </c>
      <c r="D300" s="305">
        <v>243</v>
      </c>
      <c r="E300" s="305">
        <v>263</v>
      </c>
      <c r="F300" s="305">
        <v>264</v>
      </c>
      <c r="G300" s="305">
        <v>212</v>
      </c>
      <c r="H300" s="305">
        <v>165</v>
      </c>
      <c r="I300" s="305">
        <v>144</v>
      </c>
      <c r="J300" s="305">
        <v>128</v>
      </c>
      <c r="K300" s="305">
        <v>119</v>
      </c>
      <c r="L300" s="305">
        <v>122</v>
      </c>
      <c r="M300" s="305">
        <v>140</v>
      </c>
      <c r="N300" s="305">
        <v>165</v>
      </c>
      <c r="O300" s="305">
        <v>206</v>
      </c>
    </row>
    <row r="301" spans="2:15" x14ac:dyDescent="0.25">
      <c r="B301" s="305">
        <v>295</v>
      </c>
      <c r="C301" s="305">
        <v>295</v>
      </c>
      <c r="D301" s="305">
        <v>98</v>
      </c>
      <c r="E301" s="305">
        <v>102</v>
      </c>
      <c r="F301" s="305">
        <v>110</v>
      </c>
      <c r="G301" s="305">
        <v>96</v>
      </c>
      <c r="H301" s="305">
        <v>84</v>
      </c>
      <c r="I301" s="305">
        <v>79</v>
      </c>
      <c r="J301" s="305">
        <v>76</v>
      </c>
      <c r="K301" s="305">
        <v>72</v>
      </c>
      <c r="L301" s="305">
        <v>71</v>
      </c>
      <c r="M301" s="305">
        <v>75</v>
      </c>
      <c r="N301" s="305">
        <v>79</v>
      </c>
      <c r="O301" s="305">
        <v>88</v>
      </c>
    </row>
    <row r="302" spans="2:15" x14ac:dyDescent="0.25">
      <c r="B302" s="305">
        <v>296</v>
      </c>
      <c r="C302" s="305">
        <v>296</v>
      </c>
      <c r="D302" s="305">
        <v>35</v>
      </c>
      <c r="E302" s="305">
        <v>37</v>
      </c>
      <c r="F302" s="305">
        <v>39</v>
      </c>
      <c r="G302" s="305">
        <v>37</v>
      </c>
      <c r="H302" s="305">
        <v>34</v>
      </c>
      <c r="I302" s="305">
        <v>32</v>
      </c>
      <c r="J302" s="305">
        <v>30</v>
      </c>
      <c r="K302" s="305">
        <v>29</v>
      </c>
      <c r="L302" s="305">
        <v>29</v>
      </c>
      <c r="M302" s="305">
        <v>30</v>
      </c>
      <c r="N302" s="305">
        <v>31</v>
      </c>
      <c r="O302" s="305">
        <v>33</v>
      </c>
    </row>
    <row r="303" spans="2:15" x14ac:dyDescent="0.25">
      <c r="B303" s="305">
        <v>297</v>
      </c>
      <c r="C303" s="305">
        <v>297</v>
      </c>
      <c r="D303" s="305">
        <v>534</v>
      </c>
      <c r="E303" s="305">
        <v>998</v>
      </c>
      <c r="F303" s="305">
        <v>1522</v>
      </c>
      <c r="G303" s="305">
        <v>1884</v>
      </c>
      <c r="H303" s="305">
        <v>2014</v>
      </c>
      <c r="I303" s="305">
        <v>1596</v>
      </c>
      <c r="J303" s="305">
        <v>1178</v>
      </c>
      <c r="K303" s="305">
        <v>795</v>
      </c>
      <c r="L303" s="305">
        <v>460</v>
      </c>
      <c r="M303" s="305">
        <v>279</v>
      </c>
      <c r="N303" s="305">
        <v>200</v>
      </c>
      <c r="O303" s="305">
        <v>232</v>
      </c>
    </row>
    <row r="304" spans="2:15" x14ac:dyDescent="0.25">
      <c r="B304" s="305">
        <v>298</v>
      </c>
      <c r="C304" s="305">
        <v>298</v>
      </c>
      <c r="D304" s="305">
        <v>159</v>
      </c>
      <c r="E304" s="305">
        <v>158</v>
      </c>
      <c r="F304" s="305">
        <v>159</v>
      </c>
      <c r="G304" s="305">
        <v>156</v>
      </c>
      <c r="H304" s="305">
        <v>140</v>
      </c>
      <c r="I304" s="305">
        <v>121</v>
      </c>
      <c r="J304" s="305">
        <v>106</v>
      </c>
      <c r="K304" s="305">
        <v>93</v>
      </c>
      <c r="L304" s="305">
        <v>93</v>
      </c>
      <c r="M304" s="305">
        <v>111</v>
      </c>
      <c r="N304" s="305">
        <v>135</v>
      </c>
      <c r="O304" s="305">
        <v>155</v>
      </c>
    </row>
    <row r="305" spans="2:15" x14ac:dyDescent="0.25">
      <c r="B305" s="305">
        <v>299</v>
      </c>
      <c r="C305" s="305">
        <v>299</v>
      </c>
      <c r="D305" s="305">
        <v>889</v>
      </c>
      <c r="E305" s="305">
        <v>892</v>
      </c>
      <c r="F305" s="305">
        <v>822</v>
      </c>
      <c r="G305" s="305">
        <v>551</v>
      </c>
      <c r="H305" s="305">
        <v>362</v>
      </c>
      <c r="I305" s="305">
        <v>301</v>
      </c>
      <c r="J305" s="305">
        <v>250</v>
      </c>
      <c r="K305" s="305">
        <v>212</v>
      </c>
      <c r="L305" s="305">
        <v>217</v>
      </c>
      <c r="M305" s="305">
        <v>259</v>
      </c>
      <c r="N305" s="305">
        <v>367</v>
      </c>
      <c r="O305" s="305">
        <v>602</v>
      </c>
    </row>
    <row r="306" spans="2:15" x14ac:dyDescent="0.25">
      <c r="B306" s="305">
        <v>300</v>
      </c>
      <c r="C306" s="305">
        <v>300</v>
      </c>
      <c r="D306" s="305">
        <v>0</v>
      </c>
      <c r="E306" s="305">
        <v>0</v>
      </c>
      <c r="F306" s="305">
        <v>0</v>
      </c>
      <c r="G306" s="305">
        <v>0</v>
      </c>
      <c r="H306" s="305">
        <v>0</v>
      </c>
      <c r="I306" s="305">
        <v>0</v>
      </c>
      <c r="J306" s="305">
        <v>0</v>
      </c>
      <c r="K306" s="305">
        <v>0</v>
      </c>
      <c r="L306" s="305">
        <v>0</v>
      </c>
      <c r="M306" s="305">
        <v>0</v>
      </c>
      <c r="N306" s="305">
        <v>0</v>
      </c>
      <c r="O306" s="305">
        <v>0</v>
      </c>
    </row>
    <row r="307" spans="2:15" x14ac:dyDescent="0.25">
      <c r="B307" s="305">
        <v>301</v>
      </c>
      <c r="C307" s="305">
        <v>301</v>
      </c>
      <c r="D307" s="305">
        <v>30</v>
      </c>
      <c r="E307" s="305">
        <v>30</v>
      </c>
      <c r="F307" s="305">
        <v>27</v>
      </c>
      <c r="G307" s="305">
        <v>18</v>
      </c>
      <c r="H307" s="305">
        <v>13</v>
      </c>
      <c r="I307" s="305">
        <v>11</v>
      </c>
      <c r="J307" s="305">
        <v>10</v>
      </c>
      <c r="K307" s="305">
        <v>9</v>
      </c>
      <c r="L307" s="305">
        <v>14</v>
      </c>
      <c r="M307" s="305">
        <v>18</v>
      </c>
      <c r="N307" s="305">
        <v>18</v>
      </c>
      <c r="O307" s="305">
        <v>24</v>
      </c>
    </row>
    <row r="308" spans="2:15" x14ac:dyDescent="0.25">
      <c r="B308" s="305">
        <v>302</v>
      </c>
      <c r="C308" s="305">
        <v>302</v>
      </c>
      <c r="D308" s="305">
        <v>1232</v>
      </c>
      <c r="E308" s="305">
        <v>2641</v>
      </c>
      <c r="F308" s="305">
        <v>6228</v>
      </c>
      <c r="G308" s="305">
        <v>10039</v>
      </c>
      <c r="H308" s="305">
        <v>4806</v>
      </c>
      <c r="I308" s="305">
        <v>1605</v>
      </c>
      <c r="J308" s="305">
        <v>1101</v>
      </c>
      <c r="K308" s="305">
        <v>900</v>
      </c>
      <c r="L308" s="305">
        <v>743</v>
      </c>
      <c r="M308" s="305">
        <v>687</v>
      </c>
      <c r="N308" s="305">
        <v>797</v>
      </c>
      <c r="O308" s="305">
        <v>900</v>
      </c>
    </row>
    <row r="309" spans="2:15" x14ac:dyDescent="0.25">
      <c r="B309" s="305">
        <v>303</v>
      </c>
      <c r="C309" s="305">
        <v>303</v>
      </c>
      <c r="D309" s="305">
        <v>46</v>
      </c>
      <c r="E309" s="305">
        <v>46</v>
      </c>
      <c r="F309" s="305">
        <v>46</v>
      </c>
      <c r="G309" s="305">
        <v>41</v>
      </c>
      <c r="H309" s="305">
        <v>28</v>
      </c>
      <c r="I309" s="305">
        <v>18</v>
      </c>
      <c r="J309" s="305">
        <v>12</v>
      </c>
      <c r="K309" s="305">
        <v>9</v>
      </c>
      <c r="L309" s="305">
        <v>10</v>
      </c>
      <c r="M309" s="305">
        <v>15</v>
      </c>
      <c r="N309" s="305">
        <v>26</v>
      </c>
      <c r="O309" s="305">
        <v>41</v>
      </c>
    </row>
    <row r="310" spans="2:15" x14ac:dyDescent="0.25">
      <c r="B310" s="305">
        <v>304</v>
      </c>
      <c r="C310" s="305">
        <v>304</v>
      </c>
      <c r="D310" s="305">
        <v>3</v>
      </c>
      <c r="E310" s="305">
        <v>4</v>
      </c>
      <c r="F310" s="305">
        <v>2</v>
      </c>
      <c r="G310" s="305">
        <v>0</v>
      </c>
      <c r="H310" s="305">
        <v>0</v>
      </c>
      <c r="I310" s="305">
        <v>0</v>
      </c>
      <c r="J310" s="305">
        <v>0</v>
      </c>
      <c r="K310" s="305">
        <v>0</v>
      </c>
      <c r="L310" s="305">
        <v>0</v>
      </c>
      <c r="M310" s="305">
        <v>0</v>
      </c>
      <c r="N310" s="305">
        <v>0</v>
      </c>
      <c r="O310" s="305">
        <v>1</v>
      </c>
    </row>
    <row r="311" spans="2:15" x14ac:dyDescent="0.25">
      <c r="B311" s="305">
        <v>305</v>
      </c>
      <c r="C311" s="305">
        <v>305</v>
      </c>
      <c r="D311" s="305">
        <v>0</v>
      </c>
      <c r="E311" s="305">
        <v>0</v>
      </c>
      <c r="F311" s="305">
        <v>0</v>
      </c>
      <c r="G311" s="305">
        <v>0</v>
      </c>
      <c r="H311" s="305">
        <v>0</v>
      </c>
      <c r="I311" s="305">
        <v>0</v>
      </c>
      <c r="J311" s="305">
        <v>0</v>
      </c>
      <c r="K311" s="305">
        <v>0</v>
      </c>
      <c r="L311" s="305">
        <v>0</v>
      </c>
      <c r="M311" s="305">
        <v>0</v>
      </c>
      <c r="N311" s="305">
        <v>0</v>
      </c>
      <c r="O311" s="305">
        <v>0</v>
      </c>
    </row>
    <row r="312" spans="2:15" x14ac:dyDescent="0.25">
      <c r="B312" s="305">
        <v>306</v>
      </c>
      <c r="C312" s="305">
        <v>306</v>
      </c>
      <c r="D312" s="305">
        <v>190</v>
      </c>
      <c r="E312" s="305">
        <v>189</v>
      </c>
      <c r="F312" s="305">
        <v>190</v>
      </c>
      <c r="G312" s="305">
        <v>184</v>
      </c>
      <c r="H312" s="305">
        <v>163</v>
      </c>
      <c r="I312" s="305">
        <v>140</v>
      </c>
      <c r="J312" s="305">
        <v>122</v>
      </c>
      <c r="K312" s="305">
        <v>106</v>
      </c>
      <c r="L312" s="305">
        <v>107</v>
      </c>
      <c r="M312" s="305">
        <v>127</v>
      </c>
      <c r="N312" s="305">
        <v>157</v>
      </c>
      <c r="O312" s="305">
        <v>183</v>
      </c>
    </row>
    <row r="313" spans="2:15" x14ac:dyDescent="0.25">
      <c r="B313" s="305">
        <v>307</v>
      </c>
      <c r="C313" s="305">
        <v>307</v>
      </c>
      <c r="D313" s="305">
        <v>0</v>
      </c>
      <c r="E313" s="305">
        <v>0</v>
      </c>
      <c r="F313" s="305">
        <v>0</v>
      </c>
      <c r="G313" s="305">
        <v>0</v>
      </c>
      <c r="H313" s="305">
        <v>0</v>
      </c>
      <c r="I313" s="305">
        <v>0</v>
      </c>
      <c r="J313" s="305">
        <v>0</v>
      </c>
      <c r="K313" s="305">
        <v>0</v>
      </c>
      <c r="L313" s="305">
        <v>0</v>
      </c>
      <c r="M313" s="305">
        <v>0</v>
      </c>
      <c r="N313" s="305">
        <v>0</v>
      </c>
      <c r="O313" s="305">
        <v>0</v>
      </c>
    </row>
    <row r="314" spans="2:15" x14ac:dyDescent="0.25">
      <c r="B314" s="305">
        <v>308</v>
      </c>
      <c r="C314" s="305">
        <v>308</v>
      </c>
      <c r="D314" s="305">
        <v>0</v>
      </c>
      <c r="E314" s="305">
        <v>0</v>
      </c>
      <c r="F314" s="305">
        <v>0</v>
      </c>
      <c r="G314" s="305">
        <v>0</v>
      </c>
      <c r="H314" s="305">
        <v>0</v>
      </c>
      <c r="I314" s="305">
        <v>0</v>
      </c>
      <c r="J314" s="305">
        <v>0</v>
      </c>
      <c r="K314" s="305">
        <v>0</v>
      </c>
      <c r="L314" s="305">
        <v>0</v>
      </c>
      <c r="M314" s="305">
        <v>0</v>
      </c>
      <c r="N314" s="305">
        <v>0</v>
      </c>
      <c r="O314" s="305">
        <v>0</v>
      </c>
    </row>
    <row r="315" spans="2:15" x14ac:dyDescent="0.25">
      <c r="B315" s="305">
        <v>309</v>
      </c>
      <c r="C315" s="305">
        <v>309</v>
      </c>
      <c r="D315" s="305">
        <v>0</v>
      </c>
      <c r="E315" s="305">
        <v>0</v>
      </c>
      <c r="F315" s="305">
        <v>0</v>
      </c>
      <c r="G315" s="305">
        <v>0</v>
      </c>
      <c r="H315" s="305">
        <v>0</v>
      </c>
      <c r="I315" s="305">
        <v>0</v>
      </c>
      <c r="J315" s="305">
        <v>0</v>
      </c>
      <c r="K315" s="305">
        <v>0</v>
      </c>
      <c r="L315" s="305">
        <v>0</v>
      </c>
      <c r="M315" s="305">
        <v>0</v>
      </c>
      <c r="N315" s="305">
        <v>0</v>
      </c>
      <c r="O315" s="305">
        <v>0</v>
      </c>
    </row>
    <row r="316" spans="2:15" x14ac:dyDescent="0.25">
      <c r="B316" s="305">
        <v>310</v>
      </c>
      <c r="C316" s="305">
        <v>310</v>
      </c>
      <c r="D316" s="305">
        <v>0</v>
      </c>
      <c r="E316" s="305">
        <v>0</v>
      </c>
      <c r="F316" s="305">
        <v>0</v>
      </c>
      <c r="G316" s="305">
        <v>0</v>
      </c>
      <c r="H316" s="305">
        <v>0</v>
      </c>
      <c r="I316" s="305">
        <v>0</v>
      </c>
      <c r="J316" s="305">
        <v>0</v>
      </c>
      <c r="K316" s="305">
        <v>0</v>
      </c>
      <c r="L316" s="305">
        <v>0</v>
      </c>
      <c r="M316" s="305">
        <v>0</v>
      </c>
      <c r="N316" s="305">
        <v>0</v>
      </c>
      <c r="O316" s="305">
        <v>0</v>
      </c>
    </row>
    <row r="317" spans="2:15" x14ac:dyDescent="0.25">
      <c r="B317" s="305">
        <v>311</v>
      </c>
      <c r="C317" s="305">
        <v>311</v>
      </c>
      <c r="D317" s="305">
        <v>0</v>
      </c>
      <c r="E317" s="305">
        <v>0</v>
      </c>
      <c r="F317" s="305">
        <v>0</v>
      </c>
      <c r="G317" s="305">
        <v>0</v>
      </c>
      <c r="H317" s="305">
        <v>0</v>
      </c>
      <c r="I317" s="305">
        <v>0</v>
      </c>
      <c r="J317" s="305">
        <v>0</v>
      </c>
      <c r="K317" s="305">
        <v>0</v>
      </c>
      <c r="L317" s="305">
        <v>0</v>
      </c>
      <c r="M317" s="305">
        <v>0</v>
      </c>
      <c r="N317" s="305">
        <v>0</v>
      </c>
      <c r="O317" s="305">
        <v>0</v>
      </c>
    </row>
    <row r="318" spans="2:15" x14ac:dyDescent="0.25">
      <c r="B318" s="305">
        <v>312</v>
      </c>
      <c r="C318" s="305">
        <v>312</v>
      </c>
      <c r="D318" s="305">
        <v>0</v>
      </c>
      <c r="E318" s="305">
        <v>0</v>
      </c>
      <c r="F318" s="305">
        <v>0</v>
      </c>
      <c r="G318" s="305">
        <v>0</v>
      </c>
      <c r="H318" s="305">
        <v>0</v>
      </c>
      <c r="I318" s="305">
        <v>0</v>
      </c>
      <c r="J318" s="305">
        <v>0</v>
      </c>
      <c r="K318" s="305">
        <v>0</v>
      </c>
      <c r="L318" s="305">
        <v>0</v>
      </c>
      <c r="M318" s="305">
        <v>0</v>
      </c>
      <c r="N318" s="305">
        <v>0</v>
      </c>
      <c r="O318" s="305">
        <v>0</v>
      </c>
    </row>
    <row r="319" spans="2:15" x14ac:dyDescent="0.25">
      <c r="B319" s="305">
        <v>313</v>
      </c>
      <c r="C319" s="305">
        <v>313</v>
      </c>
      <c r="D319" s="305">
        <v>320</v>
      </c>
      <c r="E319" s="305">
        <v>358</v>
      </c>
      <c r="F319" s="305">
        <v>362</v>
      </c>
      <c r="G319" s="305">
        <v>280</v>
      </c>
      <c r="H319" s="305">
        <v>196</v>
      </c>
      <c r="I319" s="305">
        <v>154</v>
      </c>
      <c r="J319" s="305">
        <v>129</v>
      </c>
      <c r="K319" s="305">
        <v>112</v>
      </c>
      <c r="L319" s="305">
        <v>115</v>
      </c>
      <c r="M319" s="305">
        <v>142</v>
      </c>
      <c r="N319" s="305">
        <v>184</v>
      </c>
      <c r="O319" s="305">
        <v>258</v>
      </c>
    </row>
    <row r="320" spans="2:15" x14ac:dyDescent="0.25">
      <c r="B320" s="305">
        <v>314</v>
      </c>
      <c r="C320" s="305">
        <v>314</v>
      </c>
      <c r="D320" s="305">
        <v>942</v>
      </c>
      <c r="E320" s="305">
        <v>948</v>
      </c>
      <c r="F320" s="305">
        <v>877</v>
      </c>
      <c r="G320" s="305">
        <v>594</v>
      </c>
      <c r="H320" s="305">
        <v>390</v>
      </c>
      <c r="I320" s="305">
        <v>325</v>
      </c>
      <c r="J320" s="305">
        <v>270</v>
      </c>
      <c r="K320" s="305">
        <v>229</v>
      </c>
      <c r="L320" s="305">
        <v>233</v>
      </c>
      <c r="M320" s="305">
        <v>277</v>
      </c>
      <c r="N320" s="305">
        <v>391</v>
      </c>
      <c r="O320" s="305">
        <v>637</v>
      </c>
    </row>
    <row r="321" spans="2:15" x14ac:dyDescent="0.25">
      <c r="B321" s="305">
        <v>315</v>
      </c>
      <c r="C321" s="305">
        <v>315</v>
      </c>
      <c r="D321" s="305">
        <v>180</v>
      </c>
      <c r="E321" s="305">
        <v>180</v>
      </c>
      <c r="F321" s="305">
        <v>178</v>
      </c>
      <c r="G321" s="305">
        <v>169</v>
      </c>
      <c r="H321" s="305">
        <v>148</v>
      </c>
      <c r="I321" s="305">
        <v>127</v>
      </c>
      <c r="J321" s="305">
        <v>112</v>
      </c>
      <c r="K321" s="305">
        <v>97</v>
      </c>
      <c r="L321" s="305">
        <v>98</v>
      </c>
      <c r="M321" s="305">
        <v>116</v>
      </c>
      <c r="N321" s="305">
        <v>143</v>
      </c>
      <c r="O321" s="305">
        <v>169</v>
      </c>
    </row>
    <row r="322" spans="2:15" x14ac:dyDescent="0.25">
      <c r="B322" s="305">
        <v>316</v>
      </c>
      <c r="C322" s="305">
        <v>316</v>
      </c>
      <c r="D322" s="305">
        <v>176</v>
      </c>
      <c r="E322" s="305">
        <v>176</v>
      </c>
      <c r="F322" s="305">
        <v>176</v>
      </c>
      <c r="G322" s="305">
        <v>169</v>
      </c>
      <c r="H322" s="305">
        <v>148</v>
      </c>
      <c r="I322" s="305">
        <v>127</v>
      </c>
      <c r="J322" s="305">
        <v>112</v>
      </c>
      <c r="K322" s="305">
        <v>97</v>
      </c>
      <c r="L322" s="305">
        <v>98</v>
      </c>
      <c r="M322" s="305">
        <v>116</v>
      </c>
      <c r="N322" s="305">
        <v>143</v>
      </c>
      <c r="O322" s="305">
        <v>168</v>
      </c>
    </row>
    <row r="323" spans="2:15" x14ac:dyDescent="0.25">
      <c r="B323" s="305">
        <v>317</v>
      </c>
      <c r="C323" s="305">
        <v>317</v>
      </c>
      <c r="D323" s="305">
        <v>4</v>
      </c>
      <c r="E323" s="305">
        <v>5</v>
      </c>
      <c r="F323" s="305">
        <v>3</v>
      </c>
      <c r="G323" s="305">
        <v>1</v>
      </c>
      <c r="H323" s="305">
        <v>0</v>
      </c>
      <c r="I323" s="305">
        <v>0</v>
      </c>
      <c r="J323" s="305">
        <v>0</v>
      </c>
      <c r="K323" s="305">
        <v>0</v>
      </c>
      <c r="L323" s="305">
        <v>0</v>
      </c>
      <c r="M323" s="305">
        <v>0</v>
      </c>
      <c r="N323" s="305">
        <v>0</v>
      </c>
      <c r="O323" s="305">
        <v>1</v>
      </c>
    </row>
    <row r="324" spans="2:15" x14ac:dyDescent="0.25">
      <c r="B324" s="305">
        <v>318</v>
      </c>
      <c r="C324" s="305">
        <v>318</v>
      </c>
      <c r="D324" s="305">
        <v>64</v>
      </c>
      <c r="E324" s="305">
        <v>66</v>
      </c>
      <c r="F324" s="305">
        <v>58</v>
      </c>
      <c r="G324" s="305">
        <v>41</v>
      </c>
      <c r="H324" s="305">
        <v>31</v>
      </c>
      <c r="I324" s="305">
        <v>29</v>
      </c>
      <c r="J324" s="305">
        <v>24</v>
      </c>
      <c r="K324" s="305">
        <v>21</v>
      </c>
      <c r="L324" s="305">
        <v>29</v>
      </c>
      <c r="M324" s="305">
        <v>36</v>
      </c>
      <c r="N324" s="305">
        <v>37</v>
      </c>
      <c r="O324" s="305">
        <v>49</v>
      </c>
    </row>
    <row r="325" spans="2:15" x14ac:dyDescent="0.25">
      <c r="B325" s="305">
        <v>319</v>
      </c>
      <c r="C325" s="305">
        <v>319</v>
      </c>
      <c r="D325" s="305">
        <v>58</v>
      </c>
      <c r="E325" s="305">
        <v>60</v>
      </c>
      <c r="F325" s="305">
        <v>53</v>
      </c>
      <c r="G325" s="305">
        <v>37</v>
      </c>
      <c r="H325" s="305">
        <v>29</v>
      </c>
      <c r="I325" s="305">
        <v>26</v>
      </c>
      <c r="J325" s="305">
        <v>22</v>
      </c>
      <c r="K325" s="305">
        <v>20</v>
      </c>
      <c r="L325" s="305">
        <v>26</v>
      </c>
      <c r="M325" s="305">
        <v>33</v>
      </c>
      <c r="N325" s="305">
        <v>34</v>
      </c>
      <c r="O325" s="305">
        <v>45</v>
      </c>
    </row>
    <row r="326" spans="2:15" x14ac:dyDescent="0.25">
      <c r="B326" s="305">
        <v>320</v>
      </c>
      <c r="C326" s="305">
        <v>320</v>
      </c>
      <c r="D326" s="305">
        <v>31</v>
      </c>
      <c r="E326" s="305">
        <v>31</v>
      </c>
      <c r="F326" s="305">
        <v>27</v>
      </c>
      <c r="G326" s="305">
        <v>19</v>
      </c>
      <c r="H326" s="305">
        <v>13</v>
      </c>
      <c r="I326" s="305">
        <v>11</v>
      </c>
      <c r="J326" s="305">
        <v>10</v>
      </c>
      <c r="K326" s="305">
        <v>9</v>
      </c>
      <c r="L326" s="305">
        <v>14</v>
      </c>
      <c r="M326" s="305">
        <v>19</v>
      </c>
      <c r="N326" s="305">
        <v>18</v>
      </c>
      <c r="O326" s="305">
        <v>24</v>
      </c>
    </row>
    <row r="328" spans="2:15" x14ac:dyDescent="0.25">
      <c r="B328" s="476"/>
      <c r="C328" s="305"/>
      <c r="D328" s="305"/>
      <c r="E328" s="305"/>
      <c r="F328" s="305"/>
      <c r="G328" s="305"/>
      <c r="H328" s="305"/>
      <c r="I328" s="305"/>
      <c r="J328" s="305"/>
      <c r="K328" s="305"/>
      <c r="L328" s="305"/>
      <c r="M328" s="305"/>
      <c r="N328" s="305"/>
      <c r="O328" s="305"/>
    </row>
    <row r="329" spans="2:15" x14ac:dyDescent="0.25">
      <c r="B329" s="476"/>
      <c r="C329" s="305"/>
      <c r="D329" s="305"/>
      <c r="E329" s="305"/>
      <c r="F329" s="305"/>
      <c r="G329" s="305"/>
      <c r="H329" s="305"/>
      <c r="I329" s="305"/>
      <c r="J329" s="305"/>
      <c r="K329" s="305"/>
      <c r="L329" s="305"/>
      <c r="M329" s="305"/>
      <c r="N329" s="305"/>
      <c r="O329" s="305"/>
    </row>
    <row r="330" spans="2:15" x14ac:dyDescent="0.25">
      <c r="B330" s="476"/>
      <c r="C330" s="305"/>
      <c r="D330" s="305"/>
      <c r="E330" s="305"/>
      <c r="F330" s="305"/>
      <c r="G330" s="305"/>
      <c r="H330" s="305"/>
      <c r="I330" s="305"/>
      <c r="J330" s="305"/>
      <c r="K330" s="305"/>
      <c r="L330" s="305"/>
      <c r="M330" s="305"/>
      <c r="N330" s="305"/>
      <c r="O330" s="305"/>
    </row>
    <row r="331" spans="2:15" x14ac:dyDescent="0.25">
      <c r="B331" s="476"/>
      <c r="C331" s="305"/>
      <c r="D331" s="305"/>
      <c r="E331" s="305"/>
      <c r="F331" s="305"/>
      <c r="G331" s="305"/>
      <c r="H331" s="305"/>
      <c r="I331" s="305"/>
      <c r="J331" s="305"/>
      <c r="K331" s="305"/>
      <c r="L331" s="305"/>
      <c r="M331" s="305"/>
      <c r="N331" s="305"/>
      <c r="O331" s="305"/>
    </row>
    <row r="332" spans="2:15" x14ac:dyDescent="0.25">
      <c r="B332" s="476"/>
      <c r="C332" s="305"/>
      <c r="D332" s="305"/>
      <c r="E332" s="305"/>
      <c r="F332" s="305"/>
      <c r="G332" s="305"/>
      <c r="H332" s="305"/>
      <c r="I332" s="305"/>
      <c r="J332" s="305"/>
      <c r="K332" s="305"/>
      <c r="L332" s="305"/>
      <c r="M332" s="305"/>
      <c r="N332" s="305"/>
      <c r="O332" s="305"/>
    </row>
    <row r="333" spans="2:15" x14ac:dyDescent="0.25">
      <c r="B333" s="476"/>
      <c r="C333" s="305"/>
      <c r="D333" s="305"/>
      <c r="E333" s="305"/>
      <c r="F333" s="305"/>
      <c r="G333" s="305"/>
      <c r="H333" s="305"/>
      <c r="I333" s="305"/>
      <c r="J333" s="305"/>
      <c r="K333" s="305"/>
      <c r="L333" s="305"/>
      <c r="M333" s="305"/>
      <c r="N333" s="305"/>
      <c r="O333" s="305"/>
    </row>
    <row r="334" spans="2:15" x14ac:dyDescent="0.25">
      <c r="B334" s="476"/>
      <c r="C334" s="305"/>
      <c r="D334" s="305"/>
      <c r="E334" s="305"/>
      <c r="F334" s="305"/>
      <c r="G334" s="305"/>
      <c r="H334" s="305"/>
      <c r="I334" s="305"/>
      <c r="J334" s="305"/>
      <c r="K334" s="305"/>
      <c r="L334" s="305"/>
      <c r="M334" s="305"/>
      <c r="N334" s="305"/>
      <c r="O334" s="305"/>
    </row>
    <row r="335" spans="2:15" x14ac:dyDescent="0.25">
      <c r="B335" s="476"/>
      <c r="C335" s="305"/>
      <c r="D335" s="305"/>
      <c r="E335" s="305"/>
      <c r="F335" s="305"/>
      <c r="G335" s="305"/>
      <c r="H335" s="305"/>
      <c r="I335" s="305"/>
      <c r="J335" s="305"/>
      <c r="K335" s="305"/>
      <c r="L335" s="305"/>
      <c r="M335" s="305"/>
      <c r="N335" s="305"/>
      <c r="O335" s="305"/>
    </row>
    <row r="336" spans="2:15" x14ac:dyDescent="0.25">
      <c r="B336" s="476"/>
      <c r="C336" s="305"/>
      <c r="D336" s="305"/>
      <c r="E336" s="305"/>
      <c r="F336" s="305"/>
      <c r="G336" s="305"/>
      <c r="H336" s="305"/>
      <c r="I336" s="305"/>
      <c r="J336" s="305"/>
      <c r="K336" s="305"/>
      <c r="L336" s="305"/>
      <c r="M336" s="305"/>
      <c r="N336" s="305"/>
      <c r="O336" s="305"/>
    </row>
    <row r="337" spans="2:15" x14ac:dyDescent="0.25">
      <c r="B337" s="476"/>
      <c r="C337" s="305"/>
      <c r="D337" s="305"/>
      <c r="E337" s="305"/>
      <c r="F337" s="305"/>
      <c r="G337" s="305"/>
      <c r="H337" s="305"/>
      <c r="I337" s="305"/>
      <c r="J337" s="305"/>
      <c r="K337" s="305"/>
      <c r="L337" s="305"/>
      <c r="M337" s="305"/>
      <c r="N337" s="305"/>
      <c r="O337" s="305"/>
    </row>
    <row r="338" spans="2:15" x14ac:dyDescent="0.25">
      <c r="B338" s="476"/>
      <c r="C338" s="305"/>
      <c r="D338" s="305"/>
      <c r="E338" s="305"/>
      <c r="F338" s="305"/>
      <c r="G338" s="305"/>
      <c r="H338" s="305"/>
      <c r="I338" s="305"/>
      <c r="J338" s="305"/>
      <c r="K338" s="305"/>
      <c r="L338" s="305"/>
      <c r="M338" s="305"/>
      <c r="N338" s="305"/>
      <c r="O338" s="305"/>
    </row>
    <row r="339" spans="2:15" x14ac:dyDescent="0.25">
      <c r="B339" s="476"/>
      <c r="C339" s="305"/>
      <c r="D339" s="305"/>
      <c r="E339" s="305"/>
      <c r="F339" s="305"/>
      <c r="G339" s="305"/>
      <c r="H339" s="305"/>
      <c r="I339" s="305"/>
      <c r="J339" s="305"/>
      <c r="K339" s="305"/>
      <c r="L339" s="305"/>
      <c r="M339" s="305"/>
      <c r="N339" s="305"/>
      <c r="O339" s="305"/>
    </row>
    <row r="340" spans="2:15" x14ac:dyDescent="0.25">
      <c r="B340" s="476"/>
      <c r="C340" s="305"/>
      <c r="D340" s="305"/>
      <c r="E340" s="305"/>
      <c r="F340" s="305"/>
      <c r="G340" s="305"/>
      <c r="H340" s="305"/>
      <c r="I340" s="305"/>
      <c r="J340" s="305"/>
      <c r="K340" s="305"/>
      <c r="L340" s="305"/>
      <c r="M340" s="305"/>
      <c r="N340" s="305"/>
      <c r="O340" s="305"/>
    </row>
    <row r="341" spans="2:15" x14ac:dyDescent="0.25">
      <c r="B341" s="476"/>
      <c r="C341" s="305"/>
      <c r="D341" s="305"/>
      <c r="E341" s="305"/>
      <c r="F341" s="305"/>
      <c r="G341" s="305"/>
      <c r="H341" s="305"/>
      <c r="I341" s="305"/>
      <c r="J341" s="305"/>
      <c r="K341" s="305"/>
      <c r="L341" s="305"/>
      <c r="M341" s="305"/>
      <c r="N341" s="305"/>
      <c r="O341" s="305"/>
    </row>
    <row r="342" spans="2:15" x14ac:dyDescent="0.25">
      <c r="B342" s="476"/>
      <c r="C342" s="305"/>
      <c r="D342" s="305"/>
      <c r="E342" s="305"/>
      <c r="F342" s="305"/>
      <c r="G342" s="305"/>
      <c r="H342" s="305"/>
      <c r="I342" s="305"/>
      <c r="J342" s="305"/>
      <c r="K342" s="305"/>
      <c r="L342" s="305"/>
      <c r="M342" s="305"/>
      <c r="N342" s="305"/>
      <c r="O342" s="305"/>
    </row>
    <row r="343" spans="2:15" x14ac:dyDescent="0.25">
      <c r="B343" s="476"/>
      <c r="C343" s="305"/>
      <c r="D343" s="305"/>
      <c r="E343" s="305"/>
      <c r="F343" s="305"/>
      <c r="G343" s="305"/>
      <c r="H343" s="305"/>
      <c r="I343" s="305"/>
      <c r="J343" s="305"/>
      <c r="K343" s="305"/>
      <c r="L343" s="305"/>
      <c r="M343" s="305"/>
      <c r="N343" s="305"/>
      <c r="O343" s="305"/>
    </row>
    <row r="344" spans="2:15" x14ac:dyDescent="0.25">
      <c r="B344" s="476"/>
      <c r="C344" s="305"/>
      <c r="D344" s="305"/>
      <c r="E344" s="305"/>
      <c r="F344" s="305"/>
      <c r="G344" s="305"/>
      <c r="H344" s="305"/>
      <c r="I344" s="305"/>
      <c r="J344" s="305"/>
      <c r="K344" s="305"/>
      <c r="L344" s="305"/>
      <c r="M344" s="305"/>
      <c r="N344" s="305"/>
      <c r="O344" s="305"/>
    </row>
    <row r="345" spans="2:15" x14ac:dyDescent="0.25">
      <c r="B345" s="476"/>
      <c r="C345" s="305"/>
      <c r="D345" s="305"/>
      <c r="E345" s="305"/>
      <c r="F345" s="305"/>
      <c r="G345" s="305"/>
      <c r="H345" s="305"/>
      <c r="I345" s="305"/>
      <c r="J345" s="305"/>
      <c r="K345" s="305"/>
      <c r="L345" s="305"/>
      <c r="M345" s="305"/>
      <c r="N345" s="305"/>
      <c r="O345" s="305"/>
    </row>
    <row r="346" spans="2:15" x14ac:dyDescent="0.25">
      <c r="B346" s="476"/>
      <c r="C346" s="305"/>
      <c r="D346" s="305"/>
      <c r="E346" s="305"/>
      <c r="F346" s="305"/>
      <c r="G346" s="305"/>
      <c r="H346" s="305"/>
      <c r="I346" s="305"/>
      <c r="J346" s="305"/>
      <c r="K346" s="305"/>
      <c r="L346" s="305"/>
      <c r="M346" s="305"/>
      <c r="N346" s="305"/>
      <c r="O346" s="305"/>
    </row>
    <row r="347" spans="2:15" x14ac:dyDescent="0.25">
      <c r="B347" s="476"/>
      <c r="C347" s="305"/>
      <c r="D347" s="305"/>
      <c r="E347" s="305"/>
      <c r="F347" s="305"/>
      <c r="G347" s="305"/>
      <c r="H347" s="305"/>
      <c r="I347" s="305"/>
      <c r="J347" s="305"/>
      <c r="K347" s="305"/>
      <c r="L347" s="305"/>
      <c r="M347" s="305"/>
      <c r="N347" s="305"/>
      <c r="O347" s="305"/>
    </row>
    <row r="348" spans="2:15" x14ac:dyDescent="0.25">
      <c r="B348" s="476"/>
      <c r="C348" s="305"/>
      <c r="D348" s="305"/>
      <c r="E348" s="305"/>
      <c r="F348" s="305"/>
      <c r="G348" s="305"/>
      <c r="H348" s="305"/>
      <c r="I348" s="305"/>
      <c r="J348" s="305"/>
      <c r="K348" s="305"/>
      <c r="L348" s="305"/>
      <c r="M348" s="305"/>
      <c r="N348" s="305"/>
      <c r="O348" s="305"/>
    </row>
    <row r="349" spans="2:15" x14ac:dyDescent="0.25">
      <c r="B349" s="476"/>
      <c r="C349" s="305"/>
      <c r="D349" s="305"/>
      <c r="E349" s="305"/>
      <c r="F349" s="305"/>
      <c r="G349" s="305"/>
      <c r="H349" s="305"/>
      <c r="I349" s="305"/>
      <c r="J349" s="305"/>
      <c r="K349" s="305"/>
      <c r="L349" s="305"/>
      <c r="M349" s="305"/>
      <c r="N349" s="305"/>
      <c r="O349" s="305"/>
    </row>
    <row r="350" spans="2:15" x14ac:dyDescent="0.25">
      <c r="B350" s="476"/>
      <c r="C350" s="305"/>
      <c r="D350" s="305"/>
      <c r="E350" s="305"/>
      <c r="F350" s="305"/>
      <c r="G350" s="305"/>
      <c r="H350" s="305"/>
      <c r="I350" s="305"/>
      <c r="J350" s="305"/>
      <c r="K350" s="305"/>
      <c r="L350" s="305"/>
      <c r="M350" s="305"/>
      <c r="N350" s="305"/>
      <c r="O350" s="305"/>
    </row>
    <row r="351" spans="2:15" x14ac:dyDescent="0.25">
      <c r="B351" s="476"/>
      <c r="C351" s="305"/>
      <c r="D351" s="305"/>
      <c r="E351" s="305"/>
      <c r="F351" s="305"/>
      <c r="G351" s="305"/>
      <c r="H351" s="305"/>
      <c r="I351" s="305"/>
      <c r="J351" s="305"/>
      <c r="K351" s="305"/>
      <c r="L351" s="305"/>
      <c r="M351" s="305"/>
      <c r="N351" s="305"/>
      <c r="O351" s="305"/>
    </row>
    <row r="352" spans="2:15" x14ac:dyDescent="0.25">
      <c r="B352" s="476"/>
      <c r="C352" s="305"/>
      <c r="D352" s="305"/>
      <c r="E352" s="305"/>
      <c r="F352" s="305"/>
      <c r="G352" s="305"/>
      <c r="H352" s="305"/>
      <c r="I352" s="305"/>
      <c r="J352" s="305"/>
      <c r="K352" s="305"/>
      <c r="L352" s="305"/>
      <c r="M352" s="305"/>
      <c r="N352" s="305"/>
      <c r="O352" s="305"/>
    </row>
    <row r="353" spans="2:15" x14ac:dyDescent="0.25">
      <c r="B353" s="476"/>
      <c r="C353" s="305"/>
      <c r="D353" s="305"/>
      <c r="E353" s="305"/>
      <c r="F353" s="305"/>
      <c r="G353" s="305"/>
      <c r="H353" s="305"/>
      <c r="I353" s="305"/>
      <c r="J353" s="305"/>
      <c r="K353" s="305"/>
      <c r="L353" s="305"/>
      <c r="M353" s="305"/>
      <c r="N353" s="305"/>
      <c r="O353" s="305"/>
    </row>
    <row r="354" spans="2:15" x14ac:dyDescent="0.25">
      <c r="B354" s="476"/>
      <c r="C354" s="305"/>
      <c r="D354" s="305"/>
      <c r="E354" s="305"/>
      <c r="F354" s="305"/>
      <c r="G354" s="305"/>
      <c r="H354" s="305"/>
      <c r="I354" s="305"/>
      <c r="J354" s="305"/>
      <c r="K354" s="305"/>
      <c r="L354" s="305"/>
      <c r="M354" s="305"/>
      <c r="N354" s="305"/>
      <c r="O354" s="305"/>
    </row>
    <row r="355" spans="2:15" x14ac:dyDescent="0.25">
      <c r="B355" s="476"/>
      <c r="C355" s="305"/>
      <c r="D355" s="305"/>
      <c r="E355" s="305"/>
      <c r="F355" s="305"/>
      <c r="G355" s="305"/>
      <c r="H355" s="305"/>
      <c r="I355" s="305"/>
      <c r="J355" s="305"/>
      <c r="K355" s="305"/>
      <c r="L355" s="305"/>
      <c r="M355" s="305"/>
      <c r="N355" s="305"/>
      <c r="O355" s="305"/>
    </row>
    <row r="356" spans="2:15" x14ac:dyDescent="0.25">
      <c r="B356" s="476"/>
      <c r="C356" s="305"/>
      <c r="D356" s="305"/>
      <c r="E356" s="305"/>
      <c r="F356" s="305"/>
      <c r="G356" s="305"/>
      <c r="H356" s="305"/>
      <c r="I356" s="305"/>
      <c r="J356" s="305"/>
      <c r="K356" s="305"/>
      <c r="L356" s="305"/>
      <c r="M356" s="305"/>
      <c r="N356" s="305"/>
      <c r="O356" s="305"/>
    </row>
    <row r="357" spans="2:15" x14ac:dyDescent="0.25">
      <c r="B357" s="476"/>
      <c r="C357" s="305"/>
      <c r="D357" s="305"/>
      <c r="E357" s="305"/>
      <c r="F357" s="305"/>
      <c r="G357" s="305"/>
      <c r="H357" s="305"/>
      <c r="I357" s="305"/>
      <c r="J357" s="305"/>
      <c r="K357" s="305"/>
      <c r="L357" s="305"/>
      <c r="M357" s="305"/>
      <c r="N357" s="305"/>
      <c r="O357" s="305"/>
    </row>
    <row r="358" spans="2:15" x14ac:dyDescent="0.25">
      <c r="B358" s="476"/>
      <c r="C358" s="305"/>
      <c r="D358" s="305"/>
      <c r="E358" s="305"/>
      <c r="F358" s="305"/>
      <c r="G358" s="305"/>
      <c r="H358" s="305"/>
      <c r="I358" s="305"/>
      <c r="J358" s="305"/>
      <c r="K358" s="305"/>
      <c r="L358" s="305"/>
      <c r="M358" s="305"/>
      <c r="N358" s="305"/>
      <c r="O358" s="305"/>
    </row>
    <row r="359" spans="2:15" x14ac:dyDescent="0.25">
      <c r="B359" s="476"/>
      <c r="C359" s="305"/>
      <c r="D359" s="305"/>
      <c r="E359" s="305"/>
      <c r="F359" s="305"/>
      <c r="G359" s="305"/>
      <c r="H359" s="305"/>
      <c r="I359" s="305"/>
      <c r="J359" s="305"/>
      <c r="K359" s="305"/>
      <c r="L359" s="305"/>
      <c r="M359" s="305"/>
      <c r="N359" s="305"/>
      <c r="O359" s="305"/>
    </row>
    <row r="360" spans="2:15" x14ac:dyDescent="0.25">
      <c r="B360" s="476"/>
      <c r="C360" s="305"/>
      <c r="D360" s="305"/>
      <c r="E360" s="305"/>
      <c r="F360" s="305"/>
      <c r="G360" s="305"/>
      <c r="H360" s="305"/>
      <c r="I360" s="305"/>
      <c r="J360" s="305"/>
      <c r="K360" s="305"/>
      <c r="L360" s="305"/>
      <c r="M360" s="305"/>
      <c r="N360" s="305"/>
      <c r="O360" s="305"/>
    </row>
    <row r="361" spans="2:15" x14ac:dyDescent="0.25">
      <c r="B361" s="476"/>
      <c r="C361" s="305"/>
      <c r="D361" s="305"/>
      <c r="E361" s="305"/>
      <c r="F361" s="305"/>
      <c r="G361" s="305"/>
      <c r="H361" s="305"/>
      <c r="I361" s="305"/>
      <c r="J361" s="305"/>
      <c r="K361" s="305"/>
      <c r="L361" s="305"/>
      <c r="M361" s="305"/>
      <c r="N361" s="305"/>
      <c r="O361" s="305"/>
    </row>
    <row r="362" spans="2:15" x14ac:dyDescent="0.25">
      <c r="B362" s="476"/>
      <c r="C362" s="305"/>
      <c r="D362" s="305"/>
      <c r="E362" s="305"/>
      <c r="F362" s="305"/>
      <c r="G362" s="305"/>
      <c r="H362" s="305"/>
      <c r="I362" s="305"/>
      <c r="J362" s="305"/>
      <c r="K362" s="305"/>
      <c r="L362" s="305"/>
      <c r="M362" s="305"/>
      <c r="N362" s="305"/>
      <c r="O362" s="305"/>
    </row>
    <row r="363" spans="2:15" x14ac:dyDescent="0.25">
      <c r="B363" s="476"/>
      <c r="C363" s="305"/>
      <c r="D363" s="305"/>
      <c r="E363" s="305"/>
      <c r="F363" s="305"/>
      <c r="G363" s="305"/>
      <c r="H363" s="305"/>
      <c r="I363" s="305"/>
      <c r="J363" s="305"/>
      <c r="K363" s="305"/>
      <c r="L363" s="305"/>
      <c r="M363" s="305"/>
      <c r="N363" s="305"/>
      <c r="O363" s="305"/>
    </row>
    <row r="364" spans="2:15" x14ac:dyDescent="0.25">
      <c r="B364" s="476"/>
      <c r="C364" s="305"/>
      <c r="D364" s="305"/>
      <c r="E364" s="305"/>
      <c r="F364" s="305"/>
      <c r="G364" s="305"/>
      <c r="H364" s="305"/>
      <c r="I364" s="305"/>
      <c r="J364" s="305"/>
      <c r="K364" s="305"/>
      <c r="L364" s="305"/>
      <c r="M364" s="305"/>
      <c r="N364" s="305"/>
      <c r="O364" s="305"/>
    </row>
    <row r="365" spans="2:15" x14ac:dyDescent="0.25">
      <c r="B365" s="476"/>
      <c r="C365" s="305"/>
      <c r="D365" s="305"/>
      <c r="E365" s="305"/>
      <c r="F365" s="305"/>
      <c r="G365" s="305"/>
      <c r="H365" s="305"/>
      <c r="I365" s="305"/>
      <c r="J365" s="305"/>
      <c r="K365" s="305"/>
      <c r="L365" s="305"/>
      <c r="M365" s="305"/>
      <c r="N365" s="305"/>
      <c r="O365" s="305"/>
    </row>
    <row r="366" spans="2:15" x14ac:dyDescent="0.25">
      <c r="B366" s="476"/>
      <c r="C366" s="305"/>
      <c r="D366" s="305"/>
      <c r="E366" s="305"/>
      <c r="F366" s="305"/>
      <c r="G366" s="305"/>
      <c r="H366" s="305"/>
      <c r="I366" s="305"/>
      <c r="J366" s="305"/>
      <c r="K366" s="305"/>
      <c r="L366" s="305"/>
      <c r="M366" s="305"/>
      <c r="N366" s="305"/>
      <c r="O366" s="305"/>
    </row>
    <row r="367" spans="2:15" x14ac:dyDescent="0.25">
      <c r="B367" s="476"/>
      <c r="C367" s="305"/>
      <c r="D367" s="305"/>
      <c r="E367" s="305"/>
      <c r="F367" s="305"/>
      <c r="G367" s="305"/>
      <c r="H367" s="305"/>
      <c r="I367" s="305"/>
      <c r="J367" s="305"/>
      <c r="K367" s="305"/>
      <c r="L367" s="305"/>
      <c r="M367" s="305"/>
      <c r="N367" s="305"/>
      <c r="O367" s="305"/>
    </row>
    <row r="368" spans="2:15" x14ac:dyDescent="0.25">
      <c r="B368" s="476"/>
      <c r="C368" s="305"/>
      <c r="D368" s="305"/>
      <c r="E368" s="305"/>
      <c r="F368" s="305"/>
      <c r="G368" s="305"/>
      <c r="H368" s="305"/>
      <c r="I368" s="305"/>
      <c r="J368" s="305"/>
      <c r="K368" s="305"/>
      <c r="L368" s="305"/>
      <c r="M368" s="305"/>
      <c r="N368" s="305"/>
      <c r="O368" s="305"/>
    </row>
    <row r="369" spans="2:15" x14ac:dyDescent="0.25">
      <c r="B369" s="476"/>
      <c r="C369" s="305"/>
      <c r="D369" s="305"/>
      <c r="E369" s="305"/>
      <c r="F369" s="305"/>
      <c r="G369" s="305"/>
      <c r="H369" s="305"/>
      <c r="I369" s="305"/>
      <c r="J369" s="305"/>
      <c r="K369" s="305"/>
      <c r="L369" s="305"/>
      <c r="M369" s="305"/>
      <c r="N369" s="305"/>
      <c r="O369" s="305"/>
    </row>
    <row r="370" spans="2:15" x14ac:dyDescent="0.25">
      <c r="B370" s="476"/>
      <c r="C370" s="305"/>
      <c r="D370" s="305"/>
      <c r="E370" s="305"/>
      <c r="F370" s="305"/>
      <c r="G370" s="305"/>
      <c r="H370" s="305"/>
      <c r="I370" s="305"/>
      <c r="J370" s="305"/>
      <c r="K370" s="305"/>
      <c r="L370" s="305"/>
      <c r="M370" s="305"/>
      <c r="N370" s="305"/>
      <c r="O370" s="305"/>
    </row>
    <row r="371" spans="2:15" x14ac:dyDescent="0.25">
      <c r="B371" s="476"/>
      <c r="C371" s="305"/>
      <c r="D371" s="305"/>
      <c r="E371" s="305"/>
      <c r="F371" s="305"/>
      <c r="G371" s="305"/>
      <c r="H371" s="305"/>
      <c r="I371" s="305"/>
      <c r="J371" s="305"/>
      <c r="K371" s="305"/>
      <c r="L371" s="305"/>
      <c r="M371" s="305"/>
      <c r="N371" s="305"/>
      <c r="O371" s="305"/>
    </row>
    <row r="372" spans="2:15" x14ac:dyDescent="0.25">
      <c r="B372" s="476"/>
      <c r="C372" s="305"/>
      <c r="D372" s="305"/>
      <c r="E372" s="305"/>
      <c r="F372" s="305"/>
      <c r="G372" s="305"/>
      <c r="H372" s="305"/>
      <c r="I372" s="305"/>
      <c r="J372" s="305"/>
      <c r="K372" s="305"/>
      <c r="L372" s="305"/>
      <c r="M372" s="305"/>
      <c r="N372" s="305"/>
      <c r="O372" s="305"/>
    </row>
    <row r="373" spans="2:15" x14ac:dyDescent="0.25">
      <c r="B373" s="476"/>
      <c r="C373" s="305"/>
      <c r="D373" s="305"/>
      <c r="E373" s="305"/>
      <c r="F373" s="305"/>
      <c r="G373" s="305"/>
      <c r="H373" s="305"/>
      <c r="I373" s="305"/>
      <c r="J373" s="305"/>
      <c r="K373" s="305"/>
      <c r="L373" s="305"/>
      <c r="M373" s="305"/>
      <c r="N373" s="305"/>
      <c r="O373" s="305"/>
    </row>
    <row r="374" spans="2:15" x14ac:dyDescent="0.25">
      <c r="B374" s="476"/>
      <c r="C374" s="305"/>
      <c r="D374" s="305"/>
      <c r="E374" s="305"/>
      <c r="F374" s="305"/>
      <c r="G374" s="305"/>
      <c r="H374" s="305"/>
      <c r="I374" s="305"/>
      <c r="J374" s="305"/>
      <c r="K374" s="305"/>
      <c r="L374" s="305"/>
      <c r="M374" s="305"/>
      <c r="N374" s="305"/>
      <c r="O374" s="305"/>
    </row>
    <row r="375" spans="2:15" x14ac:dyDescent="0.25">
      <c r="B375" s="476"/>
      <c r="C375" s="305"/>
      <c r="D375" s="305"/>
      <c r="E375" s="305"/>
      <c r="F375" s="305"/>
      <c r="G375" s="305"/>
      <c r="H375" s="305"/>
      <c r="I375" s="305"/>
      <c r="J375" s="305"/>
      <c r="K375" s="305"/>
      <c r="L375" s="305"/>
      <c r="M375" s="305"/>
      <c r="N375" s="305"/>
      <c r="O375" s="30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5" tint="-0.249977111117893"/>
  </sheetPr>
  <dimension ref="A1:AK170"/>
  <sheetViews>
    <sheetView workbookViewId="0">
      <selection sqref="A1:A4"/>
    </sheetView>
  </sheetViews>
  <sheetFormatPr defaultRowHeight="15" outlineLevelRow="2" x14ac:dyDescent="0.25"/>
  <cols>
    <col min="1" max="1" width="6.85546875" bestFit="1" customWidth="1"/>
    <col min="2" max="2" width="23.7109375" bestFit="1" customWidth="1"/>
    <col min="3" max="3" width="1.7109375" style="387" customWidth="1"/>
    <col min="4" max="8" width="12.140625" bestFit="1" customWidth="1"/>
    <col min="9" max="9" width="12.28515625" customWidth="1"/>
    <col min="10" max="10" width="8" bestFit="1" customWidth="1"/>
    <col min="11" max="12" width="1.7109375" customWidth="1"/>
    <col min="13" max="18" width="12.140625" bestFit="1" customWidth="1"/>
    <col min="19" max="19" width="8" style="419" bestFit="1" customWidth="1"/>
    <col min="20" max="21" width="1.7109375" style="419" customWidth="1"/>
    <col min="22" max="27" width="12.140625" style="419" bestFit="1" customWidth="1"/>
    <col min="28" max="28" width="8" style="419" bestFit="1" customWidth="1"/>
    <col min="29" max="30" width="1.7109375" style="419" customWidth="1"/>
    <col min="31" max="36" width="12.140625" style="419" bestFit="1" customWidth="1"/>
    <col min="37" max="37" width="8" style="419" customWidth="1"/>
  </cols>
  <sheetData>
    <row r="1" spans="1:37" x14ac:dyDescent="0.25">
      <c r="A1" s="512" t="s">
        <v>75</v>
      </c>
      <c r="B1" s="514" t="s">
        <v>76</v>
      </c>
      <c r="D1" s="211" t="s">
        <v>69</v>
      </c>
      <c r="E1" s="212" t="s">
        <v>70</v>
      </c>
      <c r="F1" s="212" t="s">
        <v>71</v>
      </c>
      <c r="G1" s="212" t="s">
        <v>72</v>
      </c>
      <c r="H1" s="212" t="s">
        <v>73</v>
      </c>
      <c r="I1" s="213" t="s">
        <v>74</v>
      </c>
      <c r="M1" s="378" t="str">
        <f>D1</f>
        <v>Semana-1</v>
      </c>
      <c r="N1" s="379" t="str">
        <f t="shared" ref="N1:R4" si="0">E1</f>
        <v>Semana-2</v>
      </c>
      <c r="O1" s="379" t="str">
        <f t="shared" si="0"/>
        <v>Semana-3</v>
      </c>
      <c r="P1" s="379" t="str">
        <f t="shared" si="0"/>
        <v>Semana-4</v>
      </c>
      <c r="Q1" s="379" t="str">
        <f t="shared" si="0"/>
        <v>Semana-5</v>
      </c>
      <c r="R1" s="380" t="str">
        <f t="shared" si="0"/>
        <v>Semana-6</v>
      </c>
      <c r="V1" s="378" t="str">
        <f>M1</f>
        <v>Semana-1</v>
      </c>
      <c r="W1" s="379" t="str">
        <f t="shared" ref="W1:W4" si="1">N1</f>
        <v>Semana-2</v>
      </c>
      <c r="X1" s="379" t="str">
        <f t="shared" ref="X1:X4" si="2">O1</f>
        <v>Semana-3</v>
      </c>
      <c r="Y1" s="379" t="str">
        <f t="shared" ref="Y1:Y4" si="3">P1</f>
        <v>Semana-4</v>
      </c>
      <c r="Z1" s="379" t="str">
        <f t="shared" ref="Z1:Z4" si="4">Q1</f>
        <v>Semana-5</v>
      </c>
      <c r="AA1" s="380" t="str">
        <f t="shared" ref="AA1:AA4" si="5">R1</f>
        <v>Semana-6</v>
      </c>
      <c r="AE1" s="378" t="str">
        <f>V1</f>
        <v>Semana-1</v>
      </c>
      <c r="AF1" s="379" t="str">
        <f t="shared" ref="AF1:AF4" si="6">W1</f>
        <v>Semana-2</v>
      </c>
      <c r="AG1" s="379" t="str">
        <f t="shared" ref="AG1:AG4" si="7">X1</f>
        <v>Semana-3</v>
      </c>
      <c r="AH1" s="379" t="str">
        <f t="shared" ref="AH1:AH4" si="8">Y1</f>
        <v>Semana-4</v>
      </c>
      <c r="AI1" s="379" t="str">
        <f t="shared" ref="AI1:AI4" si="9">Z1</f>
        <v>Semana-5</v>
      </c>
      <c r="AJ1" s="380" t="str">
        <f t="shared" ref="AJ1:AJ4" si="10">AA1</f>
        <v>Semana-6</v>
      </c>
    </row>
    <row r="2" spans="1:37" x14ac:dyDescent="0.25">
      <c r="A2" s="513"/>
      <c r="B2" s="515"/>
      <c r="D2" s="214">
        <f ca="1">Saida!B4</f>
        <v>42119</v>
      </c>
      <c r="E2" s="167">
        <f ca="1">Saida!C4</f>
        <v>42126</v>
      </c>
      <c r="F2" s="167">
        <f ca="1">Saida!D4</f>
        <v>42133</v>
      </c>
      <c r="G2" s="167">
        <f ca="1">Saida!E4</f>
        <v>42140</v>
      </c>
      <c r="H2" s="167">
        <f ca="1">Saida!F4</f>
        <v>42147</v>
      </c>
      <c r="I2" s="215">
        <f ca="1">Saida!G4</f>
        <v>42154</v>
      </c>
      <c r="M2" s="381">
        <f t="shared" ref="M2:M4" ca="1" si="11">D2</f>
        <v>42119</v>
      </c>
      <c r="N2" s="382">
        <f t="shared" ca="1" si="0"/>
        <v>42126</v>
      </c>
      <c r="O2" s="382">
        <f t="shared" ca="1" si="0"/>
        <v>42133</v>
      </c>
      <c r="P2" s="382">
        <f t="shared" ca="1" si="0"/>
        <v>42140</v>
      </c>
      <c r="Q2" s="382">
        <f t="shared" ca="1" si="0"/>
        <v>42147</v>
      </c>
      <c r="R2" s="383">
        <f t="shared" ca="1" si="0"/>
        <v>42154</v>
      </c>
      <c r="V2" s="381">
        <f t="shared" ref="V2:V4" ca="1" si="12">M2</f>
        <v>42119</v>
      </c>
      <c r="W2" s="382">
        <f t="shared" ca="1" si="1"/>
        <v>42126</v>
      </c>
      <c r="X2" s="382">
        <f t="shared" ca="1" si="2"/>
        <v>42133</v>
      </c>
      <c r="Y2" s="382">
        <f t="shared" ca="1" si="3"/>
        <v>42140</v>
      </c>
      <c r="Z2" s="382">
        <f t="shared" ca="1" si="4"/>
        <v>42147</v>
      </c>
      <c r="AA2" s="383">
        <f t="shared" ca="1" si="5"/>
        <v>42154</v>
      </c>
      <c r="AE2" s="381">
        <f t="shared" ref="AE2:AE4" ca="1" si="13">V2</f>
        <v>42119</v>
      </c>
      <c r="AF2" s="382">
        <f t="shared" ca="1" si="6"/>
        <v>42126</v>
      </c>
      <c r="AG2" s="382">
        <f t="shared" ca="1" si="7"/>
        <v>42133</v>
      </c>
      <c r="AH2" s="382">
        <f t="shared" ca="1" si="8"/>
        <v>42140</v>
      </c>
      <c r="AI2" s="382">
        <f t="shared" ca="1" si="9"/>
        <v>42147</v>
      </c>
      <c r="AJ2" s="383">
        <f t="shared" ca="1" si="10"/>
        <v>42154</v>
      </c>
    </row>
    <row r="3" spans="1:37" x14ac:dyDescent="0.25">
      <c r="A3" s="513"/>
      <c r="B3" s="515"/>
      <c r="D3" s="214" t="str">
        <f>Saida!B5</f>
        <v>a</v>
      </c>
      <c r="E3" s="167" t="str">
        <f>Saida!C5</f>
        <v>a</v>
      </c>
      <c r="F3" s="167" t="str">
        <f>Saida!D5</f>
        <v>a</v>
      </c>
      <c r="G3" s="167" t="str">
        <f>Saida!E5</f>
        <v>a</v>
      </c>
      <c r="H3" s="167" t="str">
        <f>Saida!F5</f>
        <v>a</v>
      </c>
      <c r="I3" s="215" t="str">
        <f>Saida!G5</f>
        <v>a</v>
      </c>
      <c r="M3" s="381" t="str">
        <f t="shared" si="11"/>
        <v>a</v>
      </c>
      <c r="N3" s="382" t="str">
        <f t="shared" si="0"/>
        <v>a</v>
      </c>
      <c r="O3" s="382" t="str">
        <f t="shared" si="0"/>
        <v>a</v>
      </c>
      <c r="P3" s="382" t="str">
        <f t="shared" si="0"/>
        <v>a</v>
      </c>
      <c r="Q3" s="382" t="str">
        <f t="shared" si="0"/>
        <v>a</v>
      </c>
      <c r="R3" s="383" t="str">
        <f t="shared" si="0"/>
        <v>a</v>
      </c>
      <c r="V3" s="381" t="str">
        <f t="shared" si="12"/>
        <v>a</v>
      </c>
      <c r="W3" s="382" t="str">
        <f t="shared" si="1"/>
        <v>a</v>
      </c>
      <c r="X3" s="382" t="str">
        <f t="shared" si="2"/>
        <v>a</v>
      </c>
      <c r="Y3" s="382" t="str">
        <f t="shared" si="3"/>
        <v>a</v>
      </c>
      <c r="Z3" s="382" t="str">
        <f t="shared" si="4"/>
        <v>a</v>
      </c>
      <c r="AA3" s="383" t="str">
        <f t="shared" si="5"/>
        <v>a</v>
      </c>
      <c r="AE3" s="381" t="str">
        <f t="shared" si="13"/>
        <v>a</v>
      </c>
      <c r="AF3" s="382" t="str">
        <f t="shared" si="6"/>
        <v>a</v>
      </c>
      <c r="AG3" s="382" t="str">
        <f t="shared" si="7"/>
        <v>a</v>
      </c>
      <c r="AH3" s="382" t="str">
        <f t="shared" si="8"/>
        <v>a</v>
      </c>
      <c r="AI3" s="382" t="str">
        <f t="shared" si="9"/>
        <v>a</v>
      </c>
      <c r="AJ3" s="383" t="str">
        <f t="shared" si="10"/>
        <v>a</v>
      </c>
    </row>
    <row r="4" spans="1:37" x14ac:dyDescent="0.25">
      <c r="A4" s="513"/>
      <c r="B4" s="515"/>
      <c r="D4" s="214">
        <f ca="1">Saida!B6</f>
        <v>42125</v>
      </c>
      <c r="E4" s="167">
        <f ca="1">Saida!C6</f>
        <v>42132</v>
      </c>
      <c r="F4" s="167">
        <f ca="1">Saida!D6</f>
        <v>42139</v>
      </c>
      <c r="G4" s="167">
        <f ca="1">Saida!E6</f>
        <v>42146</v>
      </c>
      <c r="H4" s="167">
        <f ca="1">Saida!F6</f>
        <v>42153</v>
      </c>
      <c r="I4" s="215">
        <f ca="1">Saida!G6</f>
        <v>42160</v>
      </c>
      <c r="M4" s="381">
        <f t="shared" ca="1" si="11"/>
        <v>42125</v>
      </c>
      <c r="N4" s="382">
        <f t="shared" ca="1" si="0"/>
        <v>42132</v>
      </c>
      <c r="O4" s="382">
        <f t="shared" ca="1" si="0"/>
        <v>42139</v>
      </c>
      <c r="P4" s="382">
        <f t="shared" ca="1" si="0"/>
        <v>42146</v>
      </c>
      <c r="Q4" s="382">
        <f t="shared" ca="1" si="0"/>
        <v>42153</v>
      </c>
      <c r="R4" s="383">
        <f t="shared" ca="1" si="0"/>
        <v>42160</v>
      </c>
      <c r="V4" s="381">
        <f t="shared" ca="1" si="12"/>
        <v>42125</v>
      </c>
      <c r="W4" s="382">
        <f t="shared" ca="1" si="1"/>
        <v>42132</v>
      </c>
      <c r="X4" s="382">
        <f t="shared" ca="1" si="2"/>
        <v>42139</v>
      </c>
      <c r="Y4" s="382">
        <f t="shared" ca="1" si="3"/>
        <v>42146</v>
      </c>
      <c r="Z4" s="382">
        <f t="shared" ca="1" si="4"/>
        <v>42153</v>
      </c>
      <c r="AA4" s="383">
        <f t="shared" ca="1" si="5"/>
        <v>42160</v>
      </c>
      <c r="AE4" s="381">
        <f t="shared" ca="1" si="13"/>
        <v>42125</v>
      </c>
      <c r="AF4" s="382">
        <f t="shared" ca="1" si="6"/>
        <v>42132</v>
      </c>
      <c r="AG4" s="382">
        <f t="shared" ca="1" si="7"/>
        <v>42139</v>
      </c>
      <c r="AH4" s="382">
        <f t="shared" ca="1" si="8"/>
        <v>42146</v>
      </c>
      <c r="AI4" s="382">
        <f t="shared" ca="1" si="9"/>
        <v>42153</v>
      </c>
      <c r="AJ4" s="383">
        <f t="shared" ca="1" si="10"/>
        <v>42160</v>
      </c>
    </row>
    <row r="5" spans="1:37" s="387" customFormat="1" x14ac:dyDescent="0.25">
      <c r="A5" s="385"/>
      <c r="B5" s="386"/>
      <c r="D5" s="388"/>
      <c r="E5" s="389"/>
      <c r="F5" s="389"/>
      <c r="G5" s="389"/>
      <c r="H5" s="389"/>
      <c r="I5" s="390"/>
      <c r="J5"/>
      <c r="K5"/>
      <c r="L5"/>
      <c r="M5" s="388"/>
      <c r="N5" s="389"/>
      <c r="O5" s="389"/>
      <c r="P5" s="389"/>
      <c r="Q5" s="389"/>
      <c r="R5" s="390"/>
      <c r="S5" s="419"/>
      <c r="T5" s="419"/>
      <c r="U5" s="419"/>
      <c r="V5" s="467"/>
      <c r="W5" s="389"/>
      <c r="X5" s="389"/>
      <c r="Y5" s="389"/>
      <c r="Z5" s="389"/>
      <c r="AA5" s="390"/>
      <c r="AB5" s="419"/>
      <c r="AC5" s="419"/>
      <c r="AD5" s="419"/>
      <c r="AE5" s="388"/>
      <c r="AF5" s="389"/>
      <c r="AG5" s="389"/>
      <c r="AH5" s="389"/>
      <c r="AI5" s="389"/>
      <c r="AJ5" s="390"/>
      <c r="AK5" s="419"/>
    </row>
    <row r="6" spans="1:37" s="302" customFormat="1" outlineLevel="1" x14ac:dyDescent="0.25">
      <c r="A6" s="327"/>
      <c r="B6" s="328"/>
      <c r="C6" s="387"/>
      <c r="D6" s="503" t="s">
        <v>77</v>
      </c>
      <c r="E6" s="504"/>
      <c r="F6" s="504"/>
      <c r="G6" s="504"/>
      <c r="H6" s="504"/>
      <c r="I6" s="505"/>
      <c r="J6" t="s">
        <v>319</v>
      </c>
      <c r="K6"/>
      <c r="L6"/>
      <c r="M6" s="503" t="s">
        <v>77</v>
      </c>
      <c r="N6" s="504"/>
      <c r="O6" s="504"/>
      <c r="P6" s="504"/>
      <c r="Q6" s="504"/>
      <c r="R6" s="505"/>
      <c r="S6" s="419"/>
      <c r="T6" s="419"/>
      <c r="U6" s="419"/>
      <c r="V6" s="503" t="s">
        <v>77</v>
      </c>
      <c r="W6" s="504"/>
      <c r="X6" s="504"/>
      <c r="Y6" s="504"/>
      <c r="Z6" s="504"/>
      <c r="AA6" s="505"/>
      <c r="AB6" s="419"/>
      <c r="AC6" s="419"/>
      <c r="AD6" s="419"/>
      <c r="AE6" s="503" t="s">
        <v>77</v>
      </c>
      <c r="AF6" s="504"/>
      <c r="AG6" s="504"/>
      <c r="AH6" s="504"/>
      <c r="AI6" s="504"/>
      <c r="AJ6" s="505"/>
      <c r="AK6" s="419"/>
    </row>
    <row r="7" spans="1:37" hidden="1" outlineLevel="2" x14ac:dyDescent="0.25">
      <c r="A7" s="161">
        <v>1</v>
      </c>
      <c r="B7" s="162" t="s">
        <v>78</v>
      </c>
      <c r="D7" s="329">
        <f>VLOOKUP($A7,Prevs!$C:$AJ,COLUMN() - COLUMN($D7)+2,FALSE)*VLOOKUP($A7,Usinas!$C:$D,2,FALSE)</f>
        <v>7.2927</v>
      </c>
      <c r="E7" s="309">
        <f>VLOOKUP($A7,Prevs!$C:$AJ,COLUMN() - COLUMN($D7)+2,FALSE)*VLOOKUP($A7,Usinas!$C:$D,2,FALSE)</f>
        <v>6.8985000000000003</v>
      </c>
      <c r="F7" s="309">
        <f>VLOOKUP($A7,Prevs!$C:$AJ,COLUMN() - COLUMN($D7)+2,FALSE)*VLOOKUP($A7,Usinas!$C:$D,2,FALSE)</f>
        <v>6.8985000000000003</v>
      </c>
      <c r="G7" s="309">
        <f>VLOOKUP($A7,Prevs!$C:$AJ,COLUMN() - COLUMN($D7)+2,FALSE)*VLOOKUP($A7,Usinas!$C:$D,2,FALSE)</f>
        <v>6.8985000000000003</v>
      </c>
      <c r="H7" s="309">
        <f>VLOOKUP($A7,Prevs!$C:$AJ,COLUMN() - COLUMN($D7)+2,FALSE)*VLOOKUP($A7,Usinas!$C:$D,2,FALSE)</f>
        <v>6.7013999999999996</v>
      </c>
      <c r="I7" s="330">
        <f>VLOOKUP($A7,Prevs!$C:$AJ,COLUMN() - COLUMN($D7)+2,FALSE)*VLOOKUP($A7,Usinas!$C:$D,2,FALSE)</f>
        <v>6.7013999999999996</v>
      </c>
      <c r="J7" s="477">
        <f ca="1">VLOOKUP($A7,Prevs_MLT!$C:$AJ,1+Entrada!$C$4,FALSE)*VLOOKUP($A7,Usinas!$C:$D,2,FALSE)</f>
        <v>20.695499999999999</v>
      </c>
      <c r="M7" s="329">
        <f>VLOOKUP($A7,Prevs!$C:$AJ,COLUMN() - COLUMN($D7)+2,FALSE)*VLOOKUP($A7,Usinas!$C:$D,2,FALSE)</f>
        <v>11.2347</v>
      </c>
      <c r="N7" s="309">
        <f>VLOOKUP($A7,Prevs!$C:$AJ,COLUMN() - COLUMN($D7)+2,FALSE)*VLOOKUP($A7,Usinas!$C:$D,2,FALSE)</f>
        <v>10.6434</v>
      </c>
      <c r="O7" s="309">
        <f>VLOOKUP($A7,Prevs!$C:$AJ,COLUMN() - COLUMN($D7)+2,FALSE)*VLOOKUP($A7,Usinas!$C:$D,2,FALSE)</f>
        <v>10.6434</v>
      </c>
      <c r="P7" s="309">
        <f>VLOOKUP($A7,Prevs!$C:$AJ,COLUMN() - COLUMN($D7)+2,FALSE)*VLOOKUP($A7,Usinas!$C:$D,2,FALSE)</f>
        <v>10.6434</v>
      </c>
      <c r="Q7" s="309">
        <f>VLOOKUP($A7,Prevs!$C:$AJ,COLUMN() - COLUMN($D7)+2,FALSE)*VLOOKUP($A7,Usinas!$C:$D,2,FALSE)</f>
        <v>10.446299999999999</v>
      </c>
      <c r="R7" s="330">
        <f>VLOOKUP($A7,Prevs!$C:$AJ,COLUMN() - COLUMN($D7)+2,FALSE)*VLOOKUP($A7,Usinas!$C:$D,2,FALSE)</f>
        <v>10.446299999999999</v>
      </c>
      <c r="V7" s="329">
        <f>VLOOKUP($A7,Prevs!$C:$AJ,COLUMN() - COLUMN($D7)+2,FALSE)*VLOOKUP($A7,Usinas!$C:$D,2,FALSE)</f>
        <v>9.6578999999999997</v>
      </c>
      <c r="W7" s="309">
        <f>VLOOKUP($A7,Prevs!$C:$AJ,COLUMN() - COLUMN($D7)+2,FALSE)*VLOOKUP($A7,Usinas!$C:$D,2,FALSE)</f>
        <v>9.0665999999999993</v>
      </c>
      <c r="X7" s="309">
        <f>VLOOKUP($A7,Prevs!$C:$AJ,COLUMN() - COLUMN($D7)+2,FALSE)*VLOOKUP($A7,Usinas!$C:$D,2,FALSE)</f>
        <v>9.0665999999999993</v>
      </c>
      <c r="Y7" s="309">
        <f>VLOOKUP($A7,Prevs!$C:$AJ,COLUMN() - COLUMN($D7)+2,FALSE)*VLOOKUP($A7,Usinas!$C:$D,2,FALSE)</f>
        <v>9.0665999999999993</v>
      </c>
      <c r="Z7" s="309">
        <f>VLOOKUP($A7,Prevs!$C:$AJ,COLUMN() - COLUMN($D7)+2,FALSE)*VLOOKUP($A7,Usinas!$C:$D,2,FALSE)</f>
        <v>8.8695000000000004</v>
      </c>
      <c r="AA7" s="330">
        <f>VLOOKUP($A7,Prevs!$C:$AJ,COLUMN() - COLUMN($D7)+2,FALSE)*VLOOKUP($A7,Usinas!$C:$D,2,FALSE)</f>
        <v>8.8695000000000004</v>
      </c>
      <c r="AE7" s="329">
        <f>VLOOKUP($A7,Prevs!$C:$AJ,COLUMN() - COLUMN($D7)+2,FALSE)*VLOOKUP($A7,Usinas!$C:$D,2,FALSE)</f>
        <v>7.2927</v>
      </c>
      <c r="AF7" s="309">
        <f>VLOOKUP($A7,Prevs!$C:$AJ,COLUMN() - COLUMN($D7)+2,FALSE)*VLOOKUP($A7,Usinas!$C:$D,2,FALSE)</f>
        <v>6.8985000000000003</v>
      </c>
      <c r="AG7" s="309">
        <f>VLOOKUP($A7,Prevs!$C:$AJ,COLUMN() - COLUMN($D7)+2,FALSE)*VLOOKUP($A7,Usinas!$C:$D,2,FALSE)</f>
        <v>6.8985000000000003</v>
      </c>
      <c r="AH7" s="309">
        <f>VLOOKUP($A7,Prevs!$C:$AJ,COLUMN() - COLUMN($D7)+2,FALSE)*VLOOKUP($A7,Usinas!$C:$D,2,FALSE)</f>
        <v>6.8985000000000003</v>
      </c>
      <c r="AI7" s="309">
        <f>VLOOKUP($A7,Prevs!$C:$AJ,COLUMN() - COLUMN($D7)+2,FALSE)*VLOOKUP($A7,Usinas!$C:$D,2,FALSE)</f>
        <v>6.7013999999999996</v>
      </c>
      <c r="AJ7" s="330">
        <f>VLOOKUP($A7,Prevs!$C:$AJ,COLUMN() - COLUMN($D7)+2,FALSE)*VLOOKUP($A7,Usinas!$C:$D,2,FALSE)</f>
        <v>6.7013999999999996</v>
      </c>
    </row>
    <row r="8" spans="1:37" hidden="1" outlineLevel="2" x14ac:dyDescent="0.25">
      <c r="A8" s="161">
        <v>2</v>
      </c>
      <c r="B8" s="162" t="s">
        <v>79</v>
      </c>
      <c r="D8" s="329">
        <f>VLOOKUP($A8,Prevs!$C:$AJ,COLUMN() - COLUMN($D8)+2,FALSE)*VLOOKUP($A8,Usinas!$C:$D,2,FALSE)</f>
        <v>9.0539000000000005</v>
      </c>
      <c r="E8" s="309">
        <f>VLOOKUP($A8,Prevs!$C:$AJ,COLUMN() - COLUMN($D8)+2,FALSE)*VLOOKUP($A8,Usinas!$C:$D,2,FALSE)</f>
        <v>8.5645000000000007</v>
      </c>
      <c r="F8" s="309">
        <f>VLOOKUP($A8,Prevs!$C:$AJ,COLUMN() - COLUMN($D8)+2,FALSE)*VLOOKUP($A8,Usinas!$C:$D,2,FALSE)</f>
        <v>8.5645000000000007</v>
      </c>
      <c r="G8" s="309">
        <f>VLOOKUP($A8,Prevs!$C:$AJ,COLUMN() - COLUMN($D8)+2,FALSE)*VLOOKUP($A8,Usinas!$C:$D,2,FALSE)</f>
        <v>8.5645000000000007</v>
      </c>
      <c r="H8" s="309">
        <f>VLOOKUP($A8,Prevs!$C:$AJ,COLUMN() - COLUMN($D8)+2,FALSE)*VLOOKUP($A8,Usinas!$C:$D,2,FALSE)</f>
        <v>8.3198000000000008</v>
      </c>
      <c r="I8" s="330">
        <f>VLOOKUP($A8,Prevs!$C:$AJ,COLUMN() - COLUMN($D8)+2,FALSE)*VLOOKUP($A8,Usinas!$C:$D,2,FALSE)</f>
        <v>8.3198000000000008</v>
      </c>
      <c r="J8" s="477">
        <f ca="1">VLOOKUP($A8,Prevs_MLT!$C:$AJ,1+Entrada!$C$4,FALSE)*VLOOKUP($A8,Usinas!$C:$D,2,FALSE)</f>
        <v>25.6935</v>
      </c>
      <c r="M8" s="329">
        <f>VLOOKUP($A8,Prevs!$C:$AJ,COLUMN() - COLUMN($D8)+2,FALSE)*VLOOKUP($A8,Usinas!$C:$D,2,FALSE)</f>
        <v>13.947900000000001</v>
      </c>
      <c r="N8" s="309">
        <f>VLOOKUP($A8,Prevs!$C:$AJ,COLUMN() - COLUMN($D8)+2,FALSE)*VLOOKUP($A8,Usinas!$C:$D,2,FALSE)</f>
        <v>13.213800000000001</v>
      </c>
      <c r="O8" s="309">
        <f>VLOOKUP($A8,Prevs!$C:$AJ,COLUMN() - COLUMN($D8)+2,FALSE)*VLOOKUP($A8,Usinas!$C:$D,2,FALSE)</f>
        <v>13.213800000000001</v>
      </c>
      <c r="P8" s="309">
        <f>VLOOKUP($A8,Prevs!$C:$AJ,COLUMN() - COLUMN($D8)+2,FALSE)*VLOOKUP($A8,Usinas!$C:$D,2,FALSE)</f>
        <v>13.213800000000001</v>
      </c>
      <c r="Q8" s="309">
        <f>VLOOKUP($A8,Prevs!$C:$AJ,COLUMN() - COLUMN($D8)+2,FALSE)*VLOOKUP($A8,Usinas!$C:$D,2,FALSE)</f>
        <v>12.969099999999999</v>
      </c>
      <c r="R8" s="330">
        <f>VLOOKUP($A8,Prevs!$C:$AJ,COLUMN() - COLUMN($D8)+2,FALSE)*VLOOKUP($A8,Usinas!$C:$D,2,FALSE)</f>
        <v>12.969099999999999</v>
      </c>
      <c r="V8" s="329">
        <f>VLOOKUP($A8,Prevs!$C:$AJ,COLUMN() - COLUMN($D8)+2,FALSE)*VLOOKUP($A8,Usinas!$C:$D,2,FALSE)</f>
        <v>11.9903</v>
      </c>
      <c r="W8" s="309">
        <f>VLOOKUP($A8,Prevs!$C:$AJ,COLUMN() - COLUMN($D8)+2,FALSE)*VLOOKUP($A8,Usinas!$C:$D,2,FALSE)</f>
        <v>11.2562</v>
      </c>
      <c r="X8" s="309">
        <f>VLOOKUP($A8,Prevs!$C:$AJ,COLUMN() - COLUMN($D8)+2,FALSE)*VLOOKUP($A8,Usinas!$C:$D,2,FALSE)</f>
        <v>11.2562</v>
      </c>
      <c r="Y8" s="309">
        <f>VLOOKUP($A8,Prevs!$C:$AJ,COLUMN() - COLUMN($D8)+2,FALSE)*VLOOKUP($A8,Usinas!$C:$D,2,FALSE)</f>
        <v>11.2562</v>
      </c>
      <c r="Z8" s="309">
        <f>VLOOKUP($A8,Prevs!$C:$AJ,COLUMN() - COLUMN($D8)+2,FALSE)*VLOOKUP($A8,Usinas!$C:$D,2,FALSE)</f>
        <v>11.0115</v>
      </c>
      <c r="AA8" s="330">
        <f>VLOOKUP($A8,Prevs!$C:$AJ,COLUMN() - COLUMN($D8)+2,FALSE)*VLOOKUP($A8,Usinas!$C:$D,2,FALSE)</f>
        <v>11.0115</v>
      </c>
      <c r="AE8" s="329">
        <f>VLOOKUP($A8,Prevs!$C:$AJ,COLUMN() - COLUMN($D8)+2,FALSE)*VLOOKUP($A8,Usinas!$C:$D,2,FALSE)</f>
        <v>9.0539000000000005</v>
      </c>
      <c r="AF8" s="309">
        <f>VLOOKUP($A8,Prevs!$C:$AJ,COLUMN() - COLUMN($D8)+2,FALSE)*VLOOKUP($A8,Usinas!$C:$D,2,FALSE)</f>
        <v>8.5645000000000007</v>
      </c>
      <c r="AG8" s="309">
        <f>VLOOKUP($A8,Prevs!$C:$AJ,COLUMN() - COLUMN($D8)+2,FALSE)*VLOOKUP($A8,Usinas!$C:$D,2,FALSE)</f>
        <v>8.5645000000000007</v>
      </c>
      <c r="AH8" s="309">
        <f>VLOOKUP($A8,Prevs!$C:$AJ,COLUMN() - COLUMN($D8)+2,FALSE)*VLOOKUP($A8,Usinas!$C:$D,2,FALSE)</f>
        <v>8.5645000000000007</v>
      </c>
      <c r="AI8" s="309">
        <f>VLOOKUP($A8,Prevs!$C:$AJ,COLUMN() - COLUMN($D8)+2,FALSE)*VLOOKUP($A8,Usinas!$C:$D,2,FALSE)</f>
        <v>8.3198000000000008</v>
      </c>
      <c r="AJ8" s="330">
        <f>VLOOKUP($A8,Prevs!$C:$AJ,COLUMN() - COLUMN($D8)+2,FALSE)*VLOOKUP($A8,Usinas!$C:$D,2,FALSE)</f>
        <v>8.3198000000000008</v>
      </c>
    </row>
    <row r="9" spans="1:37" hidden="1" outlineLevel="2" x14ac:dyDescent="0.25">
      <c r="A9" s="161">
        <v>211</v>
      </c>
      <c r="B9" s="162" t="s">
        <v>80</v>
      </c>
      <c r="D9" s="329">
        <f>VLOOKUP($A9,Prevs!$C:$AJ,COLUMN() - COLUMN($D9)+2,FALSE)*VLOOKUP($A9,Usinas!$C:$D,2,FALSE)</f>
        <v>29.384499999999999</v>
      </c>
      <c r="E9" s="309">
        <f>VLOOKUP($A9,Prevs!$C:$AJ,COLUMN() - COLUMN($D9)+2,FALSE)*VLOOKUP($A9,Usinas!$C:$D,2,FALSE)</f>
        <v>29.038800000000002</v>
      </c>
      <c r="F9" s="309">
        <f>VLOOKUP($A9,Prevs!$C:$AJ,COLUMN() - COLUMN($D9)+2,FALSE)*VLOOKUP($A9,Usinas!$C:$D,2,FALSE)</f>
        <v>29.384499999999999</v>
      </c>
      <c r="G9" s="309">
        <f>VLOOKUP($A9,Prevs!$C:$AJ,COLUMN() - COLUMN($D9)+2,FALSE)*VLOOKUP($A9,Usinas!$C:$D,2,FALSE)</f>
        <v>30.767300000000002</v>
      </c>
      <c r="H9" s="309">
        <f>VLOOKUP($A9,Prevs!$C:$AJ,COLUMN() - COLUMN($D9)+2,FALSE)*VLOOKUP($A9,Usinas!$C:$D,2,FALSE)</f>
        <v>27.310300000000002</v>
      </c>
      <c r="I9" s="330">
        <f>VLOOKUP($A9,Prevs!$C:$AJ,COLUMN() - COLUMN($D9)+2,FALSE)*VLOOKUP($A9,Usinas!$C:$D,2,FALSE)</f>
        <v>26.6189</v>
      </c>
      <c r="J9" s="477">
        <f ca="1">VLOOKUP($A9,Prevs_MLT!$C:$AJ,1+Entrada!$C$4,FALSE)*VLOOKUP($A9,Usinas!$C:$D,2,FALSE)</f>
        <v>81.930900000000008</v>
      </c>
      <c r="M9" s="329">
        <f>VLOOKUP($A9,Prevs!$C:$AJ,COLUMN() - COLUMN($D9)+2,FALSE)*VLOOKUP($A9,Usinas!$C:$D,2,FALSE)</f>
        <v>45.632400000000004</v>
      </c>
      <c r="N9" s="309">
        <f>VLOOKUP($A9,Prevs!$C:$AJ,COLUMN() - COLUMN($D9)+2,FALSE)*VLOOKUP($A9,Usinas!$C:$D,2,FALSE)</f>
        <v>44.941000000000003</v>
      </c>
      <c r="O9" s="309">
        <f>VLOOKUP($A9,Prevs!$C:$AJ,COLUMN() - COLUMN($D9)+2,FALSE)*VLOOKUP($A9,Usinas!$C:$D,2,FALSE)</f>
        <v>45.632400000000004</v>
      </c>
      <c r="P9" s="309">
        <f>VLOOKUP($A9,Prevs!$C:$AJ,COLUMN() - COLUMN($D9)+2,FALSE)*VLOOKUP($A9,Usinas!$C:$D,2,FALSE)</f>
        <v>47.706600000000002</v>
      </c>
      <c r="Q9" s="309">
        <f>VLOOKUP($A9,Prevs!$C:$AJ,COLUMN() - COLUMN($D9)+2,FALSE)*VLOOKUP($A9,Usinas!$C:$D,2,FALSE)</f>
        <v>42.521100000000004</v>
      </c>
      <c r="R9" s="330">
        <f>VLOOKUP($A9,Prevs!$C:$AJ,COLUMN() - COLUMN($D9)+2,FALSE)*VLOOKUP($A9,Usinas!$C:$D,2,FALSE)</f>
        <v>41.484000000000002</v>
      </c>
      <c r="V9" s="329">
        <f>VLOOKUP($A9,Prevs!$C:$AJ,COLUMN() - COLUMN($D9)+2,FALSE)*VLOOKUP($A9,Usinas!$C:$D,2,FALSE)</f>
        <v>38.718400000000003</v>
      </c>
      <c r="W9" s="309">
        <f>VLOOKUP($A9,Prevs!$C:$AJ,COLUMN() - COLUMN($D9)+2,FALSE)*VLOOKUP($A9,Usinas!$C:$D,2,FALSE)</f>
        <v>38.372700000000002</v>
      </c>
      <c r="X9" s="309">
        <f>VLOOKUP($A9,Prevs!$C:$AJ,COLUMN() - COLUMN($D9)+2,FALSE)*VLOOKUP($A9,Usinas!$C:$D,2,FALSE)</f>
        <v>38.718400000000003</v>
      </c>
      <c r="Y9" s="309">
        <f>VLOOKUP($A9,Prevs!$C:$AJ,COLUMN() - COLUMN($D9)+2,FALSE)*VLOOKUP($A9,Usinas!$C:$D,2,FALSE)</f>
        <v>40.446899999999999</v>
      </c>
      <c r="Z9" s="309">
        <f>VLOOKUP($A9,Prevs!$C:$AJ,COLUMN() - COLUMN($D9)+2,FALSE)*VLOOKUP($A9,Usinas!$C:$D,2,FALSE)</f>
        <v>35.952800000000003</v>
      </c>
      <c r="AA9" s="330">
        <f>VLOOKUP($A9,Prevs!$C:$AJ,COLUMN() - COLUMN($D9)+2,FALSE)*VLOOKUP($A9,Usinas!$C:$D,2,FALSE)</f>
        <v>35.261400000000002</v>
      </c>
      <c r="AE9" s="329">
        <f>VLOOKUP($A9,Prevs!$C:$AJ,COLUMN() - COLUMN($D9)+2,FALSE)*VLOOKUP($A9,Usinas!$C:$D,2,FALSE)</f>
        <v>29.384499999999999</v>
      </c>
      <c r="AF9" s="309">
        <f>VLOOKUP($A9,Prevs!$C:$AJ,COLUMN() - COLUMN($D9)+2,FALSE)*VLOOKUP($A9,Usinas!$C:$D,2,FALSE)</f>
        <v>29.038800000000002</v>
      </c>
      <c r="AG9" s="309">
        <f>VLOOKUP($A9,Prevs!$C:$AJ,COLUMN() - COLUMN($D9)+2,FALSE)*VLOOKUP($A9,Usinas!$C:$D,2,FALSE)</f>
        <v>29.384499999999999</v>
      </c>
      <c r="AH9" s="309">
        <f>VLOOKUP($A9,Prevs!$C:$AJ,COLUMN() - COLUMN($D9)+2,FALSE)*VLOOKUP($A9,Usinas!$C:$D,2,FALSE)</f>
        <v>30.767300000000002</v>
      </c>
      <c r="AI9" s="309">
        <f>VLOOKUP($A9,Prevs!$C:$AJ,COLUMN() - COLUMN($D9)+2,FALSE)*VLOOKUP($A9,Usinas!$C:$D,2,FALSE)</f>
        <v>27.310300000000002</v>
      </c>
      <c r="AJ9" s="330">
        <f>VLOOKUP($A9,Prevs!$C:$AJ,COLUMN() - COLUMN($D9)+2,FALSE)*VLOOKUP($A9,Usinas!$C:$D,2,FALSE)</f>
        <v>26.6189</v>
      </c>
    </row>
    <row r="10" spans="1:37" hidden="1" outlineLevel="2" x14ac:dyDescent="0.25">
      <c r="A10" s="161">
        <v>6</v>
      </c>
      <c r="B10" s="162" t="s">
        <v>58</v>
      </c>
      <c r="D10" s="329">
        <f>VLOOKUP($A10,Prevs!$C:$AJ,COLUMN() - COLUMN($D10)+2,FALSE)*VLOOKUP($A10,Usinas!$C:$D,2,FALSE)</f>
        <v>176.15279999999998</v>
      </c>
      <c r="E10" s="309">
        <f>VLOOKUP($A10,Prevs!$C:$AJ,COLUMN() - COLUMN($D10)+2,FALSE)*VLOOKUP($A10,Usinas!$C:$D,2,FALSE)</f>
        <v>168.42679999999999</v>
      </c>
      <c r="F10" s="309">
        <f>VLOOKUP($A10,Prevs!$C:$AJ,COLUMN() - COLUMN($D10)+2,FALSE)*VLOOKUP($A10,Usinas!$C:$D,2,FALSE)</f>
        <v>159.9282</v>
      </c>
      <c r="G10" s="309">
        <f>VLOOKUP($A10,Prevs!$C:$AJ,COLUMN() - COLUMN($D10)+2,FALSE)*VLOOKUP($A10,Usinas!$C:$D,2,FALSE)</f>
        <v>158.38299999999998</v>
      </c>
      <c r="H10" s="309">
        <f>VLOOKUP($A10,Prevs!$C:$AJ,COLUMN() - COLUMN($D10)+2,FALSE)*VLOOKUP($A10,Usinas!$C:$D,2,FALSE)</f>
        <v>153.7474</v>
      </c>
      <c r="I10" s="330">
        <f>VLOOKUP($A10,Prevs!$C:$AJ,COLUMN() - COLUMN($D10)+2,FALSE)*VLOOKUP($A10,Usinas!$C:$D,2,FALSE)</f>
        <v>118.98039999999999</v>
      </c>
      <c r="J10" s="477">
        <f ca="1">VLOOKUP($A10,Prevs_MLT!$C:$AJ,1+Entrada!$C$4,FALSE)*VLOOKUP($A10,Usinas!$C:$D,2,FALSE)</f>
        <v>570.17879999999991</v>
      </c>
      <c r="M10" s="329">
        <f>VLOOKUP($A10,Prevs!$C:$AJ,COLUMN() - COLUMN($D10)+2,FALSE)*VLOOKUP($A10,Usinas!$C:$D,2,FALSE)</f>
        <v>273.50039999999996</v>
      </c>
      <c r="N10" s="309">
        <f>VLOOKUP($A10,Prevs!$C:$AJ,COLUMN() - COLUMN($D10)+2,FALSE)*VLOOKUP($A10,Usinas!$C:$D,2,FALSE)</f>
        <v>261.91139999999996</v>
      </c>
      <c r="O10" s="309">
        <f>VLOOKUP($A10,Prevs!$C:$AJ,COLUMN() - COLUMN($D10)+2,FALSE)*VLOOKUP($A10,Usinas!$C:$D,2,FALSE)</f>
        <v>248.77719999999999</v>
      </c>
      <c r="P10" s="309">
        <f>VLOOKUP($A10,Prevs!$C:$AJ,COLUMN() - COLUMN($D10)+2,FALSE)*VLOOKUP($A10,Usinas!$C:$D,2,FALSE)</f>
        <v>245.68679999999998</v>
      </c>
      <c r="Q10" s="309">
        <f>VLOOKUP($A10,Prevs!$C:$AJ,COLUMN() - COLUMN($D10)+2,FALSE)*VLOOKUP($A10,Usinas!$C:$D,2,FALSE)</f>
        <v>238.73339999999999</v>
      </c>
      <c r="R10" s="330">
        <f>VLOOKUP($A10,Prevs!$C:$AJ,COLUMN() - COLUMN($D10)+2,FALSE)*VLOOKUP($A10,Usinas!$C:$D,2,FALSE)</f>
        <v>184.6514</v>
      </c>
      <c r="V10" s="329">
        <f>VLOOKUP($A10,Prevs!$C:$AJ,COLUMN() - COLUMN($D10)+2,FALSE)*VLOOKUP($A10,Usinas!$C:$D,2,FALSE)</f>
        <v>232.55259999999998</v>
      </c>
      <c r="W10" s="309">
        <f>VLOOKUP($A10,Prevs!$C:$AJ,COLUMN() - COLUMN($D10)+2,FALSE)*VLOOKUP($A10,Usinas!$C:$D,2,FALSE)</f>
        <v>221.7362</v>
      </c>
      <c r="X10" s="309">
        <f>VLOOKUP($A10,Prevs!$C:$AJ,COLUMN() - COLUMN($D10)+2,FALSE)*VLOOKUP($A10,Usinas!$C:$D,2,FALSE)</f>
        <v>210.91979999999998</v>
      </c>
      <c r="Y10" s="309">
        <f>VLOOKUP($A10,Prevs!$C:$AJ,COLUMN() - COLUMN($D10)+2,FALSE)*VLOOKUP($A10,Usinas!$C:$D,2,FALSE)</f>
        <v>208.60199999999998</v>
      </c>
      <c r="Z10" s="309">
        <f>VLOOKUP($A10,Prevs!$C:$AJ,COLUMN() - COLUMN($D10)+2,FALSE)*VLOOKUP($A10,Usinas!$C:$D,2,FALSE)</f>
        <v>202.4212</v>
      </c>
      <c r="AA10" s="330">
        <f>VLOOKUP($A10,Prevs!$C:$AJ,COLUMN() - COLUMN($D10)+2,FALSE)*VLOOKUP($A10,Usinas!$C:$D,2,FALSE)</f>
        <v>156.83779999999999</v>
      </c>
      <c r="AE10" s="329">
        <f>VLOOKUP($A10,Prevs!$C:$AJ,COLUMN() - COLUMN($D10)+2,FALSE)*VLOOKUP($A10,Usinas!$C:$D,2,FALSE)</f>
        <v>176.15279999999998</v>
      </c>
      <c r="AF10" s="309">
        <f>VLOOKUP($A10,Prevs!$C:$AJ,COLUMN() - COLUMN($D10)+2,FALSE)*VLOOKUP($A10,Usinas!$C:$D,2,FALSE)</f>
        <v>168.42679999999999</v>
      </c>
      <c r="AG10" s="309">
        <f>VLOOKUP($A10,Prevs!$C:$AJ,COLUMN() - COLUMN($D10)+2,FALSE)*VLOOKUP($A10,Usinas!$C:$D,2,FALSE)</f>
        <v>159.9282</v>
      </c>
      <c r="AH10" s="309">
        <f>VLOOKUP($A10,Prevs!$C:$AJ,COLUMN() - COLUMN($D10)+2,FALSE)*VLOOKUP($A10,Usinas!$C:$D,2,FALSE)</f>
        <v>158.38299999999998</v>
      </c>
      <c r="AI10" s="309">
        <f>VLOOKUP($A10,Prevs!$C:$AJ,COLUMN() - COLUMN($D10)+2,FALSE)*VLOOKUP($A10,Usinas!$C:$D,2,FALSE)</f>
        <v>153.7474</v>
      </c>
      <c r="AJ10" s="330">
        <f>VLOOKUP($A10,Prevs!$C:$AJ,COLUMN() - COLUMN($D10)+2,FALSE)*VLOOKUP($A10,Usinas!$C:$D,2,FALSE)</f>
        <v>118.98039999999999</v>
      </c>
    </row>
    <row r="11" spans="1:37" hidden="1" outlineLevel="2" x14ac:dyDescent="0.25">
      <c r="A11" s="161">
        <v>7</v>
      </c>
      <c r="B11" s="162" t="s">
        <v>81</v>
      </c>
      <c r="D11" s="329">
        <f>VLOOKUP($A11,Prevs!$C:$AJ,COLUMN() - COLUMN($D11)+2,FALSE)*VLOOKUP($A11,Usinas!$C:$D,2,FALSE)</f>
        <v>80.755399999999995</v>
      </c>
      <c r="E11" s="309">
        <f>VLOOKUP($A11,Prevs!$C:$AJ,COLUMN() - COLUMN($D11)+2,FALSE)*VLOOKUP($A11,Usinas!$C:$D,2,FALSE)</f>
        <v>83.758700000000005</v>
      </c>
      <c r="F11" s="309">
        <f>VLOOKUP($A11,Prevs!$C:$AJ,COLUMN() - COLUMN($D11)+2,FALSE)*VLOOKUP($A11,Usinas!$C:$D,2,FALSE)</f>
        <v>79.0869</v>
      </c>
      <c r="G11" s="309">
        <f>VLOOKUP($A11,Prevs!$C:$AJ,COLUMN() - COLUMN($D11)+2,FALSE)*VLOOKUP($A11,Usinas!$C:$D,2,FALSE)</f>
        <v>78.085800000000006</v>
      </c>
      <c r="H11" s="309">
        <f>VLOOKUP($A11,Prevs!$C:$AJ,COLUMN() - COLUMN($D11)+2,FALSE)*VLOOKUP($A11,Usinas!$C:$D,2,FALSE)</f>
        <v>76.417299999999997</v>
      </c>
      <c r="I11" s="330">
        <f>VLOOKUP($A11,Prevs!$C:$AJ,COLUMN() - COLUMN($D11)+2,FALSE)*VLOOKUP($A11,Usinas!$C:$D,2,FALSE)</f>
        <v>62.068199999999997</v>
      </c>
      <c r="J11" s="477">
        <f ca="1">VLOOKUP($A11,Prevs_MLT!$C:$AJ,1+Entrada!$C$4,FALSE)*VLOOKUP($A11,Usinas!$C:$D,2,FALSE)</f>
        <v>276.971</v>
      </c>
      <c r="M11" s="329">
        <f>VLOOKUP($A11,Prevs!$C:$AJ,COLUMN() - COLUMN($D11)+2,FALSE)*VLOOKUP($A11,Usinas!$C:$D,2,FALSE)</f>
        <v>125.4712</v>
      </c>
      <c r="N11" s="309">
        <f>VLOOKUP($A11,Prevs!$C:$AJ,COLUMN() - COLUMN($D11)+2,FALSE)*VLOOKUP($A11,Usinas!$C:$D,2,FALSE)</f>
        <v>130.143</v>
      </c>
      <c r="O11" s="309">
        <f>VLOOKUP($A11,Prevs!$C:$AJ,COLUMN() - COLUMN($D11)+2,FALSE)*VLOOKUP($A11,Usinas!$C:$D,2,FALSE)</f>
        <v>122.80159999999999</v>
      </c>
      <c r="P11" s="309">
        <f>VLOOKUP($A11,Prevs!$C:$AJ,COLUMN() - COLUMN($D11)+2,FALSE)*VLOOKUP($A11,Usinas!$C:$D,2,FALSE)</f>
        <v>121.1331</v>
      </c>
      <c r="Q11" s="309">
        <f>VLOOKUP($A11,Prevs!$C:$AJ,COLUMN() - COLUMN($D11)+2,FALSE)*VLOOKUP($A11,Usinas!$C:$D,2,FALSE)</f>
        <v>118.7972</v>
      </c>
      <c r="R11" s="330">
        <f>VLOOKUP($A11,Prevs!$C:$AJ,COLUMN() - COLUMN($D11)+2,FALSE)*VLOOKUP($A11,Usinas!$C:$D,2,FALSE)</f>
        <v>96.439300000000003</v>
      </c>
      <c r="V11" s="329">
        <f>VLOOKUP($A11,Prevs!$C:$AJ,COLUMN() - COLUMN($D11)+2,FALSE)*VLOOKUP($A11,Usinas!$C:$D,2,FALSE)</f>
        <v>106.4503</v>
      </c>
      <c r="W11" s="309">
        <f>VLOOKUP($A11,Prevs!$C:$AJ,COLUMN() - COLUMN($D11)+2,FALSE)*VLOOKUP($A11,Usinas!$C:$D,2,FALSE)</f>
        <v>110.4547</v>
      </c>
      <c r="X11" s="309">
        <f>VLOOKUP($A11,Prevs!$C:$AJ,COLUMN() - COLUMN($D11)+2,FALSE)*VLOOKUP($A11,Usinas!$C:$D,2,FALSE)</f>
        <v>104.4481</v>
      </c>
      <c r="Y11" s="309">
        <f>VLOOKUP($A11,Prevs!$C:$AJ,COLUMN() - COLUMN($D11)+2,FALSE)*VLOOKUP($A11,Usinas!$C:$D,2,FALSE)</f>
        <v>103.1133</v>
      </c>
      <c r="Z11" s="309">
        <f>VLOOKUP($A11,Prevs!$C:$AJ,COLUMN() - COLUMN($D11)+2,FALSE)*VLOOKUP($A11,Usinas!$C:$D,2,FALSE)</f>
        <v>100.7774</v>
      </c>
      <c r="AA11" s="330">
        <f>VLOOKUP($A11,Prevs!$C:$AJ,COLUMN() - COLUMN($D11)+2,FALSE)*VLOOKUP($A11,Usinas!$C:$D,2,FALSE)</f>
        <v>81.756500000000003</v>
      </c>
      <c r="AE11" s="329">
        <f>VLOOKUP($A11,Prevs!$C:$AJ,COLUMN() - COLUMN($D11)+2,FALSE)*VLOOKUP($A11,Usinas!$C:$D,2,FALSE)</f>
        <v>80.755399999999995</v>
      </c>
      <c r="AF11" s="309">
        <f>VLOOKUP($A11,Prevs!$C:$AJ,COLUMN() - COLUMN($D11)+2,FALSE)*VLOOKUP($A11,Usinas!$C:$D,2,FALSE)</f>
        <v>83.758700000000005</v>
      </c>
      <c r="AG11" s="309">
        <f>VLOOKUP($A11,Prevs!$C:$AJ,COLUMN() - COLUMN($D11)+2,FALSE)*VLOOKUP($A11,Usinas!$C:$D,2,FALSE)</f>
        <v>79.0869</v>
      </c>
      <c r="AH11" s="309">
        <f>VLOOKUP($A11,Prevs!$C:$AJ,COLUMN() - COLUMN($D11)+2,FALSE)*VLOOKUP($A11,Usinas!$C:$D,2,FALSE)</f>
        <v>78.085800000000006</v>
      </c>
      <c r="AI11" s="309">
        <f>VLOOKUP($A11,Prevs!$C:$AJ,COLUMN() - COLUMN($D11)+2,FALSE)*VLOOKUP($A11,Usinas!$C:$D,2,FALSE)</f>
        <v>76.417299999999997</v>
      </c>
      <c r="AJ11" s="330">
        <f>VLOOKUP($A11,Prevs!$C:$AJ,COLUMN() - COLUMN($D11)+2,FALSE)*VLOOKUP($A11,Usinas!$C:$D,2,FALSE)</f>
        <v>62.068199999999997</v>
      </c>
    </row>
    <row r="12" spans="1:37" hidden="1" outlineLevel="2" x14ac:dyDescent="0.25">
      <c r="A12" s="161">
        <v>8</v>
      </c>
      <c r="B12" s="162" t="s">
        <v>82</v>
      </c>
      <c r="D12" s="329">
        <f>VLOOKUP($A12,Prevs!$C:$AJ,COLUMN() - COLUMN($D12)+2,FALSE)*VLOOKUP($A12,Usinas!$C:$D,2,FALSE)</f>
        <v>137.86150000000001</v>
      </c>
      <c r="E12" s="309">
        <f>VLOOKUP($A12,Prevs!$C:$AJ,COLUMN() - COLUMN($D12)+2,FALSE)*VLOOKUP($A12,Usinas!$C:$D,2,FALSE)</f>
        <v>144.6139</v>
      </c>
      <c r="F12" s="309">
        <f>VLOOKUP($A12,Prevs!$C:$AJ,COLUMN() - COLUMN($D12)+2,FALSE)*VLOOKUP($A12,Usinas!$C:$D,2,FALSE)</f>
        <v>136.73609999999999</v>
      </c>
      <c r="G12" s="309">
        <f>VLOOKUP($A12,Prevs!$C:$AJ,COLUMN() - COLUMN($D12)+2,FALSE)*VLOOKUP($A12,Usinas!$C:$D,2,FALSE)</f>
        <v>135.61070000000001</v>
      </c>
      <c r="H12" s="309">
        <f>VLOOKUP($A12,Prevs!$C:$AJ,COLUMN() - COLUMN($D12)+2,FALSE)*VLOOKUP($A12,Usinas!$C:$D,2,FALSE)</f>
        <v>132.7972</v>
      </c>
      <c r="I12" s="330">
        <f>VLOOKUP($A12,Prevs!$C:$AJ,COLUMN() - COLUMN($D12)+2,FALSE)*VLOOKUP($A12,Usinas!$C:$D,2,FALSE)</f>
        <v>107.47569999999999</v>
      </c>
      <c r="J12" s="477">
        <f ca="1">VLOOKUP($A12,Prevs_MLT!$C:$AJ,1+Entrada!$C$4,FALSE)*VLOOKUP($A12,Usinas!$C:$D,2,FALSE)</f>
        <v>480.54579999999999</v>
      </c>
      <c r="M12" s="329">
        <f>VLOOKUP($A12,Prevs!$C:$AJ,COLUMN() - COLUMN($D12)+2,FALSE)*VLOOKUP($A12,Usinas!$C:$D,2,FALSE)</f>
        <v>214.3887</v>
      </c>
      <c r="N12" s="309">
        <f>VLOOKUP($A12,Prevs!$C:$AJ,COLUMN() - COLUMN($D12)+2,FALSE)*VLOOKUP($A12,Usinas!$C:$D,2,FALSE)</f>
        <v>224.51729999999998</v>
      </c>
      <c r="O12" s="309">
        <f>VLOOKUP($A12,Prevs!$C:$AJ,COLUMN() - COLUMN($D12)+2,FALSE)*VLOOKUP($A12,Usinas!$C:$D,2,FALSE)</f>
        <v>212.1379</v>
      </c>
      <c r="P12" s="309">
        <f>VLOOKUP($A12,Prevs!$C:$AJ,COLUMN() - COLUMN($D12)+2,FALSE)*VLOOKUP($A12,Usinas!$C:$D,2,FALSE)</f>
        <v>210.44979999999998</v>
      </c>
      <c r="Q12" s="309">
        <f>VLOOKUP($A12,Prevs!$C:$AJ,COLUMN() - COLUMN($D12)+2,FALSE)*VLOOKUP($A12,Usinas!$C:$D,2,FALSE)</f>
        <v>206.51089999999999</v>
      </c>
      <c r="R12" s="330">
        <f>VLOOKUP($A12,Prevs!$C:$AJ,COLUMN() - COLUMN($D12)+2,FALSE)*VLOOKUP($A12,Usinas!$C:$D,2,FALSE)</f>
        <v>167.12189999999998</v>
      </c>
      <c r="V12" s="329">
        <f>VLOOKUP($A12,Prevs!$C:$AJ,COLUMN() - COLUMN($D12)+2,FALSE)*VLOOKUP($A12,Usinas!$C:$D,2,FALSE)</f>
        <v>181.75209999999998</v>
      </c>
      <c r="W12" s="309">
        <f>VLOOKUP($A12,Prevs!$C:$AJ,COLUMN() - COLUMN($D12)+2,FALSE)*VLOOKUP($A12,Usinas!$C:$D,2,FALSE)</f>
        <v>190.75530000000001</v>
      </c>
      <c r="X12" s="309">
        <f>VLOOKUP($A12,Prevs!$C:$AJ,COLUMN() - COLUMN($D12)+2,FALSE)*VLOOKUP($A12,Usinas!$C:$D,2,FALSE)</f>
        <v>180.06399999999999</v>
      </c>
      <c r="Y12" s="309">
        <f>VLOOKUP($A12,Prevs!$C:$AJ,COLUMN() - COLUMN($D12)+2,FALSE)*VLOOKUP($A12,Usinas!$C:$D,2,FALSE)</f>
        <v>178.93859999999998</v>
      </c>
      <c r="Z12" s="309">
        <f>VLOOKUP($A12,Prevs!$C:$AJ,COLUMN() - COLUMN($D12)+2,FALSE)*VLOOKUP($A12,Usinas!$C:$D,2,FALSE)</f>
        <v>174.99969999999999</v>
      </c>
      <c r="AA12" s="330">
        <f>VLOOKUP($A12,Prevs!$C:$AJ,COLUMN() - COLUMN($D12)+2,FALSE)*VLOOKUP($A12,Usinas!$C:$D,2,FALSE)</f>
        <v>141.8004</v>
      </c>
      <c r="AE12" s="329">
        <f>VLOOKUP($A12,Prevs!$C:$AJ,COLUMN() - COLUMN($D12)+2,FALSE)*VLOOKUP($A12,Usinas!$C:$D,2,FALSE)</f>
        <v>137.86150000000001</v>
      </c>
      <c r="AF12" s="309">
        <f>VLOOKUP($A12,Prevs!$C:$AJ,COLUMN() - COLUMN($D12)+2,FALSE)*VLOOKUP($A12,Usinas!$C:$D,2,FALSE)</f>
        <v>144.6139</v>
      </c>
      <c r="AG12" s="309">
        <f>VLOOKUP($A12,Prevs!$C:$AJ,COLUMN() - COLUMN($D12)+2,FALSE)*VLOOKUP($A12,Usinas!$C:$D,2,FALSE)</f>
        <v>136.73609999999999</v>
      </c>
      <c r="AH12" s="309">
        <f>VLOOKUP($A12,Prevs!$C:$AJ,COLUMN() - COLUMN($D12)+2,FALSE)*VLOOKUP($A12,Usinas!$C:$D,2,FALSE)</f>
        <v>135.61070000000001</v>
      </c>
      <c r="AI12" s="309">
        <f>VLOOKUP($A12,Prevs!$C:$AJ,COLUMN() - COLUMN($D12)+2,FALSE)*VLOOKUP($A12,Usinas!$C:$D,2,FALSE)</f>
        <v>132.7972</v>
      </c>
      <c r="AJ12" s="330">
        <f>VLOOKUP($A12,Prevs!$C:$AJ,COLUMN() - COLUMN($D12)+2,FALSE)*VLOOKUP($A12,Usinas!$C:$D,2,FALSE)</f>
        <v>107.47569999999999</v>
      </c>
    </row>
    <row r="13" spans="1:37" hidden="1" outlineLevel="2" x14ac:dyDescent="0.25">
      <c r="A13" s="161">
        <v>9</v>
      </c>
      <c r="B13" s="162" t="s">
        <v>83</v>
      </c>
      <c r="D13" s="329">
        <f>VLOOKUP($A13,Prevs!$C:$AJ,COLUMN() - COLUMN($D13)+2,FALSE)*VLOOKUP($A13,Usinas!$C:$D,2,FALSE)</f>
        <v>99.457799999999992</v>
      </c>
      <c r="E13" s="309">
        <f>VLOOKUP($A13,Prevs!$C:$AJ,COLUMN() - COLUMN($D13)+2,FALSE)*VLOOKUP($A13,Usinas!$C:$D,2,FALSE)</f>
        <v>105.11799999999999</v>
      </c>
      <c r="F13" s="309">
        <f>VLOOKUP($A13,Prevs!$C:$AJ,COLUMN() - COLUMN($D13)+2,FALSE)*VLOOKUP($A13,Usinas!$C:$D,2,FALSE)</f>
        <v>99.457799999999992</v>
      </c>
      <c r="G13" s="309">
        <f>VLOOKUP($A13,Prevs!$C:$AJ,COLUMN() - COLUMN($D13)+2,FALSE)*VLOOKUP($A13,Usinas!$C:$D,2,FALSE)</f>
        <v>98.244900000000001</v>
      </c>
      <c r="H13" s="309">
        <f>VLOOKUP($A13,Prevs!$C:$AJ,COLUMN() - COLUMN($D13)+2,FALSE)*VLOOKUP($A13,Usinas!$C:$D,2,FALSE)</f>
        <v>96.223399999999998</v>
      </c>
      <c r="I13" s="330">
        <f>VLOOKUP($A13,Prevs!$C:$AJ,COLUMN() - COLUMN($D13)+2,FALSE)*VLOOKUP($A13,Usinas!$C:$D,2,FALSE)</f>
        <v>78.029899999999998</v>
      </c>
      <c r="J13" s="477">
        <f ca="1">VLOOKUP($A13,Prevs_MLT!$C:$AJ,1+Entrada!$C$4,FALSE)*VLOOKUP($A13,Usinas!$C:$D,2,FALSE)</f>
        <v>349.3152</v>
      </c>
      <c r="M13" s="329">
        <f>VLOOKUP($A13,Prevs!$C:$AJ,COLUMN() - COLUMN($D13)+2,FALSE)*VLOOKUP($A13,Usinas!$C:$D,2,FALSE)</f>
        <v>154.4426</v>
      </c>
      <c r="N13" s="309">
        <f>VLOOKUP($A13,Prevs!$C:$AJ,COLUMN() - COLUMN($D13)+2,FALSE)*VLOOKUP($A13,Usinas!$C:$D,2,FALSE)</f>
        <v>163.3372</v>
      </c>
      <c r="O13" s="309">
        <f>VLOOKUP($A13,Prevs!$C:$AJ,COLUMN() - COLUMN($D13)+2,FALSE)*VLOOKUP($A13,Usinas!$C:$D,2,FALSE)</f>
        <v>154.4426</v>
      </c>
      <c r="P13" s="309">
        <f>VLOOKUP($A13,Prevs!$C:$AJ,COLUMN() - COLUMN($D13)+2,FALSE)*VLOOKUP($A13,Usinas!$C:$D,2,FALSE)</f>
        <v>152.4211</v>
      </c>
      <c r="Q13" s="309">
        <f>VLOOKUP($A13,Prevs!$C:$AJ,COLUMN() - COLUMN($D13)+2,FALSE)*VLOOKUP($A13,Usinas!$C:$D,2,FALSE)</f>
        <v>149.59100000000001</v>
      </c>
      <c r="R13" s="330">
        <f>VLOOKUP($A13,Prevs!$C:$AJ,COLUMN() - COLUMN($D13)+2,FALSE)*VLOOKUP($A13,Usinas!$C:$D,2,FALSE)</f>
        <v>121.28999999999999</v>
      </c>
      <c r="V13" s="329">
        <f>VLOOKUP($A13,Prevs!$C:$AJ,COLUMN() - COLUMN($D13)+2,FALSE)*VLOOKUP($A13,Usinas!$C:$D,2,FALSE)</f>
        <v>130.9932</v>
      </c>
      <c r="W13" s="309">
        <f>VLOOKUP($A13,Prevs!$C:$AJ,COLUMN() - COLUMN($D13)+2,FALSE)*VLOOKUP($A13,Usinas!$C:$D,2,FALSE)</f>
        <v>138.67490000000001</v>
      </c>
      <c r="X13" s="309">
        <f>VLOOKUP($A13,Prevs!$C:$AJ,COLUMN() - COLUMN($D13)+2,FALSE)*VLOOKUP($A13,Usinas!$C:$D,2,FALSE)</f>
        <v>130.9932</v>
      </c>
      <c r="Y13" s="309">
        <f>VLOOKUP($A13,Prevs!$C:$AJ,COLUMN() - COLUMN($D13)+2,FALSE)*VLOOKUP($A13,Usinas!$C:$D,2,FALSE)</f>
        <v>129.376</v>
      </c>
      <c r="Z13" s="309">
        <f>VLOOKUP($A13,Prevs!$C:$AJ,COLUMN() - COLUMN($D13)+2,FALSE)*VLOOKUP($A13,Usinas!$C:$D,2,FALSE)</f>
        <v>126.9502</v>
      </c>
      <c r="AA13" s="330">
        <f>VLOOKUP($A13,Prevs!$C:$AJ,COLUMN() - COLUMN($D13)+2,FALSE)*VLOOKUP($A13,Usinas!$C:$D,2,FALSE)</f>
        <v>102.6922</v>
      </c>
      <c r="AE13" s="329">
        <f>VLOOKUP($A13,Prevs!$C:$AJ,COLUMN() - COLUMN($D13)+2,FALSE)*VLOOKUP($A13,Usinas!$C:$D,2,FALSE)</f>
        <v>99.457799999999992</v>
      </c>
      <c r="AF13" s="309">
        <f>VLOOKUP($A13,Prevs!$C:$AJ,COLUMN() - COLUMN($D13)+2,FALSE)*VLOOKUP($A13,Usinas!$C:$D,2,FALSE)</f>
        <v>105.11799999999999</v>
      </c>
      <c r="AG13" s="309">
        <f>VLOOKUP($A13,Prevs!$C:$AJ,COLUMN() - COLUMN($D13)+2,FALSE)*VLOOKUP($A13,Usinas!$C:$D,2,FALSE)</f>
        <v>99.457799999999992</v>
      </c>
      <c r="AH13" s="309">
        <f>VLOOKUP($A13,Prevs!$C:$AJ,COLUMN() - COLUMN($D13)+2,FALSE)*VLOOKUP($A13,Usinas!$C:$D,2,FALSE)</f>
        <v>98.244900000000001</v>
      </c>
      <c r="AI13" s="309">
        <f>VLOOKUP($A13,Prevs!$C:$AJ,COLUMN() - COLUMN($D13)+2,FALSE)*VLOOKUP($A13,Usinas!$C:$D,2,FALSE)</f>
        <v>96.223399999999998</v>
      </c>
      <c r="AJ13" s="330">
        <f>VLOOKUP($A13,Prevs!$C:$AJ,COLUMN() - COLUMN($D13)+2,FALSE)*VLOOKUP($A13,Usinas!$C:$D,2,FALSE)</f>
        <v>78.029899999999998</v>
      </c>
    </row>
    <row r="14" spans="1:37" hidden="1" outlineLevel="2" x14ac:dyDescent="0.25">
      <c r="A14" s="161">
        <v>10</v>
      </c>
      <c r="B14" s="162" t="s">
        <v>84</v>
      </c>
      <c r="D14" s="329">
        <f>VLOOKUP($A14,Prevs!$C:$AJ,COLUMN() - COLUMN($D14)+2,FALSE)*VLOOKUP($A14,Usinas!$C:$D,2,FALSE)</f>
        <v>38.277499999999996</v>
      </c>
      <c r="E14" s="309">
        <f>VLOOKUP($A14,Prevs!$C:$AJ,COLUMN() - COLUMN($D14)+2,FALSE)*VLOOKUP($A14,Usinas!$C:$D,2,FALSE)</f>
        <v>40.869999999999997</v>
      </c>
      <c r="F14" s="309">
        <f>VLOOKUP($A14,Prevs!$C:$AJ,COLUMN() - COLUMN($D14)+2,FALSE)*VLOOKUP($A14,Usinas!$C:$D,2,FALSE)</f>
        <v>38.734999999999999</v>
      </c>
      <c r="G14" s="309">
        <f>VLOOKUP($A14,Prevs!$C:$AJ,COLUMN() - COLUMN($D14)+2,FALSE)*VLOOKUP($A14,Usinas!$C:$D,2,FALSE)</f>
        <v>38.277499999999996</v>
      </c>
      <c r="H14" s="309">
        <f>VLOOKUP($A14,Prevs!$C:$AJ,COLUMN() - COLUMN($D14)+2,FALSE)*VLOOKUP($A14,Usinas!$C:$D,2,FALSE)</f>
        <v>37.362499999999997</v>
      </c>
      <c r="I14" s="330">
        <f>VLOOKUP($A14,Prevs!$C:$AJ,COLUMN() - COLUMN($D14)+2,FALSE)*VLOOKUP($A14,Usinas!$C:$D,2,FALSE)</f>
        <v>30.3475</v>
      </c>
      <c r="J14" s="477">
        <f ca="1">VLOOKUP($A14,Prevs_MLT!$C:$AJ,1+Entrada!$C$4,FALSE)*VLOOKUP($A14,Usinas!$C:$D,2,FALSE)</f>
        <v>135.8775</v>
      </c>
      <c r="M14" s="329">
        <f>VLOOKUP($A14,Prevs!$C:$AJ,COLUMN() - COLUMN($D14)+2,FALSE)*VLOOKUP($A14,Usinas!$C:$D,2,FALSE)</f>
        <v>59.475000000000001</v>
      </c>
      <c r="N14" s="309">
        <f>VLOOKUP($A14,Prevs!$C:$AJ,COLUMN() - COLUMN($D14)+2,FALSE)*VLOOKUP($A14,Usinas!$C:$D,2,FALSE)</f>
        <v>63.44</v>
      </c>
      <c r="O14" s="309">
        <f>VLOOKUP($A14,Prevs!$C:$AJ,COLUMN() - COLUMN($D14)+2,FALSE)*VLOOKUP($A14,Usinas!$C:$D,2,FALSE)</f>
        <v>60.237499999999997</v>
      </c>
      <c r="P14" s="309">
        <f>VLOOKUP($A14,Prevs!$C:$AJ,COLUMN() - COLUMN($D14)+2,FALSE)*VLOOKUP($A14,Usinas!$C:$D,2,FALSE)</f>
        <v>59.475000000000001</v>
      </c>
      <c r="Q14" s="309">
        <f>VLOOKUP($A14,Prevs!$C:$AJ,COLUMN() - COLUMN($D14)+2,FALSE)*VLOOKUP($A14,Usinas!$C:$D,2,FALSE)</f>
        <v>58.102499999999999</v>
      </c>
      <c r="R14" s="330">
        <f>VLOOKUP($A14,Prevs!$C:$AJ,COLUMN() - COLUMN($D14)+2,FALSE)*VLOOKUP($A14,Usinas!$C:$D,2,FALSE)</f>
        <v>47.122500000000002</v>
      </c>
      <c r="V14" s="329">
        <f>VLOOKUP($A14,Prevs!$C:$AJ,COLUMN() - COLUMN($D14)+2,FALSE)*VLOOKUP($A14,Usinas!$C:$D,2,FALSE)</f>
        <v>50.477499999999999</v>
      </c>
      <c r="W14" s="309">
        <f>VLOOKUP($A14,Prevs!$C:$AJ,COLUMN() - COLUMN($D14)+2,FALSE)*VLOOKUP($A14,Usinas!$C:$D,2,FALSE)</f>
        <v>53.832499999999996</v>
      </c>
      <c r="X14" s="309">
        <f>VLOOKUP($A14,Prevs!$C:$AJ,COLUMN() - COLUMN($D14)+2,FALSE)*VLOOKUP($A14,Usinas!$C:$D,2,FALSE)</f>
        <v>51.087499999999999</v>
      </c>
      <c r="Y14" s="309">
        <f>VLOOKUP($A14,Prevs!$C:$AJ,COLUMN() - COLUMN($D14)+2,FALSE)*VLOOKUP($A14,Usinas!$C:$D,2,FALSE)</f>
        <v>50.477499999999999</v>
      </c>
      <c r="Z14" s="309">
        <f>VLOOKUP($A14,Prevs!$C:$AJ,COLUMN() - COLUMN($D14)+2,FALSE)*VLOOKUP($A14,Usinas!$C:$D,2,FALSE)</f>
        <v>49.2575</v>
      </c>
      <c r="AA14" s="330">
        <f>VLOOKUP($A14,Prevs!$C:$AJ,COLUMN() - COLUMN($D14)+2,FALSE)*VLOOKUP($A14,Usinas!$C:$D,2,FALSE)</f>
        <v>39.954999999999998</v>
      </c>
      <c r="AE14" s="329">
        <f>VLOOKUP($A14,Prevs!$C:$AJ,COLUMN() - COLUMN($D14)+2,FALSE)*VLOOKUP($A14,Usinas!$C:$D,2,FALSE)</f>
        <v>38.277499999999996</v>
      </c>
      <c r="AF14" s="309">
        <f>VLOOKUP($A14,Prevs!$C:$AJ,COLUMN() - COLUMN($D14)+2,FALSE)*VLOOKUP($A14,Usinas!$C:$D,2,FALSE)</f>
        <v>40.869999999999997</v>
      </c>
      <c r="AG14" s="309">
        <f>VLOOKUP($A14,Prevs!$C:$AJ,COLUMN() - COLUMN($D14)+2,FALSE)*VLOOKUP($A14,Usinas!$C:$D,2,FALSE)</f>
        <v>38.734999999999999</v>
      </c>
      <c r="AH14" s="309">
        <f>VLOOKUP($A14,Prevs!$C:$AJ,COLUMN() - COLUMN($D14)+2,FALSE)*VLOOKUP($A14,Usinas!$C:$D,2,FALSE)</f>
        <v>38.277499999999996</v>
      </c>
      <c r="AI14" s="309">
        <f>VLOOKUP($A14,Prevs!$C:$AJ,COLUMN() - COLUMN($D14)+2,FALSE)*VLOOKUP($A14,Usinas!$C:$D,2,FALSE)</f>
        <v>37.362499999999997</v>
      </c>
      <c r="AJ14" s="330">
        <f>VLOOKUP($A14,Prevs!$C:$AJ,COLUMN() - COLUMN($D14)+2,FALSE)*VLOOKUP($A14,Usinas!$C:$D,2,FALSE)</f>
        <v>30.3475</v>
      </c>
    </row>
    <row r="15" spans="1:37" hidden="1" outlineLevel="2" x14ac:dyDescent="0.25">
      <c r="A15" s="161">
        <v>11</v>
      </c>
      <c r="B15" s="162" t="s">
        <v>85</v>
      </c>
      <c r="D15" s="329">
        <f>VLOOKUP($A15,Prevs!$C:$AJ,COLUMN() - COLUMN($D15)+2,FALSE)*VLOOKUP($A15,Usinas!$C:$D,2,FALSE)</f>
        <v>64.024799999999999</v>
      </c>
      <c r="E15" s="309">
        <f>VLOOKUP($A15,Prevs!$C:$AJ,COLUMN() - COLUMN($D15)+2,FALSE)*VLOOKUP($A15,Usinas!$C:$D,2,FALSE)</f>
        <v>70.946399999999997</v>
      </c>
      <c r="F15" s="309">
        <f>VLOOKUP($A15,Prevs!$C:$AJ,COLUMN() - COLUMN($D15)+2,FALSE)*VLOOKUP($A15,Usinas!$C:$D,2,FALSE)</f>
        <v>67.238399999999999</v>
      </c>
      <c r="G15" s="309">
        <f>VLOOKUP($A15,Prevs!$C:$AJ,COLUMN() - COLUMN($D15)+2,FALSE)*VLOOKUP($A15,Usinas!$C:$D,2,FALSE)</f>
        <v>66.496800000000007</v>
      </c>
      <c r="H15" s="309">
        <f>VLOOKUP($A15,Prevs!$C:$AJ,COLUMN() - COLUMN($D15)+2,FALSE)*VLOOKUP($A15,Usinas!$C:$D,2,FALSE)</f>
        <v>64.766400000000004</v>
      </c>
      <c r="I15" s="330">
        <f>VLOOKUP($A15,Prevs!$C:$AJ,COLUMN() - COLUMN($D15)+2,FALSE)*VLOOKUP($A15,Usinas!$C:$D,2,FALSE)</f>
        <v>52.653599999999997</v>
      </c>
      <c r="J15" s="477">
        <f ca="1">VLOOKUP($A15,Prevs_MLT!$C:$AJ,1+Entrada!$C$4,FALSE)*VLOOKUP($A15,Usinas!$C:$D,2,FALSE)</f>
        <v>235.33440000000002</v>
      </c>
      <c r="M15" s="329">
        <f>VLOOKUP($A15,Prevs!$C:$AJ,COLUMN() - COLUMN($D15)+2,FALSE)*VLOOKUP($A15,Usinas!$C:$D,2,FALSE)</f>
        <v>99.374399999999994</v>
      </c>
      <c r="N15" s="309">
        <f>VLOOKUP($A15,Prevs!$C:$AJ,COLUMN() - COLUMN($D15)+2,FALSE)*VLOOKUP($A15,Usinas!$C:$D,2,FALSE)</f>
        <v>110.2512</v>
      </c>
      <c r="O15" s="309">
        <f>VLOOKUP($A15,Prevs!$C:$AJ,COLUMN() - COLUMN($D15)+2,FALSE)*VLOOKUP($A15,Usinas!$C:$D,2,FALSE)</f>
        <v>104.3184</v>
      </c>
      <c r="P15" s="309">
        <f>VLOOKUP($A15,Prevs!$C:$AJ,COLUMN() - COLUMN($D15)+2,FALSE)*VLOOKUP($A15,Usinas!$C:$D,2,FALSE)</f>
        <v>103.3296</v>
      </c>
      <c r="Q15" s="309">
        <f>VLOOKUP($A15,Prevs!$C:$AJ,COLUMN() - COLUMN($D15)+2,FALSE)*VLOOKUP($A15,Usinas!$C:$D,2,FALSE)</f>
        <v>100.6104</v>
      </c>
      <c r="R15" s="330">
        <f>VLOOKUP($A15,Prevs!$C:$AJ,COLUMN() - COLUMN($D15)+2,FALSE)*VLOOKUP($A15,Usinas!$C:$D,2,FALSE)</f>
        <v>81.8232</v>
      </c>
      <c r="V15" s="329">
        <f>VLOOKUP($A15,Prevs!$C:$AJ,COLUMN() - COLUMN($D15)+2,FALSE)*VLOOKUP($A15,Usinas!$C:$D,2,FALSE)</f>
        <v>84.542400000000001</v>
      </c>
      <c r="W15" s="309">
        <f>VLOOKUP($A15,Prevs!$C:$AJ,COLUMN() - COLUMN($D15)+2,FALSE)*VLOOKUP($A15,Usinas!$C:$D,2,FALSE)</f>
        <v>93.441600000000008</v>
      </c>
      <c r="X15" s="309">
        <f>VLOOKUP($A15,Prevs!$C:$AJ,COLUMN() - COLUMN($D15)+2,FALSE)*VLOOKUP($A15,Usinas!$C:$D,2,FALSE)</f>
        <v>88.744799999999998</v>
      </c>
      <c r="Y15" s="309">
        <f>VLOOKUP($A15,Prevs!$C:$AJ,COLUMN() - COLUMN($D15)+2,FALSE)*VLOOKUP($A15,Usinas!$C:$D,2,FALSE)</f>
        <v>87.756</v>
      </c>
      <c r="Z15" s="309">
        <f>VLOOKUP($A15,Prevs!$C:$AJ,COLUMN() - COLUMN($D15)+2,FALSE)*VLOOKUP($A15,Usinas!$C:$D,2,FALSE)</f>
        <v>85.284000000000006</v>
      </c>
      <c r="AA15" s="330">
        <f>VLOOKUP($A15,Prevs!$C:$AJ,COLUMN() - COLUMN($D15)+2,FALSE)*VLOOKUP($A15,Usinas!$C:$D,2,FALSE)</f>
        <v>69.463200000000001</v>
      </c>
      <c r="AE15" s="329">
        <f>VLOOKUP($A15,Prevs!$C:$AJ,COLUMN() - COLUMN($D15)+2,FALSE)*VLOOKUP($A15,Usinas!$C:$D,2,FALSE)</f>
        <v>64.024799999999999</v>
      </c>
      <c r="AF15" s="309">
        <f>VLOOKUP($A15,Prevs!$C:$AJ,COLUMN() - COLUMN($D15)+2,FALSE)*VLOOKUP($A15,Usinas!$C:$D,2,FALSE)</f>
        <v>70.946399999999997</v>
      </c>
      <c r="AG15" s="309">
        <f>VLOOKUP($A15,Prevs!$C:$AJ,COLUMN() - COLUMN($D15)+2,FALSE)*VLOOKUP($A15,Usinas!$C:$D,2,FALSE)</f>
        <v>67.238399999999999</v>
      </c>
      <c r="AH15" s="309">
        <f>VLOOKUP($A15,Prevs!$C:$AJ,COLUMN() - COLUMN($D15)+2,FALSE)*VLOOKUP($A15,Usinas!$C:$D,2,FALSE)</f>
        <v>66.496800000000007</v>
      </c>
      <c r="AI15" s="309">
        <f>VLOOKUP($A15,Prevs!$C:$AJ,COLUMN() - COLUMN($D15)+2,FALSE)*VLOOKUP($A15,Usinas!$C:$D,2,FALSE)</f>
        <v>64.766400000000004</v>
      </c>
      <c r="AJ15" s="330">
        <f>VLOOKUP($A15,Prevs!$C:$AJ,COLUMN() - COLUMN($D15)+2,FALSE)*VLOOKUP($A15,Usinas!$C:$D,2,FALSE)</f>
        <v>52.653599999999997</v>
      </c>
    </row>
    <row r="16" spans="1:37" hidden="1" outlineLevel="2" x14ac:dyDescent="0.25">
      <c r="A16" s="161">
        <v>12</v>
      </c>
      <c r="B16" s="162" t="s">
        <v>86</v>
      </c>
      <c r="D16" s="329">
        <f>VLOOKUP($A16,Prevs!$C:$AJ,COLUMN() - COLUMN($D16)+2,FALSE)*VLOOKUP($A16,Usinas!$C:$D,2,FALSE)</f>
        <v>59.305800000000005</v>
      </c>
      <c r="E16" s="309">
        <f>VLOOKUP($A16,Prevs!$C:$AJ,COLUMN() - COLUMN($D16)+2,FALSE)*VLOOKUP($A16,Usinas!$C:$D,2,FALSE)</f>
        <v>67.457800000000006</v>
      </c>
      <c r="F16" s="309">
        <f>VLOOKUP($A16,Prevs!$C:$AJ,COLUMN() - COLUMN($D16)+2,FALSE)*VLOOKUP($A16,Usinas!$C:$D,2,FALSE)</f>
        <v>63.993200000000002</v>
      </c>
      <c r="G16" s="309">
        <f>VLOOKUP($A16,Prevs!$C:$AJ,COLUMN() - COLUMN($D16)+2,FALSE)*VLOOKUP($A16,Usinas!$C:$D,2,FALSE)</f>
        <v>63.381800000000005</v>
      </c>
      <c r="H16" s="309">
        <f>VLOOKUP($A16,Prevs!$C:$AJ,COLUMN() - COLUMN($D16)+2,FALSE)*VLOOKUP($A16,Usinas!$C:$D,2,FALSE)</f>
        <v>61.955200000000005</v>
      </c>
      <c r="I16" s="330">
        <f>VLOOKUP($A16,Prevs!$C:$AJ,COLUMN() - COLUMN($D16)+2,FALSE)*VLOOKUP($A16,Usinas!$C:$D,2,FALSE)</f>
        <v>49.523400000000002</v>
      </c>
      <c r="J16" s="477">
        <f ca="1">VLOOKUP($A16,Prevs_MLT!$C:$AJ,1+Entrada!$C$4,FALSE)*VLOOKUP($A16,Usinas!$C:$D,2,FALSE)</f>
        <v>222.9572</v>
      </c>
      <c r="M16" s="329">
        <f>VLOOKUP($A16,Prevs!$C:$AJ,COLUMN() - COLUMN($D16)+2,FALSE)*VLOOKUP($A16,Usinas!$C:$D,2,FALSE)</f>
        <v>92.11760000000001</v>
      </c>
      <c r="N16" s="309">
        <f>VLOOKUP($A16,Prevs!$C:$AJ,COLUMN() - COLUMN($D16)+2,FALSE)*VLOOKUP($A16,Usinas!$C:$D,2,FALSE)</f>
        <v>104.75320000000001</v>
      </c>
      <c r="O16" s="309">
        <f>VLOOKUP($A16,Prevs!$C:$AJ,COLUMN() - COLUMN($D16)+2,FALSE)*VLOOKUP($A16,Usinas!$C:$D,2,FALSE)</f>
        <v>99.454400000000007</v>
      </c>
      <c r="P16" s="309">
        <f>VLOOKUP($A16,Prevs!$C:$AJ,COLUMN() - COLUMN($D16)+2,FALSE)*VLOOKUP($A16,Usinas!$C:$D,2,FALSE)</f>
        <v>98.435400000000001</v>
      </c>
      <c r="Q16" s="309">
        <f>VLOOKUP($A16,Prevs!$C:$AJ,COLUMN() - COLUMN($D16)+2,FALSE)*VLOOKUP($A16,Usinas!$C:$D,2,FALSE)</f>
        <v>96.193600000000004</v>
      </c>
      <c r="R16" s="330">
        <f>VLOOKUP($A16,Prevs!$C:$AJ,COLUMN() - COLUMN($D16)+2,FALSE)*VLOOKUP($A16,Usinas!$C:$D,2,FALSE)</f>
        <v>76.832599999999999</v>
      </c>
      <c r="V16" s="329">
        <f>VLOOKUP($A16,Prevs!$C:$AJ,COLUMN() - COLUMN($D16)+2,FALSE)*VLOOKUP($A16,Usinas!$C:$D,2,FALSE)</f>
        <v>78.259200000000007</v>
      </c>
      <c r="W16" s="309">
        <f>VLOOKUP($A16,Prevs!$C:$AJ,COLUMN() - COLUMN($D16)+2,FALSE)*VLOOKUP($A16,Usinas!$C:$D,2,FALSE)</f>
        <v>88.856800000000007</v>
      </c>
      <c r="X16" s="309">
        <f>VLOOKUP($A16,Prevs!$C:$AJ,COLUMN() - COLUMN($D16)+2,FALSE)*VLOOKUP($A16,Usinas!$C:$D,2,FALSE)</f>
        <v>84.373199999999997</v>
      </c>
      <c r="Y16" s="309">
        <f>VLOOKUP($A16,Prevs!$C:$AJ,COLUMN() - COLUMN($D16)+2,FALSE)*VLOOKUP($A16,Usinas!$C:$D,2,FALSE)</f>
        <v>83.558000000000007</v>
      </c>
      <c r="Z16" s="309">
        <f>VLOOKUP($A16,Prevs!$C:$AJ,COLUMN() - COLUMN($D16)+2,FALSE)*VLOOKUP($A16,Usinas!$C:$D,2,FALSE)</f>
        <v>81.723799999999997</v>
      </c>
      <c r="AA16" s="330">
        <f>VLOOKUP($A16,Prevs!$C:$AJ,COLUMN() - COLUMN($D16)+2,FALSE)*VLOOKUP($A16,Usinas!$C:$D,2,FALSE)</f>
        <v>65.216000000000008</v>
      </c>
      <c r="AE16" s="329">
        <f>VLOOKUP($A16,Prevs!$C:$AJ,COLUMN() - COLUMN($D16)+2,FALSE)*VLOOKUP($A16,Usinas!$C:$D,2,FALSE)</f>
        <v>59.305800000000005</v>
      </c>
      <c r="AF16" s="309">
        <f>VLOOKUP($A16,Prevs!$C:$AJ,COLUMN() - COLUMN($D16)+2,FALSE)*VLOOKUP($A16,Usinas!$C:$D,2,FALSE)</f>
        <v>67.457800000000006</v>
      </c>
      <c r="AG16" s="309">
        <f>VLOOKUP($A16,Prevs!$C:$AJ,COLUMN() - COLUMN($D16)+2,FALSE)*VLOOKUP($A16,Usinas!$C:$D,2,FALSE)</f>
        <v>63.993200000000002</v>
      </c>
      <c r="AH16" s="309">
        <f>VLOOKUP($A16,Prevs!$C:$AJ,COLUMN() - COLUMN($D16)+2,FALSE)*VLOOKUP($A16,Usinas!$C:$D,2,FALSE)</f>
        <v>63.381800000000005</v>
      </c>
      <c r="AI16" s="309">
        <f>VLOOKUP($A16,Prevs!$C:$AJ,COLUMN() - COLUMN($D16)+2,FALSE)*VLOOKUP($A16,Usinas!$C:$D,2,FALSE)</f>
        <v>61.955200000000005</v>
      </c>
      <c r="AJ16" s="330">
        <f>VLOOKUP($A16,Prevs!$C:$AJ,COLUMN() - COLUMN($D16)+2,FALSE)*VLOOKUP($A16,Usinas!$C:$D,2,FALSE)</f>
        <v>49.523400000000002</v>
      </c>
    </row>
    <row r="17" spans="1:37" hidden="1" outlineLevel="2" x14ac:dyDescent="0.25">
      <c r="A17" s="161">
        <v>14</v>
      </c>
      <c r="B17" s="162" t="s">
        <v>87</v>
      </c>
      <c r="D17" s="329">
        <f>VLOOKUP($A17,Prevs!$C:$AJ,COLUMN() - COLUMN($D17)+2,FALSE)*VLOOKUP($A17,Usinas!$C:$D,2,FALSE)</f>
        <v>11.404399999999999</v>
      </c>
      <c r="E17" s="309">
        <f>VLOOKUP($A17,Prevs!$C:$AJ,COLUMN() - COLUMN($D17)+2,FALSE)*VLOOKUP($A17,Usinas!$C:$D,2,FALSE)</f>
        <v>12.218999999999999</v>
      </c>
      <c r="F17" s="309">
        <f>VLOOKUP($A17,Prevs!$C:$AJ,COLUMN() - COLUMN($D17)+2,FALSE)*VLOOKUP($A17,Usinas!$C:$D,2,FALSE)</f>
        <v>12.218999999999999</v>
      </c>
      <c r="G17" s="309">
        <f>VLOOKUP($A17,Prevs!$C:$AJ,COLUMN() - COLUMN($D17)+2,FALSE)*VLOOKUP($A17,Usinas!$C:$D,2,FALSE)</f>
        <v>11.404399999999999</v>
      </c>
      <c r="H17" s="309">
        <f>VLOOKUP($A17,Prevs!$C:$AJ,COLUMN() - COLUMN($D17)+2,FALSE)*VLOOKUP($A17,Usinas!$C:$D,2,FALSE)</f>
        <v>11.404399999999999</v>
      </c>
      <c r="I17" s="330">
        <f>VLOOKUP($A17,Prevs!$C:$AJ,COLUMN() - COLUMN($D17)+2,FALSE)*VLOOKUP($A17,Usinas!$C:$D,2,FALSE)</f>
        <v>12.218999999999999</v>
      </c>
      <c r="J17" s="477">
        <f ca="1">VLOOKUP($A17,Prevs_MLT!$C:$AJ,1+Entrada!$C$4,FALSE)*VLOOKUP($A17,Usinas!$C:$D,2,FALSE)</f>
        <v>35.842399999999998</v>
      </c>
      <c r="M17" s="329">
        <f>VLOOKUP($A17,Prevs!$C:$AJ,COLUMN() - COLUMN($D17)+2,FALSE)*VLOOKUP($A17,Usinas!$C:$D,2,FALSE)</f>
        <v>17.921199999999999</v>
      </c>
      <c r="N17" s="309">
        <f>VLOOKUP($A17,Prevs!$C:$AJ,COLUMN() - COLUMN($D17)+2,FALSE)*VLOOKUP($A17,Usinas!$C:$D,2,FALSE)</f>
        <v>18.735800000000001</v>
      </c>
      <c r="O17" s="309">
        <f>VLOOKUP($A17,Prevs!$C:$AJ,COLUMN() - COLUMN($D17)+2,FALSE)*VLOOKUP($A17,Usinas!$C:$D,2,FALSE)</f>
        <v>18.735800000000001</v>
      </c>
      <c r="P17" s="309">
        <f>VLOOKUP($A17,Prevs!$C:$AJ,COLUMN() - COLUMN($D17)+2,FALSE)*VLOOKUP($A17,Usinas!$C:$D,2,FALSE)</f>
        <v>17.921199999999999</v>
      </c>
      <c r="Q17" s="309">
        <f>VLOOKUP($A17,Prevs!$C:$AJ,COLUMN() - COLUMN($D17)+2,FALSE)*VLOOKUP($A17,Usinas!$C:$D,2,FALSE)</f>
        <v>17.921199999999999</v>
      </c>
      <c r="R17" s="330">
        <f>VLOOKUP($A17,Prevs!$C:$AJ,COLUMN() - COLUMN($D17)+2,FALSE)*VLOOKUP($A17,Usinas!$C:$D,2,FALSE)</f>
        <v>18.735800000000001</v>
      </c>
      <c r="V17" s="329">
        <f>VLOOKUP($A17,Prevs!$C:$AJ,COLUMN() - COLUMN($D17)+2,FALSE)*VLOOKUP($A17,Usinas!$C:$D,2,FALSE)</f>
        <v>14.662800000000001</v>
      </c>
      <c r="W17" s="309">
        <f>VLOOKUP($A17,Prevs!$C:$AJ,COLUMN() - COLUMN($D17)+2,FALSE)*VLOOKUP($A17,Usinas!$C:$D,2,FALSE)</f>
        <v>16.292000000000002</v>
      </c>
      <c r="X17" s="309">
        <f>VLOOKUP($A17,Prevs!$C:$AJ,COLUMN() - COLUMN($D17)+2,FALSE)*VLOOKUP($A17,Usinas!$C:$D,2,FALSE)</f>
        <v>16.292000000000002</v>
      </c>
      <c r="Y17" s="309">
        <f>VLOOKUP($A17,Prevs!$C:$AJ,COLUMN() - COLUMN($D17)+2,FALSE)*VLOOKUP($A17,Usinas!$C:$D,2,FALSE)</f>
        <v>14.662800000000001</v>
      </c>
      <c r="Z17" s="309">
        <f>VLOOKUP($A17,Prevs!$C:$AJ,COLUMN() - COLUMN($D17)+2,FALSE)*VLOOKUP($A17,Usinas!$C:$D,2,FALSE)</f>
        <v>14.662800000000001</v>
      </c>
      <c r="AA17" s="330">
        <f>VLOOKUP($A17,Prevs!$C:$AJ,COLUMN() - COLUMN($D17)+2,FALSE)*VLOOKUP($A17,Usinas!$C:$D,2,FALSE)</f>
        <v>16.292000000000002</v>
      </c>
      <c r="AE17" s="329">
        <f>VLOOKUP($A17,Prevs!$C:$AJ,COLUMN() - COLUMN($D17)+2,FALSE)*VLOOKUP($A17,Usinas!$C:$D,2,FALSE)</f>
        <v>11.404399999999999</v>
      </c>
      <c r="AF17" s="309">
        <f>VLOOKUP($A17,Prevs!$C:$AJ,COLUMN() - COLUMN($D17)+2,FALSE)*VLOOKUP($A17,Usinas!$C:$D,2,FALSE)</f>
        <v>12.218999999999999</v>
      </c>
      <c r="AG17" s="309">
        <f>VLOOKUP($A17,Prevs!$C:$AJ,COLUMN() - COLUMN($D17)+2,FALSE)*VLOOKUP($A17,Usinas!$C:$D,2,FALSE)</f>
        <v>12.218999999999999</v>
      </c>
      <c r="AH17" s="309">
        <f>VLOOKUP($A17,Prevs!$C:$AJ,COLUMN() - COLUMN($D17)+2,FALSE)*VLOOKUP($A17,Usinas!$C:$D,2,FALSE)</f>
        <v>11.404399999999999</v>
      </c>
      <c r="AI17" s="309">
        <f>VLOOKUP($A17,Prevs!$C:$AJ,COLUMN() - COLUMN($D17)+2,FALSE)*VLOOKUP($A17,Usinas!$C:$D,2,FALSE)</f>
        <v>11.404399999999999</v>
      </c>
      <c r="AJ17" s="330">
        <f>VLOOKUP($A17,Prevs!$C:$AJ,COLUMN() - COLUMN($D17)+2,FALSE)*VLOOKUP($A17,Usinas!$C:$D,2,FALSE)</f>
        <v>12.218999999999999</v>
      </c>
    </row>
    <row r="18" spans="1:37" hidden="1" outlineLevel="2" x14ac:dyDescent="0.25">
      <c r="A18" s="161">
        <v>15</v>
      </c>
      <c r="B18" s="162" t="s">
        <v>88</v>
      </c>
      <c r="D18" s="329">
        <f>VLOOKUP($A18,Prevs!$C:$AJ,COLUMN() - COLUMN($D18)+2,FALSE)*VLOOKUP($A18,Usinas!$C:$D,2,FALSE)</f>
        <v>16.414200000000001</v>
      </c>
      <c r="E18" s="309">
        <f>VLOOKUP($A18,Prevs!$C:$AJ,COLUMN() - COLUMN($D18)+2,FALSE)*VLOOKUP($A18,Usinas!$C:$D,2,FALSE)</f>
        <v>19.398599999999998</v>
      </c>
      <c r="F18" s="309">
        <f>VLOOKUP($A18,Prevs!$C:$AJ,COLUMN() - COLUMN($D18)+2,FALSE)*VLOOKUP($A18,Usinas!$C:$D,2,FALSE)</f>
        <v>19.398599999999998</v>
      </c>
      <c r="G18" s="309">
        <f>VLOOKUP($A18,Prevs!$C:$AJ,COLUMN() - COLUMN($D18)+2,FALSE)*VLOOKUP($A18,Usinas!$C:$D,2,FALSE)</f>
        <v>17.906399999999998</v>
      </c>
      <c r="H18" s="309">
        <f>VLOOKUP($A18,Prevs!$C:$AJ,COLUMN() - COLUMN($D18)+2,FALSE)*VLOOKUP($A18,Usinas!$C:$D,2,FALSE)</f>
        <v>17.906399999999998</v>
      </c>
      <c r="I18" s="330">
        <f>VLOOKUP($A18,Prevs!$C:$AJ,COLUMN() - COLUMN($D18)+2,FALSE)*VLOOKUP($A18,Usinas!$C:$D,2,FALSE)</f>
        <v>19.398599999999998</v>
      </c>
      <c r="J18" s="477">
        <f ca="1">VLOOKUP($A18,Prevs_MLT!$C:$AJ,1+Entrada!$C$4,FALSE)*VLOOKUP($A18,Usinas!$C:$D,2,FALSE)</f>
        <v>52.973100000000002</v>
      </c>
      <c r="M18" s="329">
        <f>VLOOKUP($A18,Prevs!$C:$AJ,COLUMN() - COLUMN($D18)+2,FALSE)*VLOOKUP($A18,Usinas!$C:$D,2,FALSE)</f>
        <v>25.3674</v>
      </c>
      <c r="N18" s="309">
        <f>VLOOKUP($A18,Prevs!$C:$AJ,COLUMN() - COLUMN($D18)+2,FALSE)*VLOOKUP($A18,Usinas!$C:$D,2,FALSE)</f>
        <v>29.844000000000001</v>
      </c>
      <c r="O18" s="309">
        <f>VLOOKUP($A18,Prevs!$C:$AJ,COLUMN() - COLUMN($D18)+2,FALSE)*VLOOKUP($A18,Usinas!$C:$D,2,FALSE)</f>
        <v>29.844000000000001</v>
      </c>
      <c r="P18" s="309">
        <f>VLOOKUP($A18,Prevs!$C:$AJ,COLUMN() - COLUMN($D18)+2,FALSE)*VLOOKUP($A18,Usinas!$C:$D,2,FALSE)</f>
        <v>27.605699999999999</v>
      </c>
      <c r="Q18" s="309">
        <f>VLOOKUP($A18,Prevs!$C:$AJ,COLUMN() - COLUMN($D18)+2,FALSE)*VLOOKUP($A18,Usinas!$C:$D,2,FALSE)</f>
        <v>27.605699999999999</v>
      </c>
      <c r="R18" s="330">
        <f>VLOOKUP($A18,Prevs!$C:$AJ,COLUMN() - COLUMN($D18)+2,FALSE)*VLOOKUP($A18,Usinas!$C:$D,2,FALSE)</f>
        <v>29.844000000000001</v>
      </c>
      <c r="V18" s="329">
        <f>VLOOKUP($A18,Prevs!$C:$AJ,COLUMN() - COLUMN($D18)+2,FALSE)*VLOOKUP($A18,Usinas!$C:$D,2,FALSE)</f>
        <v>21.636900000000001</v>
      </c>
      <c r="W18" s="309">
        <f>VLOOKUP($A18,Prevs!$C:$AJ,COLUMN() - COLUMN($D18)+2,FALSE)*VLOOKUP($A18,Usinas!$C:$D,2,FALSE)</f>
        <v>25.3674</v>
      </c>
      <c r="X18" s="309">
        <f>VLOOKUP($A18,Prevs!$C:$AJ,COLUMN() - COLUMN($D18)+2,FALSE)*VLOOKUP($A18,Usinas!$C:$D,2,FALSE)</f>
        <v>25.3674</v>
      </c>
      <c r="Y18" s="309">
        <f>VLOOKUP($A18,Prevs!$C:$AJ,COLUMN() - COLUMN($D18)+2,FALSE)*VLOOKUP($A18,Usinas!$C:$D,2,FALSE)</f>
        <v>23.8752</v>
      </c>
      <c r="Z18" s="309">
        <f>VLOOKUP($A18,Prevs!$C:$AJ,COLUMN() - COLUMN($D18)+2,FALSE)*VLOOKUP($A18,Usinas!$C:$D,2,FALSE)</f>
        <v>23.8752</v>
      </c>
      <c r="AA18" s="330">
        <f>VLOOKUP($A18,Prevs!$C:$AJ,COLUMN() - COLUMN($D18)+2,FALSE)*VLOOKUP($A18,Usinas!$C:$D,2,FALSE)</f>
        <v>25.3674</v>
      </c>
      <c r="AE18" s="329">
        <f>VLOOKUP($A18,Prevs!$C:$AJ,COLUMN() - COLUMN($D18)+2,FALSE)*VLOOKUP($A18,Usinas!$C:$D,2,FALSE)</f>
        <v>16.414200000000001</v>
      </c>
      <c r="AF18" s="309">
        <f>VLOOKUP($A18,Prevs!$C:$AJ,COLUMN() - COLUMN($D18)+2,FALSE)*VLOOKUP($A18,Usinas!$C:$D,2,FALSE)</f>
        <v>19.398599999999998</v>
      </c>
      <c r="AG18" s="309">
        <f>VLOOKUP($A18,Prevs!$C:$AJ,COLUMN() - COLUMN($D18)+2,FALSE)*VLOOKUP($A18,Usinas!$C:$D,2,FALSE)</f>
        <v>19.398599999999998</v>
      </c>
      <c r="AH18" s="309">
        <f>VLOOKUP($A18,Prevs!$C:$AJ,COLUMN() - COLUMN($D18)+2,FALSE)*VLOOKUP($A18,Usinas!$C:$D,2,FALSE)</f>
        <v>17.906399999999998</v>
      </c>
      <c r="AI18" s="309">
        <f>VLOOKUP($A18,Prevs!$C:$AJ,COLUMN() - COLUMN($D18)+2,FALSE)*VLOOKUP($A18,Usinas!$C:$D,2,FALSE)</f>
        <v>17.906399999999998</v>
      </c>
      <c r="AJ18" s="330">
        <f>VLOOKUP($A18,Prevs!$C:$AJ,COLUMN() - COLUMN($D18)+2,FALSE)*VLOOKUP($A18,Usinas!$C:$D,2,FALSE)</f>
        <v>19.398599999999998</v>
      </c>
    </row>
    <row r="19" spans="1:37" hidden="1" outlineLevel="2" x14ac:dyDescent="0.25">
      <c r="A19" s="161">
        <v>16</v>
      </c>
      <c r="B19" s="162" t="s">
        <v>89</v>
      </c>
      <c r="D19" s="329">
        <f>VLOOKUP($A19,Prevs!$C:$AJ,COLUMN() - COLUMN($D19)+2,FALSE)*VLOOKUP($A19,Usinas!$C:$D,2,FALSE)</f>
        <v>4.5407999999999999</v>
      </c>
      <c r="E19" s="309">
        <f>VLOOKUP($A19,Prevs!$C:$AJ,COLUMN() - COLUMN($D19)+2,FALSE)*VLOOKUP($A19,Usinas!$C:$D,2,FALSE)</f>
        <v>5.3663999999999996</v>
      </c>
      <c r="F19" s="309">
        <f>VLOOKUP($A19,Prevs!$C:$AJ,COLUMN() - COLUMN($D19)+2,FALSE)*VLOOKUP($A19,Usinas!$C:$D,2,FALSE)</f>
        <v>5.5728</v>
      </c>
      <c r="G19" s="309">
        <f>VLOOKUP($A19,Prevs!$C:$AJ,COLUMN() - COLUMN($D19)+2,FALSE)*VLOOKUP($A19,Usinas!$C:$D,2,FALSE)</f>
        <v>4.9535999999999998</v>
      </c>
      <c r="H19" s="309">
        <f>VLOOKUP($A19,Prevs!$C:$AJ,COLUMN() - COLUMN($D19)+2,FALSE)*VLOOKUP($A19,Usinas!$C:$D,2,FALSE)</f>
        <v>4.9535999999999998</v>
      </c>
      <c r="I19" s="330">
        <f>VLOOKUP($A19,Prevs!$C:$AJ,COLUMN() - COLUMN($D19)+2,FALSE)*VLOOKUP($A19,Usinas!$C:$D,2,FALSE)</f>
        <v>5.5728</v>
      </c>
      <c r="J19" s="477">
        <f ca="1">VLOOKUP($A19,Prevs_MLT!$C:$AJ,1+Entrada!$C$4,FALSE)*VLOOKUP($A19,Usinas!$C:$D,2,FALSE)</f>
        <v>14.860799999999999</v>
      </c>
      <c r="M19" s="329">
        <f>VLOOKUP($A19,Prevs!$C:$AJ,COLUMN() - COLUMN($D19)+2,FALSE)*VLOOKUP($A19,Usinas!$C:$D,2,FALSE)</f>
        <v>7.0175999999999998</v>
      </c>
      <c r="N19" s="309">
        <f>VLOOKUP($A19,Prevs!$C:$AJ,COLUMN() - COLUMN($D19)+2,FALSE)*VLOOKUP($A19,Usinas!$C:$D,2,FALSE)</f>
        <v>8.2560000000000002</v>
      </c>
      <c r="O19" s="309">
        <f>VLOOKUP($A19,Prevs!$C:$AJ,COLUMN() - COLUMN($D19)+2,FALSE)*VLOOKUP($A19,Usinas!$C:$D,2,FALSE)</f>
        <v>8.6687999999999992</v>
      </c>
      <c r="P19" s="309">
        <f>VLOOKUP($A19,Prevs!$C:$AJ,COLUMN() - COLUMN($D19)+2,FALSE)*VLOOKUP($A19,Usinas!$C:$D,2,FALSE)</f>
        <v>7.6368</v>
      </c>
      <c r="Q19" s="309">
        <f>VLOOKUP($A19,Prevs!$C:$AJ,COLUMN() - COLUMN($D19)+2,FALSE)*VLOOKUP($A19,Usinas!$C:$D,2,FALSE)</f>
        <v>7.6368</v>
      </c>
      <c r="R19" s="330">
        <f>VLOOKUP($A19,Prevs!$C:$AJ,COLUMN() - COLUMN($D19)+2,FALSE)*VLOOKUP($A19,Usinas!$C:$D,2,FALSE)</f>
        <v>8.6687999999999992</v>
      </c>
      <c r="V19" s="329">
        <f>VLOOKUP($A19,Prevs!$C:$AJ,COLUMN() - COLUMN($D19)+2,FALSE)*VLOOKUP($A19,Usinas!$C:$D,2,FALSE)</f>
        <v>5.9855999999999998</v>
      </c>
      <c r="W19" s="309">
        <f>VLOOKUP($A19,Prevs!$C:$AJ,COLUMN() - COLUMN($D19)+2,FALSE)*VLOOKUP($A19,Usinas!$C:$D,2,FALSE)</f>
        <v>7.0175999999999998</v>
      </c>
      <c r="X19" s="309">
        <f>VLOOKUP($A19,Prevs!$C:$AJ,COLUMN() - COLUMN($D19)+2,FALSE)*VLOOKUP($A19,Usinas!$C:$D,2,FALSE)</f>
        <v>7.4303999999999997</v>
      </c>
      <c r="Y19" s="309">
        <f>VLOOKUP($A19,Prevs!$C:$AJ,COLUMN() - COLUMN($D19)+2,FALSE)*VLOOKUP($A19,Usinas!$C:$D,2,FALSE)</f>
        <v>6.6048</v>
      </c>
      <c r="Z19" s="309">
        <f>VLOOKUP($A19,Prevs!$C:$AJ,COLUMN() - COLUMN($D19)+2,FALSE)*VLOOKUP($A19,Usinas!$C:$D,2,FALSE)</f>
        <v>6.6048</v>
      </c>
      <c r="AA19" s="330">
        <f>VLOOKUP($A19,Prevs!$C:$AJ,COLUMN() - COLUMN($D19)+2,FALSE)*VLOOKUP($A19,Usinas!$C:$D,2,FALSE)</f>
        <v>7.4303999999999997</v>
      </c>
      <c r="AE19" s="329">
        <f>VLOOKUP($A19,Prevs!$C:$AJ,COLUMN() - COLUMN($D19)+2,FALSE)*VLOOKUP($A19,Usinas!$C:$D,2,FALSE)</f>
        <v>4.5407999999999999</v>
      </c>
      <c r="AF19" s="309">
        <f>VLOOKUP($A19,Prevs!$C:$AJ,COLUMN() - COLUMN($D19)+2,FALSE)*VLOOKUP($A19,Usinas!$C:$D,2,FALSE)</f>
        <v>5.3663999999999996</v>
      </c>
      <c r="AG19" s="309">
        <f>VLOOKUP($A19,Prevs!$C:$AJ,COLUMN() - COLUMN($D19)+2,FALSE)*VLOOKUP($A19,Usinas!$C:$D,2,FALSE)</f>
        <v>5.5728</v>
      </c>
      <c r="AH19" s="309">
        <f>VLOOKUP($A19,Prevs!$C:$AJ,COLUMN() - COLUMN($D19)+2,FALSE)*VLOOKUP($A19,Usinas!$C:$D,2,FALSE)</f>
        <v>4.9535999999999998</v>
      </c>
      <c r="AI19" s="309">
        <f>VLOOKUP($A19,Prevs!$C:$AJ,COLUMN() - COLUMN($D19)+2,FALSE)*VLOOKUP($A19,Usinas!$C:$D,2,FALSE)</f>
        <v>4.9535999999999998</v>
      </c>
      <c r="AJ19" s="330">
        <f>VLOOKUP($A19,Prevs!$C:$AJ,COLUMN() - COLUMN($D19)+2,FALSE)*VLOOKUP($A19,Usinas!$C:$D,2,FALSE)</f>
        <v>5.5728</v>
      </c>
    </row>
    <row r="20" spans="1:37" hidden="1" outlineLevel="2" x14ac:dyDescent="0.25">
      <c r="A20" s="161">
        <v>17</v>
      </c>
      <c r="B20" s="162" t="s">
        <v>90</v>
      </c>
      <c r="D20" s="329">
        <f>VLOOKUP($A20,Prevs!$C:$AJ,COLUMN() - COLUMN($D20)+2,FALSE)*VLOOKUP($A20,Usinas!$C:$D,2,FALSE)</f>
        <v>239.54150000000001</v>
      </c>
      <c r="E20" s="309">
        <f>VLOOKUP($A20,Prevs!$C:$AJ,COLUMN() - COLUMN($D20)+2,FALSE)*VLOOKUP($A20,Usinas!$C:$D,2,FALSE)</f>
        <v>240.52930000000001</v>
      </c>
      <c r="F20" s="309">
        <f>VLOOKUP($A20,Prevs!$C:$AJ,COLUMN() - COLUMN($D20)+2,FALSE)*VLOOKUP($A20,Usinas!$C:$D,2,FALSE)</f>
        <v>236.57810000000001</v>
      </c>
      <c r="G20" s="309">
        <f>VLOOKUP($A20,Prevs!$C:$AJ,COLUMN() - COLUMN($D20)+2,FALSE)*VLOOKUP($A20,Usinas!$C:$D,2,FALSE)</f>
        <v>233.6147</v>
      </c>
      <c r="H20" s="309">
        <f>VLOOKUP($A20,Prevs!$C:$AJ,COLUMN() - COLUMN($D20)+2,FALSE)*VLOOKUP($A20,Usinas!$C:$D,2,FALSE)</f>
        <v>235.09640000000002</v>
      </c>
      <c r="I20" s="330">
        <f>VLOOKUP($A20,Prevs!$C:$AJ,COLUMN() - COLUMN($D20)+2,FALSE)*VLOOKUP($A20,Usinas!$C:$D,2,FALSE)</f>
        <v>230.65129999999999</v>
      </c>
      <c r="J20" s="477">
        <f ca="1">VLOOKUP($A20,Prevs_MLT!$C:$AJ,1+Entrada!$C$4,FALSE)*VLOOKUP($A20,Usinas!$C:$D,2,FALSE)</f>
        <v>777.39859999999999</v>
      </c>
      <c r="M20" s="329">
        <f>VLOOKUP($A20,Prevs!$C:$AJ,COLUMN() - COLUMN($D20)+2,FALSE)*VLOOKUP($A20,Usinas!$C:$D,2,FALSE)</f>
        <v>371.9067</v>
      </c>
      <c r="N20" s="309">
        <f>VLOOKUP($A20,Prevs!$C:$AJ,COLUMN() - COLUMN($D20)+2,FALSE)*VLOOKUP($A20,Usinas!$C:$D,2,FALSE)</f>
        <v>373.38839999999999</v>
      </c>
      <c r="O20" s="309">
        <f>VLOOKUP($A20,Prevs!$C:$AJ,COLUMN() - COLUMN($D20)+2,FALSE)*VLOOKUP($A20,Usinas!$C:$D,2,FALSE)</f>
        <v>367.46159999999998</v>
      </c>
      <c r="P20" s="309">
        <f>VLOOKUP($A20,Prevs!$C:$AJ,COLUMN() - COLUMN($D20)+2,FALSE)*VLOOKUP($A20,Usinas!$C:$D,2,FALSE)</f>
        <v>363.01650000000001</v>
      </c>
      <c r="Q20" s="309">
        <f>VLOOKUP($A20,Prevs!$C:$AJ,COLUMN() - COLUMN($D20)+2,FALSE)*VLOOKUP($A20,Usinas!$C:$D,2,FALSE)</f>
        <v>364.99209999999999</v>
      </c>
      <c r="R20" s="330">
        <f>VLOOKUP($A20,Prevs!$C:$AJ,COLUMN() - COLUMN($D20)+2,FALSE)*VLOOKUP($A20,Usinas!$C:$D,2,FALSE)</f>
        <v>358.07749999999999</v>
      </c>
      <c r="V20" s="329">
        <f>VLOOKUP($A20,Prevs!$C:$AJ,COLUMN() - COLUMN($D20)+2,FALSE)*VLOOKUP($A20,Usinas!$C:$D,2,FALSE)</f>
        <v>316.096</v>
      </c>
      <c r="W20" s="309">
        <f>VLOOKUP($A20,Prevs!$C:$AJ,COLUMN() - COLUMN($D20)+2,FALSE)*VLOOKUP($A20,Usinas!$C:$D,2,FALSE)</f>
        <v>317.0838</v>
      </c>
      <c r="X20" s="309">
        <f>VLOOKUP($A20,Prevs!$C:$AJ,COLUMN() - COLUMN($D20)+2,FALSE)*VLOOKUP($A20,Usinas!$C:$D,2,FALSE)</f>
        <v>312.14480000000003</v>
      </c>
      <c r="Y20" s="309">
        <f>VLOOKUP($A20,Prevs!$C:$AJ,COLUMN() - COLUMN($D20)+2,FALSE)*VLOOKUP($A20,Usinas!$C:$D,2,FALSE)</f>
        <v>308.1936</v>
      </c>
      <c r="Z20" s="309">
        <f>VLOOKUP($A20,Prevs!$C:$AJ,COLUMN() - COLUMN($D20)+2,FALSE)*VLOOKUP($A20,Usinas!$C:$D,2,FALSE)</f>
        <v>310.16919999999999</v>
      </c>
      <c r="AA20" s="330">
        <f>VLOOKUP($A20,Prevs!$C:$AJ,COLUMN() - COLUMN($D20)+2,FALSE)*VLOOKUP($A20,Usinas!$C:$D,2,FALSE)</f>
        <v>304.24239999999998</v>
      </c>
      <c r="AE20" s="329">
        <f>VLOOKUP($A20,Prevs!$C:$AJ,COLUMN() - COLUMN($D20)+2,FALSE)*VLOOKUP($A20,Usinas!$C:$D,2,FALSE)</f>
        <v>239.54150000000001</v>
      </c>
      <c r="AF20" s="309">
        <f>VLOOKUP($A20,Prevs!$C:$AJ,COLUMN() - COLUMN($D20)+2,FALSE)*VLOOKUP($A20,Usinas!$C:$D,2,FALSE)</f>
        <v>240.52930000000001</v>
      </c>
      <c r="AG20" s="309">
        <f>VLOOKUP($A20,Prevs!$C:$AJ,COLUMN() - COLUMN($D20)+2,FALSE)*VLOOKUP($A20,Usinas!$C:$D,2,FALSE)</f>
        <v>236.57810000000001</v>
      </c>
      <c r="AH20" s="309">
        <f>VLOOKUP($A20,Prevs!$C:$AJ,COLUMN() - COLUMN($D20)+2,FALSE)*VLOOKUP($A20,Usinas!$C:$D,2,FALSE)</f>
        <v>233.6147</v>
      </c>
      <c r="AI20" s="309">
        <f>VLOOKUP($A20,Prevs!$C:$AJ,COLUMN() - COLUMN($D20)+2,FALSE)*VLOOKUP($A20,Usinas!$C:$D,2,FALSE)</f>
        <v>235.09640000000002</v>
      </c>
      <c r="AJ20" s="330">
        <f>VLOOKUP($A20,Prevs!$C:$AJ,COLUMN() - COLUMN($D20)+2,FALSE)*VLOOKUP($A20,Usinas!$C:$D,2,FALSE)</f>
        <v>230.65129999999999</v>
      </c>
    </row>
    <row r="21" spans="1:37" hidden="1" outlineLevel="2" x14ac:dyDescent="0.25">
      <c r="A21" s="161">
        <v>18</v>
      </c>
      <c r="B21" s="162" t="s">
        <v>91</v>
      </c>
      <c r="D21" s="329">
        <f>VLOOKUP($A21,Prevs!$C:$AJ,COLUMN() - COLUMN($D21)+2,FALSE)*VLOOKUP($A21,Usinas!$C:$D,2,FALSE)</f>
        <v>292.96199999999999</v>
      </c>
      <c r="E21" s="309">
        <f>VLOOKUP($A21,Prevs!$C:$AJ,COLUMN() - COLUMN($D21)+2,FALSE)*VLOOKUP($A21,Usinas!$C:$D,2,FALSE)</f>
        <v>300.96899999999999</v>
      </c>
      <c r="F21" s="309">
        <f>VLOOKUP($A21,Prevs!$C:$AJ,COLUMN() - COLUMN($D21)+2,FALSE)*VLOOKUP($A21,Usinas!$C:$D,2,FALSE)</f>
        <v>300.49799999999999</v>
      </c>
      <c r="G21" s="309">
        <f>VLOOKUP($A21,Prevs!$C:$AJ,COLUMN() - COLUMN($D21)+2,FALSE)*VLOOKUP($A21,Usinas!$C:$D,2,FALSE)</f>
        <v>292.49099999999999</v>
      </c>
      <c r="H21" s="309">
        <f>VLOOKUP($A21,Prevs!$C:$AJ,COLUMN() - COLUMN($D21)+2,FALSE)*VLOOKUP($A21,Usinas!$C:$D,2,FALSE)</f>
        <v>288.25200000000001</v>
      </c>
      <c r="I21" s="330">
        <f>VLOOKUP($A21,Prevs!$C:$AJ,COLUMN() - COLUMN($D21)+2,FALSE)*VLOOKUP($A21,Usinas!$C:$D,2,FALSE)</f>
        <v>299.08499999999998</v>
      </c>
      <c r="J21" s="477">
        <f ca="1">VLOOKUP($A21,Prevs_MLT!$C:$AJ,1+Entrada!$C$4,FALSE)*VLOOKUP($A21,Usinas!$C:$D,2,FALSE)</f>
        <v>846.38699999999994</v>
      </c>
      <c r="M21" s="329">
        <f>VLOOKUP($A21,Prevs!$C:$AJ,COLUMN() - COLUMN($D21)+2,FALSE)*VLOOKUP($A21,Usinas!$C:$D,2,FALSE)</f>
        <v>454.98599999999999</v>
      </c>
      <c r="N21" s="309">
        <f>VLOOKUP($A21,Prevs!$C:$AJ,COLUMN() - COLUMN($D21)+2,FALSE)*VLOOKUP($A21,Usinas!$C:$D,2,FALSE)</f>
        <v>467.23199999999997</v>
      </c>
      <c r="O21" s="309">
        <f>VLOOKUP($A21,Prevs!$C:$AJ,COLUMN() - COLUMN($D21)+2,FALSE)*VLOOKUP($A21,Usinas!$C:$D,2,FALSE)</f>
        <v>466.76099999999997</v>
      </c>
      <c r="P21" s="309">
        <f>VLOOKUP($A21,Prevs!$C:$AJ,COLUMN() - COLUMN($D21)+2,FALSE)*VLOOKUP($A21,Usinas!$C:$D,2,FALSE)</f>
        <v>454.51499999999999</v>
      </c>
      <c r="Q21" s="309">
        <f>VLOOKUP($A21,Prevs!$C:$AJ,COLUMN() - COLUMN($D21)+2,FALSE)*VLOOKUP($A21,Usinas!$C:$D,2,FALSE)</f>
        <v>447.92099999999999</v>
      </c>
      <c r="R21" s="330">
        <f>VLOOKUP($A21,Prevs!$C:$AJ,COLUMN() - COLUMN($D21)+2,FALSE)*VLOOKUP($A21,Usinas!$C:$D,2,FALSE)</f>
        <v>464.40599999999995</v>
      </c>
      <c r="V21" s="329">
        <f>VLOOKUP($A21,Prevs!$C:$AJ,COLUMN() - COLUMN($D21)+2,FALSE)*VLOOKUP($A21,Usinas!$C:$D,2,FALSE)</f>
        <v>386.21999999999997</v>
      </c>
      <c r="W21" s="309">
        <f>VLOOKUP($A21,Prevs!$C:$AJ,COLUMN() - COLUMN($D21)+2,FALSE)*VLOOKUP($A21,Usinas!$C:$D,2,FALSE)</f>
        <v>397.053</v>
      </c>
      <c r="X21" s="309">
        <f>VLOOKUP($A21,Prevs!$C:$AJ,COLUMN() - COLUMN($D21)+2,FALSE)*VLOOKUP($A21,Usinas!$C:$D,2,FALSE)</f>
        <v>396.11099999999999</v>
      </c>
      <c r="Y21" s="309">
        <f>VLOOKUP($A21,Prevs!$C:$AJ,COLUMN() - COLUMN($D21)+2,FALSE)*VLOOKUP($A21,Usinas!$C:$D,2,FALSE)</f>
        <v>385.74899999999997</v>
      </c>
      <c r="Z21" s="309">
        <f>VLOOKUP($A21,Prevs!$C:$AJ,COLUMN() - COLUMN($D21)+2,FALSE)*VLOOKUP($A21,Usinas!$C:$D,2,FALSE)</f>
        <v>380.09699999999998</v>
      </c>
      <c r="AA21" s="330">
        <f>VLOOKUP($A21,Prevs!$C:$AJ,COLUMN() - COLUMN($D21)+2,FALSE)*VLOOKUP($A21,Usinas!$C:$D,2,FALSE)</f>
        <v>394.22699999999998</v>
      </c>
      <c r="AE21" s="329">
        <f>VLOOKUP($A21,Prevs!$C:$AJ,COLUMN() - COLUMN($D21)+2,FALSE)*VLOOKUP($A21,Usinas!$C:$D,2,FALSE)</f>
        <v>292.96199999999999</v>
      </c>
      <c r="AF21" s="309">
        <f>VLOOKUP($A21,Prevs!$C:$AJ,COLUMN() - COLUMN($D21)+2,FALSE)*VLOOKUP($A21,Usinas!$C:$D,2,FALSE)</f>
        <v>300.96899999999999</v>
      </c>
      <c r="AG21" s="309">
        <f>VLOOKUP($A21,Prevs!$C:$AJ,COLUMN() - COLUMN($D21)+2,FALSE)*VLOOKUP($A21,Usinas!$C:$D,2,FALSE)</f>
        <v>300.49799999999999</v>
      </c>
      <c r="AH21" s="309">
        <f>VLOOKUP($A21,Prevs!$C:$AJ,COLUMN() - COLUMN($D21)+2,FALSE)*VLOOKUP($A21,Usinas!$C:$D,2,FALSE)</f>
        <v>292.49099999999999</v>
      </c>
      <c r="AI21" s="309">
        <f>VLOOKUP($A21,Prevs!$C:$AJ,COLUMN() - COLUMN($D21)+2,FALSE)*VLOOKUP($A21,Usinas!$C:$D,2,FALSE)</f>
        <v>288.25200000000001</v>
      </c>
      <c r="AJ21" s="330">
        <f>VLOOKUP($A21,Prevs!$C:$AJ,COLUMN() - COLUMN($D21)+2,FALSE)*VLOOKUP($A21,Usinas!$C:$D,2,FALSE)</f>
        <v>299.08499999999998</v>
      </c>
    </row>
    <row r="22" spans="1:37" outlineLevel="1" collapsed="1" x14ac:dyDescent="0.25">
      <c r="A22" s="163"/>
      <c r="B22" s="164" t="s">
        <v>92</v>
      </c>
      <c r="D22" s="204">
        <f t="shared" ref="D22:I22" si="14">SUM(D7:D21)</f>
        <v>1266.4296000000002</v>
      </c>
      <c r="E22" s="58">
        <f t="shared" si="14"/>
        <v>1304.1757000000002</v>
      </c>
      <c r="F22" s="58">
        <f t="shared" si="14"/>
        <v>1264.2896000000001</v>
      </c>
      <c r="G22" s="58">
        <f t="shared" si="14"/>
        <v>1245.0808999999999</v>
      </c>
      <c r="H22" s="58">
        <f t="shared" si="14"/>
        <v>1223.2137</v>
      </c>
      <c r="I22" s="205">
        <f t="shared" si="14"/>
        <v>1107.6455000000001</v>
      </c>
      <c r="J22" s="423">
        <f ca="1">SUMPRODUCT(D22:I22,Saida!$B$7:$G$7)/SUM(Saida!$B$7:$G$7)</f>
        <v>1254.3798133333332</v>
      </c>
      <c r="M22" s="342">
        <f t="shared" ref="M22:R22" si="15">SUM(M7:M21)</f>
        <v>1966.7838000000002</v>
      </c>
      <c r="N22" s="308">
        <f t="shared" si="15"/>
        <v>2024.6077</v>
      </c>
      <c r="O22" s="308">
        <f t="shared" si="15"/>
        <v>1963.1304</v>
      </c>
      <c r="P22" s="308">
        <f t="shared" si="15"/>
        <v>1933.1898000000001</v>
      </c>
      <c r="Q22" s="308">
        <f t="shared" si="15"/>
        <v>1900.5523000000001</v>
      </c>
      <c r="R22" s="343">
        <f t="shared" si="15"/>
        <v>1719.9124000000002</v>
      </c>
      <c r="S22" s="423">
        <f ca="1">SUMPRODUCT(M22:R22,Saida!$B$7:$G$7)/SUM(Saida!$B$7:$G$7)</f>
        <v>1947.90192</v>
      </c>
      <c r="V22" s="342">
        <f t="shared" ref="V22:AA22" si="16">SUM(V7:V21)</f>
        <v>1669.9951999999998</v>
      </c>
      <c r="W22" s="308">
        <f t="shared" si="16"/>
        <v>1719.2613000000001</v>
      </c>
      <c r="X22" s="308">
        <f t="shared" si="16"/>
        <v>1667.0174000000002</v>
      </c>
      <c r="Y22" s="308">
        <f t="shared" si="16"/>
        <v>1641.6764999999998</v>
      </c>
      <c r="Z22" s="308">
        <f t="shared" si="16"/>
        <v>1612.6565999999998</v>
      </c>
      <c r="AA22" s="343">
        <f t="shared" si="16"/>
        <v>1460.4227000000001</v>
      </c>
      <c r="AB22" s="423">
        <f ca="1">SUMPRODUCT(V22:AA22,Saida!$B$7:$G$7)/SUM(Saida!$B$7:$G$7)</f>
        <v>1653.8233499999999</v>
      </c>
      <c r="AE22" s="342">
        <f t="shared" ref="AE22:AJ22" si="17">SUM(AE7:AE21)</f>
        <v>1266.4296000000002</v>
      </c>
      <c r="AF22" s="308">
        <f t="shared" si="17"/>
        <v>1304.1757000000002</v>
      </c>
      <c r="AG22" s="308">
        <f t="shared" si="17"/>
        <v>1264.2896000000001</v>
      </c>
      <c r="AH22" s="308">
        <f t="shared" si="17"/>
        <v>1245.0808999999999</v>
      </c>
      <c r="AI22" s="308">
        <f t="shared" si="17"/>
        <v>1223.2137</v>
      </c>
      <c r="AJ22" s="343">
        <f t="shared" si="17"/>
        <v>1107.6455000000001</v>
      </c>
      <c r="AK22" s="423">
        <f ca="1">SUMPRODUCT(AE22:AJ22,Saida!$B$7:$G$7)/SUM(Saida!$B$7:$G$7)</f>
        <v>1254.3798133333332</v>
      </c>
    </row>
    <row r="23" spans="1:37" outlineLevel="1" x14ac:dyDescent="0.25">
      <c r="A23" s="165"/>
      <c r="B23" s="166" t="s">
        <v>13</v>
      </c>
      <c r="D23" s="216"/>
      <c r="E23" s="217"/>
      <c r="F23" s="217"/>
      <c r="G23" s="217"/>
      <c r="H23" s="217"/>
      <c r="I23" s="218"/>
      <c r="J23" s="478">
        <f ca="1">SUM(J7:J21)</f>
        <v>4126.9616999999998</v>
      </c>
      <c r="M23" s="352"/>
      <c r="N23" s="353"/>
      <c r="O23" s="353"/>
      <c r="P23" s="353"/>
      <c r="Q23" s="353"/>
      <c r="R23" s="354"/>
      <c r="V23" s="352"/>
      <c r="W23" s="353"/>
      <c r="X23" s="353"/>
      <c r="Y23" s="353"/>
      <c r="Z23" s="353"/>
      <c r="AA23" s="354"/>
      <c r="AE23" s="352"/>
      <c r="AF23" s="353"/>
      <c r="AG23" s="353"/>
      <c r="AH23" s="353"/>
      <c r="AI23" s="353"/>
      <c r="AJ23" s="354"/>
    </row>
    <row r="24" spans="1:37" outlineLevel="1" x14ac:dyDescent="0.25">
      <c r="A24" s="52"/>
      <c r="B24" s="52"/>
      <c r="D24" s="52"/>
      <c r="E24" s="52"/>
      <c r="F24" s="52"/>
      <c r="G24" s="52"/>
      <c r="H24" s="52"/>
      <c r="I24" s="52"/>
      <c r="M24" s="304"/>
      <c r="N24" s="304"/>
      <c r="O24" s="304"/>
      <c r="P24" s="304"/>
      <c r="Q24" s="304"/>
      <c r="R24" s="304"/>
      <c r="V24" s="304"/>
      <c r="W24" s="304"/>
      <c r="X24" s="304"/>
      <c r="Y24" s="304"/>
      <c r="Z24" s="304"/>
      <c r="AA24" s="304"/>
      <c r="AE24" s="304"/>
      <c r="AF24" s="304"/>
      <c r="AG24" s="304"/>
      <c r="AH24" s="304"/>
      <c r="AI24" s="304"/>
      <c r="AJ24" s="304"/>
    </row>
    <row r="25" spans="1:37" outlineLevel="1" x14ac:dyDescent="0.25">
      <c r="A25" s="168"/>
      <c r="B25" s="169"/>
      <c r="D25" s="503" t="s">
        <v>93</v>
      </c>
      <c r="E25" s="504" t="s">
        <v>94</v>
      </c>
      <c r="F25" s="504" t="s">
        <v>95</v>
      </c>
      <c r="G25" s="504"/>
      <c r="H25" s="504"/>
      <c r="I25" s="505"/>
      <c r="M25" s="503" t="s">
        <v>93</v>
      </c>
      <c r="N25" s="504" t="s">
        <v>94</v>
      </c>
      <c r="O25" s="504" t="s">
        <v>95</v>
      </c>
      <c r="P25" s="504"/>
      <c r="Q25" s="504"/>
      <c r="R25" s="505"/>
      <c r="V25" s="503" t="s">
        <v>93</v>
      </c>
      <c r="W25" s="504" t="s">
        <v>94</v>
      </c>
      <c r="X25" s="504" t="s">
        <v>95</v>
      </c>
      <c r="Y25" s="504"/>
      <c r="Z25" s="504"/>
      <c r="AA25" s="505"/>
      <c r="AE25" s="503" t="s">
        <v>93</v>
      </c>
      <c r="AF25" s="504" t="s">
        <v>94</v>
      </c>
      <c r="AG25" s="504" t="s">
        <v>95</v>
      </c>
      <c r="AH25" s="504"/>
      <c r="AI25" s="504"/>
      <c r="AJ25" s="505"/>
    </row>
    <row r="26" spans="1:37" hidden="1" outlineLevel="2" x14ac:dyDescent="0.25">
      <c r="A26" s="161">
        <v>22</v>
      </c>
      <c r="B26" s="162" t="s">
        <v>96</v>
      </c>
      <c r="D26" s="329">
        <f>VLOOKUP($A26,Prevs!$C:$AJ,COLUMN() - COLUMN($D26)+2,FALSE)*VLOOKUP($A26,Usinas!$C:$D,2,FALSE)</f>
        <v>14.008000000000001</v>
      </c>
      <c r="E26" s="309">
        <f>VLOOKUP($A26,Prevs!$C:$AJ,COLUMN() - COLUMN($D26)+2,FALSE)*VLOOKUP($A26,Usinas!$C:$D,2,FALSE)</f>
        <v>13.6578</v>
      </c>
      <c r="F26" s="309">
        <f>VLOOKUP($A26,Prevs!$C:$AJ,COLUMN() - COLUMN($D26)+2,FALSE)*VLOOKUP($A26,Usinas!$C:$D,2,FALSE)</f>
        <v>12.607200000000001</v>
      </c>
      <c r="G26" s="309">
        <f>VLOOKUP($A26,Prevs!$C:$AJ,COLUMN() - COLUMN($D26)+2,FALSE)*VLOOKUP($A26,Usinas!$C:$D,2,FALSE)</f>
        <v>12.257</v>
      </c>
      <c r="H26" s="309">
        <f>VLOOKUP($A26,Prevs!$C:$AJ,COLUMN() - COLUMN($D26)+2,FALSE)*VLOOKUP($A26,Usinas!$C:$D,2,FALSE)</f>
        <v>12.257</v>
      </c>
      <c r="I26" s="330">
        <f>VLOOKUP($A26,Prevs!$C:$AJ,COLUMN() - COLUMN($D26)+2,FALSE)*VLOOKUP($A26,Usinas!$C:$D,2,FALSE)</f>
        <v>11.2064</v>
      </c>
      <c r="J26" s="477">
        <f ca="1">VLOOKUP($A26,Prevs_MLT!$C:$AJ,1+Entrada!$C$4,FALSE)*VLOOKUP($A26,Usinas!$C:$D,2,FALSE)</f>
        <v>33.619199999999999</v>
      </c>
      <c r="M26" s="329">
        <f>VLOOKUP($A26,Prevs!$C:$AJ,COLUMN() - COLUMN($D26)+2,FALSE)*VLOOKUP($A26,Usinas!$C:$D,2,FALSE)</f>
        <v>21.712400000000002</v>
      </c>
      <c r="N26" s="309">
        <f>VLOOKUP($A26,Prevs!$C:$AJ,COLUMN() - COLUMN($D26)+2,FALSE)*VLOOKUP($A26,Usinas!$C:$D,2,FALSE)</f>
        <v>21.362200000000001</v>
      </c>
      <c r="O26" s="309">
        <f>VLOOKUP($A26,Prevs!$C:$AJ,COLUMN() - COLUMN($D26)+2,FALSE)*VLOOKUP($A26,Usinas!$C:$D,2,FALSE)</f>
        <v>19.6112</v>
      </c>
      <c r="P26" s="309">
        <f>VLOOKUP($A26,Prevs!$C:$AJ,COLUMN() - COLUMN($D26)+2,FALSE)*VLOOKUP($A26,Usinas!$C:$D,2,FALSE)</f>
        <v>18.910800000000002</v>
      </c>
      <c r="Q26" s="309">
        <f>VLOOKUP($A26,Prevs!$C:$AJ,COLUMN() - COLUMN($D26)+2,FALSE)*VLOOKUP($A26,Usinas!$C:$D,2,FALSE)</f>
        <v>18.910800000000002</v>
      </c>
      <c r="R26" s="330">
        <f>VLOOKUP($A26,Prevs!$C:$AJ,COLUMN() - COLUMN($D26)+2,FALSE)*VLOOKUP($A26,Usinas!$C:$D,2,FALSE)</f>
        <v>17.510000000000002</v>
      </c>
      <c r="V26" s="329">
        <f>VLOOKUP($A26,Prevs!$C:$AJ,COLUMN() - COLUMN($D26)+2,FALSE)*VLOOKUP($A26,Usinas!$C:$D,2,FALSE)</f>
        <v>18.560600000000001</v>
      </c>
      <c r="W26" s="309">
        <f>VLOOKUP($A26,Prevs!$C:$AJ,COLUMN() - COLUMN($D26)+2,FALSE)*VLOOKUP($A26,Usinas!$C:$D,2,FALSE)</f>
        <v>17.860199999999999</v>
      </c>
      <c r="X26" s="309">
        <f>VLOOKUP($A26,Prevs!$C:$AJ,COLUMN() - COLUMN($D26)+2,FALSE)*VLOOKUP($A26,Usinas!$C:$D,2,FALSE)</f>
        <v>16.459400000000002</v>
      </c>
      <c r="Y26" s="309">
        <f>VLOOKUP($A26,Prevs!$C:$AJ,COLUMN() - COLUMN($D26)+2,FALSE)*VLOOKUP($A26,Usinas!$C:$D,2,FALSE)</f>
        <v>16.109200000000001</v>
      </c>
      <c r="Z26" s="309">
        <f>VLOOKUP($A26,Prevs!$C:$AJ,COLUMN() - COLUMN($D26)+2,FALSE)*VLOOKUP($A26,Usinas!$C:$D,2,FALSE)</f>
        <v>16.109200000000001</v>
      </c>
      <c r="AA26" s="330">
        <f>VLOOKUP($A26,Prevs!$C:$AJ,COLUMN() - COLUMN($D26)+2,FALSE)*VLOOKUP($A26,Usinas!$C:$D,2,FALSE)</f>
        <v>14.708400000000001</v>
      </c>
      <c r="AE26" s="329">
        <f>VLOOKUP($A26,Prevs!$C:$AJ,COLUMN() - COLUMN($D26)+2,FALSE)*VLOOKUP($A26,Usinas!$C:$D,2,FALSE)</f>
        <v>14.008000000000001</v>
      </c>
      <c r="AF26" s="309">
        <f>VLOOKUP($A26,Prevs!$C:$AJ,COLUMN() - COLUMN($D26)+2,FALSE)*VLOOKUP($A26,Usinas!$C:$D,2,FALSE)</f>
        <v>13.6578</v>
      </c>
      <c r="AG26" s="309">
        <f>VLOOKUP($A26,Prevs!$C:$AJ,COLUMN() - COLUMN($D26)+2,FALSE)*VLOOKUP($A26,Usinas!$C:$D,2,FALSE)</f>
        <v>12.607200000000001</v>
      </c>
      <c r="AH26" s="309">
        <f>VLOOKUP($A26,Prevs!$C:$AJ,COLUMN() - COLUMN($D26)+2,FALSE)*VLOOKUP($A26,Usinas!$C:$D,2,FALSE)</f>
        <v>12.257</v>
      </c>
      <c r="AI26" s="309">
        <f>VLOOKUP($A26,Prevs!$C:$AJ,COLUMN() - COLUMN($D26)+2,FALSE)*VLOOKUP($A26,Usinas!$C:$D,2,FALSE)</f>
        <v>12.257</v>
      </c>
      <c r="AJ26" s="330">
        <f>VLOOKUP($A26,Prevs!$C:$AJ,COLUMN() - COLUMN($D26)+2,FALSE)*VLOOKUP($A26,Usinas!$C:$D,2,FALSE)</f>
        <v>11.2064</v>
      </c>
    </row>
    <row r="27" spans="1:37" hidden="1" outlineLevel="2" x14ac:dyDescent="0.25">
      <c r="A27" s="161">
        <v>251</v>
      </c>
      <c r="B27" s="162" t="s">
        <v>97</v>
      </c>
      <c r="D27" s="329">
        <f>VLOOKUP($A27,Prevs!$C:$AJ,COLUMN() - COLUMN($D27)+2,FALSE)*VLOOKUP($A27,Usinas!$C:$D,2,FALSE)</f>
        <v>50.789100000000005</v>
      </c>
      <c r="E27" s="309">
        <f>VLOOKUP($A27,Prevs!$C:$AJ,COLUMN() - COLUMN($D27)+2,FALSE)*VLOOKUP($A27,Usinas!$C:$D,2,FALSE)</f>
        <v>39.216900000000003</v>
      </c>
      <c r="F27" s="309">
        <f>VLOOKUP($A27,Prevs!$C:$AJ,COLUMN() - COLUMN($D27)+2,FALSE)*VLOOKUP($A27,Usinas!$C:$D,2,FALSE)</f>
        <v>37.288200000000003</v>
      </c>
      <c r="G27" s="309">
        <f>VLOOKUP($A27,Prevs!$C:$AJ,COLUMN() - COLUMN($D27)+2,FALSE)*VLOOKUP($A27,Usinas!$C:$D,2,FALSE)</f>
        <v>36.002400000000002</v>
      </c>
      <c r="H27" s="309">
        <f>VLOOKUP($A27,Prevs!$C:$AJ,COLUMN() - COLUMN($D27)+2,FALSE)*VLOOKUP($A27,Usinas!$C:$D,2,FALSE)</f>
        <v>36.002400000000002</v>
      </c>
      <c r="I27" s="330">
        <f>VLOOKUP($A27,Prevs!$C:$AJ,COLUMN() - COLUMN($D27)+2,FALSE)*VLOOKUP($A27,Usinas!$C:$D,2,FALSE)</f>
        <v>32.7879</v>
      </c>
      <c r="J27" s="477">
        <f ca="1">VLOOKUP($A27,Prevs_MLT!$C:$AJ,1+Entrada!$C$4,FALSE)*VLOOKUP($A27,Usinas!$C:$D,2,FALSE)</f>
        <v>97.720799999999997</v>
      </c>
      <c r="M27" s="329">
        <f>VLOOKUP($A27,Prevs!$C:$AJ,COLUMN() - COLUMN($D27)+2,FALSE)*VLOOKUP($A27,Usinas!$C:$D,2,FALSE)</f>
        <v>79.076700000000002</v>
      </c>
      <c r="N27" s="309">
        <f>VLOOKUP($A27,Prevs!$C:$AJ,COLUMN() - COLUMN($D27)+2,FALSE)*VLOOKUP($A27,Usinas!$C:$D,2,FALSE)</f>
        <v>61.075500000000005</v>
      </c>
      <c r="O27" s="309">
        <f>VLOOKUP($A27,Prevs!$C:$AJ,COLUMN() - COLUMN($D27)+2,FALSE)*VLOOKUP($A27,Usinas!$C:$D,2,FALSE)</f>
        <v>57.861000000000004</v>
      </c>
      <c r="P27" s="309">
        <f>VLOOKUP($A27,Prevs!$C:$AJ,COLUMN() - COLUMN($D27)+2,FALSE)*VLOOKUP($A27,Usinas!$C:$D,2,FALSE)</f>
        <v>55.932300000000005</v>
      </c>
      <c r="Q27" s="309">
        <f>VLOOKUP($A27,Prevs!$C:$AJ,COLUMN() - COLUMN($D27)+2,FALSE)*VLOOKUP($A27,Usinas!$C:$D,2,FALSE)</f>
        <v>55.932300000000005</v>
      </c>
      <c r="R27" s="330">
        <f>VLOOKUP($A27,Prevs!$C:$AJ,COLUMN() - COLUMN($D27)+2,FALSE)*VLOOKUP($A27,Usinas!$C:$D,2,FALSE)</f>
        <v>50.789100000000005</v>
      </c>
      <c r="V27" s="329">
        <f>VLOOKUP($A27,Prevs!$C:$AJ,COLUMN() - COLUMN($D27)+2,FALSE)*VLOOKUP($A27,Usinas!$C:$D,2,FALSE)</f>
        <v>66.86160000000001</v>
      </c>
      <c r="W27" s="309">
        <f>VLOOKUP($A27,Prevs!$C:$AJ,COLUMN() - COLUMN($D27)+2,FALSE)*VLOOKUP($A27,Usinas!$C:$D,2,FALSE)</f>
        <v>51.432000000000002</v>
      </c>
      <c r="X27" s="309">
        <f>VLOOKUP($A27,Prevs!$C:$AJ,COLUMN() - COLUMN($D27)+2,FALSE)*VLOOKUP($A27,Usinas!$C:$D,2,FALSE)</f>
        <v>48.860399999999998</v>
      </c>
      <c r="Y27" s="309">
        <f>VLOOKUP($A27,Prevs!$C:$AJ,COLUMN() - COLUMN($D27)+2,FALSE)*VLOOKUP($A27,Usinas!$C:$D,2,FALSE)</f>
        <v>47.574600000000004</v>
      </c>
      <c r="Z27" s="309">
        <f>VLOOKUP($A27,Prevs!$C:$AJ,COLUMN() - COLUMN($D27)+2,FALSE)*VLOOKUP($A27,Usinas!$C:$D,2,FALSE)</f>
        <v>47.574600000000004</v>
      </c>
      <c r="AA27" s="330">
        <f>VLOOKUP($A27,Prevs!$C:$AJ,COLUMN() - COLUMN($D27)+2,FALSE)*VLOOKUP($A27,Usinas!$C:$D,2,FALSE)</f>
        <v>43.074300000000001</v>
      </c>
      <c r="AE27" s="329">
        <f>VLOOKUP($A27,Prevs!$C:$AJ,COLUMN() - COLUMN($D27)+2,FALSE)*VLOOKUP($A27,Usinas!$C:$D,2,FALSE)</f>
        <v>50.789100000000005</v>
      </c>
      <c r="AF27" s="309">
        <f>VLOOKUP($A27,Prevs!$C:$AJ,COLUMN() - COLUMN($D27)+2,FALSE)*VLOOKUP($A27,Usinas!$C:$D,2,FALSE)</f>
        <v>39.216900000000003</v>
      </c>
      <c r="AG27" s="309">
        <f>VLOOKUP($A27,Prevs!$C:$AJ,COLUMN() - COLUMN($D27)+2,FALSE)*VLOOKUP($A27,Usinas!$C:$D,2,FALSE)</f>
        <v>37.288200000000003</v>
      </c>
      <c r="AH27" s="309">
        <f>VLOOKUP($A27,Prevs!$C:$AJ,COLUMN() - COLUMN($D27)+2,FALSE)*VLOOKUP($A27,Usinas!$C:$D,2,FALSE)</f>
        <v>36.002400000000002</v>
      </c>
      <c r="AI27" s="309">
        <f>VLOOKUP($A27,Prevs!$C:$AJ,COLUMN() - COLUMN($D27)+2,FALSE)*VLOOKUP($A27,Usinas!$C:$D,2,FALSE)</f>
        <v>36.002400000000002</v>
      </c>
      <c r="AJ27" s="330">
        <f>VLOOKUP($A27,Prevs!$C:$AJ,COLUMN() - COLUMN($D27)+2,FALSE)*VLOOKUP($A27,Usinas!$C:$D,2,FALSE)</f>
        <v>32.7879</v>
      </c>
    </row>
    <row r="28" spans="1:37" hidden="1" outlineLevel="2" x14ac:dyDescent="0.25">
      <c r="A28" s="161">
        <v>24</v>
      </c>
      <c r="B28" s="162" t="s">
        <v>59</v>
      </c>
      <c r="D28" s="329">
        <f>VLOOKUP($A28,Prevs!$C:$AJ,COLUMN() - COLUMN($D28)+2,FALSE)*VLOOKUP($A28,Usinas!$C:$D,2,FALSE)</f>
        <v>178.63740000000001</v>
      </c>
      <c r="E28" s="309">
        <f>VLOOKUP($A28,Prevs!$C:$AJ,COLUMN() - COLUMN($D28)+2,FALSE)*VLOOKUP($A28,Usinas!$C:$D,2,FALSE)</f>
        <v>170.91849999999999</v>
      </c>
      <c r="F28" s="309">
        <f>VLOOKUP($A28,Prevs!$C:$AJ,COLUMN() - COLUMN($D28)+2,FALSE)*VLOOKUP($A28,Usinas!$C:$D,2,FALSE)</f>
        <v>163.1996</v>
      </c>
      <c r="G28" s="309">
        <f>VLOOKUP($A28,Prevs!$C:$AJ,COLUMN() - COLUMN($D28)+2,FALSE)*VLOOKUP($A28,Usinas!$C:$D,2,FALSE)</f>
        <v>153.27530000000002</v>
      </c>
      <c r="H28" s="309">
        <f>VLOOKUP($A28,Prevs!$C:$AJ,COLUMN() - COLUMN($D28)+2,FALSE)*VLOOKUP($A28,Usinas!$C:$D,2,FALSE)</f>
        <v>156.58340000000001</v>
      </c>
      <c r="I28" s="330">
        <f>VLOOKUP($A28,Prevs!$C:$AJ,COLUMN() - COLUMN($D28)+2,FALSE)*VLOOKUP($A28,Usinas!$C:$D,2,FALSE)</f>
        <v>148.86449999999999</v>
      </c>
      <c r="J28" s="477">
        <f ca="1">VLOOKUP($A28,Prevs_MLT!$C:$AJ,1+Entrada!$C$4,FALSE)*VLOOKUP($A28,Usinas!$C:$D,2,FALSE)</f>
        <v>437.77190000000002</v>
      </c>
      <c r="M28" s="329">
        <f>VLOOKUP($A28,Prevs!$C:$AJ,COLUMN() - COLUMN($D28)+2,FALSE)*VLOOKUP($A28,Usinas!$C:$D,2,FALSE)</f>
        <v>277.88040000000001</v>
      </c>
      <c r="N28" s="309">
        <f>VLOOKUP($A28,Prevs!$C:$AJ,COLUMN() - COLUMN($D28)+2,FALSE)*VLOOKUP($A28,Usinas!$C:$D,2,FALSE)</f>
        <v>265.75069999999999</v>
      </c>
      <c r="O28" s="309">
        <f>VLOOKUP($A28,Prevs!$C:$AJ,COLUMN() - COLUMN($D28)+2,FALSE)*VLOOKUP($A28,Usinas!$C:$D,2,FALSE)</f>
        <v>253.62100000000001</v>
      </c>
      <c r="P28" s="309">
        <f>VLOOKUP($A28,Prevs!$C:$AJ,COLUMN() - COLUMN($D28)+2,FALSE)*VLOOKUP($A28,Usinas!$C:$D,2,FALSE)</f>
        <v>238.1832</v>
      </c>
      <c r="Q28" s="309">
        <f>VLOOKUP($A28,Prevs!$C:$AJ,COLUMN() - COLUMN($D28)+2,FALSE)*VLOOKUP($A28,Usinas!$C:$D,2,FALSE)</f>
        <v>243.69669999999999</v>
      </c>
      <c r="R28" s="330">
        <f>VLOOKUP($A28,Prevs!$C:$AJ,COLUMN() - COLUMN($D28)+2,FALSE)*VLOOKUP($A28,Usinas!$C:$D,2,FALSE)</f>
        <v>231.56700000000001</v>
      </c>
      <c r="V28" s="329">
        <f>VLOOKUP($A28,Prevs!$C:$AJ,COLUMN() - COLUMN($D28)+2,FALSE)*VLOOKUP($A28,Usinas!$C:$D,2,FALSE)</f>
        <v>235.9778</v>
      </c>
      <c r="W28" s="309">
        <f>VLOOKUP($A28,Prevs!$C:$AJ,COLUMN() - COLUMN($D28)+2,FALSE)*VLOOKUP($A28,Usinas!$C:$D,2,FALSE)</f>
        <v>224.95080000000002</v>
      </c>
      <c r="X28" s="309">
        <f>VLOOKUP($A28,Prevs!$C:$AJ,COLUMN() - COLUMN($D28)+2,FALSE)*VLOOKUP($A28,Usinas!$C:$D,2,FALSE)</f>
        <v>215.0265</v>
      </c>
      <c r="Y28" s="309">
        <f>VLOOKUP($A28,Prevs!$C:$AJ,COLUMN() - COLUMN($D28)+2,FALSE)*VLOOKUP($A28,Usinas!$C:$D,2,FALSE)</f>
        <v>201.79410000000001</v>
      </c>
      <c r="Z28" s="309">
        <f>VLOOKUP($A28,Prevs!$C:$AJ,COLUMN() - COLUMN($D28)+2,FALSE)*VLOOKUP($A28,Usinas!$C:$D,2,FALSE)</f>
        <v>206.20490000000001</v>
      </c>
      <c r="AA28" s="330">
        <f>VLOOKUP($A28,Prevs!$C:$AJ,COLUMN() - COLUMN($D28)+2,FALSE)*VLOOKUP($A28,Usinas!$C:$D,2,FALSE)</f>
        <v>196.28059999999999</v>
      </c>
      <c r="AE28" s="329">
        <f>VLOOKUP($A28,Prevs!$C:$AJ,COLUMN() - COLUMN($D28)+2,FALSE)*VLOOKUP($A28,Usinas!$C:$D,2,FALSE)</f>
        <v>178.63740000000001</v>
      </c>
      <c r="AF28" s="309">
        <f>VLOOKUP($A28,Prevs!$C:$AJ,COLUMN() - COLUMN($D28)+2,FALSE)*VLOOKUP($A28,Usinas!$C:$D,2,FALSE)</f>
        <v>170.91849999999999</v>
      </c>
      <c r="AG28" s="309">
        <f>VLOOKUP($A28,Prevs!$C:$AJ,COLUMN() - COLUMN($D28)+2,FALSE)*VLOOKUP($A28,Usinas!$C:$D,2,FALSE)</f>
        <v>163.1996</v>
      </c>
      <c r="AH28" s="309">
        <f>VLOOKUP($A28,Prevs!$C:$AJ,COLUMN() - COLUMN($D28)+2,FALSE)*VLOOKUP($A28,Usinas!$C:$D,2,FALSE)</f>
        <v>153.27530000000002</v>
      </c>
      <c r="AI28" s="309">
        <f>VLOOKUP($A28,Prevs!$C:$AJ,COLUMN() - COLUMN($D28)+2,FALSE)*VLOOKUP($A28,Usinas!$C:$D,2,FALSE)</f>
        <v>156.58340000000001</v>
      </c>
      <c r="AJ28" s="330">
        <f>VLOOKUP($A28,Prevs!$C:$AJ,COLUMN() - COLUMN($D28)+2,FALSE)*VLOOKUP($A28,Usinas!$C:$D,2,FALSE)</f>
        <v>148.86449999999999</v>
      </c>
    </row>
    <row r="29" spans="1:37" hidden="1" outlineLevel="2" x14ac:dyDescent="0.25">
      <c r="A29" s="161">
        <v>25</v>
      </c>
      <c r="B29" s="162" t="s">
        <v>60</v>
      </c>
      <c r="D29" s="329">
        <f>VLOOKUP($A29,Prevs!$C:$AJ,COLUMN() - COLUMN($D29)+2,FALSE)*VLOOKUP($A29,Usinas!$C:$D,2,FALSE)</f>
        <v>89.222499999999997</v>
      </c>
      <c r="E29" s="309">
        <f>VLOOKUP($A29,Prevs!$C:$AJ,COLUMN() - COLUMN($D29)+2,FALSE)*VLOOKUP($A29,Usinas!$C:$D,2,FALSE)</f>
        <v>90.224999999999994</v>
      </c>
      <c r="F29" s="309">
        <f>VLOOKUP($A29,Prevs!$C:$AJ,COLUMN() - COLUMN($D29)+2,FALSE)*VLOOKUP($A29,Usinas!$C:$D,2,FALSE)</f>
        <v>91.227499999999992</v>
      </c>
      <c r="G29" s="309">
        <f>VLOOKUP($A29,Prevs!$C:$AJ,COLUMN() - COLUMN($D29)+2,FALSE)*VLOOKUP($A29,Usinas!$C:$D,2,FALSE)</f>
        <v>81.202500000000001</v>
      </c>
      <c r="H29" s="309">
        <f>VLOOKUP($A29,Prevs!$C:$AJ,COLUMN() - COLUMN($D29)+2,FALSE)*VLOOKUP($A29,Usinas!$C:$D,2,FALSE)</f>
        <v>81.202500000000001</v>
      </c>
      <c r="I29" s="330">
        <f>VLOOKUP($A29,Prevs!$C:$AJ,COLUMN() - COLUMN($D29)+2,FALSE)*VLOOKUP($A29,Usinas!$C:$D,2,FALSE)</f>
        <v>76.19</v>
      </c>
      <c r="J29" s="477">
        <f ca="1">VLOOKUP($A29,Prevs_MLT!$C:$AJ,1+Entrada!$C$4,FALSE)*VLOOKUP($A29,Usinas!$C:$D,2,FALSE)</f>
        <v>257.64249999999998</v>
      </c>
      <c r="M29" s="329">
        <f>VLOOKUP($A29,Prevs!$C:$AJ,COLUMN() - COLUMN($D29)+2,FALSE)*VLOOKUP($A29,Usinas!$C:$D,2,FALSE)</f>
        <v>138.345</v>
      </c>
      <c r="N29" s="309">
        <f>VLOOKUP($A29,Prevs!$C:$AJ,COLUMN() - COLUMN($D29)+2,FALSE)*VLOOKUP($A29,Usinas!$C:$D,2,FALSE)</f>
        <v>140.35</v>
      </c>
      <c r="O29" s="309">
        <f>VLOOKUP($A29,Prevs!$C:$AJ,COLUMN() - COLUMN($D29)+2,FALSE)*VLOOKUP($A29,Usinas!$C:$D,2,FALSE)</f>
        <v>141.35249999999999</v>
      </c>
      <c r="P29" s="309">
        <f>VLOOKUP($A29,Prevs!$C:$AJ,COLUMN() - COLUMN($D29)+2,FALSE)*VLOOKUP($A29,Usinas!$C:$D,2,FALSE)</f>
        <v>126.315</v>
      </c>
      <c r="Q29" s="309">
        <f>VLOOKUP($A29,Prevs!$C:$AJ,COLUMN() - COLUMN($D29)+2,FALSE)*VLOOKUP($A29,Usinas!$C:$D,2,FALSE)</f>
        <v>126.315</v>
      </c>
      <c r="R29" s="330">
        <f>VLOOKUP($A29,Prevs!$C:$AJ,COLUMN() - COLUMN($D29)+2,FALSE)*VLOOKUP($A29,Usinas!$C:$D,2,FALSE)</f>
        <v>118.29499999999999</v>
      </c>
      <c r="V29" s="329">
        <f>VLOOKUP($A29,Prevs!$C:$AJ,COLUMN() - COLUMN($D29)+2,FALSE)*VLOOKUP($A29,Usinas!$C:$D,2,FALSE)</f>
        <v>117.29249999999999</v>
      </c>
      <c r="W29" s="309">
        <f>VLOOKUP($A29,Prevs!$C:$AJ,COLUMN() - COLUMN($D29)+2,FALSE)*VLOOKUP($A29,Usinas!$C:$D,2,FALSE)</f>
        <v>119.2975</v>
      </c>
      <c r="X29" s="309">
        <f>VLOOKUP($A29,Prevs!$C:$AJ,COLUMN() - COLUMN($D29)+2,FALSE)*VLOOKUP($A29,Usinas!$C:$D,2,FALSE)</f>
        <v>120.3</v>
      </c>
      <c r="Y29" s="309">
        <f>VLOOKUP($A29,Prevs!$C:$AJ,COLUMN() - COLUMN($D29)+2,FALSE)*VLOOKUP($A29,Usinas!$C:$D,2,FALSE)</f>
        <v>107.2675</v>
      </c>
      <c r="Z29" s="309">
        <f>VLOOKUP($A29,Prevs!$C:$AJ,COLUMN() - COLUMN($D29)+2,FALSE)*VLOOKUP($A29,Usinas!$C:$D,2,FALSE)</f>
        <v>107.2675</v>
      </c>
      <c r="AA29" s="330">
        <f>VLOOKUP($A29,Prevs!$C:$AJ,COLUMN() - COLUMN($D29)+2,FALSE)*VLOOKUP($A29,Usinas!$C:$D,2,FALSE)</f>
        <v>100.25</v>
      </c>
      <c r="AE29" s="329">
        <f>VLOOKUP($A29,Prevs!$C:$AJ,COLUMN() - COLUMN($D29)+2,FALSE)*VLOOKUP($A29,Usinas!$C:$D,2,FALSE)</f>
        <v>89.222499999999997</v>
      </c>
      <c r="AF29" s="309">
        <f>VLOOKUP($A29,Prevs!$C:$AJ,COLUMN() - COLUMN($D29)+2,FALSE)*VLOOKUP($A29,Usinas!$C:$D,2,FALSE)</f>
        <v>90.224999999999994</v>
      </c>
      <c r="AG29" s="309">
        <f>VLOOKUP($A29,Prevs!$C:$AJ,COLUMN() - COLUMN($D29)+2,FALSE)*VLOOKUP($A29,Usinas!$C:$D,2,FALSE)</f>
        <v>91.227499999999992</v>
      </c>
      <c r="AH29" s="309">
        <f>VLOOKUP($A29,Prevs!$C:$AJ,COLUMN() - COLUMN($D29)+2,FALSE)*VLOOKUP($A29,Usinas!$C:$D,2,FALSE)</f>
        <v>81.202500000000001</v>
      </c>
      <c r="AI29" s="309">
        <f>VLOOKUP($A29,Prevs!$C:$AJ,COLUMN() - COLUMN($D29)+2,FALSE)*VLOOKUP($A29,Usinas!$C:$D,2,FALSE)</f>
        <v>81.202500000000001</v>
      </c>
      <c r="AJ29" s="330">
        <f>VLOOKUP($A29,Prevs!$C:$AJ,COLUMN() - COLUMN($D29)+2,FALSE)*VLOOKUP($A29,Usinas!$C:$D,2,FALSE)</f>
        <v>76.19</v>
      </c>
    </row>
    <row r="30" spans="1:37" hidden="1" outlineLevel="2" x14ac:dyDescent="0.25">
      <c r="A30" s="161">
        <v>206</v>
      </c>
      <c r="B30" s="162" t="s">
        <v>98</v>
      </c>
      <c r="D30" s="329">
        <f>VLOOKUP($A30,Prevs!$C:$AJ,COLUMN() - COLUMN($D30)+2,FALSE)*VLOOKUP($A30,Usinas!$C:$D,2,FALSE)</f>
        <v>57.129899999999999</v>
      </c>
      <c r="E30" s="309">
        <f>VLOOKUP($A30,Prevs!$C:$AJ,COLUMN() - COLUMN($D30)+2,FALSE)*VLOOKUP($A30,Usinas!$C:$D,2,FALSE)</f>
        <v>60.815699999999993</v>
      </c>
      <c r="F30" s="309">
        <f>VLOOKUP($A30,Prevs!$C:$AJ,COLUMN() - COLUMN($D30)+2,FALSE)*VLOOKUP($A30,Usinas!$C:$D,2,FALSE)</f>
        <v>63.272899999999993</v>
      </c>
      <c r="G30" s="309">
        <f>VLOOKUP($A30,Prevs!$C:$AJ,COLUMN() - COLUMN($D30)+2,FALSE)*VLOOKUP($A30,Usinas!$C:$D,2,FALSE)</f>
        <v>53.444099999999999</v>
      </c>
      <c r="H30" s="309">
        <f>VLOOKUP($A30,Prevs!$C:$AJ,COLUMN() - COLUMN($D30)+2,FALSE)*VLOOKUP($A30,Usinas!$C:$D,2,FALSE)</f>
        <v>54.058399999999999</v>
      </c>
      <c r="I30" s="330">
        <f>VLOOKUP($A30,Prevs!$C:$AJ,COLUMN() - COLUMN($D30)+2,FALSE)*VLOOKUP($A30,Usinas!$C:$D,2,FALSE)</f>
        <v>55.901299999999999</v>
      </c>
      <c r="J30" s="477">
        <f ca="1">VLOOKUP($A30,Prevs_MLT!$C:$AJ,1+Entrada!$C$4,FALSE)*VLOOKUP($A30,Usinas!$C:$D,2,FALSE)</f>
        <v>184.29</v>
      </c>
      <c r="M30" s="329">
        <f>VLOOKUP($A30,Prevs!$C:$AJ,COLUMN() - COLUMN($D30)+2,FALSE)*VLOOKUP($A30,Usinas!$C:$D,2,FALSE)</f>
        <v>88.459199999999996</v>
      </c>
      <c r="N30" s="309">
        <f>VLOOKUP($A30,Prevs!$C:$AJ,COLUMN() - COLUMN($D30)+2,FALSE)*VLOOKUP($A30,Usinas!$C:$D,2,FALSE)</f>
        <v>94.602199999999996</v>
      </c>
      <c r="O30" s="309">
        <f>VLOOKUP($A30,Prevs!$C:$AJ,COLUMN() - COLUMN($D30)+2,FALSE)*VLOOKUP($A30,Usinas!$C:$D,2,FALSE)</f>
        <v>98.287999999999997</v>
      </c>
      <c r="P30" s="309">
        <f>VLOOKUP($A30,Prevs!$C:$AJ,COLUMN() - COLUMN($D30)+2,FALSE)*VLOOKUP($A30,Usinas!$C:$D,2,FALSE)</f>
        <v>82.930499999999995</v>
      </c>
      <c r="Q30" s="309">
        <f>VLOOKUP($A30,Prevs!$C:$AJ,COLUMN() - COLUMN($D30)+2,FALSE)*VLOOKUP($A30,Usinas!$C:$D,2,FALSE)</f>
        <v>84.159099999999995</v>
      </c>
      <c r="R30" s="330">
        <f>VLOOKUP($A30,Prevs!$C:$AJ,COLUMN() - COLUMN($D30)+2,FALSE)*VLOOKUP($A30,Usinas!$C:$D,2,FALSE)</f>
        <v>86.616299999999995</v>
      </c>
      <c r="V30" s="329">
        <f>VLOOKUP($A30,Prevs!$C:$AJ,COLUMN() - COLUMN($D30)+2,FALSE)*VLOOKUP($A30,Usinas!$C:$D,2,FALSE)</f>
        <v>75.558899999999994</v>
      </c>
      <c r="W30" s="309">
        <f>VLOOKUP($A30,Prevs!$C:$AJ,COLUMN() - COLUMN($D30)+2,FALSE)*VLOOKUP($A30,Usinas!$C:$D,2,FALSE)</f>
        <v>80.473299999999995</v>
      </c>
      <c r="X30" s="309">
        <f>VLOOKUP($A30,Prevs!$C:$AJ,COLUMN() - COLUMN($D30)+2,FALSE)*VLOOKUP($A30,Usinas!$C:$D,2,FALSE)</f>
        <v>83.544799999999995</v>
      </c>
      <c r="Y30" s="309">
        <f>VLOOKUP($A30,Prevs!$C:$AJ,COLUMN() - COLUMN($D30)+2,FALSE)*VLOOKUP($A30,Usinas!$C:$D,2,FALSE)</f>
        <v>70.644499999999994</v>
      </c>
      <c r="Z30" s="309">
        <f>VLOOKUP($A30,Prevs!$C:$AJ,COLUMN() - COLUMN($D30)+2,FALSE)*VLOOKUP($A30,Usinas!$C:$D,2,FALSE)</f>
        <v>71.258799999999994</v>
      </c>
      <c r="AA30" s="330">
        <f>VLOOKUP($A30,Prevs!$C:$AJ,COLUMN() - COLUMN($D30)+2,FALSE)*VLOOKUP($A30,Usinas!$C:$D,2,FALSE)</f>
        <v>73.715999999999994</v>
      </c>
      <c r="AE30" s="329">
        <f>VLOOKUP($A30,Prevs!$C:$AJ,COLUMN() - COLUMN($D30)+2,FALSE)*VLOOKUP($A30,Usinas!$C:$D,2,FALSE)</f>
        <v>57.129899999999999</v>
      </c>
      <c r="AF30" s="309">
        <f>VLOOKUP($A30,Prevs!$C:$AJ,COLUMN() - COLUMN($D30)+2,FALSE)*VLOOKUP($A30,Usinas!$C:$D,2,FALSE)</f>
        <v>60.815699999999993</v>
      </c>
      <c r="AG30" s="309">
        <f>VLOOKUP($A30,Prevs!$C:$AJ,COLUMN() - COLUMN($D30)+2,FALSE)*VLOOKUP($A30,Usinas!$C:$D,2,FALSE)</f>
        <v>63.272899999999993</v>
      </c>
      <c r="AH30" s="309">
        <f>VLOOKUP($A30,Prevs!$C:$AJ,COLUMN() - COLUMN($D30)+2,FALSE)*VLOOKUP($A30,Usinas!$C:$D,2,FALSE)</f>
        <v>53.444099999999999</v>
      </c>
      <c r="AI30" s="309">
        <f>VLOOKUP($A30,Prevs!$C:$AJ,COLUMN() - COLUMN($D30)+2,FALSE)*VLOOKUP($A30,Usinas!$C:$D,2,FALSE)</f>
        <v>54.058399999999999</v>
      </c>
      <c r="AJ30" s="330">
        <f>VLOOKUP($A30,Prevs!$C:$AJ,COLUMN() - COLUMN($D30)+2,FALSE)*VLOOKUP($A30,Usinas!$C:$D,2,FALSE)</f>
        <v>55.901299999999999</v>
      </c>
    </row>
    <row r="31" spans="1:37" hidden="1" outlineLevel="2" x14ac:dyDescent="0.25">
      <c r="A31" s="161">
        <v>207</v>
      </c>
      <c r="B31" s="162" t="s">
        <v>99</v>
      </c>
      <c r="D31" s="329">
        <f>VLOOKUP($A31,Prevs!$C:$AJ,COLUMN() - COLUMN($D31)+2,FALSE)*VLOOKUP($A31,Usinas!$C:$D,2,FALSE)</f>
        <v>47.338400000000007</v>
      </c>
      <c r="E31" s="309">
        <f>VLOOKUP($A31,Prevs!$C:$AJ,COLUMN() - COLUMN($D31)+2,FALSE)*VLOOKUP($A31,Usinas!$C:$D,2,FALSE)</f>
        <v>51.367200000000004</v>
      </c>
      <c r="F31" s="309">
        <f>VLOOKUP($A31,Prevs!$C:$AJ,COLUMN() - COLUMN($D31)+2,FALSE)*VLOOKUP($A31,Usinas!$C:$D,2,FALSE)</f>
        <v>53.381600000000006</v>
      </c>
      <c r="G31" s="309">
        <f>VLOOKUP($A31,Prevs!$C:$AJ,COLUMN() - COLUMN($D31)+2,FALSE)*VLOOKUP($A31,Usinas!$C:$D,2,FALSE)</f>
        <v>45.324000000000005</v>
      </c>
      <c r="H31" s="309">
        <f>VLOOKUP($A31,Prevs!$C:$AJ,COLUMN() - COLUMN($D31)+2,FALSE)*VLOOKUP($A31,Usinas!$C:$D,2,FALSE)</f>
        <v>45.324000000000005</v>
      </c>
      <c r="I31" s="330">
        <f>VLOOKUP($A31,Prevs!$C:$AJ,COLUMN() - COLUMN($D31)+2,FALSE)*VLOOKUP($A31,Usinas!$C:$D,2,FALSE)</f>
        <v>47.338400000000007</v>
      </c>
      <c r="J31" s="477">
        <f ca="1">VLOOKUP($A31,Prevs_MLT!$C:$AJ,1+Entrada!$C$4,FALSE)*VLOOKUP($A31,Usinas!$C:$D,2,FALSE)</f>
        <v>154.60520000000002</v>
      </c>
      <c r="M31" s="329">
        <f>VLOOKUP($A31,Prevs!$C:$AJ,COLUMN() - COLUMN($D31)+2,FALSE)*VLOOKUP($A31,Usinas!$C:$D,2,FALSE)</f>
        <v>73.525600000000011</v>
      </c>
      <c r="N31" s="309">
        <f>VLOOKUP($A31,Prevs!$C:$AJ,COLUMN() - COLUMN($D31)+2,FALSE)*VLOOKUP($A31,Usinas!$C:$D,2,FALSE)</f>
        <v>79.56880000000001</v>
      </c>
      <c r="O31" s="309">
        <f>VLOOKUP($A31,Prevs!$C:$AJ,COLUMN() - COLUMN($D31)+2,FALSE)*VLOOKUP($A31,Usinas!$C:$D,2,FALSE)</f>
        <v>83.094000000000008</v>
      </c>
      <c r="P31" s="309">
        <f>VLOOKUP($A31,Prevs!$C:$AJ,COLUMN() - COLUMN($D31)+2,FALSE)*VLOOKUP($A31,Usinas!$C:$D,2,FALSE)</f>
        <v>70.504000000000005</v>
      </c>
      <c r="Q31" s="309">
        <f>VLOOKUP($A31,Prevs!$C:$AJ,COLUMN() - COLUMN($D31)+2,FALSE)*VLOOKUP($A31,Usinas!$C:$D,2,FALSE)</f>
        <v>70.504000000000005</v>
      </c>
      <c r="R31" s="330">
        <f>VLOOKUP($A31,Prevs!$C:$AJ,COLUMN() - COLUMN($D31)+2,FALSE)*VLOOKUP($A31,Usinas!$C:$D,2,FALSE)</f>
        <v>73.525600000000011</v>
      </c>
      <c r="V31" s="329">
        <f>VLOOKUP($A31,Prevs!$C:$AJ,COLUMN() - COLUMN($D31)+2,FALSE)*VLOOKUP($A31,Usinas!$C:$D,2,FALSE)</f>
        <v>62.446400000000004</v>
      </c>
      <c r="W31" s="309">
        <f>VLOOKUP($A31,Prevs!$C:$AJ,COLUMN() - COLUMN($D31)+2,FALSE)*VLOOKUP($A31,Usinas!$C:$D,2,FALSE)</f>
        <v>67.986000000000004</v>
      </c>
      <c r="X31" s="309">
        <f>VLOOKUP($A31,Prevs!$C:$AJ,COLUMN() - COLUMN($D31)+2,FALSE)*VLOOKUP($A31,Usinas!$C:$D,2,FALSE)</f>
        <v>70.504000000000005</v>
      </c>
      <c r="Y31" s="309">
        <f>VLOOKUP($A31,Prevs!$C:$AJ,COLUMN() - COLUMN($D31)+2,FALSE)*VLOOKUP($A31,Usinas!$C:$D,2,FALSE)</f>
        <v>59.928400000000003</v>
      </c>
      <c r="Z31" s="309">
        <f>VLOOKUP($A31,Prevs!$C:$AJ,COLUMN() - COLUMN($D31)+2,FALSE)*VLOOKUP($A31,Usinas!$C:$D,2,FALSE)</f>
        <v>59.928400000000003</v>
      </c>
      <c r="AA31" s="330">
        <f>VLOOKUP($A31,Prevs!$C:$AJ,COLUMN() - COLUMN($D31)+2,FALSE)*VLOOKUP($A31,Usinas!$C:$D,2,FALSE)</f>
        <v>62.446400000000004</v>
      </c>
      <c r="AE31" s="329">
        <f>VLOOKUP($A31,Prevs!$C:$AJ,COLUMN() - COLUMN($D31)+2,FALSE)*VLOOKUP($A31,Usinas!$C:$D,2,FALSE)</f>
        <v>47.338400000000007</v>
      </c>
      <c r="AF31" s="309">
        <f>VLOOKUP($A31,Prevs!$C:$AJ,COLUMN() - COLUMN($D31)+2,FALSE)*VLOOKUP($A31,Usinas!$C:$D,2,FALSE)</f>
        <v>51.367200000000004</v>
      </c>
      <c r="AG31" s="309">
        <f>VLOOKUP($A31,Prevs!$C:$AJ,COLUMN() - COLUMN($D31)+2,FALSE)*VLOOKUP($A31,Usinas!$C:$D,2,FALSE)</f>
        <v>53.381600000000006</v>
      </c>
      <c r="AH31" s="309">
        <f>VLOOKUP($A31,Prevs!$C:$AJ,COLUMN() - COLUMN($D31)+2,FALSE)*VLOOKUP($A31,Usinas!$C:$D,2,FALSE)</f>
        <v>45.324000000000005</v>
      </c>
      <c r="AI31" s="309">
        <f>VLOOKUP($A31,Prevs!$C:$AJ,COLUMN() - COLUMN($D31)+2,FALSE)*VLOOKUP($A31,Usinas!$C:$D,2,FALSE)</f>
        <v>45.324000000000005</v>
      </c>
      <c r="AJ31" s="330">
        <f>VLOOKUP($A31,Prevs!$C:$AJ,COLUMN() - COLUMN($D31)+2,FALSE)*VLOOKUP($A31,Usinas!$C:$D,2,FALSE)</f>
        <v>47.338400000000007</v>
      </c>
    </row>
    <row r="32" spans="1:37" hidden="1" outlineLevel="2" x14ac:dyDescent="0.25">
      <c r="A32" s="161">
        <v>28</v>
      </c>
      <c r="B32" s="162" t="s">
        <v>100</v>
      </c>
      <c r="D32" s="329">
        <f>VLOOKUP($A32,Prevs!$C:$AJ,COLUMN() - COLUMN($D32)+2,FALSE)*VLOOKUP($A32,Usinas!$C:$D,2,FALSE)</f>
        <v>38.170999999999999</v>
      </c>
      <c r="E32" s="309">
        <f>VLOOKUP($A32,Prevs!$C:$AJ,COLUMN() - COLUMN($D32)+2,FALSE)*VLOOKUP($A32,Usinas!$C:$D,2,FALSE)</f>
        <v>43.394399999999997</v>
      </c>
      <c r="F32" s="309">
        <f>VLOOKUP($A32,Prevs!$C:$AJ,COLUMN() - COLUMN($D32)+2,FALSE)*VLOOKUP($A32,Usinas!$C:$D,2,FALSE)</f>
        <v>45.001599999999996</v>
      </c>
      <c r="G32" s="309">
        <f>VLOOKUP($A32,Prevs!$C:$AJ,COLUMN() - COLUMN($D32)+2,FALSE)*VLOOKUP($A32,Usinas!$C:$D,2,FALSE)</f>
        <v>38.170999999999999</v>
      </c>
      <c r="H32" s="309">
        <f>VLOOKUP($A32,Prevs!$C:$AJ,COLUMN() - COLUMN($D32)+2,FALSE)*VLOOKUP($A32,Usinas!$C:$D,2,FALSE)</f>
        <v>38.572800000000001</v>
      </c>
      <c r="I32" s="330">
        <f>VLOOKUP($A32,Prevs!$C:$AJ,COLUMN() - COLUMN($D32)+2,FALSE)*VLOOKUP($A32,Usinas!$C:$D,2,FALSE)</f>
        <v>40.581800000000001</v>
      </c>
      <c r="J32" s="477">
        <f ca="1">VLOOKUP($A32,Prevs_MLT!$C:$AJ,1+Entrada!$C$4,FALSE)*VLOOKUP($A32,Usinas!$C:$D,2,FALSE)</f>
        <v>128.9778</v>
      </c>
      <c r="M32" s="329">
        <f>VLOOKUP($A32,Prevs!$C:$AJ,COLUMN() - COLUMN($D32)+2,FALSE)*VLOOKUP($A32,Usinas!$C:$D,2,FALSE)</f>
        <v>59.4664</v>
      </c>
      <c r="N32" s="309">
        <f>VLOOKUP($A32,Prevs!$C:$AJ,COLUMN() - COLUMN($D32)+2,FALSE)*VLOOKUP($A32,Usinas!$C:$D,2,FALSE)</f>
        <v>67.502399999999994</v>
      </c>
      <c r="O32" s="309">
        <f>VLOOKUP($A32,Prevs!$C:$AJ,COLUMN() - COLUMN($D32)+2,FALSE)*VLOOKUP($A32,Usinas!$C:$D,2,FALSE)</f>
        <v>69.913200000000003</v>
      </c>
      <c r="P32" s="309">
        <f>VLOOKUP($A32,Prevs!$C:$AJ,COLUMN() - COLUMN($D32)+2,FALSE)*VLOOKUP($A32,Usinas!$C:$D,2,FALSE)</f>
        <v>59.4664</v>
      </c>
      <c r="Q32" s="309">
        <f>VLOOKUP($A32,Prevs!$C:$AJ,COLUMN() - COLUMN($D32)+2,FALSE)*VLOOKUP($A32,Usinas!$C:$D,2,FALSE)</f>
        <v>59.868200000000002</v>
      </c>
      <c r="R32" s="330">
        <f>VLOOKUP($A32,Prevs!$C:$AJ,COLUMN() - COLUMN($D32)+2,FALSE)*VLOOKUP($A32,Usinas!$C:$D,2,FALSE)</f>
        <v>63.082599999999999</v>
      </c>
      <c r="V32" s="329">
        <f>VLOOKUP($A32,Prevs!$C:$AJ,COLUMN() - COLUMN($D32)+2,FALSE)*VLOOKUP($A32,Usinas!$C:$D,2,FALSE)</f>
        <v>50.225000000000001</v>
      </c>
      <c r="W32" s="309">
        <f>VLOOKUP($A32,Prevs!$C:$AJ,COLUMN() - COLUMN($D32)+2,FALSE)*VLOOKUP($A32,Usinas!$C:$D,2,FALSE)</f>
        <v>57.055599999999998</v>
      </c>
      <c r="X32" s="309">
        <f>VLOOKUP($A32,Prevs!$C:$AJ,COLUMN() - COLUMN($D32)+2,FALSE)*VLOOKUP($A32,Usinas!$C:$D,2,FALSE)</f>
        <v>59.4664</v>
      </c>
      <c r="Y32" s="309">
        <f>VLOOKUP($A32,Prevs!$C:$AJ,COLUMN() - COLUMN($D32)+2,FALSE)*VLOOKUP($A32,Usinas!$C:$D,2,FALSE)</f>
        <v>50.225000000000001</v>
      </c>
      <c r="Z32" s="309">
        <f>VLOOKUP($A32,Prevs!$C:$AJ,COLUMN() - COLUMN($D32)+2,FALSE)*VLOOKUP($A32,Usinas!$C:$D,2,FALSE)</f>
        <v>51.028599999999997</v>
      </c>
      <c r="AA32" s="330">
        <f>VLOOKUP($A32,Prevs!$C:$AJ,COLUMN() - COLUMN($D32)+2,FALSE)*VLOOKUP($A32,Usinas!$C:$D,2,FALSE)</f>
        <v>53.439399999999999</v>
      </c>
      <c r="AE32" s="329">
        <f>VLOOKUP($A32,Prevs!$C:$AJ,COLUMN() - COLUMN($D32)+2,FALSE)*VLOOKUP($A32,Usinas!$C:$D,2,FALSE)</f>
        <v>38.170999999999999</v>
      </c>
      <c r="AF32" s="309">
        <f>VLOOKUP($A32,Prevs!$C:$AJ,COLUMN() - COLUMN($D32)+2,FALSE)*VLOOKUP($A32,Usinas!$C:$D,2,FALSE)</f>
        <v>43.394399999999997</v>
      </c>
      <c r="AG32" s="309">
        <f>VLOOKUP($A32,Prevs!$C:$AJ,COLUMN() - COLUMN($D32)+2,FALSE)*VLOOKUP($A32,Usinas!$C:$D,2,FALSE)</f>
        <v>45.001599999999996</v>
      </c>
      <c r="AH32" s="309">
        <f>VLOOKUP($A32,Prevs!$C:$AJ,COLUMN() - COLUMN($D32)+2,FALSE)*VLOOKUP($A32,Usinas!$C:$D,2,FALSE)</f>
        <v>38.170999999999999</v>
      </c>
      <c r="AI32" s="309">
        <f>VLOOKUP($A32,Prevs!$C:$AJ,COLUMN() - COLUMN($D32)+2,FALSE)*VLOOKUP($A32,Usinas!$C:$D,2,FALSE)</f>
        <v>38.572800000000001</v>
      </c>
      <c r="AJ32" s="330">
        <f>VLOOKUP($A32,Prevs!$C:$AJ,COLUMN() - COLUMN($D32)+2,FALSE)*VLOOKUP($A32,Usinas!$C:$D,2,FALSE)</f>
        <v>40.581800000000001</v>
      </c>
    </row>
    <row r="33" spans="1:37" hidden="1" outlineLevel="2" x14ac:dyDescent="0.25">
      <c r="A33" s="161">
        <v>205</v>
      </c>
      <c r="B33" s="162" t="s">
        <v>101</v>
      </c>
      <c r="D33" s="329">
        <f>VLOOKUP($A33,Prevs!$C:$AJ,COLUMN() - COLUMN($D33)+2,FALSE)*VLOOKUP($A33,Usinas!$C:$D,2,FALSE)</f>
        <v>44.204600000000006</v>
      </c>
      <c r="E33" s="309">
        <f>VLOOKUP($A33,Prevs!$C:$AJ,COLUMN() - COLUMN($D33)+2,FALSE)*VLOOKUP($A33,Usinas!$C:$D,2,FALSE)</f>
        <v>41.0916</v>
      </c>
      <c r="F33" s="309">
        <f>VLOOKUP($A33,Prevs!$C:$AJ,COLUMN() - COLUMN($D33)+2,FALSE)*VLOOKUP($A33,Usinas!$C:$D,2,FALSE)</f>
        <v>39.223800000000004</v>
      </c>
      <c r="G33" s="309">
        <f>VLOOKUP($A33,Prevs!$C:$AJ,COLUMN() - COLUMN($D33)+2,FALSE)*VLOOKUP($A33,Usinas!$C:$D,2,FALSE)</f>
        <v>36.733400000000003</v>
      </c>
      <c r="H33" s="309">
        <f>VLOOKUP($A33,Prevs!$C:$AJ,COLUMN() - COLUMN($D33)+2,FALSE)*VLOOKUP($A33,Usinas!$C:$D,2,FALSE)</f>
        <v>35.488199999999999</v>
      </c>
      <c r="I33" s="330">
        <f>VLOOKUP($A33,Prevs!$C:$AJ,COLUMN() - COLUMN($D33)+2,FALSE)*VLOOKUP($A33,Usinas!$C:$D,2,FALSE)</f>
        <v>34.243000000000002</v>
      </c>
      <c r="J33" s="477">
        <f ca="1">VLOOKUP($A33,Prevs_MLT!$C:$AJ,1+Entrada!$C$4,FALSE)*VLOOKUP($A33,Usinas!$C:$D,2,FALSE)</f>
        <v>74.089400000000012</v>
      </c>
      <c r="M33" s="329">
        <f>VLOOKUP($A33,Prevs!$C:$AJ,COLUMN() - COLUMN($D33)+2,FALSE)*VLOOKUP($A33,Usinas!$C:$D,2,FALSE)</f>
        <v>68.486000000000004</v>
      </c>
      <c r="N33" s="309">
        <f>VLOOKUP($A33,Prevs!$C:$AJ,COLUMN() - COLUMN($D33)+2,FALSE)*VLOOKUP($A33,Usinas!$C:$D,2,FALSE)</f>
        <v>64.127800000000008</v>
      </c>
      <c r="O33" s="309">
        <f>VLOOKUP($A33,Prevs!$C:$AJ,COLUMN() - COLUMN($D33)+2,FALSE)*VLOOKUP($A33,Usinas!$C:$D,2,FALSE)</f>
        <v>61.014800000000001</v>
      </c>
      <c r="P33" s="309">
        <f>VLOOKUP($A33,Prevs!$C:$AJ,COLUMN() - COLUMN($D33)+2,FALSE)*VLOOKUP($A33,Usinas!$C:$D,2,FALSE)</f>
        <v>57.279200000000003</v>
      </c>
      <c r="Q33" s="309">
        <f>VLOOKUP($A33,Prevs!$C:$AJ,COLUMN() - COLUMN($D33)+2,FALSE)*VLOOKUP($A33,Usinas!$C:$D,2,FALSE)</f>
        <v>55.4114</v>
      </c>
      <c r="R33" s="330">
        <f>VLOOKUP($A33,Prevs!$C:$AJ,COLUMN() - COLUMN($D33)+2,FALSE)*VLOOKUP($A33,Usinas!$C:$D,2,FALSE)</f>
        <v>52.921000000000006</v>
      </c>
      <c r="V33" s="329">
        <f>VLOOKUP($A33,Prevs!$C:$AJ,COLUMN() - COLUMN($D33)+2,FALSE)*VLOOKUP($A33,Usinas!$C:$D,2,FALSE)</f>
        <v>58.524400000000007</v>
      </c>
      <c r="W33" s="309">
        <f>VLOOKUP($A33,Prevs!$C:$AJ,COLUMN() - COLUMN($D33)+2,FALSE)*VLOOKUP($A33,Usinas!$C:$D,2,FALSE)</f>
        <v>54.166200000000003</v>
      </c>
      <c r="X33" s="309">
        <f>VLOOKUP($A33,Prevs!$C:$AJ,COLUMN() - COLUMN($D33)+2,FALSE)*VLOOKUP($A33,Usinas!$C:$D,2,FALSE)</f>
        <v>51.675800000000002</v>
      </c>
      <c r="Y33" s="309">
        <f>VLOOKUP($A33,Prevs!$C:$AJ,COLUMN() - COLUMN($D33)+2,FALSE)*VLOOKUP($A33,Usinas!$C:$D,2,FALSE)</f>
        <v>48.562800000000003</v>
      </c>
      <c r="Z33" s="309">
        <f>VLOOKUP($A33,Prevs!$C:$AJ,COLUMN() - COLUMN($D33)+2,FALSE)*VLOOKUP($A33,Usinas!$C:$D,2,FALSE)</f>
        <v>46.695</v>
      </c>
      <c r="AA33" s="330">
        <f>VLOOKUP($A33,Prevs!$C:$AJ,COLUMN() - COLUMN($D33)+2,FALSE)*VLOOKUP($A33,Usinas!$C:$D,2,FALSE)</f>
        <v>45.449800000000003</v>
      </c>
      <c r="AE33" s="329">
        <f>VLOOKUP($A33,Prevs!$C:$AJ,COLUMN() - COLUMN($D33)+2,FALSE)*VLOOKUP($A33,Usinas!$C:$D,2,FALSE)</f>
        <v>44.204600000000006</v>
      </c>
      <c r="AF33" s="309">
        <f>VLOOKUP($A33,Prevs!$C:$AJ,COLUMN() - COLUMN($D33)+2,FALSE)*VLOOKUP($A33,Usinas!$C:$D,2,FALSE)</f>
        <v>41.0916</v>
      </c>
      <c r="AG33" s="309">
        <f>VLOOKUP($A33,Prevs!$C:$AJ,COLUMN() - COLUMN($D33)+2,FALSE)*VLOOKUP($A33,Usinas!$C:$D,2,FALSE)</f>
        <v>39.223800000000004</v>
      </c>
      <c r="AH33" s="309">
        <f>VLOOKUP($A33,Prevs!$C:$AJ,COLUMN() - COLUMN($D33)+2,FALSE)*VLOOKUP($A33,Usinas!$C:$D,2,FALSE)</f>
        <v>36.733400000000003</v>
      </c>
      <c r="AI33" s="309">
        <f>VLOOKUP($A33,Prevs!$C:$AJ,COLUMN() - COLUMN($D33)+2,FALSE)*VLOOKUP($A33,Usinas!$C:$D,2,FALSE)</f>
        <v>35.488199999999999</v>
      </c>
      <c r="AJ33" s="330">
        <f>VLOOKUP($A33,Prevs!$C:$AJ,COLUMN() - COLUMN($D33)+2,FALSE)*VLOOKUP($A33,Usinas!$C:$D,2,FALSE)</f>
        <v>34.243000000000002</v>
      </c>
    </row>
    <row r="34" spans="1:37" hidden="1" outlineLevel="2" x14ac:dyDescent="0.25">
      <c r="A34" s="161">
        <v>23</v>
      </c>
      <c r="B34" s="162" t="s">
        <v>102</v>
      </c>
      <c r="D34" s="329">
        <f>VLOOKUP($A34,Prevs!$C:$AJ,COLUMN() - COLUMN($D34)+2,FALSE)*VLOOKUP($A34,Usinas!$C:$D,2,FALSE)</f>
        <v>31.502699999999997</v>
      </c>
      <c r="E34" s="309">
        <f>VLOOKUP($A34,Prevs!$C:$AJ,COLUMN() - COLUMN($D34)+2,FALSE)*VLOOKUP($A34,Usinas!$C:$D,2,FALSE)</f>
        <v>30.416399999999999</v>
      </c>
      <c r="F34" s="309">
        <f>VLOOKUP($A34,Prevs!$C:$AJ,COLUMN() - COLUMN($D34)+2,FALSE)*VLOOKUP($A34,Usinas!$C:$D,2,FALSE)</f>
        <v>28.243799999999997</v>
      </c>
      <c r="G34" s="309">
        <f>VLOOKUP($A34,Prevs!$C:$AJ,COLUMN() - COLUMN($D34)+2,FALSE)*VLOOKUP($A34,Usinas!$C:$D,2,FALSE)</f>
        <v>27.157499999999999</v>
      </c>
      <c r="H34" s="309">
        <f>VLOOKUP($A34,Prevs!$C:$AJ,COLUMN() - COLUMN($D34)+2,FALSE)*VLOOKUP($A34,Usinas!$C:$D,2,FALSE)</f>
        <v>26.071199999999997</v>
      </c>
      <c r="I34" s="330">
        <f>VLOOKUP($A34,Prevs!$C:$AJ,COLUMN() - COLUMN($D34)+2,FALSE)*VLOOKUP($A34,Usinas!$C:$D,2,FALSE)</f>
        <v>24.2607</v>
      </c>
      <c r="J34" s="477">
        <f ca="1">VLOOKUP($A34,Prevs_MLT!$C:$AJ,1+Entrada!$C$4,FALSE)*VLOOKUP($A34,Usinas!$C:$D,2,FALSE)</f>
        <v>53.590799999999994</v>
      </c>
      <c r="M34" s="329">
        <f>VLOOKUP($A34,Prevs!$C:$AJ,COLUMN() - COLUMN($D34)+2,FALSE)*VLOOKUP($A34,Usinas!$C:$D,2,FALSE)</f>
        <v>48.883499999999998</v>
      </c>
      <c r="N34" s="309">
        <f>VLOOKUP($A34,Prevs!$C:$AJ,COLUMN() - COLUMN($D34)+2,FALSE)*VLOOKUP($A34,Usinas!$C:$D,2,FALSE)</f>
        <v>47.073</v>
      </c>
      <c r="O34" s="309">
        <f>VLOOKUP($A34,Prevs!$C:$AJ,COLUMN() - COLUMN($D34)+2,FALSE)*VLOOKUP($A34,Usinas!$C:$D,2,FALSE)</f>
        <v>43.814099999999996</v>
      </c>
      <c r="P34" s="309">
        <f>VLOOKUP($A34,Prevs!$C:$AJ,COLUMN() - COLUMN($D34)+2,FALSE)*VLOOKUP($A34,Usinas!$C:$D,2,FALSE)</f>
        <v>42.003599999999999</v>
      </c>
      <c r="Q34" s="309">
        <f>VLOOKUP($A34,Prevs!$C:$AJ,COLUMN() - COLUMN($D34)+2,FALSE)*VLOOKUP($A34,Usinas!$C:$D,2,FALSE)</f>
        <v>40.555199999999999</v>
      </c>
      <c r="R34" s="330">
        <f>VLOOKUP($A34,Prevs!$C:$AJ,COLUMN() - COLUMN($D34)+2,FALSE)*VLOOKUP($A34,Usinas!$C:$D,2,FALSE)</f>
        <v>37.6584</v>
      </c>
      <c r="V34" s="329">
        <f>VLOOKUP($A34,Prevs!$C:$AJ,COLUMN() - COLUMN($D34)+2,FALSE)*VLOOKUP($A34,Usinas!$C:$D,2,FALSE)</f>
        <v>41.641500000000001</v>
      </c>
      <c r="W34" s="309">
        <f>VLOOKUP($A34,Prevs!$C:$AJ,COLUMN() - COLUMN($D34)+2,FALSE)*VLOOKUP($A34,Usinas!$C:$D,2,FALSE)</f>
        <v>40.193099999999994</v>
      </c>
      <c r="X34" s="309">
        <f>VLOOKUP($A34,Prevs!$C:$AJ,COLUMN() - COLUMN($D34)+2,FALSE)*VLOOKUP($A34,Usinas!$C:$D,2,FALSE)</f>
        <v>37.296299999999995</v>
      </c>
      <c r="Y34" s="309">
        <f>VLOOKUP($A34,Prevs!$C:$AJ,COLUMN() - COLUMN($D34)+2,FALSE)*VLOOKUP($A34,Usinas!$C:$D,2,FALSE)</f>
        <v>35.847899999999996</v>
      </c>
      <c r="Z34" s="309">
        <f>VLOOKUP($A34,Prevs!$C:$AJ,COLUMN() - COLUMN($D34)+2,FALSE)*VLOOKUP($A34,Usinas!$C:$D,2,FALSE)</f>
        <v>34.399499999999996</v>
      </c>
      <c r="AA34" s="330">
        <f>VLOOKUP($A34,Prevs!$C:$AJ,COLUMN() - COLUMN($D34)+2,FALSE)*VLOOKUP($A34,Usinas!$C:$D,2,FALSE)</f>
        <v>31.864799999999999</v>
      </c>
      <c r="AE34" s="329">
        <f>VLOOKUP($A34,Prevs!$C:$AJ,COLUMN() - COLUMN($D34)+2,FALSE)*VLOOKUP($A34,Usinas!$C:$D,2,FALSE)</f>
        <v>31.502699999999997</v>
      </c>
      <c r="AF34" s="309">
        <f>VLOOKUP($A34,Prevs!$C:$AJ,COLUMN() - COLUMN($D34)+2,FALSE)*VLOOKUP($A34,Usinas!$C:$D,2,FALSE)</f>
        <v>30.416399999999999</v>
      </c>
      <c r="AG34" s="309">
        <f>VLOOKUP($A34,Prevs!$C:$AJ,COLUMN() - COLUMN($D34)+2,FALSE)*VLOOKUP($A34,Usinas!$C:$D,2,FALSE)</f>
        <v>28.243799999999997</v>
      </c>
      <c r="AH34" s="309">
        <f>VLOOKUP($A34,Prevs!$C:$AJ,COLUMN() - COLUMN($D34)+2,FALSE)*VLOOKUP($A34,Usinas!$C:$D,2,FALSE)</f>
        <v>27.157499999999999</v>
      </c>
      <c r="AI34" s="309">
        <f>VLOOKUP($A34,Prevs!$C:$AJ,COLUMN() - COLUMN($D34)+2,FALSE)*VLOOKUP($A34,Usinas!$C:$D,2,FALSE)</f>
        <v>26.071199999999997</v>
      </c>
      <c r="AJ34" s="330">
        <f>VLOOKUP($A34,Prevs!$C:$AJ,COLUMN() - COLUMN($D34)+2,FALSE)*VLOOKUP($A34,Usinas!$C:$D,2,FALSE)</f>
        <v>24.2607</v>
      </c>
    </row>
    <row r="35" spans="1:37" hidden="1" outlineLevel="2" x14ac:dyDescent="0.25">
      <c r="A35" s="161">
        <v>209</v>
      </c>
      <c r="B35" s="162" t="s">
        <v>103</v>
      </c>
      <c r="D35" s="329">
        <f>VLOOKUP($A35,Prevs!$C:$AJ,COLUMN() - COLUMN($D35)+2,FALSE)*VLOOKUP($A35,Usinas!$C:$D,2,FALSE)</f>
        <v>139.21680000000001</v>
      </c>
      <c r="E35" s="309">
        <f>VLOOKUP($A35,Prevs!$C:$AJ,COLUMN() - COLUMN($D35)+2,FALSE)*VLOOKUP($A35,Usinas!$C:$D,2,FALSE)</f>
        <v>131.279</v>
      </c>
      <c r="F35" s="309">
        <f>VLOOKUP($A35,Prevs!$C:$AJ,COLUMN() - COLUMN($D35)+2,FALSE)*VLOOKUP($A35,Usinas!$C:$D,2,FALSE)</f>
        <v>127.0048</v>
      </c>
      <c r="G35" s="309">
        <f>VLOOKUP($A35,Prevs!$C:$AJ,COLUMN() - COLUMN($D35)+2,FALSE)*VLOOKUP($A35,Usinas!$C:$D,2,FALSE)</f>
        <v>117.84580000000001</v>
      </c>
      <c r="H35" s="309">
        <f>VLOOKUP($A35,Prevs!$C:$AJ,COLUMN() - COLUMN($D35)+2,FALSE)*VLOOKUP($A35,Usinas!$C:$D,2,FALSE)</f>
        <v>117.23520000000001</v>
      </c>
      <c r="I35" s="330">
        <f>VLOOKUP($A35,Prevs!$C:$AJ,COLUMN() - COLUMN($D35)+2,FALSE)*VLOOKUP($A35,Usinas!$C:$D,2,FALSE)</f>
        <v>109.908</v>
      </c>
      <c r="J35" s="477">
        <f ca="1">VLOOKUP($A35,Prevs_MLT!$C:$AJ,1+Entrada!$C$4,FALSE)*VLOOKUP($A35,Usinas!$C:$D,2,FALSE)</f>
        <v>247.90360000000001</v>
      </c>
      <c r="M35" s="329">
        <f>VLOOKUP($A35,Prevs!$C:$AJ,COLUMN() - COLUMN($D35)+2,FALSE)*VLOOKUP($A35,Usinas!$C:$D,2,FALSE)</f>
        <v>216.1524</v>
      </c>
      <c r="N35" s="309">
        <f>VLOOKUP($A35,Prevs!$C:$AJ,COLUMN() - COLUMN($D35)+2,FALSE)*VLOOKUP($A35,Usinas!$C:$D,2,FALSE)</f>
        <v>203.94040000000001</v>
      </c>
      <c r="O35" s="309">
        <f>VLOOKUP($A35,Prevs!$C:$AJ,COLUMN() - COLUMN($D35)+2,FALSE)*VLOOKUP($A35,Usinas!$C:$D,2,FALSE)</f>
        <v>197.22380000000001</v>
      </c>
      <c r="P35" s="309">
        <f>VLOOKUP($A35,Prevs!$C:$AJ,COLUMN() - COLUMN($D35)+2,FALSE)*VLOOKUP($A35,Usinas!$C:$D,2,FALSE)</f>
        <v>183.18</v>
      </c>
      <c r="Q35" s="309">
        <f>VLOOKUP($A35,Prevs!$C:$AJ,COLUMN() - COLUMN($D35)+2,FALSE)*VLOOKUP($A35,Usinas!$C:$D,2,FALSE)</f>
        <v>181.9588</v>
      </c>
      <c r="R35" s="330">
        <f>VLOOKUP($A35,Prevs!$C:$AJ,COLUMN() - COLUMN($D35)+2,FALSE)*VLOOKUP($A35,Usinas!$C:$D,2,FALSE)</f>
        <v>170.96800000000002</v>
      </c>
      <c r="V35" s="329">
        <f>VLOOKUP($A35,Prevs!$C:$AJ,COLUMN() - COLUMN($D35)+2,FALSE)*VLOOKUP($A35,Usinas!$C:$D,2,FALSE)</f>
        <v>183.79060000000001</v>
      </c>
      <c r="W35" s="309">
        <f>VLOOKUP($A35,Prevs!$C:$AJ,COLUMN() - COLUMN($D35)+2,FALSE)*VLOOKUP($A35,Usinas!$C:$D,2,FALSE)</f>
        <v>173.41040000000001</v>
      </c>
      <c r="X35" s="309">
        <f>VLOOKUP($A35,Prevs!$C:$AJ,COLUMN() - COLUMN($D35)+2,FALSE)*VLOOKUP($A35,Usinas!$C:$D,2,FALSE)</f>
        <v>167.30440000000002</v>
      </c>
      <c r="Y35" s="309">
        <f>VLOOKUP($A35,Prevs!$C:$AJ,COLUMN() - COLUMN($D35)+2,FALSE)*VLOOKUP($A35,Usinas!$C:$D,2,FALSE)</f>
        <v>155.0924</v>
      </c>
      <c r="Z35" s="309">
        <f>VLOOKUP($A35,Prevs!$C:$AJ,COLUMN() - COLUMN($D35)+2,FALSE)*VLOOKUP($A35,Usinas!$C:$D,2,FALSE)</f>
        <v>154.48180000000002</v>
      </c>
      <c r="AA35" s="330">
        <f>VLOOKUP($A35,Prevs!$C:$AJ,COLUMN() - COLUMN($D35)+2,FALSE)*VLOOKUP($A35,Usinas!$C:$D,2,FALSE)</f>
        <v>144.7122</v>
      </c>
      <c r="AE35" s="329">
        <f>VLOOKUP($A35,Prevs!$C:$AJ,COLUMN() - COLUMN($D35)+2,FALSE)*VLOOKUP($A35,Usinas!$C:$D,2,FALSE)</f>
        <v>139.21680000000001</v>
      </c>
      <c r="AF35" s="309">
        <f>VLOOKUP($A35,Prevs!$C:$AJ,COLUMN() - COLUMN($D35)+2,FALSE)*VLOOKUP($A35,Usinas!$C:$D,2,FALSE)</f>
        <v>131.279</v>
      </c>
      <c r="AG35" s="309">
        <f>VLOOKUP($A35,Prevs!$C:$AJ,COLUMN() - COLUMN($D35)+2,FALSE)*VLOOKUP($A35,Usinas!$C:$D,2,FALSE)</f>
        <v>127.0048</v>
      </c>
      <c r="AH35" s="309">
        <f>VLOOKUP($A35,Prevs!$C:$AJ,COLUMN() - COLUMN($D35)+2,FALSE)*VLOOKUP($A35,Usinas!$C:$D,2,FALSE)</f>
        <v>117.84580000000001</v>
      </c>
      <c r="AI35" s="309">
        <f>VLOOKUP($A35,Prevs!$C:$AJ,COLUMN() - COLUMN($D35)+2,FALSE)*VLOOKUP($A35,Usinas!$C:$D,2,FALSE)</f>
        <v>117.23520000000001</v>
      </c>
      <c r="AJ35" s="330">
        <f>VLOOKUP($A35,Prevs!$C:$AJ,COLUMN() - COLUMN($D35)+2,FALSE)*VLOOKUP($A35,Usinas!$C:$D,2,FALSE)</f>
        <v>109.908</v>
      </c>
    </row>
    <row r="36" spans="1:37" hidden="1" outlineLevel="2" x14ac:dyDescent="0.25">
      <c r="A36" s="161">
        <v>31</v>
      </c>
      <c r="B36" s="162" t="s">
        <v>104</v>
      </c>
      <c r="D36" s="329">
        <f>VLOOKUP($A36,Prevs!$C:$AJ,COLUMN() - COLUMN($D36)+2,FALSE)*VLOOKUP($A36,Usinas!$C:$D,2,FALSE)</f>
        <v>395.154</v>
      </c>
      <c r="E36" s="309">
        <f>VLOOKUP($A36,Prevs!$C:$AJ,COLUMN() - COLUMN($D36)+2,FALSE)*VLOOKUP($A36,Usinas!$C:$D,2,FALSE)</f>
        <v>394.47270000000003</v>
      </c>
      <c r="F36" s="309">
        <f>VLOOKUP($A36,Prevs!$C:$AJ,COLUMN() - COLUMN($D36)+2,FALSE)*VLOOKUP($A36,Usinas!$C:$D,2,FALSE)</f>
        <v>373.35239999999999</v>
      </c>
      <c r="G36" s="309">
        <f>VLOOKUP($A36,Prevs!$C:$AJ,COLUMN() - COLUMN($D36)+2,FALSE)*VLOOKUP($A36,Usinas!$C:$D,2,FALSE)</f>
        <v>353.59469999999999</v>
      </c>
      <c r="H36" s="309">
        <f>VLOOKUP($A36,Prevs!$C:$AJ,COLUMN() - COLUMN($D36)+2,FALSE)*VLOOKUP($A36,Usinas!$C:$D,2,FALSE)</f>
        <v>352.91340000000002</v>
      </c>
      <c r="I36" s="330">
        <f>VLOOKUP($A36,Prevs!$C:$AJ,COLUMN() - COLUMN($D36)+2,FALSE)*VLOOKUP($A36,Usinas!$C:$D,2,FALSE)</f>
        <v>337.24349999999998</v>
      </c>
      <c r="J36" s="477">
        <f ca="1">VLOOKUP($A36,Prevs_MLT!$C:$AJ,1+Entrada!$C$4,FALSE)*VLOOKUP($A36,Usinas!$C:$D,2,FALSE)</f>
        <v>906.81029999999998</v>
      </c>
      <c r="M36" s="329">
        <f>VLOOKUP($A36,Prevs!$C:$AJ,COLUMN() - COLUMN($D36)+2,FALSE)*VLOOKUP($A36,Usinas!$C:$D,2,FALSE)</f>
        <v>613.85130000000004</v>
      </c>
      <c r="N36" s="309">
        <f>VLOOKUP($A36,Prevs!$C:$AJ,COLUMN() - COLUMN($D36)+2,FALSE)*VLOOKUP($A36,Usinas!$C:$D,2,FALSE)</f>
        <v>612.48869999999999</v>
      </c>
      <c r="O36" s="309">
        <f>VLOOKUP($A36,Prevs!$C:$AJ,COLUMN() - COLUMN($D36)+2,FALSE)*VLOOKUP($A36,Usinas!$C:$D,2,FALSE)</f>
        <v>579.78629999999998</v>
      </c>
      <c r="P36" s="309">
        <f>VLOOKUP($A36,Prevs!$C:$AJ,COLUMN() - COLUMN($D36)+2,FALSE)*VLOOKUP($A36,Usinas!$C:$D,2,FALSE)</f>
        <v>549.12779999999998</v>
      </c>
      <c r="Q36" s="309">
        <f>VLOOKUP($A36,Prevs!$C:$AJ,COLUMN() - COLUMN($D36)+2,FALSE)*VLOOKUP($A36,Usinas!$C:$D,2,FALSE)</f>
        <v>548.44650000000001</v>
      </c>
      <c r="R36" s="330">
        <f>VLOOKUP($A36,Prevs!$C:$AJ,COLUMN() - COLUMN($D36)+2,FALSE)*VLOOKUP($A36,Usinas!$C:$D,2,FALSE)</f>
        <v>523.91970000000003</v>
      </c>
      <c r="V36" s="329">
        <f>VLOOKUP($A36,Prevs!$C:$AJ,COLUMN() - COLUMN($D36)+2,FALSE)*VLOOKUP($A36,Usinas!$C:$D,2,FALSE)</f>
        <v>521.19450000000006</v>
      </c>
      <c r="W36" s="309">
        <f>VLOOKUP($A36,Prevs!$C:$AJ,COLUMN() - COLUMN($D36)+2,FALSE)*VLOOKUP($A36,Usinas!$C:$D,2,FALSE)</f>
        <v>519.83190000000002</v>
      </c>
      <c r="X36" s="309">
        <f>VLOOKUP($A36,Prevs!$C:$AJ,COLUMN() - COLUMN($D36)+2,FALSE)*VLOOKUP($A36,Usinas!$C:$D,2,FALSE)</f>
        <v>492.57990000000001</v>
      </c>
      <c r="Y36" s="309">
        <f>VLOOKUP($A36,Prevs!$C:$AJ,COLUMN() - COLUMN($D36)+2,FALSE)*VLOOKUP($A36,Usinas!$C:$D,2,FALSE)</f>
        <v>466.00920000000002</v>
      </c>
      <c r="Z36" s="309">
        <f>VLOOKUP($A36,Prevs!$C:$AJ,COLUMN() - COLUMN($D36)+2,FALSE)*VLOOKUP($A36,Usinas!$C:$D,2,FALSE)</f>
        <v>465.3279</v>
      </c>
      <c r="AA36" s="330">
        <f>VLOOKUP($A36,Prevs!$C:$AJ,COLUMN() - COLUMN($D36)+2,FALSE)*VLOOKUP($A36,Usinas!$C:$D,2,FALSE)</f>
        <v>444.88890000000004</v>
      </c>
      <c r="AE36" s="329">
        <f>VLOOKUP($A36,Prevs!$C:$AJ,COLUMN() - COLUMN($D36)+2,FALSE)*VLOOKUP($A36,Usinas!$C:$D,2,FALSE)</f>
        <v>395.154</v>
      </c>
      <c r="AF36" s="309">
        <f>VLOOKUP($A36,Prevs!$C:$AJ,COLUMN() - COLUMN($D36)+2,FALSE)*VLOOKUP($A36,Usinas!$C:$D,2,FALSE)</f>
        <v>394.47270000000003</v>
      </c>
      <c r="AG36" s="309">
        <f>VLOOKUP($A36,Prevs!$C:$AJ,COLUMN() - COLUMN($D36)+2,FALSE)*VLOOKUP($A36,Usinas!$C:$D,2,FALSE)</f>
        <v>373.35239999999999</v>
      </c>
      <c r="AH36" s="309">
        <f>VLOOKUP($A36,Prevs!$C:$AJ,COLUMN() - COLUMN($D36)+2,FALSE)*VLOOKUP($A36,Usinas!$C:$D,2,FALSE)</f>
        <v>353.59469999999999</v>
      </c>
      <c r="AI36" s="309">
        <f>VLOOKUP($A36,Prevs!$C:$AJ,COLUMN() - COLUMN($D36)+2,FALSE)*VLOOKUP($A36,Usinas!$C:$D,2,FALSE)</f>
        <v>352.91340000000002</v>
      </c>
      <c r="AJ36" s="330">
        <f>VLOOKUP($A36,Prevs!$C:$AJ,COLUMN() - COLUMN($D36)+2,FALSE)*VLOOKUP($A36,Usinas!$C:$D,2,FALSE)</f>
        <v>337.24349999999998</v>
      </c>
    </row>
    <row r="37" spans="1:37" hidden="1" outlineLevel="2" x14ac:dyDescent="0.25">
      <c r="A37" s="161">
        <v>32</v>
      </c>
      <c r="B37" s="162" t="s">
        <v>105</v>
      </c>
      <c r="D37" s="329">
        <f>VLOOKUP($A37,Prevs!$C:$AJ,COLUMN() - COLUMN($D37)+2,FALSE)*VLOOKUP($A37,Usinas!$C:$D,2,FALSE)</f>
        <v>178.03800000000001</v>
      </c>
      <c r="E37" s="309">
        <f>VLOOKUP($A37,Prevs!$C:$AJ,COLUMN() - COLUMN($D37)+2,FALSE)*VLOOKUP($A37,Usinas!$C:$D,2,FALSE)</f>
        <v>178.88580000000002</v>
      </c>
      <c r="F37" s="309">
        <f>VLOOKUP($A37,Prevs!$C:$AJ,COLUMN() - COLUMN($D37)+2,FALSE)*VLOOKUP($A37,Usinas!$C:$D,2,FALSE)</f>
        <v>171.53820000000002</v>
      </c>
      <c r="G37" s="309">
        <f>VLOOKUP($A37,Prevs!$C:$AJ,COLUMN() - COLUMN($D37)+2,FALSE)*VLOOKUP($A37,Usinas!$C:$D,2,FALSE)</f>
        <v>161.9298</v>
      </c>
      <c r="H37" s="309">
        <f>VLOOKUP($A37,Prevs!$C:$AJ,COLUMN() - COLUMN($D37)+2,FALSE)*VLOOKUP($A37,Usinas!$C:$D,2,FALSE)</f>
        <v>161.08200000000002</v>
      </c>
      <c r="I37" s="330">
        <f>VLOOKUP($A37,Prevs!$C:$AJ,COLUMN() - COLUMN($D37)+2,FALSE)*VLOOKUP($A37,Usinas!$C:$D,2,FALSE)</f>
        <v>153.45180000000002</v>
      </c>
      <c r="J37" s="477">
        <f ca="1">VLOOKUP($A37,Prevs_MLT!$C:$AJ,1+Entrada!$C$4,FALSE)*VLOOKUP($A37,Usinas!$C:$D,2,FALSE)</f>
        <v>396.48780000000005</v>
      </c>
      <c r="M37" s="329">
        <f>VLOOKUP($A37,Prevs!$C:$AJ,COLUMN() - COLUMN($D37)+2,FALSE)*VLOOKUP($A37,Usinas!$C:$D,2,FALSE)</f>
        <v>276.38280000000003</v>
      </c>
      <c r="N37" s="309">
        <f>VLOOKUP($A37,Prevs!$C:$AJ,COLUMN() - COLUMN($D37)+2,FALSE)*VLOOKUP($A37,Usinas!$C:$D,2,FALSE)</f>
        <v>277.79580000000004</v>
      </c>
      <c r="O37" s="309">
        <f>VLOOKUP($A37,Prevs!$C:$AJ,COLUMN() - COLUMN($D37)+2,FALSE)*VLOOKUP($A37,Usinas!$C:$D,2,FALSE)</f>
        <v>266.49180000000001</v>
      </c>
      <c r="P37" s="309">
        <f>VLOOKUP($A37,Prevs!$C:$AJ,COLUMN() - COLUMN($D37)+2,FALSE)*VLOOKUP($A37,Usinas!$C:$D,2,FALSE)</f>
        <v>251.51400000000001</v>
      </c>
      <c r="Q37" s="309">
        <f>VLOOKUP($A37,Prevs!$C:$AJ,COLUMN() - COLUMN($D37)+2,FALSE)*VLOOKUP($A37,Usinas!$C:$D,2,FALSE)</f>
        <v>250.10100000000003</v>
      </c>
      <c r="R37" s="330">
        <f>VLOOKUP($A37,Prevs!$C:$AJ,COLUMN() - COLUMN($D37)+2,FALSE)*VLOOKUP($A37,Usinas!$C:$D,2,FALSE)</f>
        <v>238.23180000000002</v>
      </c>
      <c r="V37" s="329">
        <f>VLOOKUP($A37,Prevs!$C:$AJ,COLUMN() - COLUMN($D37)+2,FALSE)*VLOOKUP($A37,Usinas!$C:$D,2,FALSE)</f>
        <v>234.84060000000002</v>
      </c>
      <c r="W37" s="309">
        <f>VLOOKUP($A37,Prevs!$C:$AJ,COLUMN() - COLUMN($D37)+2,FALSE)*VLOOKUP($A37,Usinas!$C:$D,2,FALSE)</f>
        <v>235.971</v>
      </c>
      <c r="X37" s="309">
        <f>VLOOKUP($A37,Prevs!$C:$AJ,COLUMN() - COLUMN($D37)+2,FALSE)*VLOOKUP($A37,Usinas!$C:$D,2,FALSE)</f>
        <v>226.08</v>
      </c>
      <c r="Y37" s="309">
        <f>VLOOKUP($A37,Prevs!$C:$AJ,COLUMN() - COLUMN($D37)+2,FALSE)*VLOOKUP($A37,Usinas!$C:$D,2,FALSE)</f>
        <v>213.6456</v>
      </c>
      <c r="Z37" s="309">
        <f>VLOOKUP($A37,Prevs!$C:$AJ,COLUMN() - COLUMN($D37)+2,FALSE)*VLOOKUP($A37,Usinas!$C:$D,2,FALSE)</f>
        <v>212.51520000000002</v>
      </c>
      <c r="AA37" s="330">
        <f>VLOOKUP($A37,Prevs!$C:$AJ,COLUMN() - COLUMN($D37)+2,FALSE)*VLOOKUP($A37,Usinas!$C:$D,2,FALSE)</f>
        <v>202.3416</v>
      </c>
      <c r="AE37" s="329">
        <f>VLOOKUP($A37,Prevs!$C:$AJ,COLUMN() - COLUMN($D37)+2,FALSE)*VLOOKUP($A37,Usinas!$C:$D,2,FALSE)</f>
        <v>178.03800000000001</v>
      </c>
      <c r="AF37" s="309">
        <f>VLOOKUP($A37,Prevs!$C:$AJ,COLUMN() - COLUMN($D37)+2,FALSE)*VLOOKUP($A37,Usinas!$C:$D,2,FALSE)</f>
        <v>178.88580000000002</v>
      </c>
      <c r="AG37" s="309">
        <f>VLOOKUP($A37,Prevs!$C:$AJ,COLUMN() - COLUMN($D37)+2,FALSE)*VLOOKUP($A37,Usinas!$C:$D,2,FALSE)</f>
        <v>171.53820000000002</v>
      </c>
      <c r="AH37" s="309">
        <f>VLOOKUP($A37,Prevs!$C:$AJ,COLUMN() - COLUMN($D37)+2,FALSE)*VLOOKUP($A37,Usinas!$C:$D,2,FALSE)</f>
        <v>161.9298</v>
      </c>
      <c r="AI37" s="309">
        <f>VLOOKUP($A37,Prevs!$C:$AJ,COLUMN() - COLUMN($D37)+2,FALSE)*VLOOKUP($A37,Usinas!$C:$D,2,FALSE)</f>
        <v>161.08200000000002</v>
      </c>
      <c r="AJ37" s="330">
        <f>VLOOKUP($A37,Prevs!$C:$AJ,COLUMN() - COLUMN($D37)+2,FALSE)*VLOOKUP($A37,Usinas!$C:$D,2,FALSE)</f>
        <v>153.45180000000002</v>
      </c>
    </row>
    <row r="38" spans="1:37" hidden="1" outlineLevel="2" x14ac:dyDescent="0.25">
      <c r="A38" s="161">
        <v>33</v>
      </c>
      <c r="B38" s="162" t="s">
        <v>106</v>
      </c>
      <c r="D38" s="329">
        <f>VLOOKUP($A38,Prevs!$C:$AJ,COLUMN() - COLUMN($D38)+2,FALSE)*VLOOKUP($A38,Usinas!$C:$D,2,FALSE)</f>
        <v>692.12689999999998</v>
      </c>
      <c r="E38" s="309">
        <f>VLOOKUP($A38,Prevs!$C:$AJ,COLUMN() - COLUMN($D38)+2,FALSE)*VLOOKUP($A38,Usinas!$C:$D,2,FALSE)</f>
        <v>676.52440000000001</v>
      </c>
      <c r="F38" s="309">
        <f>VLOOKUP($A38,Prevs!$C:$AJ,COLUMN() - COLUMN($D38)+2,FALSE)*VLOOKUP($A38,Usinas!$C:$D,2,FALSE)</f>
        <v>655.92909999999995</v>
      </c>
      <c r="G38" s="309">
        <f>VLOOKUP($A38,Prevs!$C:$AJ,COLUMN() - COLUMN($D38)+2,FALSE)*VLOOKUP($A38,Usinas!$C:$D,2,FALSE)</f>
        <v>615.36260000000004</v>
      </c>
      <c r="H38" s="309">
        <f>VLOOKUP($A38,Prevs!$C:$AJ,COLUMN() - COLUMN($D38)+2,FALSE)*VLOOKUP($A38,Usinas!$C:$D,2,FALSE)</f>
        <v>645.31939999999997</v>
      </c>
      <c r="I38" s="330">
        <f>VLOOKUP($A38,Prevs!$C:$AJ,COLUMN() - COLUMN($D38)+2,FALSE)*VLOOKUP($A38,Usinas!$C:$D,2,FALSE)</f>
        <v>589.77449999999999</v>
      </c>
      <c r="J38" s="477">
        <f ca="1">VLOOKUP($A38,Prevs_MLT!$C:$AJ,1+Entrada!$C$4,FALSE)*VLOOKUP($A38,Usinas!$C:$D,2,FALSE)</f>
        <v>1316.8509999999999</v>
      </c>
      <c r="M38" s="329">
        <f>VLOOKUP($A38,Prevs!$C:$AJ,COLUMN() - COLUMN($D38)+2,FALSE)*VLOOKUP($A38,Usinas!$C:$D,2,FALSE)</f>
        <v>1074.7002</v>
      </c>
      <c r="N38" s="309">
        <f>VLOOKUP($A38,Prevs!$C:$AJ,COLUMN() - COLUMN($D38)+2,FALSE)*VLOOKUP($A38,Usinas!$C:$D,2,FALSE)</f>
        <v>1050.9844000000001</v>
      </c>
      <c r="O38" s="309">
        <f>VLOOKUP($A38,Prevs!$C:$AJ,COLUMN() - COLUMN($D38)+2,FALSE)*VLOOKUP($A38,Usinas!$C:$D,2,FALSE)</f>
        <v>1018.5312</v>
      </c>
      <c r="P38" s="309">
        <f>VLOOKUP($A38,Prevs!$C:$AJ,COLUMN() - COLUMN($D38)+2,FALSE)*VLOOKUP($A38,Usinas!$C:$D,2,FALSE)</f>
        <v>955.49709999999993</v>
      </c>
      <c r="Q38" s="309">
        <f>VLOOKUP($A38,Prevs!$C:$AJ,COLUMN() - COLUMN($D38)+2,FALSE)*VLOOKUP($A38,Usinas!$C:$D,2,FALSE)</f>
        <v>1002.3045999999999</v>
      </c>
      <c r="R38" s="330">
        <f>VLOOKUP($A38,Prevs!$C:$AJ,COLUMN() - COLUMN($D38)+2,FALSE)*VLOOKUP($A38,Usinas!$C:$D,2,FALSE)</f>
        <v>916.17880000000002</v>
      </c>
      <c r="V38" s="329">
        <f>VLOOKUP($A38,Prevs!$C:$AJ,COLUMN() - COLUMN($D38)+2,FALSE)*VLOOKUP($A38,Usinas!$C:$D,2,FALSE)</f>
        <v>912.43420000000003</v>
      </c>
      <c r="W38" s="309">
        <f>VLOOKUP($A38,Prevs!$C:$AJ,COLUMN() - COLUMN($D38)+2,FALSE)*VLOOKUP($A38,Usinas!$C:$D,2,FALSE)</f>
        <v>891.83889999999997</v>
      </c>
      <c r="X38" s="309">
        <f>VLOOKUP($A38,Prevs!$C:$AJ,COLUMN() - COLUMN($D38)+2,FALSE)*VLOOKUP($A38,Usinas!$C:$D,2,FALSE)</f>
        <v>865.00260000000003</v>
      </c>
      <c r="Y38" s="309">
        <f>VLOOKUP($A38,Prevs!$C:$AJ,COLUMN() - COLUMN($D38)+2,FALSE)*VLOOKUP($A38,Usinas!$C:$D,2,FALSE)</f>
        <v>811.33</v>
      </c>
      <c r="Z38" s="309">
        <f>VLOOKUP($A38,Prevs!$C:$AJ,COLUMN() - COLUMN($D38)+2,FALSE)*VLOOKUP($A38,Usinas!$C:$D,2,FALSE)</f>
        <v>850.64829999999995</v>
      </c>
      <c r="AA38" s="330">
        <f>VLOOKUP($A38,Prevs!$C:$AJ,COLUMN() - COLUMN($D38)+2,FALSE)*VLOOKUP($A38,Usinas!$C:$D,2,FALSE)</f>
        <v>777.62860000000001</v>
      </c>
      <c r="AE38" s="329">
        <f>VLOOKUP($A38,Prevs!$C:$AJ,COLUMN() - COLUMN($D38)+2,FALSE)*VLOOKUP($A38,Usinas!$C:$D,2,FALSE)</f>
        <v>692.12689999999998</v>
      </c>
      <c r="AF38" s="309">
        <f>VLOOKUP($A38,Prevs!$C:$AJ,COLUMN() - COLUMN($D38)+2,FALSE)*VLOOKUP($A38,Usinas!$C:$D,2,FALSE)</f>
        <v>676.52440000000001</v>
      </c>
      <c r="AG38" s="309">
        <f>VLOOKUP($A38,Prevs!$C:$AJ,COLUMN() - COLUMN($D38)+2,FALSE)*VLOOKUP($A38,Usinas!$C:$D,2,FALSE)</f>
        <v>655.92909999999995</v>
      </c>
      <c r="AH38" s="309">
        <f>VLOOKUP($A38,Prevs!$C:$AJ,COLUMN() - COLUMN($D38)+2,FALSE)*VLOOKUP($A38,Usinas!$C:$D,2,FALSE)</f>
        <v>615.36260000000004</v>
      </c>
      <c r="AI38" s="309">
        <f>VLOOKUP($A38,Prevs!$C:$AJ,COLUMN() - COLUMN($D38)+2,FALSE)*VLOOKUP($A38,Usinas!$C:$D,2,FALSE)</f>
        <v>645.31939999999997</v>
      </c>
      <c r="AJ38" s="330">
        <f>VLOOKUP($A38,Prevs!$C:$AJ,COLUMN() - COLUMN($D38)+2,FALSE)*VLOOKUP($A38,Usinas!$C:$D,2,FALSE)</f>
        <v>589.77449999999999</v>
      </c>
    </row>
    <row r="39" spans="1:37" hidden="1" outlineLevel="2" x14ac:dyDescent="0.25">
      <c r="A39" s="161">
        <v>247</v>
      </c>
      <c r="B39" s="162" t="s">
        <v>107</v>
      </c>
      <c r="D39" s="329">
        <f>VLOOKUP($A39,Prevs!$C:$AJ,COLUMN() - COLUMN($D39)+2,FALSE)*VLOOKUP($A39,Usinas!$C:$D,2,FALSE)</f>
        <v>26.7288</v>
      </c>
      <c r="E39" s="309">
        <f>VLOOKUP($A39,Prevs!$C:$AJ,COLUMN() - COLUMN($D39)+2,FALSE)*VLOOKUP($A39,Usinas!$C:$D,2,FALSE)</f>
        <v>26.006399999999999</v>
      </c>
      <c r="F39" s="309">
        <f>VLOOKUP($A39,Prevs!$C:$AJ,COLUMN() - COLUMN($D39)+2,FALSE)*VLOOKUP($A39,Usinas!$C:$D,2,FALSE)</f>
        <v>26.006399999999999</v>
      </c>
      <c r="G39" s="309">
        <f>VLOOKUP($A39,Prevs!$C:$AJ,COLUMN() - COLUMN($D39)+2,FALSE)*VLOOKUP($A39,Usinas!$C:$D,2,FALSE)</f>
        <v>25.043199999999999</v>
      </c>
      <c r="H39" s="309">
        <f>VLOOKUP($A39,Prevs!$C:$AJ,COLUMN() - COLUMN($D39)+2,FALSE)*VLOOKUP($A39,Usinas!$C:$D,2,FALSE)</f>
        <v>24.561599999999999</v>
      </c>
      <c r="I39" s="330">
        <f>VLOOKUP($A39,Prevs!$C:$AJ,COLUMN() - COLUMN($D39)+2,FALSE)*VLOOKUP($A39,Usinas!$C:$D,2,FALSE)</f>
        <v>23.116799999999998</v>
      </c>
      <c r="J39" s="477">
        <f ca="1">VLOOKUP($A39,Prevs_MLT!$C:$AJ,1+Entrada!$C$4,FALSE)*VLOOKUP($A39,Usinas!$C:$D,2,FALSE)</f>
        <v>42.621600000000001</v>
      </c>
      <c r="M39" s="329">
        <f>VLOOKUP($A39,Prevs!$C:$AJ,COLUMN() - COLUMN($D39)+2,FALSE)*VLOOKUP($A39,Usinas!$C:$D,2,FALSE)</f>
        <v>41.4176</v>
      </c>
      <c r="N39" s="309">
        <f>VLOOKUP($A39,Prevs!$C:$AJ,COLUMN() - COLUMN($D39)+2,FALSE)*VLOOKUP($A39,Usinas!$C:$D,2,FALSE)</f>
        <v>40.4544</v>
      </c>
      <c r="O39" s="309">
        <f>VLOOKUP($A39,Prevs!$C:$AJ,COLUMN() - COLUMN($D39)+2,FALSE)*VLOOKUP($A39,Usinas!$C:$D,2,FALSE)</f>
        <v>40.4544</v>
      </c>
      <c r="P39" s="309">
        <f>VLOOKUP($A39,Prevs!$C:$AJ,COLUMN() - COLUMN($D39)+2,FALSE)*VLOOKUP($A39,Usinas!$C:$D,2,FALSE)</f>
        <v>39.009599999999999</v>
      </c>
      <c r="Q39" s="309">
        <f>VLOOKUP($A39,Prevs!$C:$AJ,COLUMN() - COLUMN($D39)+2,FALSE)*VLOOKUP($A39,Usinas!$C:$D,2,FALSE)</f>
        <v>38.046399999999998</v>
      </c>
      <c r="R39" s="330">
        <f>VLOOKUP($A39,Prevs!$C:$AJ,COLUMN() - COLUMN($D39)+2,FALSE)*VLOOKUP($A39,Usinas!$C:$D,2,FALSE)</f>
        <v>35.879199999999997</v>
      </c>
      <c r="V39" s="329">
        <f>VLOOKUP($A39,Prevs!$C:$AJ,COLUMN() - COLUMN($D39)+2,FALSE)*VLOOKUP($A39,Usinas!$C:$D,2,FALSE)</f>
        <v>35.156799999999997</v>
      </c>
      <c r="W39" s="309">
        <f>VLOOKUP($A39,Prevs!$C:$AJ,COLUMN() - COLUMN($D39)+2,FALSE)*VLOOKUP($A39,Usinas!$C:$D,2,FALSE)</f>
        <v>34.193599999999996</v>
      </c>
      <c r="X39" s="309">
        <f>VLOOKUP($A39,Prevs!$C:$AJ,COLUMN() - COLUMN($D39)+2,FALSE)*VLOOKUP($A39,Usinas!$C:$D,2,FALSE)</f>
        <v>34.193599999999996</v>
      </c>
      <c r="Y39" s="309">
        <f>VLOOKUP($A39,Prevs!$C:$AJ,COLUMN() - COLUMN($D39)+2,FALSE)*VLOOKUP($A39,Usinas!$C:$D,2,FALSE)</f>
        <v>32.989599999999996</v>
      </c>
      <c r="Z39" s="309">
        <f>VLOOKUP($A39,Prevs!$C:$AJ,COLUMN() - COLUMN($D39)+2,FALSE)*VLOOKUP($A39,Usinas!$C:$D,2,FALSE)</f>
        <v>32.507999999999996</v>
      </c>
      <c r="AA39" s="330">
        <f>VLOOKUP($A39,Prevs!$C:$AJ,COLUMN() - COLUMN($D39)+2,FALSE)*VLOOKUP($A39,Usinas!$C:$D,2,FALSE)</f>
        <v>30.581599999999998</v>
      </c>
      <c r="AE39" s="329">
        <f>VLOOKUP($A39,Prevs!$C:$AJ,COLUMN() - COLUMN($D39)+2,FALSE)*VLOOKUP($A39,Usinas!$C:$D,2,FALSE)</f>
        <v>26.7288</v>
      </c>
      <c r="AF39" s="309">
        <f>VLOOKUP($A39,Prevs!$C:$AJ,COLUMN() - COLUMN($D39)+2,FALSE)*VLOOKUP($A39,Usinas!$C:$D,2,FALSE)</f>
        <v>26.006399999999999</v>
      </c>
      <c r="AG39" s="309">
        <f>VLOOKUP($A39,Prevs!$C:$AJ,COLUMN() - COLUMN($D39)+2,FALSE)*VLOOKUP($A39,Usinas!$C:$D,2,FALSE)</f>
        <v>26.006399999999999</v>
      </c>
      <c r="AH39" s="309">
        <f>VLOOKUP($A39,Prevs!$C:$AJ,COLUMN() - COLUMN($D39)+2,FALSE)*VLOOKUP($A39,Usinas!$C:$D,2,FALSE)</f>
        <v>25.043199999999999</v>
      </c>
      <c r="AI39" s="309">
        <f>VLOOKUP($A39,Prevs!$C:$AJ,COLUMN() - COLUMN($D39)+2,FALSE)*VLOOKUP($A39,Usinas!$C:$D,2,FALSE)</f>
        <v>24.561599999999999</v>
      </c>
      <c r="AJ39" s="330">
        <f>VLOOKUP($A39,Prevs!$C:$AJ,COLUMN() - COLUMN($D39)+2,FALSE)*VLOOKUP($A39,Usinas!$C:$D,2,FALSE)</f>
        <v>23.116799999999998</v>
      </c>
    </row>
    <row r="40" spans="1:37" hidden="1" outlineLevel="2" x14ac:dyDescent="0.25">
      <c r="A40" s="161">
        <v>248</v>
      </c>
      <c r="B40" s="162" t="s">
        <v>108</v>
      </c>
      <c r="D40" s="329">
        <f>VLOOKUP($A40,Prevs!$C:$AJ,COLUMN() - COLUMN($D40)+2,FALSE)*VLOOKUP($A40,Usinas!$C:$D,2,FALSE)</f>
        <v>39.1599</v>
      </c>
      <c r="E40" s="309">
        <f>VLOOKUP($A40,Prevs!$C:$AJ,COLUMN() - COLUMN($D40)+2,FALSE)*VLOOKUP($A40,Usinas!$C:$D,2,FALSE)</f>
        <v>37.821100000000001</v>
      </c>
      <c r="F40" s="309">
        <f>VLOOKUP($A40,Prevs!$C:$AJ,COLUMN() - COLUMN($D40)+2,FALSE)*VLOOKUP($A40,Usinas!$C:$D,2,FALSE)</f>
        <v>37.486400000000003</v>
      </c>
      <c r="G40" s="309">
        <f>VLOOKUP($A40,Prevs!$C:$AJ,COLUMN() - COLUMN($D40)+2,FALSE)*VLOOKUP($A40,Usinas!$C:$D,2,FALSE)</f>
        <v>36.147599999999997</v>
      </c>
      <c r="H40" s="309">
        <f>VLOOKUP($A40,Prevs!$C:$AJ,COLUMN() - COLUMN($D40)+2,FALSE)*VLOOKUP($A40,Usinas!$C:$D,2,FALSE)</f>
        <v>35.478200000000001</v>
      </c>
      <c r="I40" s="330">
        <f>VLOOKUP($A40,Prevs!$C:$AJ,COLUMN() - COLUMN($D40)+2,FALSE)*VLOOKUP($A40,Usinas!$C:$D,2,FALSE)</f>
        <v>33.47</v>
      </c>
      <c r="J40" s="477">
        <f ca="1">VLOOKUP($A40,Prevs_MLT!$C:$AJ,1+Entrada!$C$4,FALSE)*VLOOKUP($A40,Usinas!$C:$D,2,FALSE)</f>
        <v>61.584800000000001</v>
      </c>
      <c r="M40" s="329">
        <f>VLOOKUP($A40,Prevs!$C:$AJ,COLUMN() - COLUMN($D40)+2,FALSE)*VLOOKUP($A40,Usinas!$C:$D,2,FALSE)</f>
        <v>60.915399999999998</v>
      </c>
      <c r="N40" s="309">
        <f>VLOOKUP($A40,Prevs!$C:$AJ,COLUMN() - COLUMN($D40)+2,FALSE)*VLOOKUP($A40,Usinas!$C:$D,2,FALSE)</f>
        <v>58.907200000000003</v>
      </c>
      <c r="O40" s="309">
        <f>VLOOKUP($A40,Prevs!$C:$AJ,COLUMN() - COLUMN($D40)+2,FALSE)*VLOOKUP($A40,Usinas!$C:$D,2,FALSE)</f>
        <v>58.2378</v>
      </c>
      <c r="P40" s="309">
        <f>VLOOKUP($A40,Prevs!$C:$AJ,COLUMN() - COLUMN($D40)+2,FALSE)*VLOOKUP($A40,Usinas!$C:$D,2,FALSE)</f>
        <v>56.229599999999998</v>
      </c>
      <c r="Q40" s="309">
        <f>VLOOKUP($A40,Prevs!$C:$AJ,COLUMN() - COLUMN($D40)+2,FALSE)*VLOOKUP($A40,Usinas!$C:$D,2,FALSE)</f>
        <v>55.225499999999997</v>
      </c>
      <c r="R40" s="330">
        <f>VLOOKUP($A40,Prevs!$C:$AJ,COLUMN() - COLUMN($D40)+2,FALSE)*VLOOKUP($A40,Usinas!$C:$D,2,FALSE)</f>
        <v>51.878500000000003</v>
      </c>
      <c r="V40" s="329">
        <f>VLOOKUP($A40,Prevs!$C:$AJ,COLUMN() - COLUMN($D40)+2,FALSE)*VLOOKUP($A40,Usinas!$C:$D,2,FALSE)</f>
        <v>51.543799999999997</v>
      </c>
      <c r="W40" s="309">
        <f>VLOOKUP($A40,Prevs!$C:$AJ,COLUMN() - COLUMN($D40)+2,FALSE)*VLOOKUP($A40,Usinas!$C:$D,2,FALSE)</f>
        <v>49.8703</v>
      </c>
      <c r="X40" s="309">
        <f>VLOOKUP($A40,Prevs!$C:$AJ,COLUMN() - COLUMN($D40)+2,FALSE)*VLOOKUP($A40,Usinas!$C:$D,2,FALSE)</f>
        <v>49.535600000000002</v>
      </c>
      <c r="Y40" s="309">
        <f>VLOOKUP($A40,Prevs!$C:$AJ,COLUMN() - COLUMN($D40)+2,FALSE)*VLOOKUP($A40,Usinas!$C:$D,2,FALSE)</f>
        <v>47.5274</v>
      </c>
      <c r="Z40" s="309">
        <f>VLOOKUP($A40,Prevs!$C:$AJ,COLUMN() - COLUMN($D40)+2,FALSE)*VLOOKUP($A40,Usinas!$C:$D,2,FALSE)</f>
        <v>46.857999999999997</v>
      </c>
      <c r="AA40" s="330">
        <f>VLOOKUP($A40,Prevs!$C:$AJ,COLUMN() - COLUMN($D40)+2,FALSE)*VLOOKUP($A40,Usinas!$C:$D,2,FALSE)</f>
        <v>44.180399999999999</v>
      </c>
      <c r="AE40" s="329">
        <f>VLOOKUP($A40,Prevs!$C:$AJ,COLUMN() - COLUMN($D40)+2,FALSE)*VLOOKUP($A40,Usinas!$C:$D,2,FALSE)</f>
        <v>39.1599</v>
      </c>
      <c r="AF40" s="309">
        <f>VLOOKUP($A40,Prevs!$C:$AJ,COLUMN() - COLUMN($D40)+2,FALSE)*VLOOKUP($A40,Usinas!$C:$D,2,FALSE)</f>
        <v>37.821100000000001</v>
      </c>
      <c r="AG40" s="309">
        <f>VLOOKUP($A40,Prevs!$C:$AJ,COLUMN() - COLUMN($D40)+2,FALSE)*VLOOKUP($A40,Usinas!$C:$D,2,FALSE)</f>
        <v>37.486400000000003</v>
      </c>
      <c r="AH40" s="309">
        <f>VLOOKUP($A40,Prevs!$C:$AJ,COLUMN() - COLUMN($D40)+2,FALSE)*VLOOKUP($A40,Usinas!$C:$D,2,FALSE)</f>
        <v>36.147599999999997</v>
      </c>
      <c r="AI40" s="309">
        <f>VLOOKUP($A40,Prevs!$C:$AJ,COLUMN() - COLUMN($D40)+2,FALSE)*VLOOKUP($A40,Usinas!$C:$D,2,FALSE)</f>
        <v>35.478200000000001</v>
      </c>
      <c r="AJ40" s="330">
        <f>VLOOKUP($A40,Prevs!$C:$AJ,COLUMN() - COLUMN($D40)+2,FALSE)*VLOOKUP($A40,Usinas!$C:$D,2,FALSE)</f>
        <v>33.47</v>
      </c>
    </row>
    <row r="41" spans="1:37" hidden="1" outlineLevel="2" x14ac:dyDescent="0.25">
      <c r="A41" s="161">
        <v>261</v>
      </c>
      <c r="B41" s="162" t="s">
        <v>109</v>
      </c>
      <c r="D41" s="329">
        <f>VLOOKUP($A41,Prevs!$C:$AJ,COLUMN() - COLUMN($D41)+2,FALSE)*VLOOKUP($A41,Usinas!$C:$D,2,FALSE)</f>
        <v>31</v>
      </c>
      <c r="E41" s="309">
        <f>VLOOKUP($A41,Prevs!$C:$AJ,COLUMN() - COLUMN($D41)+2,FALSE)*VLOOKUP($A41,Usinas!$C:$D,2,FALSE)</f>
        <v>30.256</v>
      </c>
      <c r="F41" s="309">
        <f>VLOOKUP($A41,Prevs!$C:$AJ,COLUMN() - COLUMN($D41)+2,FALSE)*VLOOKUP($A41,Usinas!$C:$D,2,FALSE)</f>
        <v>30.007999999999999</v>
      </c>
      <c r="G41" s="309">
        <f>VLOOKUP($A41,Prevs!$C:$AJ,COLUMN() - COLUMN($D41)+2,FALSE)*VLOOKUP($A41,Usinas!$C:$D,2,FALSE)</f>
        <v>29.015999999999998</v>
      </c>
      <c r="H41" s="309">
        <f>VLOOKUP($A41,Prevs!$C:$AJ,COLUMN() - COLUMN($D41)+2,FALSE)*VLOOKUP($A41,Usinas!$C:$D,2,FALSE)</f>
        <v>28.024000000000001</v>
      </c>
      <c r="I41" s="330">
        <f>VLOOKUP($A41,Prevs!$C:$AJ,COLUMN() - COLUMN($D41)+2,FALSE)*VLOOKUP($A41,Usinas!$C:$D,2,FALSE)</f>
        <v>26.783999999999999</v>
      </c>
      <c r="J41" s="477">
        <f ca="1">VLOOKUP($A41,Prevs_MLT!$C:$AJ,1+Entrada!$C$4,FALSE)*VLOOKUP($A41,Usinas!$C:$D,2,FALSE)</f>
        <v>49.103999999999999</v>
      </c>
      <c r="M41" s="329">
        <f>VLOOKUP($A41,Prevs!$C:$AJ,COLUMN() - COLUMN($D41)+2,FALSE)*VLOOKUP($A41,Usinas!$C:$D,2,FALSE)</f>
        <v>48.112000000000002</v>
      </c>
      <c r="N41" s="309">
        <f>VLOOKUP($A41,Prevs!$C:$AJ,COLUMN() - COLUMN($D41)+2,FALSE)*VLOOKUP($A41,Usinas!$C:$D,2,FALSE)</f>
        <v>46.872</v>
      </c>
      <c r="O41" s="309">
        <f>VLOOKUP($A41,Prevs!$C:$AJ,COLUMN() - COLUMN($D41)+2,FALSE)*VLOOKUP($A41,Usinas!$C:$D,2,FALSE)</f>
        <v>46.624000000000002</v>
      </c>
      <c r="P41" s="309">
        <f>VLOOKUP($A41,Prevs!$C:$AJ,COLUMN() - COLUMN($D41)+2,FALSE)*VLOOKUP($A41,Usinas!$C:$D,2,FALSE)</f>
        <v>45.136000000000003</v>
      </c>
      <c r="Q41" s="309">
        <f>VLOOKUP($A41,Prevs!$C:$AJ,COLUMN() - COLUMN($D41)+2,FALSE)*VLOOKUP($A41,Usinas!$C:$D,2,FALSE)</f>
        <v>43.647999999999996</v>
      </c>
      <c r="R41" s="330">
        <f>VLOOKUP($A41,Prevs!$C:$AJ,COLUMN() - COLUMN($D41)+2,FALSE)*VLOOKUP($A41,Usinas!$C:$D,2,FALSE)</f>
        <v>41.664000000000001</v>
      </c>
      <c r="V41" s="329">
        <f>VLOOKUP($A41,Prevs!$C:$AJ,COLUMN() - COLUMN($D41)+2,FALSE)*VLOOKUP($A41,Usinas!$C:$D,2,FALSE)</f>
        <v>40.92</v>
      </c>
      <c r="W41" s="309">
        <f>VLOOKUP($A41,Prevs!$C:$AJ,COLUMN() - COLUMN($D41)+2,FALSE)*VLOOKUP($A41,Usinas!$C:$D,2,FALSE)</f>
        <v>39.927999999999997</v>
      </c>
      <c r="X41" s="309">
        <f>VLOOKUP($A41,Prevs!$C:$AJ,COLUMN() - COLUMN($D41)+2,FALSE)*VLOOKUP($A41,Usinas!$C:$D,2,FALSE)</f>
        <v>39.68</v>
      </c>
      <c r="Y41" s="309">
        <f>VLOOKUP($A41,Prevs!$C:$AJ,COLUMN() - COLUMN($D41)+2,FALSE)*VLOOKUP($A41,Usinas!$C:$D,2,FALSE)</f>
        <v>38.192</v>
      </c>
      <c r="Z41" s="309">
        <f>VLOOKUP($A41,Prevs!$C:$AJ,COLUMN() - COLUMN($D41)+2,FALSE)*VLOOKUP($A41,Usinas!$C:$D,2,FALSE)</f>
        <v>36.951999999999998</v>
      </c>
      <c r="AA41" s="330">
        <f>VLOOKUP($A41,Prevs!$C:$AJ,COLUMN() - COLUMN($D41)+2,FALSE)*VLOOKUP($A41,Usinas!$C:$D,2,FALSE)</f>
        <v>35.216000000000001</v>
      </c>
      <c r="AE41" s="329">
        <f>VLOOKUP($A41,Prevs!$C:$AJ,COLUMN() - COLUMN($D41)+2,FALSE)*VLOOKUP($A41,Usinas!$C:$D,2,FALSE)</f>
        <v>31</v>
      </c>
      <c r="AF41" s="309">
        <f>VLOOKUP($A41,Prevs!$C:$AJ,COLUMN() - COLUMN($D41)+2,FALSE)*VLOOKUP($A41,Usinas!$C:$D,2,FALSE)</f>
        <v>30.256</v>
      </c>
      <c r="AG41" s="309">
        <f>VLOOKUP($A41,Prevs!$C:$AJ,COLUMN() - COLUMN($D41)+2,FALSE)*VLOOKUP($A41,Usinas!$C:$D,2,FALSE)</f>
        <v>30.007999999999999</v>
      </c>
      <c r="AH41" s="309">
        <f>VLOOKUP($A41,Prevs!$C:$AJ,COLUMN() - COLUMN($D41)+2,FALSE)*VLOOKUP($A41,Usinas!$C:$D,2,FALSE)</f>
        <v>29.015999999999998</v>
      </c>
      <c r="AI41" s="309">
        <f>VLOOKUP($A41,Prevs!$C:$AJ,COLUMN() - COLUMN($D41)+2,FALSE)*VLOOKUP($A41,Usinas!$C:$D,2,FALSE)</f>
        <v>28.024000000000001</v>
      </c>
      <c r="AJ41" s="330">
        <f>VLOOKUP($A41,Prevs!$C:$AJ,COLUMN() - COLUMN($D41)+2,FALSE)*VLOOKUP($A41,Usinas!$C:$D,2,FALSE)</f>
        <v>26.783999999999999</v>
      </c>
    </row>
    <row r="42" spans="1:37" hidden="1" outlineLevel="2" x14ac:dyDescent="0.25">
      <c r="A42" s="161">
        <v>294</v>
      </c>
      <c r="B42" s="162" t="s">
        <v>110</v>
      </c>
      <c r="D42" s="329">
        <f>VLOOKUP($A42,Prevs!$C:$AJ,COLUMN() - COLUMN($D42)+2,FALSE)*VLOOKUP($A42,Usinas!$C:$D,2,FALSE)</f>
        <v>55.251599999999996</v>
      </c>
      <c r="E42" s="309">
        <f>VLOOKUP($A42,Prevs!$C:$AJ,COLUMN() - COLUMN($D42)+2,FALSE)*VLOOKUP($A42,Usinas!$C:$D,2,FALSE)</f>
        <v>56.15</v>
      </c>
      <c r="F42" s="309">
        <f>VLOOKUP($A42,Prevs!$C:$AJ,COLUMN() - COLUMN($D42)+2,FALSE)*VLOOKUP($A42,Usinas!$C:$D,2,FALSE)</f>
        <v>55.251599999999996</v>
      </c>
      <c r="G42" s="309">
        <f>VLOOKUP($A42,Prevs!$C:$AJ,COLUMN() - COLUMN($D42)+2,FALSE)*VLOOKUP($A42,Usinas!$C:$D,2,FALSE)</f>
        <v>52.556399999999996</v>
      </c>
      <c r="H42" s="309">
        <f>VLOOKUP($A42,Prevs!$C:$AJ,COLUMN() - COLUMN($D42)+2,FALSE)*VLOOKUP($A42,Usinas!$C:$D,2,FALSE)</f>
        <v>53.005600000000001</v>
      </c>
      <c r="I42" s="330">
        <f>VLOOKUP($A42,Prevs!$C:$AJ,COLUMN() - COLUMN($D42)+2,FALSE)*VLOOKUP($A42,Usinas!$C:$D,2,FALSE)</f>
        <v>49.861199999999997</v>
      </c>
      <c r="J42" s="477">
        <f ca="1">VLOOKUP($A42,Prevs_MLT!$C:$AJ,1+Entrada!$C$4,FALSE)*VLOOKUP($A42,Usinas!$C:$D,2,FALSE)</f>
        <v>74.117999999999995</v>
      </c>
      <c r="M42" s="329">
        <f>VLOOKUP($A42,Prevs!$C:$AJ,COLUMN() - COLUMN($D42)+2,FALSE)*VLOOKUP($A42,Usinas!$C:$D,2,FALSE)</f>
        <v>85.797200000000004</v>
      </c>
      <c r="N42" s="309">
        <f>VLOOKUP($A42,Prevs!$C:$AJ,COLUMN() - COLUMN($D42)+2,FALSE)*VLOOKUP($A42,Usinas!$C:$D,2,FALSE)</f>
        <v>87.144800000000004</v>
      </c>
      <c r="O42" s="309">
        <f>VLOOKUP($A42,Prevs!$C:$AJ,COLUMN() - COLUMN($D42)+2,FALSE)*VLOOKUP($A42,Usinas!$C:$D,2,FALSE)</f>
        <v>85.797200000000004</v>
      </c>
      <c r="P42" s="309">
        <f>VLOOKUP($A42,Prevs!$C:$AJ,COLUMN() - COLUMN($D42)+2,FALSE)*VLOOKUP($A42,Usinas!$C:$D,2,FALSE)</f>
        <v>81.754400000000004</v>
      </c>
      <c r="Q42" s="309">
        <f>VLOOKUP($A42,Prevs!$C:$AJ,COLUMN() - COLUMN($D42)+2,FALSE)*VLOOKUP($A42,Usinas!$C:$D,2,FALSE)</f>
        <v>82.203599999999994</v>
      </c>
      <c r="R42" s="330">
        <f>VLOOKUP($A42,Prevs!$C:$AJ,COLUMN() - COLUMN($D42)+2,FALSE)*VLOOKUP($A42,Usinas!$C:$D,2,FALSE)</f>
        <v>77.2624</v>
      </c>
      <c r="V42" s="329">
        <f>VLOOKUP($A42,Prevs!$C:$AJ,COLUMN() - COLUMN($D42)+2,FALSE)*VLOOKUP($A42,Usinas!$C:$D,2,FALSE)</f>
        <v>72.770399999999995</v>
      </c>
      <c r="W42" s="309">
        <f>VLOOKUP($A42,Prevs!$C:$AJ,COLUMN() - COLUMN($D42)+2,FALSE)*VLOOKUP($A42,Usinas!$C:$D,2,FALSE)</f>
        <v>74.117999999999995</v>
      </c>
      <c r="X42" s="309">
        <f>VLOOKUP($A42,Prevs!$C:$AJ,COLUMN() - COLUMN($D42)+2,FALSE)*VLOOKUP($A42,Usinas!$C:$D,2,FALSE)</f>
        <v>72.770399999999995</v>
      </c>
      <c r="Y42" s="309">
        <f>VLOOKUP($A42,Prevs!$C:$AJ,COLUMN() - COLUMN($D42)+2,FALSE)*VLOOKUP($A42,Usinas!$C:$D,2,FALSE)</f>
        <v>69.1768</v>
      </c>
      <c r="Z42" s="309">
        <f>VLOOKUP($A42,Prevs!$C:$AJ,COLUMN() - COLUMN($D42)+2,FALSE)*VLOOKUP($A42,Usinas!$C:$D,2,FALSE)</f>
        <v>70.075199999999995</v>
      </c>
      <c r="AA42" s="330">
        <f>VLOOKUP($A42,Prevs!$C:$AJ,COLUMN() - COLUMN($D42)+2,FALSE)*VLOOKUP($A42,Usinas!$C:$D,2,FALSE)</f>
        <v>65.583200000000005</v>
      </c>
      <c r="AE42" s="329">
        <f>VLOOKUP($A42,Prevs!$C:$AJ,COLUMN() - COLUMN($D42)+2,FALSE)*VLOOKUP($A42,Usinas!$C:$D,2,FALSE)</f>
        <v>55.251599999999996</v>
      </c>
      <c r="AF42" s="309">
        <f>VLOOKUP($A42,Prevs!$C:$AJ,COLUMN() - COLUMN($D42)+2,FALSE)*VLOOKUP($A42,Usinas!$C:$D,2,FALSE)</f>
        <v>56.15</v>
      </c>
      <c r="AG42" s="309">
        <f>VLOOKUP($A42,Prevs!$C:$AJ,COLUMN() - COLUMN($D42)+2,FALSE)*VLOOKUP($A42,Usinas!$C:$D,2,FALSE)</f>
        <v>55.251599999999996</v>
      </c>
      <c r="AH42" s="309">
        <f>VLOOKUP($A42,Prevs!$C:$AJ,COLUMN() - COLUMN($D42)+2,FALSE)*VLOOKUP($A42,Usinas!$C:$D,2,FALSE)</f>
        <v>52.556399999999996</v>
      </c>
      <c r="AI42" s="309">
        <f>VLOOKUP($A42,Prevs!$C:$AJ,COLUMN() - COLUMN($D42)+2,FALSE)*VLOOKUP($A42,Usinas!$C:$D,2,FALSE)</f>
        <v>53.005600000000001</v>
      </c>
      <c r="AJ42" s="330">
        <f>VLOOKUP($A42,Prevs!$C:$AJ,COLUMN() - COLUMN($D42)+2,FALSE)*VLOOKUP($A42,Usinas!$C:$D,2,FALSE)</f>
        <v>49.861199999999997</v>
      </c>
    </row>
    <row r="43" spans="1:37" hidden="1" outlineLevel="2" x14ac:dyDescent="0.25">
      <c r="A43" s="161">
        <v>241</v>
      </c>
      <c r="B43" s="162" t="s">
        <v>111</v>
      </c>
      <c r="D43" s="329">
        <f>VLOOKUP($A43,Prevs!$C:$AJ,COLUMN() - COLUMN($D43)+2,FALSE)*VLOOKUP($A43,Usinas!$C:$D,2,FALSE)</f>
        <v>49.003800000000005</v>
      </c>
      <c r="E43" s="309">
        <f>VLOOKUP($A43,Prevs!$C:$AJ,COLUMN() - COLUMN($D43)+2,FALSE)*VLOOKUP($A43,Usinas!$C:$D,2,FALSE)</f>
        <v>49.735200000000006</v>
      </c>
      <c r="F43" s="309">
        <f>VLOOKUP($A43,Prevs!$C:$AJ,COLUMN() - COLUMN($D43)+2,FALSE)*VLOOKUP($A43,Usinas!$C:$D,2,FALSE)</f>
        <v>49.003800000000005</v>
      </c>
      <c r="G43" s="309">
        <f>VLOOKUP($A43,Prevs!$C:$AJ,COLUMN() - COLUMN($D43)+2,FALSE)*VLOOKUP($A43,Usinas!$C:$D,2,FALSE)</f>
        <v>46.443900000000006</v>
      </c>
      <c r="H43" s="309">
        <f>VLOOKUP($A43,Prevs!$C:$AJ,COLUMN() - COLUMN($D43)+2,FALSE)*VLOOKUP($A43,Usinas!$C:$D,2,FALSE)</f>
        <v>46.443900000000006</v>
      </c>
      <c r="I43" s="330">
        <f>VLOOKUP($A43,Prevs!$C:$AJ,COLUMN() - COLUMN($D43)+2,FALSE)*VLOOKUP($A43,Usinas!$C:$D,2,FALSE)</f>
        <v>44.249700000000004</v>
      </c>
      <c r="J43" s="477">
        <f ca="1">VLOOKUP($A43,Prevs_MLT!$C:$AJ,1+Entrada!$C$4,FALSE)*VLOOKUP($A43,Usinas!$C:$D,2,FALSE)</f>
        <v>65.826000000000008</v>
      </c>
      <c r="M43" s="329">
        <f>VLOOKUP($A43,Prevs!$C:$AJ,COLUMN() - COLUMN($D43)+2,FALSE)*VLOOKUP($A43,Usinas!$C:$D,2,FALSE)</f>
        <v>76.065600000000003</v>
      </c>
      <c r="N43" s="309">
        <f>VLOOKUP($A43,Prevs!$C:$AJ,COLUMN() - COLUMN($D43)+2,FALSE)*VLOOKUP($A43,Usinas!$C:$D,2,FALSE)</f>
        <v>77.162700000000001</v>
      </c>
      <c r="O43" s="309">
        <f>VLOOKUP($A43,Prevs!$C:$AJ,COLUMN() - COLUMN($D43)+2,FALSE)*VLOOKUP($A43,Usinas!$C:$D,2,FALSE)</f>
        <v>76.065600000000003</v>
      </c>
      <c r="P43" s="309">
        <f>VLOOKUP($A43,Prevs!$C:$AJ,COLUMN() - COLUMN($D43)+2,FALSE)*VLOOKUP($A43,Usinas!$C:$D,2,FALSE)</f>
        <v>72.042900000000003</v>
      </c>
      <c r="Q43" s="309">
        <f>VLOOKUP($A43,Prevs!$C:$AJ,COLUMN() - COLUMN($D43)+2,FALSE)*VLOOKUP($A43,Usinas!$C:$D,2,FALSE)</f>
        <v>72.042900000000003</v>
      </c>
      <c r="R43" s="330">
        <f>VLOOKUP($A43,Prevs!$C:$AJ,COLUMN() - COLUMN($D43)+2,FALSE)*VLOOKUP($A43,Usinas!$C:$D,2,FALSE)</f>
        <v>68.75160000000001</v>
      </c>
      <c r="V43" s="329">
        <f>VLOOKUP($A43,Prevs!$C:$AJ,COLUMN() - COLUMN($D43)+2,FALSE)*VLOOKUP($A43,Usinas!$C:$D,2,FALSE)</f>
        <v>64.72890000000001</v>
      </c>
      <c r="W43" s="309">
        <f>VLOOKUP($A43,Prevs!$C:$AJ,COLUMN() - COLUMN($D43)+2,FALSE)*VLOOKUP($A43,Usinas!$C:$D,2,FALSE)</f>
        <v>65.460300000000004</v>
      </c>
      <c r="X43" s="309">
        <f>VLOOKUP($A43,Prevs!$C:$AJ,COLUMN() - COLUMN($D43)+2,FALSE)*VLOOKUP($A43,Usinas!$C:$D,2,FALSE)</f>
        <v>64.72890000000001</v>
      </c>
      <c r="Y43" s="309">
        <f>VLOOKUP($A43,Prevs!$C:$AJ,COLUMN() - COLUMN($D43)+2,FALSE)*VLOOKUP($A43,Usinas!$C:$D,2,FALSE)</f>
        <v>61.071900000000007</v>
      </c>
      <c r="Z43" s="309">
        <f>VLOOKUP($A43,Prevs!$C:$AJ,COLUMN() - COLUMN($D43)+2,FALSE)*VLOOKUP($A43,Usinas!$C:$D,2,FALSE)</f>
        <v>61.071900000000007</v>
      </c>
      <c r="AA43" s="330">
        <f>VLOOKUP($A43,Prevs!$C:$AJ,COLUMN() - COLUMN($D43)+2,FALSE)*VLOOKUP($A43,Usinas!$C:$D,2,FALSE)</f>
        <v>58.512</v>
      </c>
      <c r="AE43" s="329">
        <f>VLOOKUP($A43,Prevs!$C:$AJ,COLUMN() - COLUMN($D43)+2,FALSE)*VLOOKUP($A43,Usinas!$C:$D,2,FALSE)</f>
        <v>49.003800000000005</v>
      </c>
      <c r="AF43" s="309">
        <f>VLOOKUP($A43,Prevs!$C:$AJ,COLUMN() - COLUMN($D43)+2,FALSE)*VLOOKUP($A43,Usinas!$C:$D,2,FALSE)</f>
        <v>49.735200000000006</v>
      </c>
      <c r="AG43" s="309">
        <f>VLOOKUP($A43,Prevs!$C:$AJ,COLUMN() - COLUMN($D43)+2,FALSE)*VLOOKUP($A43,Usinas!$C:$D,2,FALSE)</f>
        <v>49.003800000000005</v>
      </c>
      <c r="AH43" s="309">
        <f>VLOOKUP($A43,Prevs!$C:$AJ,COLUMN() - COLUMN($D43)+2,FALSE)*VLOOKUP($A43,Usinas!$C:$D,2,FALSE)</f>
        <v>46.443900000000006</v>
      </c>
      <c r="AI43" s="309">
        <f>VLOOKUP($A43,Prevs!$C:$AJ,COLUMN() - COLUMN($D43)+2,FALSE)*VLOOKUP($A43,Usinas!$C:$D,2,FALSE)</f>
        <v>46.443900000000006</v>
      </c>
      <c r="AJ43" s="330">
        <f>VLOOKUP($A43,Prevs!$C:$AJ,COLUMN() - COLUMN($D43)+2,FALSE)*VLOOKUP($A43,Usinas!$C:$D,2,FALSE)</f>
        <v>44.249700000000004</v>
      </c>
    </row>
    <row r="44" spans="1:37" hidden="1" outlineLevel="2" x14ac:dyDescent="0.25">
      <c r="A44" s="161">
        <v>99</v>
      </c>
      <c r="B44" s="162" t="s">
        <v>112</v>
      </c>
      <c r="D44" s="329">
        <f>VLOOKUP($A44,Prevs!$C:$AJ,COLUMN() - COLUMN($D44)+2,FALSE)*VLOOKUP($A44,Usinas!$C:$D,2,FALSE)</f>
        <v>23.970000000000002</v>
      </c>
      <c r="E44" s="309">
        <f>VLOOKUP($A44,Prevs!$C:$AJ,COLUMN() - COLUMN($D44)+2,FALSE)*VLOOKUP($A44,Usinas!$C:$D,2,FALSE)</f>
        <v>23.570500000000003</v>
      </c>
      <c r="F44" s="309">
        <f>VLOOKUP($A44,Prevs!$C:$AJ,COLUMN() - COLUMN($D44)+2,FALSE)*VLOOKUP($A44,Usinas!$C:$D,2,FALSE)</f>
        <v>23.171000000000003</v>
      </c>
      <c r="G44" s="309">
        <f>VLOOKUP($A44,Prevs!$C:$AJ,COLUMN() - COLUMN($D44)+2,FALSE)*VLOOKUP($A44,Usinas!$C:$D,2,FALSE)</f>
        <v>22.7715</v>
      </c>
      <c r="H44" s="309">
        <f>VLOOKUP($A44,Prevs!$C:$AJ,COLUMN() - COLUMN($D44)+2,FALSE)*VLOOKUP($A44,Usinas!$C:$D,2,FALSE)</f>
        <v>22.372</v>
      </c>
      <c r="I44" s="330">
        <f>VLOOKUP($A44,Prevs!$C:$AJ,COLUMN() - COLUMN($D44)+2,FALSE)*VLOOKUP($A44,Usinas!$C:$D,2,FALSE)</f>
        <v>22.372</v>
      </c>
      <c r="J44" s="477">
        <f ca="1">VLOOKUP($A44,Prevs_MLT!$C:$AJ,1+Entrada!$C$4,FALSE)*VLOOKUP($A44,Usinas!$C:$D,2,FALSE)</f>
        <v>23.970000000000002</v>
      </c>
      <c r="M44" s="329">
        <f>VLOOKUP($A44,Prevs!$C:$AJ,COLUMN() - COLUMN($D44)+2,FALSE)*VLOOKUP($A44,Usinas!$C:$D,2,FALSE)</f>
        <v>37.153500000000001</v>
      </c>
      <c r="N44" s="309">
        <f>VLOOKUP($A44,Prevs!$C:$AJ,COLUMN() - COLUMN($D44)+2,FALSE)*VLOOKUP($A44,Usinas!$C:$D,2,FALSE)</f>
        <v>36.754000000000005</v>
      </c>
      <c r="O44" s="309">
        <f>VLOOKUP($A44,Prevs!$C:$AJ,COLUMN() - COLUMN($D44)+2,FALSE)*VLOOKUP($A44,Usinas!$C:$D,2,FALSE)</f>
        <v>35.955000000000005</v>
      </c>
      <c r="P44" s="309">
        <f>VLOOKUP($A44,Prevs!$C:$AJ,COLUMN() - COLUMN($D44)+2,FALSE)*VLOOKUP($A44,Usinas!$C:$D,2,FALSE)</f>
        <v>35.555500000000002</v>
      </c>
      <c r="Q44" s="309">
        <f>VLOOKUP($A44,Prevs!$C:$AJ,COLUMN() - COLUMN($D44)+2,FALSE)*VLOOKUP($A44,Usinas!$C:$D,2,FALSE)</f>
        <v>34.756500000000003</v>
      </c>
      <c r="R44" s="330">
        <f>VLOOKUP($A44,Prevs!$C:$AJ,COLUMN() - COLUMN($D44)+2,FALSE)*VLOOKUP($A44,Usinas!$C:$D,2,FALSE)</f>
        <v>34.756500000000003</v>
      </c>
      <c r="V44" s="329">
        <f>VLOOKUP($A44,Prevs!$C:$AJ,COLUMN() - COLUMN($D44)+2,FALSE)*VLOOKUP($A44,Usinas!$C:$D,2,FALSE)</f>
        <v>31.560500000000001</v>
      </c>
      <c r="W44" s="309">
        <f>VLOOKUP($A44,Prevs!$C:$AJ,COLUMN() - COLUMN($D44)+2,FALSE)*VLOOKUP($A44,Usinas!$C:$D,2,FALSE)</f>
        <v>31.161000000000001</v>
      </c>
      <c r="X44" s="309">
        <f>VLOOKUP($A44,Prevs!$C:$AJ,COLUMN() - COLUMN($D44)+2,FALSE)*VLOOKUP($A44,Usinas!$C:$D,2,FALSE)</f>
        <v>30.362000000000002</v>
      </c>
      <c r="Y44" s="309">
        <f>VLOOKUP($A44,Prevs!$C:$AJ,COLUMN() - COLUMN($D44)+2,FALSE)*VLOOKUP($A44,Usinas!$C:$D,2,FALSE)</f>
        <v>29.962500000000002</v>
      </c>
      <c r="Z44" s="309">
        <f>VLOOKUP($A44,Prevs!$C:$AJ,COLUMN() - COLUMN($D44)+2,FALSE)*VLOOKUP($A44,Usinas!$C:$D,2,FALSE)</f>
        <v>29.563000000000002</v>
      </c>
      <c r="AA44" s="330">
        <f>VLOOKUP($A44,Prevs!$C:$AJ,COLUMN() - COLUMN($D44)+2,FALSE)*VLOOKUP($A44,Usinas!$C:$D,2,FALSE)</f>
        <v>29.563000000000002</v>
      </c>
      <c r="AE44" s="329">
        <f>VLOOKUP($A44,Prevs!$C:$AJ,COLUMN() - COLUMN($D44)+2,FALSE)*VLOOKUP($A44,Usinas!$C:$D,2,FALSE)</f>
        <v>23.970000000000002</v>
      </c>
      <c r="AF44" s="309">
        <f>VLOOKUP($A44,Prevs!$C:$AJ,COLUMN() - COLUMN($D44)+2,FALSE)*VLOOKUP($A44,Usinas!$C:$D,2,FALSE)</f>
        <v>23.570500000000003</v>
      </c>
      <c r="AG44" s="309">
        <f>VLOOKUP($A44,Prevs!$C:$AJ,COLUMN() - COLUMN($D44)+2,FALSE)*VLOOKUP($A44,Usinas!$C:$D,2,FALSE)</f>
        <v>23.171000000000003</v>
      </c>
      <c r="AH44" s="309">
        <f>VLOOKUP($A44,Prevs!$C:$AJ,COLUMN() - COLUMN($D44)+2,FALSE)*VLOOKUP($A44,Usinas!$C:$D,2,FALSE)</f>
        <v>22.7715</v>
      </c>
      <c r="AI44" s="309">
        <f>VLOOKUP($A44,Prevs!$C:$AJ,COLUMN() - COLUMN($D44)+2,FALSE)*VLOOKUP($A44,Usinas!$C:$D,2,FALSE)</f>
        <v>22.372</v>
      </c>
      <c r="AJ44" s="330">
        <f>VLOOKUP($A44,Prevs!$C:$AJ,COLUMN() - COLUMN($D44)+2,FALSE)*VLOOKUP($A44,Usinas!$C:$D,2,FALSE)</f>
        <v>22.372</v>
      </c>
    </row>
    <row r="45" spans="1:37" outlineLevel="1" collapsed="1" x14ac:dyDescent="0.25">
      <c r="A45" s="170"/>
      <c r="B45" s="171" t="s">
        <v>92</v>
      </c>
      <c r="D45" s="174">
        <f t="shared" ref="D45:I45" si="18">SUM(D26:D44)</f>
        <v>2180.6534000000001</v>
      </c>
      <c r="E45" s="59">
        <f t="shared" si="18"/>
        <v>2145.8045999999999</v>
      </c>
      <c r="F45" s="59">
        <f t="shared" si="18"/>
        <v>2082.1979000000001</v>
      </c>
      <c r="G45" s="59">
        <f t="shared" si="18"/>
        <v>1944.2787000000001</v>
      </c>
      <c r="H45" s="59">
        <f t="shared" si="18"/>
        <v>1971.9951999999998</v>
      </c>
      <c r="I45" s="175">
        <f t="shared" si="18"/>
        <v>1861.6055000000003</v>
      </c>
      <c r="J45" s="423">
        <f ca="1">SUMPRODUCT(D45:I45,Saida!$B$7:$G$7)/SUM(Saida!$B$7:$G$7)</f>
        <v>2035.0731233333331</v>
      </c>
      <c r="M45" s="331">
        <f t="shared" ref="M45:R45" si="19">SUM(M26:M44)</f>
        <v>3386.3832000000002</v>
      </c>
      <c r="N45" s="310">
        <f t="shared" si="19"/>
        <v>3333.9169999999999</v>
      </c>
      <c r="O45" s="310">
        <f t="shared" si="19"/>
        <v>3233.7368999999994</v>
      </c>
      <c r="P45" s="310">
        <f t="shared" si="19"/>
        <v>3020.5718999999999</v>
      </c>
      <c r="Q45" s="310">
        <f t="shared" si="19"/>
        <v>3064.0864999999999</v>
      </c>
      <c r="R45" s="332">
        <f t="shared" si="19"/>
        <v>2891.4555000000005</v>
      </c>
      <c r="S45" s="423">
        <f ca="1">SUMPRODUCT(M45:R45,Saida!$B$7:$G$7)/SUM(Saida!$B$7:$G$7)</f>
        <v>3161.4674933333331</v>
      </c>
      <c r="V45" s="331">
        <f t="shared" ref="V45:AA45" si="20">SUM(V26:V44)</f>
        <v>2876.0290000000005</v>
      </c>
      <c r="W45" s="310">
        <f t="shared" si="20"/>
        <v>2829.1981000000005</v>
      </c>
      <c r="X45" s="310">
        <f t="shared" si="20"/>
        <v>2745.3710000000001</v>
      </c>
      <c r="Y45" s="310">
        <f t="shared" si="20"/>
        <v>2562.9514000000004</v>
      </c>
      <c r="Z45" s="310">
        <f t="shared" si="20"/>
        <v>2600.4678000000004</v>
      </c>
      <c r="AA45" s="332">
        <f t="shared" si="20"/>
        <v>2454.4372000000008</v>
      </c>
      <c r="AB45" s="423">
        <f ca="1">SUMPRODUCT(V45:AA45,Saida!$B$7:$G$7)/SUM(Saida!$B$7:$G$7)</f>
        <v>2683.2128100000004</v>
      </c>
      <c r="AE45" s="331">
        <f t="shared" ref="AE45:AJ45" si="21">SUM(AE26:AE44)</f>
        <v>2180.6534000000001</v>
      </c>
      <c r="AF45" s="310">
        <f t="shared" si="21"/>
        <v>2145.8045999999999</v>
      </c>
      <c r="AG45" s="310">
        <f t="shared" si="21"/>
        <v>2082.1979000000001</v>
      </c>
      <c r="AH45" s="310">
        <f t="shared" si="21"/>
        <v>1944.2787000000001</v>
      </c>
      <c r="AI45" s="310">
        <f t="shared" si="21"/>
        <v>1971.9951999999998</v>
      </c>
      <c r="AJ45" s="332">
        <f t="shared" si="21"/>
        <v>1861.6055000000003</v>
      </c>
      <c r="AK45" s="423">
        <f ca="1">SUMPRODUCT(AE45:AJ45,Saida!$B$7:$G$7)/SUM(Saida!$B$7:$G$7)</f>
        <v>2035.0731233333331</v>
      </c>
    </row>
    <row r="46" spans="1:37" outlineLevel="1" x14ac:dyDescent="0.25">
      <c r="A46" s="172"/>
      <c r="B46" s="173" t="s">
        <v>13</v>
      </c>
      <c r="D46" s="176"/>
      <c r="E46" s="177"/>
      <c r="F46" s="177"/>
      <c r="G46" s="177"/>
      <c r="H46" s="177"/>
      <c r="I46" s="178"/>
      <c r="J46" s="478">
        <f ca="1">SUM(J26:J44)</f>
        <v>4607.5847000000003</v>
      </c>
      <c r="M46" s="333"/>
      <c r="N46" s="334"/>
      <c r="O46" s="334"/>
      <c r="P46" s="334"/>
      <c r="Q46" s="334"/>
      <c r="R46" s="335"/>
      <c r="V46" s="333"/>
      <c r="W46" s="334"/>
      <c r="X46" s="334"/>
      <c r="Y46" s="334"/>
      <c r="Z46" s="334"/>
      <c r="AA46" s="335"/>
      <c r="AE46" s="333"/>
      <c r="AF46" s="334"/>
      <c r="AG46" s="334"/>
      <c r="AH46" s="334"/>
      <c r="AI46" s="334"/>
      <c r="AJ46" s="335"/>
    </row>
    <row r="47" spans="1:37" outlineLevel="1" x14ac:dyDescent="0.25">
      <c r="A47" s="52"/>
      <c r="B47" s="52"/>
      <c r="D47" s="52"/>
      <c r="E47" s="52"/>
      <c r="F47" s="52"/>
      <c r="G47" s="52"/>
      <c r="H47" s="52"/>
      <c r="I47" s="52"/>
      <c r="M47" s="304"/>
      <c r="N47" s="304"/>
      <c r="O47" s="304"/>
      <c r="P47" s="304"/>
      <c r="Q47" s="304"/>
      <c r="R47" s="304"/>
      <c r="V47" s="304"/>
      <c r="W47" s="304"/>
      <c r="X47" s="304"/>
      <c r="Y47" s="304"/>
      <c r="Z47" s="304"/>
      <c r="AA47" s="304"/>
      <c r="AE47" s="304"/>
      <c r="AF47" s="304"/>
      <c r="AG47" s="304"/>
      <c r="AH47" s="304"/>
      <c r="AI47" s="304"/>
      <c r="AJ47" s="304"/>
    </row>
    <row r="48" spans="1:37" outlineLevel="1" x14ac:dyDescent="0.25">
      <c r="A48" s="168"/>
      <c r="B48" s="169"/>
      <c r="D48" s="503" t="s">
        <v>113</v>
      </c>
      <c r="E48" s="504" t="s">
        <v>94</v>
      </c>
      <c r="F48" s="504" t="s">
        <v>114</v>
      </c>
      <c r="G48" s="504"/>
      <c r="H48" s="504"/>
      <c r="I48" s="505"/>
      <c r="M48" s="503" t="s">
        <v>113</v>
      </c>
      <c r="N48" s="504" t="s">
        <v>94</v>
      </c>
      <c r="O48" s="504" t="s">
        <v>114</v>
      </c>
      <c r="P48" s="504"/>
      <c r="Q48" s="504"/>
      <c r="R48" s="505"/>
      <c r="V48" s="503" t="s">
        <v>113</v>
      </c>
      <c r="W48" s="504" t="s">
        <v>94</v>
      </c>
      <c r="X48" s="504" t="s">
        <v>114</v>
      </c>
      <c r="Y48" s="504"/>
      <c r="Z48" s="504"/>
      <c r="AA48" s="505"/>
      <c r="AE48" s="503" t="s">
        <v>113</v>
      </c>
      <c r="AF48" s="504" t="s">
        <v>94</v>
      </c>
      <c r="AG48" s="504" t="s">
        <v>114</v>
      </c>
      <c r="AH48" s="504"/>
      <c r="AI48" s="504"/>
      <c r="AJ48" s="505"/>
    </row>
    <row r="49" spans="1:37" hidden="1" outlineLevel="2" x14ac:dyDescent="0.25">
      <c r="A49" s="161">
        <v>318</v>
      </c>
      <c r="B49" s="162" t="s">
        <v>115</v>
      </c>
      <c r="D49" s="329">
        <f>VLOOKUP($A49,Prevs!$C:$AJ,COLUMN() - COLUMN($D49)+2,FALSE)*VLOOKUP($A49,Usinas!$C:$D,2,FALSE)</f>
        <v>188.26820999999998</v>
      </c>
      <c r="E49" s="309">
        <f>VLOOKUP($A49,Prevs!$C:$AJ,COLUMN() - COLUMN($D49)+2,FALSE)*VLOOKUP($A49,Usinas!$C:$D,2,FALSE)</f>
        <v>179.22228999999999</v>
      </c>
      <c r="F49" s="309">
        <f>VLOOKUP($A49,Prevs!$C:$AJ,COLUMN() - COLUMN($D49)+2,FALSE)*VLOOKUP($A49,Usinas!$C:$D,2,FALSE)</f>
        <v>157.73822999999999</v>
      </c>
      <c r="G49" s="309">
        <f>VLOOKUP($A49,Prevs!$C:$AJ,COLUMN() - COLUMN($D49)+2,FALSE)*VLOOKUP($A49,Usinas!$C:$D,2,FALSE)</f>
        <v>151.51916</v>
      </c>
      <c r="H49" s="309">
        <f>VLOOKUP($A49,Prevs!$C:$AJ,COLUMN() - COLUMN($D49)+2,FALSE)*VLOOKUP($A49,Usinas!$C:$D,2,FALSE)</f>
        <v>145.86545999999998</v>
      </c>
      <c r="I49" s="330">
        <f>VLOOKUP($A49,Prevs!$C:$AJ,COLUMN() - COLUMN($D49)+2,FALSE)*VLOOKUP($A49,Usinas!$C:$D,2,FALSE)</f>
        <v>135.12342999999998</v>
      </c>
      <c r="J49" s="477">
        <f ca="1">VLOOKUP($A49,Prevs_MLT!$C:$AJ,1+Entrada!$C$4,FALSE)*VLOOKUP($A49,Usinas!$C:$D,2,FALSE)</f>
        <v>175.2647</v>
      </c>
      <c r="M49" s="329">
        <f>VLOOKUP($A49,Prevs!$C:$AJ,COLUMN() - COLUMN($D49)+2,FALSE)*VLOOKUP($A49,Usinas!$C:$D,2,FALSE)</f>
        <v>291.73091999999997</v>
      </c>
      <c r="N49" s="309">
        <f>VLOOKUP($A49,Prevs!$C:$AJ,COLUMN() - COLUMN($D49)+2,FALSE)*VLOOKUP($A49,Usinas!$C:$D,2,FALSE)</f>
        <v>280.42352</v>
      </c>
      <c r="O49" s="309">
        <f>VLOOKUP($A49,Prevs!$C:$AJ,COLUMN() - COLUMN($D49)+2,FALSE)*VLOOKUP($A49,Usinas!$C:$D,2,FALSE)</f>
        <v>248.19742999999997</v>
      </c>
      <c r="P49" s="309">
        <f>VLOOKUP($A49,Prevs!$C:$AJ,COLUMN() - COLUMN($D49)+2,FALSE)*VLOOKUP($A49,Usinas!$C:$D,2,FALSE)</f>
        <v>236.32465999999997</v>
      </c>
      <c r="Q49" s="309">
        <f>VLOOKUP($A49,Prevs!$C:$AJ,COLUMN() - COLUMN($D49)+2,FALSE)*VLOOKUP($A49,Usinas!$C:$D,2,FALSE)</f>
        <v>225.01725999999996</v>
      </c>
      <c r="R49" s="330">
        <f>VLOOKUP($A49,Prevs!$C:$AJ,COLUMN() - COLUMN($D49)+2,FALSE)*VLOOKUP($A49,Usinas!$C:$D,2,FALSE)</f>
        <v>214.27522999999999</v>
      </c>
      <c r="V49" s="329">
        <f>VLOOKUP($A49,Prevs!$C:$AJ,COLUMN() - COLUMN($D49)+2,FALSE)*VLOOKUP($A49,Usinas!$C:$D,2,FALSE)</f>
        <v>249.32817</v>
      </c>
      <c r="W49" s="309">
        <f>VLOOKUP($A49,Prevs!$C:$AJ,COLUMN() - COLUMN($D49)+2,FALSE)*VLOOKUP($A49,Usinas!$C:$D,2,FALSE)</f>
        <v>233.49780999999996</v>
      </c>
      <c r="X49" s="309">
        <f>VLOOKUP($A49,Prevs!$C:$AJ,COLUMN() - COLUMN($D49)+2,FALSE)*VLOOKUP($A49,Usinas!$C:$D,2,FALSE)</f>
        <v>212.01374999999999</v>
      </c>
      <c r="Y49" s="309">
        <f>VLOOKUP($A49,Prevs!$C:$AJ,COLUMN() - COLUMN($D49)+2,FALSE)*VLOOKUP($A49,Usinas!$C:$D,2,FALSE)</f>
        <v>205.22930999999997</v>
      </c>
      <c r="Z49" s="309">
        <f>VLOOKUP($A49,Prevs!$C:$AJ,COLUMN() - COLUMN($D49)+2,FALSE)*VLOOKUP($A49,Usinas!$C:$D,2,FALSE)</f>
        <v>199.57560999999998</v>
      </c>
      <c r="AA49" s="330">
        <f>VLOOKUP($A49,Prevs!$C:$AJ,COLUMN() - COLUMN($D49)+2,FALSE)*VLOOKUP($A49,Usinas!$C:$D,2,FALSE)</f>
        <v>178.09154999999998</v>
      </c>
      <c r="AE49" s="329">
        <f>VLOOKUP($A49,Prevs!$C:$AJ,COLUMN() - COLUMN($D49)+2,FALSE)*VLOOKUP($A49,Usinas!$C:$D,2,FALSE)</f>
        <v>188.26820999999998</v>
      </c>
      <c r="AF49" s="309">
        <f>VLOOKUP($A49,Prevs!$C:$AJ,COLUMN() - COLUMN($D49)+2,FALSE)*VLOOKUP($A49,Usinas!$C:$D,2,FALSE)</f>
        <v>179.22228999999999</v>
      </c>
      <c r="AG49" s="309">
        <f>VLOOKUP($A49,Prevs!$C:$AJ,COLUMN() - COLUMN($D49)+2,FALSE)*VLOOKUP($A49,Usinas!$C:$D,2,FALSE)</f>
        <v>157.73822999999999</v>
      </c>
      <c r="AH49" s="309">
        <f>VLOOKUP($A49,Prevs!$C:$AJ,COLUMN() - COLUMN($D49)+2,FALSE)*VLOOKUP($A49,Usinas!$C:$D,2,FALSE)</f>
        <v>151.51916</v>
      </c>
      <c r="AI49" s="309">
        <f>VLOOKUP($A49,Prevs!$C:$AJ,COLUMN() - COLUMN($D49)+2,FALSE)*VLOOKUP($A49,Usinas!$C:$D,2,FALSE)</f>
        <v>145.86545999999998</v>
      </c>
      <c r="AJ49" s="330">
        <f>VLOOKUP($A49,Prevs!$C:$AJ,COLUMN() - COLUMN($D49)+2,FALSE)*VLOOKUP($A49,Usinas!$C:$D,2,FALSE)</f>
        <v>135.12342999999998</v>
      </c>
    </row>
    <row r="50" spans="1:37" outlineLevel="1" collapsed="1" x14ac:dyDescent="0.25">
      <c r="A50" s="170"/>
      <c r="B50" s="171" t="s">
        <v>92</v>
      </c>
      <c r="D50" s="174">
        <f t="shared" ref="D50:I50" si="22">D49</f>
        <v>188.26820999999998</v>
      </c>
      <c r="E50" s="59">
        <f t="shared" si="22"/>
        <v>179.22228999999999</v>
      </c>
      <c r="F50" s="59">
        <f t="shared" si="22"/>
        <v>157.73822999999999</v>
      </c>
      <c r="G50" s="59">
        <f t="shared" si="22"/>
        <v>151.51916</v>
      </c>
      <c r="H50" s="59">
        <f t="shared" si="22"/>
        <v>145.86545999999998</v>
      </c>
      <c r="I50" s="175">
        <f t="shared" si="22"/>
        <v>135.12342999999998</v>
      </c>
      <c r="J50" s="423">
        <f ca="1">SUMPRODUCT(D50:I50,Saida!$B$7:$G$7)/SUM(Saida!$B$7:$G$7)</f>
        <v>158.79358733333331</v>
      </c>
      <c r="M50" s="331">
        <f t="shared" ref="M50:R50" si="23">M49</f>
        <v>291.73091999999997</v>
      </c>
      <c r="N50" s="310">
        <f t="shared" si="23"/>
        <v>280.42352</v>
      </c>
      <c r="O50" s="310">
        <f t="shared" si="23"/>
        <v>248.19742999999997</v>
      </c>
      <c r="P50" s="310">
        <f t="shared" si="23"/>
        <v>236.32465999999997</v>
      </c>
      <c r="Q50" s="310">
        <f t="shared" si="23"/>
        <v>225.01725999999996</v>
      </c>
      <c r="R50" s="332">
        <f t="shared" si="23"/>
        <v>214.27522999999999</v>
      </c>
      <c r="S50" s="423">
        <f ca="1">SUMPRODUCT(M50:R50,Saida!$B$7:$G$7)/SUM(Saida!$B$7:$G$7)</f>
        <v>247.85820799999999</v>
      </c>
      <c r="V50" s="331">
        <f t="shared" ref="V50:AA50" si="24">V49</f>
        <v>249.32817</v>
      </c>
      <c r="W50" s="310">
        <f t="shared" si="24"/>
        <v>233.49780999999996</v>
      </c>
      <c r="X50" s="310">
        <f t="shared" si="24"/>
        <v>212.01374999999999</v>
      </c>
      <c r="Y50" s="310">
        <f t="shared" si="24"/>
        <v>205.22930999999997</v>
      </c>
      <c r="Z50" s="310">
        <f t="shared" si="24"/>
        <v>199.57560999999998</v>
      </c>
      <c r="AA50" s="332">
        <f t="shared" si="24"/>
        <v>178.09154999999998</v>
      </c>
      <c r="AB50" s="423">
        <f ca="1">SUMPRODUCT(V50:AA50,Saida!$B$7:$G$7)/SUM(Saida!$B$7:$G$7)</f>
        <v>212.65450266666667</v>
      </c>
      <c r="AE50" s="331">
        <f t="shared" ref="AE50:AJ50" si="25">AE49</f>
        <v>188.26820999999998</v>
      </c>
      <c r="AF50" s="310">
        <f t="shared" si="25"/>
        <v>179.22228999999999</v>
      </c>
      <c r="AG50" s="310">
        <f t="shared" si="25"/>
        <v>157.73822999999999</v>
      </c>
      <c r="AH50" s="310">
        <f t="shared" si="25"/>
        <v>151.51916</v>
      </c>
      <c r="AI50" s="310">
        <f t="shared" si="25"/>
        <v>145.86545999999998</v>
      </c>
      <c r="AJ50" s="332">
        <f t="shared" si="25"/>
        <v>135.12342999999998</v>
      </c>
      <c r="AK50" s="423">
        <f ca="1">SUMPRODUCT(AE50:AJ50,Saida!$B$7:$G$7)/SUM(Saida!$B$7:$G$7)</f>
        <v>158.79358733333331</v>
      </c>
    </row>
    <row r="51" spans="1:37" outlineLevel="1" x14ac:dyDescent="0.25">
      <c r="A51" s="172"/>
      <c r="B51" s="173" t="s">
        <v>13</v>
      </c>
      <c r="D51" s="176"/>
      <c r="E51" s="177"/>
      <c r="F51" s="177"/>
      <c r="G51" s="177"/>
      <c r="H51" s="177"/>
      <c r="I51" s="178"/>
      <c r="J51" s="478">
        <f ca="1">J49</f>
        <v>175.2647</v>
      </c>
      <c r="M51" s="333"/>
      <c r="N51" s="334"/>
      <c r="O51" s="334"/>
      <c r="P51" s="334"/>
      <c r="Q51" s="334"/>
      <c r="R51" s="335"/>
      <c r="V51" s="333"/>
      <c r="W51" s="334"/>
      <c r="X51" s="334"/>
      <c r="Y51" s="334"/>
      <c r="Z51" s="334"/>
      <c r="AA51" s="335"/>
      <c r="AE51" s="333"/>
      <c r="AF51" s="334"/>
      <c r="AG51" s="334"/>
      <c r="AH51" s="334"/>
      <c r="AI51" s="334"/>
      <c r="AJ51" s="335"/>
    </row>
    <row r="52" spans="1:37" outlineLevel="1" x14ac:dyDescent="0.25">
      <c r="A52" s="60"/>
      <c r="B52" s="61"/>
      <c r="D52" s="62"/>
      <c r="E52" s="63"/>
      <c r="F52" s="63"/>
      <c r="G52" s="63"/>
      <c r="H52" s="63"/>
      <c r="I52" s="63"/>
      <c r="M52" s="311"/>
      <c r="N52" s="312"/>
      <c r="O52" s="312"/>
      <c r="P52" s="312"/>
      <c r="Q52" s="312"/>
      <c r="R52" s="312"/>
      <c r="V52" s="311"/>
      <c r="W52" s="312"/>
      <c r="X52" s="312"/>
      <c r="Y52" s="312"/>
      <c r="Z52" s="312"/>
      <c r="AA52" s="312"/>
      <c r="AE52" s="311"/>
      <c r="AF52" s="312"/>
      <c r="AG52" s="312"/>
      <c r="AH52" s="312"/>
      <c r="AI52" s="312"/>
      <c r="AJ52" s="312"/>
    </row>
    <row r="53" spans="1:37" outlineLevel="1" x14ac:dyDescent="0.25">
      <c r="A53" s="168"/>
      <c r="B53" s="169"/>
      <c r="D53" s="503" t="s">
        <v>116</v>
      </c>
      <c r="E53" s="504" t="s">
        <v>94</v>
      </c>
      <c r="F53" s="504" t="s">
        <v>117</v>
      </c>
      <c r="G53" s="504"/>
      <c r="H53" s="504"/>
      <c r="I53" s="505"/>
      <c r="M53" s="503" t="s">
        <v>116</v>
      </c>
      <c r="N53" s="504" t="s">
        <v>94</v>
      </c>
      <c r="O53" s="504" t="s">
        <v>117</v>
      </c>
      <c r="P53" s="504"/>
      <c r="Q53" s="504"/>
      <c r="R53" s="505"/>
      <c r="V53" s="503" t="s">
        <v>116</v>
      </c>
      <c r="W53" s="504" t="s">
        <v>94</v>
      </c>
      <c r="X53" s="504" t="s">
        <v>117</v>
      </c>
      <c r="Y53" s="504"/>
      <c r="Z53" s="504"/>
      <c r="AA53" s="505"/>
      <c r="AE53" s="503" t="s">
        <v>116</v>
      </c>
      <c r="AF53" s="504" t="s">
        <v>94</v>
      </c>
      <c r="AG53" s="504" t="s">
        <v>117</v>
      </c>
      <c r="AH53" s="504"/>
      <c r="AI53" s="504"/>
      <c r="AJ53" s="505"/>
    </row>
    <row r="54" spans="1:37" hidden="1" outlineLevel="2" x14ac:dyDescent="0.25">
      <c r="A54" s="161">
        <v>37</v>
      </c>
      <c r="B54" s="162" t="s">
        <v>118</v>
      </c>
      <c r="D54" s="329">
        <f>VLOOKUP($A54,Prevs!$C:$AJ,COLUMN() - COLUMN($D54)+2,FALSE)*VLOOKUP($A54,Usinas!$C:$D,2,FALSE)</f>
        <v>22.69191</v>
      </c>
      <c r="E54" s="309">
        <f>VLOOKUP($A54,Prevs!$C:$AJ,COLUMN() - COLUMN($D54)+2,FALSE)*VLOOKUP($A54,Usinas!$C:$D,2,FALSE)</f>
        <v>25.896690000000003</v>
      </c>
      <c r="F54" s="309">
        <f>VLOOKUP($A54,Prevs!$C:$AJ,COLUMN() - COLUMN($D54)+2,FALSE)*VLOOKUP($A54,Usinas!$C:$D,2,FALSE)</f>
        <v>22.588529999999999</v>
      </c>
      <c r="G54" s="309">
        <f>VLOOKUP($A54,Prevs!$C:$AJ,COLUMN() - COLUMN($D54)+2,FALSE)*VLOOKUP($A54,Usinas!$C:$D,2,FALSE)</f>
        <v>23.46726</v>
      </c>
      <c r="H54" s="309">
        <f>VLOOKUP($A54,Prevs!$C:$AJ,COLUMN() - COLUMN($D54)+2,FALSE)*VLOOKUP($A54,Usinas!$C:$D,2,FALSE)</f>
        <v>28.11936</v>
      </c>
      <c r="I54" s="330">
        <f>VLOOKUP($A54,Prevs!$C:$AJ,COLUMN() - COLUMN($D54)+2,FALSE)*VLOOKUP($A54,Usinas!$C:$D,2,FALSE)</f>
        <v>22.933129999999998</v>
      </c>
      <c r="J54" s="477">
        <f ca="1">VLOOKUP($A54,Prevs_MLT!$C:$AJ,1+Entrada!$C$4,FALSE)*VLOOKUP($A54,Usinas!$C:$D,2,FALSE)</f>
        <v>55.480600000000003</v>
      </c>
      <c r="M54" s="329">
        <f>VLOOKUP($A54,Prevs!$C:$AJ,COLUMN() - COLUMN($D54)+2,FALSE)*VLOOKUP($A54,Usinas!$C:$D,2,FALSE)</f>
        <v>35.218120000000006</v>
      </c>
      <c r="N54" s="309">
        <f>VLOOKUP($A54,Prevs!$C:$AJ,COLUMN() - COLUMN($D54)+2,FALSE)*VLOOKUP($A54,Usinas!$C:$D,2,FALSE)</f>
        <v>40.214819999999996</v>
      </c>
      <c r="O54" s="309">
        <f>VLOOKUP($A54,Prevs!$C:$AJ,COLUMN() - COLUMN($D54)+2,FALSE)*VLOOKUP($A54,Usinas!$C:$D,2,FALSE)</f>
        <v>34.994129999999998</v>
      </c>
      <c r="P54" s="309">
        <f>VLOOKUP($A54,Prevs!$C:$AJ,COLUMN() - COLUMN($D54)+2,FALSE)*VLOOKUP($A54,Usinas!$C:$D,2,FALSE)</f>
        <v>36.389760000000003</v>
      </c>
      <c r="Q54" s="309">
        <f>VLOOKUP($A54,Prevs!$C:$AJ,COLUMN() - COLUMN($D54)+2,FALSE)*VLOOKUP($A54,Usinas!$C:$D,2,FALSE)</f>
        <v>43.626359999999998</v>
      </c>
      <c r="R54" s="330">
        <f>VLOOKUP($A54,Prevs!$C:$AJ,COLUMN() - COLUMN($D54)+2,FALSE)*VLOOKUP($A54,Usinas!$C:$D,2,FALSE)</f>
        <v>35.511029999999998</v>
      </c>
      <c r="V54" s="329">
        <f>VLOOKUP($A54,Prevs!$C:$AJ,COLUMN() - COLUMN($D54)+2,FALSE)*VLOOKUP($A54,Usinas!$C:$D,2,FALSE)</f>
        <v>29.962970000000002</v>
      </c>
      <c r="W54" s="309">
        <f>VLOOKUP($A54,Prevs!$C:$AJ,COLUMN() - COLUMN($D54)+2,FALSE)*VLOOKUP($A54,Usinas!$C:$D,2,FALSE)</f>
        <v>34.23601</v>
      </c>
      <c r="X54" s="309">
        <f>VLOOKUP($A54,Prevs!$C:$AJ,COLUMN() - COLUMN($D54)+2,FALSE)*VLOOKUP($A54,Usinas!$C:$D,2,FALSE)</f>
        <v>29.72175</v>
      </c>
      <c r="Y54" s="309">
        <f>VLOOKUP($A54,Prevs!$C:$AJ,COLUMN() - COLUMN($D54)+2,FALSE)*VLOOKUP($A54,Usinas!$C:$D,2,FALSE)</f>
        <v>30.790009999999999</v>
      </c>
      <c r="Z54" s="309">
        <f>VLOOKUP($A54,Prevs!$C:$AJ,COLUMN() - COLUMN($D54)+2,FALSE)*VLOOKUP($A54,Usinas!$C:$D,2,FALSE)</f>
        <v>36.992809999999999</v>
      </c>
      <c r="AA54" s="330">
        <f>VLOOKUP($A54,Prevs!$C:$AJ,COLUMN() - COLUMN($D54)+2,FALSE)*VLOOKUP($A54,Usinas!$C:$D,2,FALSE)</f>
        <v>30.23865</v>
      </c>
      <c r="AE54" s="329">
        <f>VLOOKUP($A54,Prevs!$C:$AJ,COLUMN() - COLUMN($D54)+2,FALSE)*VLOOKUP($A54,Usinas!$C:$D,2,FALSE)</f>
        <v>22.69191</v>
      </c>
      <c r="AF54" s="309">
        <f>VLOOKUP($A54,Prevs!$C:$AJ,COLUMN() - COLUMN($D54)+2,FALSE)*VLOOKUP($A54,Usinas!$C:$D,2,FALSE)</f>
        <v>25.896690000000003</v>
      </c>
      <c r="AG54" s="309">
        <f>VLOOKUP($A54,Prevs!$C:$AJ,COLUMN() - COLUMN($D54)+2,FALSE)*VLOOKUP($A54,Usinas!$C:$D,2,FALSE)</f>
        <v>22.588529999999999</v>
      </c>
      <c r="AH54" s="309">
        <f>VLOOKUP($A54,Prevs!$C:$AJ,COLUMN() - COLUMN($D54)+2,FALSE)*VLOOKUP($A54,Usinas!$C:$D,2,FALSE)</f>
        <v>23.46726</v>
      </c>
      <c r="AI54" s="309">
        <f>VLOOKUP($A54,Prevs!$C:$AJ,COLUMN() - COLUMN($D54)+2,FALSE)*VLOOKUP($A54,Usinas!$C:$D,2,FALSE)</f>
        <v>28.11936</v>
      </c>
      <c r="AJ54" s="330">
        <f>VLOOKUP($A54,Prevs!$C:$AJ,COLUMN() - COLUMN($D54)+2,FALSE)*VLOOKUP($A54,Usinas!$C:$D,2,FALSE)</f>
        <v>22.933129999999998</v>
      </c>
    </row>
    <row r="55" spans="1:37" hidden="1" outlineLevel="2" x14ac:dyDescent="0.25">
      <c r="A55" s="161">
        <v>38</v>
      </c>
      <c r="B55" s="162" t="s">
        <v>119</v>
      </c>
      <c r="D55" s="329">
        <f>VLOOKUP($A55,Prevs!$C:$AJ,COLUMN() - COLUMN($D55)+2,FALSE)*VLOOKUP($A55,Usinas!$C:$D,2,FALSE)</f>
        <v>29.851469999999996</v>
      </c>
      <c r="E55" s="309">
        <f>VLOOKUP($A55,Prevs!$C:$AJ,COLUMN() - COLUMN($D55)+2,FALSE)*VLOOKUP($A55,Usinas!$C:$D,2,FALSE)</f>
        <v>33.35013</v>
      </c>
      <c r="F55" s="309">
        <f>VLOOKUP($A55,Prevs!$C:$AJ,COLUMN() - COLUMN($D55)+2,FALSE)*VLOOKUP($A55,Usinas!$C:$D,2,FALSE)</f>
        <v>29.550509999999996</v>
      </c>
      <c r="G55" s="309">
        <f>VLOOKUP($A55,Prevs!$C:$AJ,COLUMN() - COLUMN($D55)+2,FALSE)*VLOOKUP($A55,Usinas!$C:$D,2,FALSE)</f>
        <v>30.509819999999998</v>
      </c>
      <c r="H55" s="309">
        <f>VLOOKUP($A55,Prevs!$C:$AJ,COLUMN() - COLUMN($D55)+2,FALSE)*VLOOKUP($A55,Usinas!$C:$D,2,FALSE)</f>
        <v>35.964719999999993</v>
      </c>
      <c r="I55" s="330">
        <f>VLOOKUP($A55,Prevs!$C:$AJ,COLUMN() - COLUMN($D55)+2,FALSE)*VLOOKUP($A55,Usinas!$C:$D,2,FALSE)</f>
        <v>29.738609999999998</v>
      </c>
      <c r="J55" s="477">
        <f ca="1">VLOOKUP($A55,Prevs_MLT!$C:$AJ,1+Entrada!$C$4,FALSE)*VLOOKUP($A55,Usinas!$C:$D,2,FALSE)</f>
        <v>69.032699999999991</v>
      </c>
      <c r="M55" s="329">
        <f>VLOOKUP($A55,Prevs!$C:$AJ,COLUMN() - COLUMN($D55)+2,FALSE)*VLOOKUP($A55,Usinas!$C:$D,2,FALSE)</f>
        <v>46.347839999999991</v>
      </c>
      <c r="N55" s="309">
        <f>VLOOKUP($A55,Prevs!$C:$AJ,COLUMN() - COLUMN($D55)+2,FALSE)*VLOOKUP($A55,Usinas!$C:$D,2,FALSE)</f>
        <v>51.802739999999993</v>
      </c>
      <c r="O55" s="309">
        <f>VLOOKUP($A55,Prevs!$C:$AJ,COLUMN() - COLUMN($D55)+2,FALSE)*VLOOKUP($A55,Usinas!$C:$D,2,FALSE)</f>
        <v>45.727110000000003</v>
      </c>
      <c r="P55" s="309">
        <f>VLOOKUP($A55,Prevs!$C:$AJ,COLUMN() - COLUMN($D55)+2,FALSE)*VLOOKUP($A55,Usinas!$C:$D,2,FALSE)</f>
        <v>47.250719999999994</v>
      </c>
      <c r="Q55" s="309">
        <f>VLOOKUP($A55,Prevs!$C:$AJ,COLUMN() - COLUMN($D55)+2,FALSE)*VLOOKUP($A55,Usinas!$C:$D,2,FALSE)</f>
        <v>55.903319999999994</v>
      </c>
      <c r="R55" s="330">
        <f>VLOOKUP($A55,Prevs!$C:$AJ,COLUMN() - COLUMN($D55)+2,FALSE)*VLOOKUP($A55,Usinas!$C:$D,2,FALSE)</f>
        <v>46.10331</v>
      </c>
      <c r="V55" s="329">
        <f>VLOOKUP($A55,Prevs!$C:$AJ,COLUMN() - COLUMN($D55)+2,FALSE)*VLOOKUP($A55,Usinas!$C:$D,2,FALSE)</f>
        <v>39.482189999999996</v>
      </c>
      <c r="W55" s="309">
        <f>VLOOKUP($A55,Prevs!$C:$AJ,COLUMN() - COLUMN($D55)+2,FALSE)*VLOOKUP($A55,Usinas!$C:$D,2,FALSE)</f>
        <v>44.147069999999992</v>
      </c>
      <c r="X55" s="309">
        <f>VLOOKUP($A55,Prevs!$C:$AJ,COLUMN() - COLUMN($D55)+2,FALSE)*VLOOKUP($A55,Usinas!$C:$D,2,FALSE)</f>
        <v>38.842649999999999</v>
      </c>
      <c r="Y55" s="309">
        <f>VLOOKUP($A55,Prevs!$C:$AJ,COLUMN() - COLUMN($D55)+2,FALSE)*VLOOKUP($A55,Usinas!$C:$D,2,FALSE)</f>
        <v>40.196969999999993</v>
      </c>
      <c r="Z55" s="309">
        <f>VLOOKUP($A55,Prevs!$C:$AJ,COLUMN() - COLUMN($D55)+2,FALSE)*VLOOKUP($A55,Usinas!$C:$D,2,FALSE)</f>
        <v>47.344769999999997</v>
      </c>
      <c r="AA55" s="330">
        <f>VLOOKUP($A55,Prevs!$C:$AJ,COLUMN() - COLUMN($D55)+2,FALSE)*VLOOKUP($A55,Usinas!$C:$D,2,FALSE)</f>
        <v>39.218849999999996</v>
      </c>
      <c r="AE55" s="329">
        <f>VLOOKUP($A55,Prevs!$C:$AJ,COLUMN() - COLUMN($D55)+2,FALSE)*VLOOKUP($A55,Usinas!$C:$D,2,FALSE)</f>
        <v>29.851469999999996</v>
      </c>
      <c r="AF55" s="309">
        <f>VLOOKUP($A55,Prevs!$C:$AJ,COLUMN() - COLUMN($D55)+2,FALSE)*VLOOKUP($A55,Usinas!$C:$D,2,FALSE)</f>
        <v>33.35013</v>
      </c>
      <c r="AG55" s="309">
        <f>VLOOKUP($A55,Prevs!$C:$AJ,COLUMN() - COLUMN($D55)+2,FALSE)*VLOOKUP($A55,Usinas!$C:$D,2,FALSE)</f>
        <v>29.550509999999996</v>
      </c>
      <c r="AH55" s="309">
        <f>VLOOKUP($A55,Prevs!$C:$AJ,COLUMN() - COLUMN($D55)+2,FALSE)*VLOOKUP($A55,Usinas!$C:$D,2,FALSE)</f>
        <v>30.509819999999998</v>
      </c>
      <c r="AI55" s="309">
        <f>VLOOKUP($A55,Prevs!$C:$AJ,COLUMN() - COLUMN($D55)+2,FALSE)*VLOOKUP($A55,Usinas!$C:$D,2,FALSE)</f>
        <v>35.964719999999993</v>
      </c>
      <c r="AJ55" s="330">
        <f>VLOOKUP($A55,Prevs!$C:$AJ,COLUMN() - COLUMN($D55)+2,FALSE)*VLOOKUP($A55,Usinas!$C:$D,2,FALSE)</f>
        <v>29.738609999999998</v>
      </c>
    </row>
    <row r="56" spans="1:37" hidden="1" outlineLevel="2" x14ac:dyDescent="0.25">
      <c r="A56" s="161">
        <v>39</v>
      </c>
      <c r="B56" s="162" t="s">
        <v>120</v>
      </c>
      <c r="D56" s="329">
        <f>VLOOKUP($A56,Prevs!$C:$AJ,COLUMN() - COLUMN($D56)+2,FALSE)*VLOOKUP($A56,Usinas!$C:$D,2,FALSE)</f>
        <v>40.004640000000002</v>
      </c>
      <c r="E56" s="309">
        <f>VLOOKUP($A56,Prevs!$C:$AJ,COLUMN() - COLUMN($D56)+2,FALSE)*VLOOKUP($A56,Usinas!$C:$D,2,FALSE)</f>
        <v>44.048160000000003</v>
      </c>
      <c r="F56" s="309">
        <f>VLOOKUP($A56,Prevs!$C:$AJ,COLUMN() - COLUMN($D56)+2,FALSE)*VLOOKUP($A56,Usinas!$C:$D,2,FALSE)</f>
        <v>39.892319999999998</v>
      </c>
      <c r="G56" s="309">
        <f>VLOOKUP($A56,Prevs!$C:$AJ,COLUMN() - COLUMN($D56)+2,FALSE)*VLOOKUP($A56,Usinas!$C:$D,2,FALSE)</f>
        <v>40.84704</v>
      </c>
      <c r="H56" s="309">
        <f>VLOOKUP($A56,Prevs!$C:$AJ,COLUMN() - COLUMN($D56)+2,FALSE)*VLOOKUP($A56,Usinas!$C:$D,2,FALSE)</f>
        <v>47.024639999999998</v>
      </c>
      <c r="I56" s="330">
        <f>VLOOKUP($A56,Prevs!$C:$AJ,COLUMN() - COLUMN($D56)+2,FALSE)*VLOOKUP($A56,Usinas!$C:$D,2,FALSE)</f>
        <v>39.705120000000001</v>
      </c>
      <c r="J56" s="477">
        <f ca="1">VLOOKUP($A56,Prevs_MLT!$C:$AJ,1+Entrada!$C$4,FALSE)*VLOOKUP($A56,Usinas!$C:$D,2,FALSE)</f>
        <v>90.417600000000007</v>
      </c>
      <c r="M56" s="329">
        <f>VLOOKUP($A56,Prevs!$C:$AJ,COLUMN() - COLUMN($D56)+2,FALSE)*VLOOKUP($A56,Usinas!$C:$D,2,FALSE)</f>
        <v>62.225279999999998</v>
      </c>
      <c r="N56" s="309">
        <f>VLOOKUP($A56,Prevs!$C:$AJ,COLUMN() - COLUMN($D56)+2,FALSE)*VLOOKUP($A56,Usinas!$C:$D,2,FALSE)</f>
        <v>68.402879999999996</v>
      </c>
      <c r="O56" s="309">
        <f>VLOOKUP($A56,Prevs!$C:$AJ,COLUMN() - COLUMN($D56)+2,FALSE)*VLOOKUP($A56,Usinas!$C:$D,2,FALSE)</f>
        <v>61.794720000000005</v>
      </c>
      <c r="P56" s="309">
        <f>VLOOKUP($A56,Prevs!$C:$AJ,COLUMN() - COLUMN($D56)+2,FALSE)*VLOOKUP($A56,Usinas!$C:$D,2,FALSE)</f>
        <v>63.311039999999998</v>
      </c>
      <c r="Q56" s="309">
        <f>VLOOKUP($A56,Prevs!$C:$AJ,COLUMN() - COLUMN($D56)+2,FALSE)*VLOOKUP($A56,Usinas!$C:$D,2,FALSE)</f>
        <v>73.045439999999999</v>
      </c>
      <c r="R56" s="330">
        <f>VLOOKUP($A56,Prevs!$C:$AJ,COLUMN() - COLUMN($D56)+2,FALSE)*VLOOKUP($A56,Usinas!$C:$D,2,FALSE)</f>
        <v>61.420320000000004</v>
      </c>
      <c r="V56" s="329">
        <f>VLOOKUP($A56,Prevs!$C:$AJ,COLUMN() - COLUMN($D56)+2,FALSE)*VLOOKUP($A56,Usinas!$C:$D,2,FALSE)</f>
        <v>52.771679999999996</v>
      </c>
      <c r="W56" s="309">
        <f>VLOOKUP($A56,Prevs!$C:$AJ,COLUMN() - COLUMN($D56)+2,FALSE)*VLOOKUP($A56,Usinas!$C:$D,2,FALSE)</f>
        <v>58.163040000000002</v>
      </c>
      <c r="X56" s="309">
        <f>VLOOKUP($A56,Prevs!$C:$AJ,COLUMN() - COLUMN($D56)+2,FALSE)*VLOOKUP($A56,Usinas!$C:$D,2,FALSE)</f>
        <v>52.509599999999999</v>
      </c>
      <c r="Y56" s="309">
        <f>VLOOKUP($A56,Prevs!$C:$AJ,COLUMN() - COLUMN($D56)+2,FALSE)*VLOOKUP($A56,Usinas!$C:$D,2,FALSE)</f>
        <v>53.67024</v>
      </c>
      <c r="Z56" s="309">
        <f>VLOOKUP($A56,Prevs!$C:$AJ,COLUMN() - COLUMN($D56)+2,FALSE)*VLOOKUP($A56,Usinas!$C:$D,2,FALSE)</f>
        <v>61.907040000000002</v>
      </c>
      <c r="AA56" s="330">
        <f>VLOOKUP($A56,Prevs!$C:$AJ,COLUMN() - COLUMN($D56)+2,FALSE)*VLOOKUP($A56,Usinas!$C:$D,2,FALSE)</f>
        <v>52.509599999999999</v>
      </c>
      <c r="AE56" s="329">
        <f>VLOOKUP($A56,Prevs!$C:$AJ,COLUMN() - COLUMN($D56)+2,FALSE)*VLOOKUP($A56,Usinas!$C:$D,2,FALSE)</f>
        <v>40.004640000000002</v>
      </c>
      <c r="AF56" s="309">
        <f>VLOOKUP($A56,Prevs!$C:$AJ,COLUMN() - COLUMN($D56)+2,FALSE)*VLOOKUP($A56,Usinas!$C:$D,2,FALSE)</f>
        <v>44.048160000000003</v>
      </c>
      <c r="AG56" s="309">
        <f>VLOOKUP($A56,Prevs!$C:$AJ,COLUMN() - COLUMN($D56)+2,FALSE)*VLOOKUP($A56,Usinas!$C:$D,2,FALSE)</f>
        <v>39.892319999999998</v>
      </c>
      <c r="AH56" s="309">
        <f>VLOOKUP($A56,Prevs!$C:$AJ,COLUMN() - COLUMN($D56)+2,FALSE)*VLOOKUP($A56,Usinas!$C:$D,2,FALSE)</f>
        <v>40.84704</v>
      </c>
      <c r="AI56" s="309">
        <f>VLOOKUP($A56,Prevs!$C:$AJ,COLUMN() - COLUMN($D56)+2,FALSE)*VLOOKUP($A56,Usinas!$C:$D,2,FALSE)</f>
        <v>47.024639999999998</v>
      </c>
      <c r="AJ56" s="330">
        <f>VLOOKUP($A56,Prevs!$C:$AJ,COLUMN() - COLUMN($D56)+2,FALSE)*VLOOKUP($A56,Usinas!$C:$D,2,FALSE)</f>
        <v>39.705120000000001</v>
      </c>
    </row>
    <row r="57" spans="1:37" hidden="1" outlineLevel="2" x14ac:dyDescent="0.25">
      <c r="A57" s="161">
        <v>40</v>
      </c>
      <c r="B57" s="162" t="s">
        <v>121</v>
      </c>
      <c r="D57" s="329">
        <f>VLOOKUP($A57,Prevs!$C:$AJ,COLUMN() - COLUMN($D57)+2,FALSE)*VLOOKUP($A57,Usinas!$C:$D,2,FALSE)</f>
        <v>55.94303</v>
      </c>
      <c r="E57" s="309">
        <f>VLOOKUP($A57,Prevs!$C:$AJ,COLUMN() - COLUMN($D57)+2,FALSE)*VLOOKUP($A57,Usinas!$C:$D,2,FALSE)</f>
        <v>64.096670000000003</v>
      </c>
      <c r="F57" s="309">
        <f>VLOOKUP($A57,Prevs!$C:$AJ,COLUMN() - COLUMN($D57)+2,FALSE)*VLOOKUP($A57,Usinas!$C:$D,2,FALSE)</f>
        <v>61.378790000000002</v>
      </c>
      <c r="G57" s="309">
        <f>VLOOKUP($A57,Prevs!$C:$AJ,COLUMN() - COLUMN($D57)+2,FALSE)*VLOOKUP($A57,Usinas!$C:$D,2,FALSE)</f>
        <v>59.752179999999996</v>
      </c>
      <c r="H57" s="309">
        <f>VLOOKUP($A57,Prevs!$C:$AJ,COLUMN() - COLUMN($D57)+2,FALSE)*VLOOKUP($A57,Usinas!$C:$D,2,FALSE)</f>
        <v>59.546279999999996</v>
      </c>
      <c r="I57" s="330">
        <f>VLOOKUP($A57,Prevs!$C:$AJ,COLUMN() - COLUMN($D57)+2,FALSE)*VLOOKUP($A57,Usinas!$C:$D,2,FALSE)</f>
        <v>74.144590000000008</v>
      </c>
      <c r="J57" s="477">
        <f ca="1">VLOOKUP($A57,Prevs_MLT!$C:$AJ,1+Entrada!$C$4,FALSE)*VLOOKUP($A57,Usinas!$C:$D,2,FALSE)</f>
        <v>114.0686</v>
      </c>
      <c r="M57" s="329">
        <f>VLOOKUP($A57,Prevs!$C:$AJ,COLUMN() - COLUMN($D57)+2,FALSE)*VLOOKUP($A57,Usinas!$C:$D,2,FALSE)</f>
        <v>86.972159999999988</v>
      </c>
      <c r="N57" s="309">
        <f>VLOOKUP($A57,Prevs!$C:$AJ,COLUMN() - COLUMN($D57)+2,FALSE)*VLOOKUP($A57,Usinas!$C:$D,2,FALSE)</f>
        <v>99.532060000000001</v>
      </c>
      <c r="O57" s="309">
        <f>VLOOKUP($A57,Prevs!$C:$AJ,COLUMN() - COLUMN($D57)+2,FALSE)*VLOOKUP($A57,Usinas!$C:$D,2,FALSE)</f>
        <v>95.146390000000011</v>
      </c>
      <c r="P57" s="309">
        <f>VLOOKUP($A57,Prevs!$C:$AJ,COLUMN() - COLUMN($D57)+2,FALSE)*VLOOKUP($A57,Usinas!$C:$D,2,FALSE)</f>
        <v>92.696179999999998</v>
      </c>
      <c r="Q57" s="309">
        <f>VLOOKUP($A57,Prevs!$C:$AJ,COLUMN() - COLUMN($D57)+2,FALSE)*VLOOKUP($A57,Usinas!$C:$D,2,FALSE)</f>
        <v>92.490279999999998</v>
      </c>
      <c r="R57" s="330">
        <f>VLOOKUP($A57,Prevs!$C:$AJ,COLUMN() - COLUMN($D57)+2,FALSE)*VLOOKUP($A57,Usinas!$C:$D,2,FALSE)</f>
        <v>114.91279</v>
      </c>
      <c r="V57" s="329">
        <f>VLOOKUP($A57,Prevs!$C:$AJ,COLUMN() - COLUMN($D57)+2,FALSE)*VLOOKUP($A57,Usinas!$C:$D,2,FALSE)</f>
        <v>73.897509999999997</v>
      </c>
      <c r="W57" s="309">
        <f>VLOOKUP($A57,Prevs!$C:$AJ,COLUMN() - COLUMN($D57)+2,FALSE)*VLOOKUP($A57,Usinas!$C:$D,2,FALSE)</f>
        <v>84.563130000000001</v>
      </c>
      <c r="X57" s="309">
        <f>VLOOKUP($A57,Prevs!$C:$AJ,COLUMN() - COLUMN($D57)+2,FALSE)*VLOOKUP($A57,Usinas!$C:$D,2,FALSE)</f>
        <v>80.815749999999994</v>
      </c>
      <c r="Y57" s="309">
        <f>VLOOKUP($A57,Prevs!$C:$AJ,COLUMN() - COLUMN($D57)+2,FALSE)*VLOOKUP($A57,Usinas!$C:$D,2,FALSE)</f>
        <v>78.592029999999994</v>
      </c>
      <c r="Z57" s="309">
        <f>VLOOKUP($A57,Prevs!$C:$AJ,COLUMN() - COLUMN($D57)+2,FALSE)*VLOOKUP($A57,Usinas!$C:$D,2,FALSE)</f>
        <v>78.386129999999994</v>
      </c>
      <c r="AA57" s="330">
        <f>VLOOKUP($A57,Prevs!$C:$AJ,COLUMN() - COLUMN($D57)+2,FALSE)*VLOOKUP($A57,Usinas!$C:$D,2,FALSE)</f>
        <v>97.905450000000002</v>
      </c>
      <c r="AE57" s="329">
        <f>VLOOKUP($A57,Prevs!$C:$AJ,COLUMN() - COLUMN($D57)+2,FALSE)*VLOOKUP($A57,Usinas!$C:$D,2,FALSE)</f>
        <v>55.94303</v>
      </c>
      <c r="AF57" s="309">
        <f>VLOOKUP($A57,Prevs!$C:$AJ,COLUMN() - COLUMN($D57)+2,FALSE)*VLOOKUP($A57,Usinas!$C:$D,2,FALSE)</f>
        <v>64.096670000000003</v>
      </c>
      <c r="AG57" s="309">
        <f>VLOOKUP($A57,Prevs!$C:$AJ,COLUMN() - COLUMN($D57)+2,FALSE)*VLOOKUP($A57,Usinas!$C:$D,2,FALSE)</f>
        <v>61.378790000000002</v>
      </c>
      <c r="AH57" s="309">
        <f>VLOOKUP($A57,Prevs!$C:$AJ,COLUMN() - COLUMN($D57)+2,FALSE)*VLOOKUP($A57,Usinas!$C:$D,2,FALSE)</f>
        <v>59.752179999999996</v>
      </c>
      <c r="AI57" s="309">
        <f>VLOOKUP($A57,Prevs!$C:$AJ,COLUMN() - COLUMN($D57)+2,FALSE)*VLOOKUP($A57,Usinas!$C:$D,2,FALSE)</f>
        <v>59.546279999999996</v>
      </c>
      <c r="AJ57" s="330">
        <f>VLOOKUP($A57,Prevs!$C:$AJ,COLUMN() - COLUMN($D57)+2,FALSE)*VLOOKUP($A57,Usinas!$C:$D,2,FALSE)</f>
        <v>74.144590000000008</v>
      </c>
    </row>
    <row r="58" spans="1:37" hidden="1" outlineLevel="2" x14ac:dyDescent="0.25">
      <c r="A58" s="161">
        <v>42</v>
      </c>
      <c r="B58" s="162" t="s">
        <v>122</v>
      </c>
      <c r="D58" s="329">
        <f>VLOOKUP($A58,Prevs!$C:$AJ,COLUMN() - COLUMN($D58)+2,FALSE)*VLOOKUP($A58,Usinas!$C:$D,2,FALSE)</f>
        <v>74.830770000000001</v>
      </c>
      <c r="E58" s="309">
        <f>VLOOKUP($A58,Prevs!$C:$AJ,COLUMN() - COLUMN($D58)+2,FALSE)*VLOOKUP($A58,Usinas!$C:$D,2,FALSE)</f>
        <v>86.171130000000005</v>
      </c>
      <c r="F58" s="309">
        <f>VLOOKUP($A58,Prevs!$C:$AJ,COLUMN() - COLUMN($D58)+2,FALSE)*VLOOKUP($A58,Usinas!$C:$D,2,FALSE)</f>
        <v>79.876710000000003</v>
      </c>
      <c r="G58" s="309">
        <f>VLOOKUP($A58,Prevs!$C:$AJ,COLUMN() - COLUMN($D58)+2,FALSE)*VLOOKUP($A58,Usinas!$C:$D,2,FALSE)</f>
        <v>77.821919999999992</v>
      </c>
      <c r="H58" s="309">
        <f>VLOOKUP($A58,Prevs!$C:$AJ,COLUMN() - COLUMN($D58)+2,FALSE)*VLOOKUP($A58,Usinas!$C:$D,2,FALSE)</f>
        <v>77.041619999999995</v>
      </c>
      <c r="I58" s="330">
        <f>VLOOKUP($A58,Prevs!$C:$AJ,COLUMN() - COLUMN($D58)+2,FALSE)*VLOOKUP($A58,Usinas!$C:$D,2,FALSE)</f>
        <v>99.644310000000004</v>
      </c>
      <c r="J58" s="477">
        <f ca="1">VLOOKUP($A58,Prevs_MLT!$C:$AJ,1+Entrada!$C$4,FALSE)*VLOOKUP($A58,Usinas!$C:$D,2,FALSE)</f>
        <v>153.459</v>
      </c>
      <c r="M58" s="329">
        <f>VLOOKUP($A58,Prevs!$C:$AJ,COLUMN() - COLUMN($D58)+2,FALSE)*VLOOKUP($A58,Usinas!$C:$D,2,FALSE)</f>
        <v>116.10863999999999</v>
      </c>
      <c r="N58" s="309">
        <f>VLOOKUP($A58,Prevs!$C:$AJ,COLUMN() - COLUMN($D58)+2,FALSE)*VLOOKUP($A58,Usinas!$C:$D,2,FALSE)</f>
        <v>133.79543999999999</v>
      </c>
      <c r="O58" s="309">
        <f>VLOOKUP($A58,Prevs!$C:$AJ,COLUMN() - COLUMN($D58)+2,FALSE)*VLOOKUP($A58,Usinas!$C:$D,2,FALSE)</f>
        <v>123.83361000000001</v>
      </c>
      <c r="P58" s="309">
        <f>VLOOKUP($A58,Prevs!$C:$AJ,COLUMN() - COLUMN($D58)+2,FALSE)*VLOOKUP($A58,Usinas!$C:$D,2,FALSE)</f>
        <v>120.73841999999999</v>
      </c>
      <c r="Q58" s="309">
        <f>VLOOKUP($A58,Prevs!$C:$AJ,COLUMN() - COLUMN($D58)+2,FALSE)*VLOOKUP($A58,Usinas!$C:$D,2,FALSE)</f>
        <v>119.69802</v>
      </c>
      <c r="R58" s="330">
        <f>VLOOKUP($A58,Prevs!$C:$AJ,COLUMN() - COLUMN($D58)+2,FALSE)*VLOOKUP($A58,Usinas!$C:$D,2,FALSE)</f>
        <v>154.52540999999999</v>
      </c>
      <c r="V58" s="329">
        <f>VLOOKUP($A58,Prevs!$C:$AJ,COLUMN() - COLUMN($D58)+2,FALSE)*VLOOKUP($A58,Usinas!$C:$D,2,FALSE)</f>
        <v>98.811989999999994</v>
      </c>
      <c r="W58" s="309">
        <f>VLOOKUP($A58,Prevs!$C:$AJ,COLUMN() - COLUMN($D58)+2,FALSE)*VLOOKUP($A58,Usinas!$C:$D,2,FALSE)</f>
        <v>113.84577</v>
      </c>
      <c r="X58" s="309">
        <f>VLOOKUP($A58,Prevs!$C:$AJ,COLUMN() - COLUMN($D58)+2,FALSE)*VLOOKUP($A58,Usinas!$C:$D,2,FALSE)</f>
        <v>105.21044999999999</v>
      </c>
      <c r="Y58" s="309">
        <f>VLOOKUP($A58,Prevs!$C:$AJ,COLUMN() - COLUMN($D58)+2,FALSE)*VLOOKUP($A58,Usinas!$C:$D,2,FALSE)</f>
        <v>102.40137</v>
      </c>
      <c r="Z58" s="309">
        <f>VLOOKUP($A58,Prevs!$C:$AJ,COLUMN() - COLUMN($D58)+2,FALSE)*VLOOKUP($A58,Usinas!$C:$D,2,FALSE)</f>
        <v>101.36096999999999</v>
      </c>
      <c r="AA58" s="330">
        <f>VLOOKUP($A58,Prevs!$C:$AJ,COLUMN() - COLUMN($D58)+2,FALSE)*VLOOKUP($A58,Usinas!$C:$D,2,FALSE)</f>
        <v>131.48054999999999</v>
      </c>
      <c r="AE58" s="329">
        <f>VLOOKUP($A58,Prevs!$C:$AJ,COLUMN() - COLUMN($D58)+2,FALSE)*VLOOKUP($A58,Usinas!$C:$D,2,FALSE)</f>
        <v>74.830770000000001</v>
      </c>
      <c r="AF58" s="309">
        <f>VLOOKUP($A58,Prevs!$C:$AJ,COLUMN() - COLUMN($D58)+2,FALSE)*VLOOKUP($A58,Usinas!$C:$D,2,FALSE)</f>
        <v>86.171130000000005</v>
      </c>
      <c r="AG58" s="309">
        <f>VLOOKUP($A58,Prevs!$C:$AJ,COLUMN() - COLUMN($D58)+2,FALSE)*VLOOKUP($A58,Usinas!$C:$D,2,FALSE)</f>
        <v>79.876710000000003</v>
      </c>
      <c r="AH58" s="309">
        <f>VLOOKUP($A58,Prevs!$C:$AJ,COLUMN() - COLUMN($D58)+2,FALSE)*VLOOKUP($A58,Usinas!$C:$D,2,FALSE)</f>
        <v>77.821919999999992</v>
      </c>
      <c r="AI58" s="309">
        <f>VLOOKUP($A58,Prevs!$C:$AJ,COLUMN() - COLUMN($D58)+2,FALSE)*VLOOKUP($A58,Usinas!$C:$D,2,FALSE)</f>
        <v>77.041619999999995</v>
      </c>
      <c r="AJ58" s="330">
        <f>VLOOKUP($A58,Prevs!$C:$AJ,COLUMN() - COLUMN($D58)+2,FALSE)*VLOOKUP($A58,Usinas!$C:$D,2,FALSE)</f>
        <v>99.644310000000004</v>
      </c>
    </row>
    <row r="59" spans="1:37" hidden="1" outlineLevel="2" x14ac:dyDescent="0.25">
      <c r="A59" s="161">
        <v>43</v>
      </c>
      <c r="B59" s="162" t="s">
        <v>123</v>
      </c>
      <c r="D59" s="329">
        <f>VLOOKUP($A59,Prevs!$C:$AJ,COLUMN() - COLUMN($D59)+2,FALSE)*VLOOKUP($A59,Usinas!$C:$D,2,FALSE)</f>
        <v>121.59416999999999</v>
      </c>
      <c r="E59" s="309">
        <f>VLOOKUP($A59,Prevs!$C:$AJ,COLUMN() - COLUMN($D59)+2,FALSE)*VLOOKUP($A59,Usinas!$C:$D,2,FALSE)</f>
        <v>143.28372999999999</v>
      </c>
      <c r="F59" s="309">
        <f>VLOOKUP($A59,Prevs!$C:$AJ,COLUMN() - COLUMN($D59)+2,FALSE)*VLOOKUP($A59,Usinas!$C:$D,2,FALSE)</f>
        <v>124.09081</v>
      </c>
      <c r="G59" s="309">
        <f>VLOOKUP($A59,Prevs!$C:$AJ,COLUMN() - COLUMN($D59)+2,FALSE)*VLOOKUP($A59,Usinas!$C:$D,2,FALSE)</f>
        <v>119.05852</v>
      </c>
      <c r="H59" s="309">
        <f>VLOOKUP($A59,Prevs!$C:$AJ,COLUMN() - COLUMN($D59)+2,FALSE)*VLOOKUP($A59,Usinas!$C:$D,2,FALSE)</f>
        <v>119.05852</v>
      </c>
      <c r="I59" s="330">
        <f>VLOOKUP($A59,Prevs!$C:$AJ,COLUMN() - COLUMN($D59)+2,FALSE)*VLOOKUP($A59,Usinas!$C:$D,2,FALSE)</f>
        <v>156.07901000000001</v>
      </c>
      <c r="J59" s="477">
        <f ca="1">VLOOKUP($A59,Prevs_MLT!$C:$AJ,1+Entrada!$C$4,FALSE)*VLOOKUP($A59,Usinas!$C:$D,2,FALSE)</f>
        <v>247.32339999999999</v>
      </c>
      <c r="M59" s="329">
        <f>VLOOKUP($A59,Prevs!$C:$AJ,COLUMN() - COLUMN($D59)+2,FALSE)*VLOOKUP($A59,Usinas!$C:$D,2,FALSE)</f>
        <v>188.96444</v>
      </c>
      <c r="N59" s="309">
        <f>VLOOKUP($A59,Prevs!$C:$AJ,COLUMN() - COLUMN($D59)+2,FALSE)*VLOOKUP($A59,Usinas!$C:$D,2,FALSE)</f>
        <v>222.51303999999999</v>
      </c>
      <c r="O59" s="309">
        <f>VLOOKUP($A59,Prevs!$C:$AJ,COLUMN() - COLUMN($D59)+2,FALSE)*VLOOKUP($A59,Usinas!$C:$D,2,FALSE)</f>
        <v>192.35831000000002</v>
      </c>
      <c r="P59" s="309">
        <f>VLOOKUP($A59,Prevs!$C:$AJ,COLUMN() - COLUMN($D59)+2,FALSE)*VLOOKUP($A59,Usinas!$C:$D,2,FALSE)</f>
        <v>184.98542</v>
      </c>
      <c r="Q59" s="309">
        <f>VLOOKUP($A59,Prevs!$C:$AJ,COLUMN() - COLUMN($D59)+2,FALSE)*VLOOKUP($A59,Usinas!$C:$D,2,FALSE)</f>
        <v>184.98542</v>
      </c>
      <c r="R59" s="330">
        <f>VLOOKUP($A59,Prevs!$C:$AJ,COLUMN() - COLUMN($D59)+2,FALSE)*VLOOKUP($A59,Usinas!$C:$D,2,FALSE)</f>
        <v>241.90101000000001</v>
      </c>
      <c r="V59" s="329">
        <f>VLOOKUP($A59,Prevs!$C:$AJ,COLUMN() - COLUMN($D59)+2,FALSE)*VLOOKUP($A59,Usinas!$C:$D,2,FALSE)</f>
        <v>160.29209</v>
      </c>
      <c r="W59" s="309">
        <f>VLOOKUP($A59,Prevs!$C:$AJ,COLUMN() - COLUMN($D59)+2,FALSE)*VLOOKUP($A59,Usinas!$C:$D,2,FALSE)</f>
        <v>189.08147000000002</v>
      </c>
      <c r="X59" s="309">
        <f>VLOOKUP($A59,Prevs!$C:$AJ,COLUMN() - COLUMN($D59)+2,FALSE)*VLOOKUP($A59,Usinas!$C:$D,2,FALSE)</f>
        <v>163.64695</v>
      </c>
      <c r="Y59" s="309">
        <f>VLOOKUP($A59,Prevs!$C:$AJ,COLUMN() - COLUMN($D59)+2,FALSE)*VLOOKUP($A59,Usinas!$C:$D,2,FALSE)</f>
        <v>156.70317</v>
      </c>
      <c r="Z59" s="309">
        <f>VLOOKUP($A59,Prevs!$C:$AJ,COLUMN() - COLUMN($D59)+2,FALSE)*VLOOKUP($A59,Usinas!$C:$D,2,FALSE)</f>
        <v>156.70317</v>
      </c>
      <c r="AA59" s="330">
        <f>VLOOKUP($A59,Prevs!$C:$AJ,COLUMN() - COLUMN($D59)+2,FALSE)*VLOOKUP($A59,Usinas!$C:$D,2,FALSE)</f>
        <v>205.77775</v>
      </c>
      <c r="AE59" s="329">
        <f>VLOOKUP($A59,Prevs!$C:$AJ,COLUMN() - COLUMN($D59)+2,FALSE)*VLOOKUP($A59,Usinas!$C:$D,2,FALSE)</f>
        <v>121.59416999999999</v>
      </c>
      <c r="AF59" s="309">
        <f>VLOOKUP($A59,Prevs!$C:$AJ,COLUMN() - COLUMN($D59)+2,FALSE)*VLOOKUP($A59,Usinas!$C:$D,2,FALSE)</f>
        <v>143.28372999999999</v>
      </c>
      <c r="AG59" s="309">
        <f>VLOOKUP($A59,Prevs!$C:$AJ,COLUMN() - COLUMN($D59)+2,FALSE)*VLOOKUP($A59,Usinas!$C:$D,2,FALSE)</f>
        <v>124.09081</v>
      </c>
      <c r="AH59" s="309">
        <f>VLOOKUP($A59,Prevs!$C:$AJ,COLUMN() - COLUMN($D59)+2,FALSE)*VLOOKUP($A59,Usinas!$C:$D,2,FALSE)</f>
        <v>119.05852</v>
      </c>
      <c r="AI59" s="309">
        <f>VLOOKUP($A59,Prevs!$C:$AJ,COLUMN() - COLUMN($D59)+2,FALSE)*VLOOKUP($A59,Usinas!$C:$D,2,FALSE)</f>
        <v>119.05852</v>
      </c>
      <c r="AJ59" s="330">
        <f>VLOOKUP($A59,Prevs!$C:$AJ,COLUMN() - COLUMN($D59)+2,FALSE)*VLOOKUP($A59,Usinas!$C:$D,2,FALSE)</f>
        <v>156.07901000000001</v>
      </c>
    </row>
    <row r="60" spans="1:37" outlineLevel="1" collapsed="1" x14ac:dyDescent="0.25">
      <c r="A60" s="170"/>
      <c r="B60" s="171" t="s">
        <v>92</v>
      </c>
      <c r="D60" s="174">
        <f t="shared" ref="D60:I60" si="26">SUM(D54:D59)</f>
        <v>344.91598999999997</v>
      </c>
      <c r="E60" s="59">
        <f t="shared" si="26"/>
        <v>396.84651000000002</v>
      </c>
      <c r="F60" s="59">
        <f t="shared" si="26"/>
        <v>357.37766999999997</v>
      </c>
      <c r="G60" s="59">
        <f t="shared" si="26"/>
        <v>351.45673999999997</v>
      </c>
      <c r="H60" s="59">
        <f t="shared" si="26"/>
        <v>366.75513999999998</v>
      </c>
      <c r="I60" s="175">
        <f t="shared" si="26"/>
        <v>422.24477000000002</v>
      </c>
      <c r="J60" s="423">
        <f ca="1">SUMPRODUCT(D60:I60,Saida!$B$7:$G$7)/SUM(Saida!$B$7:$G$7)</f>
        <v>369.14043933333323</v>
      </c>
      <c r="M60" s="331">
        <f t="shared" ref="M60:R60" si="27">SUM(M54:M59)</f>
        <v>535.83647999999994</v>
      </c>
      <c r="N60" s="310">
        <f t="shared" si="27"/>
        <v>616.26098000000002</v>
      </c>
      <c r="O60" s="310">
        <f t="shared" si="27"/>
        <v>553.85427000000004</v>
      </c>
      <c r="P60" s="310">
        <f t="shared" si="27"/>
        <v>545.37153999999998</v>
      </c>
      <c r="Q60" s="310">
        <f t="shared" si="27"/>
        <v>569.74883999999997</v>
      </c>
      <c r="R60" s="332">
        <f t="shared" si="27"/>
        <v>654.37387000000001</v>
      </c>
      <c r="S60" s="423">
        <f ca="1">SUMPRODUCT(M60:R60,Saida!$B$7:$G$7)/SUM(Saida!$B$7:$G$7)</f>
        <v>572.8953253333334</v>
      </c>
      <c r="V60" s="331">
        <f t="shared" ref="V60:AA60" si="28">SUM(V54:V59)</f>
        <v>455.21843000000001</v>
      </c>
      <c r="W60" s="310">
        <f t="shared" si="28"/>
        <v>524.03648999999996</v>
      </c>
      <c r="X60" s="310">
        <f t="shared" si="28"/>
        <v>470.74714999999998</v>
      </c>
      <c r="Y60" s="310">
        <f t="shared" si="28"/>
        <v>462.35379</v>
      </c>
      <c r="Z60" s="310">
        <f t="shared" si="28"/>
        <v>482.69488999999999</v>
      </c>
      <c r="AA60" s="332">
        <f t="shared" si="28"/>
        <v>557.13085000000001</v>
      </c>
      <c r="AB60" s="423">
        <f ca="1">SUMPRODUCT(V60:AA60,Saida!$B$7:$G$7)/SUM(Saida!$B$7:$G$7)</f>
        <v>486.37251733333329</v>
      </c>
      <c r="AE60" s="331">
        <f t="shared" ref="AE60:AJ60" si="29">SUM(AE54:AE59)</f>
        <v>344.91598999999997</v>
      </c>
      <c r="AF60" s="310">
        <f t="shared" si="29"/>
        <v>396.84651000000002</v>
      </c>
      <c r="AG60" s="310">
        <f t="shared" si="29"/>
        <v>357.37766999999997</v>
      </c>
      <c r="AH60" s="310">
        <f t="shared" si="29"/>
        <v>351.45673999999997</v>
      </c>
      <c r="AI60" s="310">
        <f t="shared" si="29"/>
        <v>366.75513999999998</v>
      </c>
      <c r="AJ60" s="332">
        <f t="shared" si="29"/>
        <v>422.24477000000002</v>
      </c>
      <c r="AK60" s="423">
        <f ca="1">SUMPRODUCT(AE60:AJ60,Saida!$B$7:$G$7)/SUM(Saida!$B$7:$G$7)</f>
        <v>369.14043933333323</v>
      </c>
    </row>
    <row r="61" spans="1:37" outlineLevel="1" x14ac:dyDescent="0.25">
      <c r="A61" s="172"/>
      <c r="B61" s="173" t="s">
        <v>13</v>
      </c>
      <c r="D61" s="176"/>
      <c r="E61" s="177"/>
      <c r="F61" s="177"/>
      <c r="G61" s="177"/>
      <c r="H61" s="177"/>
      <c r="I61" s="178"/>
      <c r="J61" s="478">
        <f ca="1">SUM(J54:J59)</f>
        <v>729.78189999999995</v>
      </c>
      <c r="M61" s="333"/>
      <c r="N61" s="334"/>
      <c r="O61" s="334"/>
      <c r="P61" s="334"/>
      <c r="Q61" s="334"/>
      <c r="R61" s="335"/>
      <c r="V61" s="333"/>
      <c r="W61" s="334"/>
      <c r="X61" s="334"/>
      <c r="Y61" s="334"/>
      <c r="Z61" s="334"/>
      <c r="AA61" s="335"/>
      <c r="AE61" s="333"/>
      <c r="AF61" s="334"/>
      <c r="AG61" s="334"/>
      <c r="AH61" s="334"/>
      <c r="AI61" s="334"/>
      <c r="AJ61" s="335"/>
    </row>
    <row r="62" spans="1:37" outlineLevel="1" x14ac:dyDescent="0.25">
      <c r="A62" s="60"/>
      <c r="B62" s="61"/>
      <c r="D62" s="62"/>
      <c r="E62" s="63"/>
      <c r="F62" s="63"/>
      <c r="G62" s="63"/>
      <c r="H62" s="63"/>
      <c r="I62" s="63"/>
      <c r="M62" s="311"/>
      <c r="N62" s="312"/>
      <c r="O62" s="312"/>
      <c r="P62" s="312"/>
      <c r="Q62" s="312"/>
      <c r="R62" s="312"/>
      <c r="V62" s="311"/>
      <c r="W62" s="312"/>
      <c r="X62" s="312"/>
      <c r="Y62" s="312"/>
      <c r="Z62" s="312"/>
      <c r="AA62" s="312"/>
      <c r="AE62" s="311"/>
      <c r="AF62" s="312"/>
      <c r="AG62" s="312"/>
      <c r="AH62" s="312"/>
      <c r="AI62" s="312"/>
      <c r="AJ62" s="312"/>
    </row>
    <row r="63" spans="1:37" outlineLevel="1" x14ac:dyDescent="0.25">
      <c r="A63" s="168"/>
      <c r="B63" s="169"/>
      <c r="D63" s="503" t="s">
        <v>124</v>
      </c>
      <c r="E63" s="504" t="s">
        <v>94</v>
      </c>
      <c r="F63" s="504" t="s">
        <v>125</v>
      </c>
      <c r="G63" s="504"/>
      <c r="H63" s="504"/>
      <c r="I63" s="505"/>
      <c r="M63" s="503" t="s">
        <v>124</v>
      </c>
      <c r="N63" s="504" t="s">
        <v>94</v>
      </c>
      <c r="O63" s="504" t="s">
        <v>125</v>
      </c>
      <c r="P63" s="504"/>
      <c r="Q63" s="504"/>
      <c r="R63" s="505"/>
      <c r="V63" s="503" t="s">
        <v>124</v>
      </c>
      <c r="W63" s="504" t="s">
        <v>94</v>
      </c>
      <c r="X63" s="504" t="s">
        <v>125</v>
      </c>
      <c r="Y63" s="504"/>
      <c r="Z63" s="504"/>
      <c r="AA63" s="505"/>
      <c r="AE63" s="503" t="s">
        <v>124</v>
      </c>
      <c r="AF63" s="504" t="s">
        <v>94</v>
      </c>
      <c r="AG63" s="504" t="s">
        <v>125</v>
      </c>
      <c r="AH63" s="504"/>
      <c r="AI63" s="504"/>
      <c r="AJ63" s="505"/>
    </row>
    <row r="64" spans="1:37" hidden="1" outlineLevel="2" x14ac:dyDescent="0.25">
      <c r="A64" s="161">
        <v>47</v>
      </c>
      <c r="B64" s="162" t="s">
        <v>126</v>
      </c>
      <c r="D64" s="329">
        <f>VLOOKUP($A64,Prevs!$C:$AJ,COLUMN() - COLUMN($D64)+2,FALSE)*VLOOKUP($A64,Usinas!$C:$D,2,FALSE)</f>
        <v>45.353000000000002</v>
      </c>
      <c r="E64" s="309">
        <f>VLOOKUP($A64,Prevs!$C:$AJ,COLUMN() - COLUMN($D64)+2,FALSE)*VLOOKUP($A64,Usinas!$C:$D,2,FALSE)</f>
        <v>50.619800000000005</v>
      </c>
      <c r="F64" s="309">
        <f>VLOOKUP($A64,Prevs!$C:$AJ,COLUMN() - COLUMN($D64)+2,FALSE)*VLOOKUP($A64,Usinas!$C:$D,2,FALSE)</f>
        <v>48.864200000000004</v>
      </c>
      <c r="G64" s="309">
        <f>VLOOKUP($A64,Prevs!$C:$AJ,COLUMN() - COLUMN($D64)+2,FALSE)*VLOOKUP($A64,Usinas!$C:$D,2,FALSE)</f>
        <v>48.279000000000003</v>
      </c>
      <c r="H64" s="309">
        <f>VLOOKUP($A64,Prevs!$C:$AJ,COLUMN() - COLUMN($D64)+2,FALSE)*VLOOKUP($A64,Usinas!$C:$D,2,FALSE)</f>
        <v>47.401200000000003</v>
      </c>
      <c r="I64" s="330">
        <f>VLOOKUP($A64,Prevs!$C:$AJ,COLUMN() - COLUMN($D64)+2,FALSE)*VLOOKUP($A64,Usinas!$C:$D,2,FALSE)</f>
        <v>44.182600000000001</v>
      </c>
      <c r="J64" s="477">
        <f ca="1">VLOOKUP($A64,Prevs_MLT!$C:$AJ,1+Entrada!$C$4,FALSE)*VLOOKUP($A64,Usinas!$C:$D,2,FALSE)</f>
        <v>56.471800000000002</v>
      </c>
      <c r="M64" s="329">
        <f>VLOOKUP($A64,Prevs!$C:$AJ,COLUMN() - COLUMN($D64)+2,FALSE)*VLOOKUP($A64,Usinas!$C:$D,2,FALSE)</f>
        <v>70.516600000000011</v>
      </c>
      <c r="N64" s="309">
        <f>VLOOKUP($A64,Prevs!$C:$AJ,COLUMN() - COLUMN($D64)+2,FALSE)*VLOOKUP($A64,Usinas!$C:$D,2,FALSE)</f>
        <v>78.709400000000002</v>
      </c>
      <c r="O64" s="309">
        <f>VLOOKUP($A64,Prevs!$C:$AJ,COLUMN() - COLUMN($D64)+2,FALSE)*VLOOKUP($A64,Usinas!$C:$D,2,FALSE)</f>
        <v>75.7834</v>
      </c>
      <c r="P64" s="309">
        <f>VLOOKUP($A64,Prevs!$C:$AJ,COLUMN() - COLUMN($D64)+2,FALSE)*VLOOKUP($A64,Usinas!$C:$D,2,FALSE)</f>
        <v>74.905600000000007</v>
      </c>
      <c r="Q64" s="309">
        <f>VLOOKUP($A64,Prevs!$C:$AJ,COLUMN() - COLUMN($D64)+2,FALSE)*VLOOKUP($A64,Usinas!$C:$D,2,FALSE)</f>
        <v>73.735200000000006</v>
      </c>
      <c r="R64" s="330">
        <f>VLOOKUP($A64,Prevs!$C:$AJ,COLUMN() - COLUMN($D64)+2,FALSE)*VLOOKUP($A64,Usinas!$C:$D,2,FALSE)</f>
        <v>68.76100000000001</v>
      </c>
      <c r="V64" s="329">
        <f>VLOOKUP($A64,Prevs!$C:$AJ,COLUMN() - COLUMN($D64)+2,FALSE)*VLOOKUP($A64,Usinas!$C:$D,2,FALSE)</f>
        <v>59.690400000000004</v>
      </c>
      <c r="W64" s="309">
        <f>VLOOKUP($A64,Prevs!$C:$AJ,COLUMN() - COLUMN($D64)+2,FALSE)*VLOOKUP($A64,Usinas!$C:$D,2,FALSE)</f>
        <v>66.712800000000001</v>
      </c>
      <c r="X64" s="309">
        <f>VLOOKUP($A64,Prevs!$C:$AJ,COLUMN() - COLUMN($D64)+2,FALSE)*VLOOKUP($A64,Usinas!$C:$D,2,FALSE)</f>
        <v>64.372</v>
      </c>
      <c r="Y64" s="309">
        <f>VLOOKUP($A64,Prevs!$C:$AJ,COLUMN() - COLUMN($D64)+2,FALSE)*VLOOKUP($A64,Usinas!$C:$D,2,FALSE)</f>
        <v>63.786800000000007</v>
      </c>
      <c r="Z64" s="309">
        <f>VLOOKUP($A64,Prevs!$C:$AJ,COLUMN() - COLUMN($D64)+2,FALSE)*VLOOKUP($A64,Usinas!$C:$D,2,FALSE)</f>
        <v>62.616400000000006</v>
      </c>
      <c r="AA64" s="330">
        <f>VLOOKUP($A64,Prevs!$C:$AJ,COLUMN() - COLUMN($D64)+2,FALSE)*VLOOKUP($A64,Usinas!$C:$D,2,FALSE)</f>
        <v>58.227400000000003</v>
      </c>
      <c r="AE64" s="329">
        <f>VLOOKUP($A64,Prevs!$C:$AJ,COLUMN() - COLUMN($D64)+2,FALSE)*VLOOKUP($A64,Usinas!$C:$D,2,FALSE)</f>
        <v>45.353000000000002</v>
      </c>
      <c r="AF64" s="309">
        <f>VLOOKUP($A64,Prevs!$C:$AJ,COLUMN() - COLUMN($D64)+2,FALSE)*VLOOKUP($A64,Usinas!$C:$D,2,FALSE)</f>
        <v>50.619800000000005</v>
      </c>
      <c r="AG64" s="309">
        <f>VLOOKUP($A64,Prevs!$C:$AJ,COLUMN() - COLUMN($D64)+2,FALSE)*VLOOKUP($A64,Usinas!$C:$D,2,FALSE)</f>
        <v>48.864200000000004</v>
      </c>
      <c r="AH64" s="309">
        <f>VLOOKUP($A64,Prevs!$C:$AJ,COLUMN() - COLUMN($D64)+2,FALSE)*VLOOKUP($A64,Usinas!$C:$D,2,FALSE)</f>
        <v>48.279000000000003</v>
      </c>
      <c r="AI64" s="309">
        <f>VLOOKUP($A64,Prevs!$C:$AJ,COLUMN() - COLUMN($D64)+2,FALSE)*VLOOKUP($A64,Usinas!$C:$D,2,FALSE)</f>
        <v>47.401200000000003</v>
      </c>
      <c r="AJ64" s="330">
        <f>VLOOKUP($A64,Prevs!$C:$AJ,COLUMN() - COLUMN($D64)+2,FALSE)*VLOOKUP($A64,Usinas!$C:$D,2,FALSE)</f>
        <v>44.182600000000001</v>
      </c>
    </row>
    <row r="65" spans="1:37" hidden="1" outlineLevel="2" x14ac:dyDescent="0.25">
      <c r="A65" s="161">
        <v>48</v>
      </c>
      <c r="B65" s="162" t="s">
        <v>127</v>
      </c>
      <c r="D65" s="329">
        <f>VLOOKUP($A65,Prevs!$C:$AJ,COLUMN() - COLUMN($D65)+2,FALSE)*VLOOKUP($A65,Usinas!$C:$D,2,FALSE)</f>
        <v>36.735999999999997</v>
      </c>
      <c r="E65" s="309">
        <f>VLOOKUP($A65,Prevs!$C:$AJ,COLUMN() - COLUMN($D65)+2,FALSE)*VLOOKUP($A65,Usinas!$C:$D,2,FALSE)</f>
        <v>40.8688</v>
      </c>
      <c r="F65" s="309">
        <f>VLOOKUP($A65,Prevs!$C:$AJ,COLUMN() - COLUMN($D65)+2,FALSE)*VLOOKUP($A65,Usinas!$C:$D,2,FALSE)</f>
        <v>39.261600000000001</v>
      </c>
      <c r="G65" s="309">
        <f>VLOOKUP($A65,Prevs!$C:$AJ,COLUMN() - COLUMN($D65)+2,FALSE)*VLOOKUP($A65,Usinas!$C:$D,2,FALSE)</f>
        <v>38.802399999999999</v>
      </c>
      <c r="H65" s="309">
        <f>VLOOKUP($A65,Prevs!$C:$AJ,COLUMN() - COLUMN($D65)+2,FALSE)*VLOOKUP($A65,Usinas!$C:$D,2,FALSE)</f>
        <v>38.113599999999998</v>
      </c>
      <c r="I65" s="330">
        <f>VLOOKUP($A65,Prevs!$C:$AJ,COLUMN() - COLUMN($D65)+2,FALSE)*VLOOKUP($A65,Usinas!$C:$D,2,FALSE)</f>
        <v>35.358400000000003</v>
      </c>
      <c r="J65" s="477">
        <f ca="1">VLOOKUP($A65,Prevs_MLT!$C:$AJ,1+Entrada!$C$4,FALSE)*VLOOKUP($A65,Usinas!$C:$D,2,FALSE)</f>
        <v>45.231200000000001</v>
      </c>
      <c r="M65" s="329">
        <f>VLOOKUP($A65,Prevs!$C:$AJ,COLUMN() - COLUMN($D65)+2,FALSE)*VLOOKUP($A65,Usinas!$C:$D,2,FALSE)</f>
        <v>57.170400000000001</v>
      </c>
      <c r="N65" s="309">
        <f>VLOOKUP($A65,Prevs!$C:$AJ,COLUMN() - COLUMN($D65)+2,FALSE)*VLOOKUP($A65,Usinas!$C:$D,2,FALSE)</f>
        <v>63.369599999999998</v>
      </c>
      <c r="O65" s="309">
        <f>VLOOKUP($A65,Prevs!$C:$AJ,COLUMN() - COLUMN($D65)+2,FALSE)*VLOOKUP($A65,Usinas!$C:$D,2,FALSE)</f>
        <v>61.073599999999999</v>
      </c>
      <c r="P65" s="309">
        <f>VLOOKUP($A65,Prevs!$C:$AJ,COLUMN() - COLUMN($D65)+2,FALSE)*VLOOKUP($A65,Usinas!$C:$D,2,FALSE)</f>
        <v>60.155200000000001</v>
      </c>
      <c r="Q65" s="309">
        <f>VLOOKUP($A65,Prevs!$C:$AJ,COLUMN() - COLUMN($D65)+2,FALSE)*VLOOKUP($A65,Usinas!$C:$D,2,FALSE)</f>
        <v>59.236800000000002</v>
      </c>
      <c r="R65" s="330">
        <f>VLOOKUP($A65,Prevs!$C:$AJ,COLUMN() - COLUMN($D65)+2,FALSE)*VLOOKUP($A65,Usinas!$C:$D,2,FALSE)</f>
        <v>54.874400000000001</v>
      </c>
      <c r="V65" s="329">
        <f>VLOOKUP($A65,Prevs!$C:$AJ,COLUMN() - COLUMN($D65)+2,FALSE)*VLOOKUP($A65,Usinas!$C:$D,2,FALSE)</f>
        <v>48.445599999999999</v>
      </c>
      <c r="W65" s="309">
        <f>VLOOKUP($A65,Prevs!$C:$AJ,COLUMN() - COLUMN($D65)+2,FALSE)*VLOOKUP($A65,Usinas!$C:$D,2,FALSE)</f>
        <v>53.956000000000003</v>
      </c>
      <c r="X65" s="309">
        <f>VLOOKUP($A65,Prevs!$C:$AJ,COLUMN() - COLUMN($D65)+2,FALSE)*VLOOKUP($A65,Usinas!$C:$D,2,FALSE)</f>
        <v>51.66</v>
      </c>
      <c r="Y65" s="309">
        <f>VLOOKUP($A65,Prevs!$C:$AJ,COLUMN() - COLUMN($D65)+2,FALSE)*VLOOKUP($A65,Usinas!$C:$D,2,FALSE)</f>
        <v>51.200800000000001</v>
      </c>
      <c r="Z65" s="309">
        <f>VLOOKUP($A65,Prevs!$C:$AJ,COLUMN() - COLUMN($D65)+2,FALSE)*VLOOKUP($A65,Usinas!$C:$D,2,FALSE)</f>
        <v>50.282400000000003</v>
      </c>
      <c r="AA65" s="330">
        <f>VLOOKUP($A65,Prevs!$C:$AJ,COLUMN() - COLUMN($D65)+2,FALSE)*VLOOKUP($A65,Usinas!$C:$D,2,FALSE)</f>
        <v>46.608800000000002</v>
      </c>
      <c r="AE65" s="329">
        <f>VLOOKUP($A65,Prevs!$C:$AJ,COLUMN() - COLUMN($D65)+2,FALSE)*VLOOKUP($A65,Usinas!$C:$D,2,FALSE)</f>
        <v>36.735999999999997</v>
      </c>
      <c r="AF65" s="309">
        <f>VLOOKUP($A65,Prevs!$C:$AJ,COLUMN() - COLUMN($D65)+2,FALSE)*VLOOKUP($A65,Usinas!$C:$D,2,FALSE)</f>
        <v>40.8688</v>
      </c>
      <c r="AG65" s="309">
        <f>VLOOKUP($A65,Prevs!$C:$AJ,COLUMN() - COLUMN($D65)+2,FALSE)*VLOOKUP($A65,Usinas!$C:$D,2,FALSE)</f>
        <v>39.261600000000001</v>
      </c>
      <c r="AH65" s="309">
        <f>VLOOKUP($A65,Prevs!$C:$AJ,COLUMN() - COLUMN($D65)+2,FALSE)*VLOOKUP($A65,Usinas!$C:$D,2,FALSE)</f>
        <v>38.802399999999999</v>
      </c>
      <c r="AI65" s="309">
        <f>VLOOKUP($A65,Prevs!$C:$AJ,COLUMN() - COLUMN($D65)+2,FALSE)*VLOOKUP($A65,Usinas!$C:$D,2,FALSE)</f>
        <v>38.113599999999998</v>
      </c>
      <c r="AJ65" s="330">
        <f>VLOOKUP($A65,Prevs!$C:$AJ,COLUMN() - COLUMN($D65)+2,FALSE)*VLOOKUP($A65,Usinas!$C:$D,2,FALSE)</f>
        <v>35.358400000000003</v>
      </c>
    </row>
    <row r="66" spans="1:37" hidden="1" outlineLevel="2" x14ac:dyDescent="0.25">
      <c r="A66" s="161">
        <v>49</v>
      </c>
      <c r="B66" s="162" t="s">
        <v>128</v>
      </c>
      <c r="D66" s="329">
        <f>VLOOKUP($A66,Prevs!$C:$AJ,COLUMN() - COLUMN($D66)+2,FALSE)*VLOOKUP($A66,Usinas!$C:$D,2,FALSE)</f>
        <v>158.04910000000001</v>
      </c>
      <c r="E66" s="309">
        <f>VLOOKUP($A66,Prevs!$C:$AJ,COLUMN() - COLUMN($D66)+2,FALSE)*VLOOKUP($A66,Usinas!$C:$D,2,FALSE)</f>
        <v>169.2937</v>
      </c>
      <c r="F66" s="309">
        <f>VLOOKUP($A66,Prevs!$C:$AJ,COLUMN() - COLUMN($D66)+2,FALSE)*VLOOKUP($A66,Usinas!$C:$D,2,FALSE)</f>
        <v>163.67140000000001</v>
      </c>
      <c r="G66" s="309">
        <f>VLOOKUP($A66,Prevs!$C:$AJ,COLUMN() - COLUMN($D66)+2,FALSE)*VLOOKUP($A66,Usinas!$C:$D,2,FALSE)</f>
        <v>161.17260000000002</v>
      </c>
      <c r="H66" s="309">
        <f>VLOOKUP($A66,Prevs!$C:$AJ,COLUMN() - COLUMN($D66)+2,FALSE)*VLOOKUP($A66,Usinas!$C:$D,2,FALSE)</f>
        <v>158.04910000000001</v>
      </c>
      <c r="I66" s="330">
        <f>VLOOKUP($A66,Prevs!$C:$AJ,COLUMN() - COLUMN($D66)+2,FALSE)*VLOOKUP($A66,Usinas!$C:$D,2,FALSE)</f>
        <v>146.1798</v>
      </c>
      <c r="J66" s="477">
        <f ca="1">VLOOKUP($A66,Prevs_MLT!$C:$AJ,1+Entrada!$C$4,FALSE)*VLOOKUP($A66,Usinas!$C:$D,2,FALSE)</f>
        <v>188.03470000000002</v>
      </c>
      <c r="M66" s="329">
        <f>VLOOKUP($A66,Prevs!$C:$AJ,COLUMN() - COLUMN($D66)+2,FALSE)*VLOOKUP($A66,Usinas!$C:$D,2,FALSE)</f>
        <v>245.50710000000001</v>
      </c>
      <c r="N66" s="309">
        <f>VLOOKUP($A66,Prevs!$C:$AJ,COLUMN() - COLUMN($D66)+2,FALSE)*VLOOKUP($A66,Usinas!$C:$D,2,FALSE)</f>
        <v>262.99870000000004</v>
      </c>
      <c r="O66" s="309">
        <f>VLOOKUP($A66,Prevs!$C:$AJ,COLUMN() - COLUMN($D66)+2,FALSE)*VLOOKUP($A66,Usinas!$C:$D,2,FALSE)</f>
        <v>254.25290000000001</v>
      </c>
      <c r="P66" s="309">
        <f>VLOOKUP($A66,Prevs!$C:$AJ,COLUMN() - COLUMN($D66)+2,FALSE)*VLOOKUP($A66,Usinas!$C:$D,2,FALSE)</f>
        <v>250.50470000000001</v>
      </c>
      <c r="Q66" s="309">
        <f>VLOOKUP($A66,Prevs!$C:$AJ,COLUMN() - COLUMN($D66)+2,FALSE)*VLOOKUP($A66,Usinas!$C:$D,2,FALSE)</f>
        <v>245.50710000000001</v>
      </c>
      <c r="R66" s="330">
        <f>VLOOKUP($A66,Prevs!$C:$AJ,COLUMN() - COLUMN($D66)+2,FALSE)*VLOOKUP($A66,Usinas!$C:$D,2,FALSE)</f>
        <v>226.76610000000002</v>
      </c>
      <c r="V66" s="329">
        <f>VLOOKUP($A66,Prevs!$C:$AJ,COLUMN() - COLUMN($D66)+2,FALSE)*VLOOKUP($A66,Usinas!$C:$D,2,FALSE)</f>
        <v>208.6498</v>
      </c>
      <c r="W66" s="309">
        <f>VLOOKUP($A66,Prevs!$C:$AJ,COLUMN() - COLUMN($D66)+2,FALSE)*VLOOKUP($A66,Usinas!$C:$D,2,FALSE)</f>
        <v>223.01790000000003</v>
      </c>
      <c r="X66" s="309">
        <f>VLOOKUP($A66,Prevs!$C:$AJ,COLUMN() - COLUMN($D66)+2,FALSE)*VLOOKUP($A66,Usinas!$C:$D,2,FALSE)</f>
        <v>215.5215</v>
      </c>
      <c r="Y66" s="309">
        <f>VLOOKUP($A66,Prevs!$C:$AJ,COLUMN() - COLUMN($D66)+2,FALSE)*VLOOKUP($A66,Usinas!$C:$D,2,FALSE)</f>
        <v>212.39800000000002</v>
      </c>
      <c r="Z66" s="309">
        <f>VLOOKUP($A66,Prevs!$C:$AJ,COLUMN() - COLUMN($D66)+2,FALSE)*VLOOKUP($A66,Usinas!$C:$D,2,FALSE)</f>
        <v>208.6498</v>
      </c>
      <c r="AA66" s="330">
        <f>VLOOKUP($A66,Prevs!$C:$AJ,COLUMN() - COLUMN($D66)+2,FALSE)*VLOOKUP($A66,Usinas!$C:$D,2,FALSE)</f>
        <v>193.03230000000002</v>
      </c>
      <c r="AE66" s="329">
        <f>VLOOKUP($A66,Prevs!$C:$AJ,COLUMN() - COLUMN($D66)+2,FALSE)*VLOOKUP($A66,Usinas!$C:$D,2,FALSE)</f>
        <v>158.04910000000001</v>
      </c>
      <c r="AF66" s="309">
        <f>VLOOKUP($A66,Prevs!$C:$AJ,COLUMN() - COLUMN($D66)+2,FALSE)*VLOOKUP($A66,Usinas!$C:$D,2,FALSE)</f>
        <v>169.2937</v>
      </c>
      <c r="AG66" s="309">
        <f>VLOOKUP($A66,Prevs!$C:$AJ,COLUMN() - COLUMN($D66)+2,FALSE)*VLOOKUP($A66,Usinas!$C:$D,2,FALSE)</f>
        <v>163.67140000000001</v>
      </c>
      <c r="AH66" s="309">
        <f>VLOOKUP($A66,Prevs!$C:$AJ,COLUMN() - COLUMN($D66)+2,FALSE)*VLOOKUP($A66,Usinas!$C:$D,2,FALSE)</f>
        <v>161.17260000000002</v>
      </c>
      <c r="AI66" s="309">
        <f>VLOOKUP($A66,Prevs!$C:$AJ,COLUMN() - COLUMN($D66)+2,FALSE)*VLOOKUP($A66,Usinas!$C:$D,2,FALSE)</f>
        <v>158.04910000000001</v>
      </c>
      <c r="AJ66" s="330">
        <f>VLOOKUP($A66,Prevs!$C:$AJ,COLUMN() - COLUMN($D66)+2,FALSE)*VLOOKUP($A66,Usinas!$C:$D,2,FALSE)</f>
        <v>146.1798</v>
      </c>
    </row>
    <row r="67" spans="1:37" hidden="1" outlineLevel="2" x14ac:dyDescent="0.25">
      <c r="A67" s="161">
        <v>249</v>
      </c>
      <c r="B67" s="162" t="s">
        <v>129</v>
      </c>
      <c r="D67" s="329">
        <f>VLOOKUP($A67,Prevs!$C:$AJ,COLUMN() - COLUMN($D67)+2,FALSE)*VLOOKUP($A67,Usinas!$C:$D,2,FALSE)</f>
        <v>24.166399999999999</v>
      </c>
      <c r="E67" s="309">
        <f>VLOOKUP($A67,Prevs!$C:$AJ,COLUMN() - COLUMN($D67)+2,FALSE)*VLOOKUP($A67,Usinas!$C:$D,2,FALSE)</f>
        <v>25.96</v>
      </c>
      <c r="F67" s="309">
        <f>VLOOKUP($A67,Prevs!$C:$AJ,COLUMN() - COLUMN($D67)+2,FALSE)*VLOOKUP($A67,Usinas!$C:$D,2,FALSE)</f>
        <v>25.110399999999998</v>
      </c>
      <c r="G67" s="309">
        <f>VLOOKUP($A67,Prevs!$C:$AJ,COLUMN() - COLUMN($D67)+2,FALSE)*VLOOKUP($A67,Usinas!$C:$D,2,FALSE)</f>
        <v>24.638400000000001</v>
      </c>
      <c r="H67" s="309">
        <f>VLOOKUP($A67,Prevs!$C:$AJ,COLUMN() - COLUMN($D67)+2,FALSE)*VLOOKUP($A67,Usinas!$C:$D,2,FALSE)</f>
        <v>24.166399999999999</v>
      </c>
      <c r="I67" s="330">
        <f>VLOOKUP($A67,Prevs!$C:$AJ,COLUMN() - COLUMN($D67)+2,FALSE)*VLOOKUP($A67,Usinas!$C:$D,2,FALSE)</f>
        <v>22.467199999999998</v>
      </c>
      <c r="J67" s="477">
        <f ca="1">VLOOKUP($A67,Prevs_MLT!$C:$AJ,1+Entrada!$C$4,FALSE)*VLOOKUP($A67,Usinas!$C:$D,2,FALSE)</f>
        <v>28.791999999999998</v>
      </c>
      <c r="M67" s="329">
        <f>VLOOKUP($A67,Prevs!$C:$AJ,COLUMN() - COLUMN($D67)+2,FALSE)*VLOOKUP($A67,Usinas!$C:$D,2,FALSE)</f>
        <v>37.571199999999997</v>
      </c>
      <c r="N67" s="309">
        <f>VLOOKUP($A67,Prevs!$C:$AJ,COLUMN() - COLUMN($D67)+2,FALSE)*VLOOKUP($A67,Usinas!$C:$D,2,FALSE)</f>
        <v>40.308799999999998</v>
      </c>
      <c r="O67" s="309">
        <f>VLOOKUP($A67,Prevs!$C:$AJ,COLUMN() - COLUMN($D67)+2,FALSE)*VLOOKUP($A67,Usinas!$C:$D,2,FALSE)</f>
        <v>38.987200000000001</v>
      </c>
      <c r="P67" s="309">
        <f>VLOOKUP($A67,Prevs!$C:$AJ,COLUMN() - COLUMN($D67)+2,FALSE)*VLOOKUP($A67,Usinas!$C:$D,2,FALSE)</f>
        <v>38.231999999999999</v>
      </c>
      <c r="Q67" s="309">
        <f>VLOOKUP($A67,Prevs!$C:$AJ,COLUMN() - COLUMN($D67)+2,FALSE)*VLOOKUP($A67,Usinas!$C:$D,2,FALSE)</f>
        <v>37.571199999999997</v>
      </c>
      <c r="R67" s="330">
        <f>VLOOKUP($A67,Prevs!$C:$AJ,COLUMN() - COLUMN($D67)+2,FALSE)*VLOOKUP($A67,Usinas!$C:$D,2,FALSE)</f>
        <v>34.927999999999997</v>
      </c>
      <c r="V67" s="329">
        <f>VLOOKUP($A67,Prevs!$C:$AJ,COLUMN() - COLUMN($D67)+2,FALSE)*VLOOKUP($A67,Usinas!$C:$D,2,FALSE)</f>
        <v>31.9072</v>
      </c>
      <c r="W67" s="309">
        <f>VLOOKUP($A67,Prevs!$C:$AJ,COLUMN() - COLUMN($D67)+2,FALSE)*VLOOKUP($A67,Usinas!$C:$D,2,FALSE)</f>
        <v>34.267200000000003</v>
      </c>
      <c r="X67" s="309">
        <f>VLOOKUP($A67,Prevs!$C:$AJ,COLUMN() - COLUMN($D67)+2,FALSE)*VLOOKUP($A67,Usinas!$C:$D,2,FALSE)</f>
        <v>33.134399999999999</v>
      </c>
      <c r="Y67" s="309">
        <f>VLOOKUP($A67,Prevs!$C:$AJ,COLUMN() - COLUMN($D67)+2,FALSE)*VLOOKUP($A67,Usinas!$C:$D,2,FALSE)</f>
        <v>32.473599999999998</v>
      </c>
      <c r="Z67" s="309">
        <f>VLOOKUP($A67,Prevs!$C:$AJ,COLUMN() - COLUMN($D67)+2,FALSE)*VLOOKUP($A67,Usinas!$C:$D,2,FALSE)</f>
        <v>31.9072</v>
      </c>
      <c r="AA67" s="330">
        <f>VLOOKUP($A67,Prevs!$C:$AJ,COLUMN() - COLUMN($D67)+2,FALSE)*VLOOKUP($A67,Usinas!$C:$D,2,FALSE)</f>
        <v>29.6416</v>
      </c>
      <c r="AE67" s="329">
        <f>VLOOKUP($A67,Prevs!$C:$AJ,COLUMN() - COLUMN($D67)+2,FALSE)*VLOOKUP($A67,Usinas!$C:$D,2,FALSE)</f>
        <v>24.166399999999999</v>
      </c>
      <c r="AF67" s="309">
        <f>VLOOKUP($A67,Prevs!$C:$AJ,COLUMN() - COLUMN($D67)+2,FALSE)*VLOOKUP($A67,Usinas!$C:$D,2,FALSE)</f>
        <v>25.96</v>
      </c>
      <c r="AG67" s="309">
        <f>VLOOKUP($A67,Prevs!$C:$AJ,COLUMN() - COLUMN($D67)+2,FALSE)*VLOOKUP($A67,Usinas!$C:$D,2,FALSE)</f>
        <v>25.110399999999998</v>
      </c>
      <c r="AH67" s="309">
        <f>VLOOKUP($A67,Prevs!$C:$AJ,COLUMN() - COLUMN($D67)+2,FALSE)*VLOOKUP($A67,Usinas!$C:$D,2,FALSE)</f>
        <v>24.638400000000001</v>
      </c>
      <c r="AI67" s="309">
        <f>VLOOKUP($A67,Prevs!$C:$AJ,COLUMN() - COLUMN($D67)+2,FALSE)*VLOOKUP($A67,Usinas!$C:$D,2,FALSE)</f>
        <v>24.166399999999999</v>
      </c>
      <c r="AJ67" s="330">
        <f>VLOOKUP($A67,Prevs!$C:$AJ,COLUMN() - COLUMN($D67)+2,FALSE)*VLOOKUP($A67,Usinas!$C:$D,2,FALSE)</f>
        <v>22.467199999999998</v>
      </c>
    </row>
    <row r="68" spans="1:37" hidden="1" outlineLevel="2" x14ac:dyDescent="0.25">
      <c r="A68" s="161">
        <v>50</v>
      </c>
      <c r="B68" s="162" t="s">
        <v>130</v>
      </c>
      <c r="D68" s="329">
        <f>VLOOKUP($A68,Prevs!$C:$AJ,COLUMN() - COLUMN($D68)+2,FALSE)*VLOOKUP($A68,Usinas!$C:$D,2,FALSE)</f>
        <v>49.401000000000003</v>
      </c>
      <c r="E68" s="309">
        <f>VLOOKUP($A68,Prevs!$C:$AJ,COLUMN() - COLUMN($D68)+2,FALSE)*VLOOKUP($A68,Usinas!$C:$D,2,FALSE)</f>
        <v>54.4908</v>
      </c>
      <c r="F68" s="309">
        <f>VLOOKUP($A68,Prevs!$C:$AJ,COLUMN() - COLUMN($D68)+2,FALSE)*VLOOKUP($A68,Usinas!$C:$D,2,FALSE)</f>
        <v>52.694400000000002</v>
      </c>
      <c r="G68" s="309">
        <f>VLOOKUP($A68,Prevs!$C:$AJ,COLUMN() - COLUMN($D68)+2,FALSE)*VLOOKUP($A68,Usinas!$C:$D,2,FALSE)</f>
        <v>52.095599999999997</v>
      </c>
      <c r="H68" s="309">
        <f>VLOOKUP($A68,Prevs!$C:$AJ,COLUMN() - COLUMN($D68)+2,FALSE)*VLOOKUP($A68,Usinas!$C:$D,2,FALSE)</f>
        <v>51.197400000000002</v>
      </c>
      <c r="I68" s="330">
        <f>VLOOKUP($A68,Prevs!$C:$AJ,COLUMN() - COLUMN($D68)+2,FALSE)*VLOOKUP($A68,Usinas!$C:$D,2,FALSE)</f>
        <v>47.604599999999998</v>
      </c>
      <c r="J68" s="477">
        <f ca="1">VLOOKUP($A68,Prevs_MLT!$C:$AJ,1+Entrada!$C$4,FALSE)*VLOOKUP($A68,Usinas!$C:$D,2,FALSE)</f>
        <v>61.2273</v>
      </c>
      <c r="M68" s="329">
        <f>VLOOKUP($A68,Prevs!$C:$AJ,COLUMN() - COLUMN($D68)+2,FALSE)*VLOOKUP($A68,Usinas!$C:$D,2,FALSE)</f>
        <v>76.796099999999996</v>
      </c>
      <c r="N68" s="309">
        <f>VLOOKUP($A68,Prevs!$C:$AJ,COLUMN() - COLUMN($D68)+2,FALSE)*VLOOKUP($A68,Usinas!$C:$D,2,FALSE)</f>
        <v>84.580500000000001</v>
      </c>
      <c r="O68" s="309">
        <f>VLOOKUP($A68,Prevs!$C:$AJ,COLUMN() - COLUMN($D68)+2,FALSE)*VLOOKUP($A68,Usinas!$C:$D,2,FALSE)</f>
        <v>81.885900000000007</v>
      </c>
      <c r="P68" s="309">
        <f>VLOOKUP($A68,Prevs!$C:$AJ,COLUMN() - COLUMN($D68)+2,FALSE)*VLOOKUP($A68,Usinas!$C:$D,2,FALSE)</f>
        <v>80.987700000000004</v>
      </c>
      <c r="Q68" s="309">
        <f>VLOOKUP($A68,Prevs!$C:$AJ,COLUMN() - COLUMN($D68)+2,FALSE)*VLOOKUP($A68,Usinas!$C:$D,2,FALSE)</f>
        <v>79.490700000000004</v>
      </c>
      <c r="R68" s="330">
        <f>VLOOKUP($A68,Prevs!$C:$AJ,COLUMN() - COLUMN($D68)+2,FALSE)*VLOOKUP($A68,Usinas!$C:$D,2,FALSE)</f>
        <v>73.951800000000006</v>
      </c>
      <c r="V68" s="329">
        <f>VLOOKUP($A68,Prevs!$C:$AJ,COLUMN() - COLUMN($D68)+2,FALSE)*VLOOKUP($A68,Usinas!$C:$D,2,FALSE)</f>
        <v>65.119500000000002</v>
      </c>
      <c r="W68" s="309">
        <f>VLOOKUP($A68,Prevs!$C:$AJ,COLUMN() - COLUMN($D68)+2,FALSE)*VLOOKUP($A68,Usinas!$C:$D,2,FALSE)</f>
        <v>71.855999999999995</v>
      </c>
      <c r="X68" s="309">
        <f>VLOOKUP($A68,Prevs!$C:$AJ,COLUMN() - COLUMN($D68)+2,FALSE)*VLOOKUP($A68,Usinas!$C:$D,2,FALSE)</f>
        <v>69.460800000000006</v>
      </c>
      <c r="Y68" s="309">
        <f>VLOOKUP($A68,Prevs!$C:$AJ,COLUMN() - COLUMN($D68)+2,FALSE)*VLOOKUP($A68,Usinas!$C:$D,2,FALSE)</f>
        <v>68.712299999999999</v>
      </c>
      <c r="Z68" s="309">
        <f>VLOOKUP($A68,Prevs!$C:$AJ,COLUMN() - COLUMN($D68)+2,FALSE)*VLOOKUP($A68,Usinas!$C:$D,2,FALSE)</f>
        <v>67.514700000000005</v>
      </c>
      <c r="AA68" s="330">
        <f>VLOOKUP($A68,Prevs!$C:$AJ,COLUMN() - COLUMN($D68)+2,FALSE)*VLOOKUP($A68,Usinas!$C:$D,2,FALSE)</f>
        <v>62.724299999999999</v>
      </c>
      <c r="AE68" s="329">
        <f>VLOOKUP($A68,Prevs!$C:$AJ,COLUMN() - COLUMN($D68)+2,FALSE)*VLOOKUP($A68,Usinas!$C:$D,2,FALSE)</f>
        <v>49.401000000000003</v>
      </c>
      <c r="AF68" s="309">
        <f>VLOOKUP($A68,Prevs!$C:$AJ,COLUMN() - COLUMN($D68)+2,FALSE)*VLOOKUP($A68,Usinas!$C:$D,2,FALSE)</f>
        <v>54.4908</v>
      </c>
      <c r="AG68" s="309">
        <f>VLOOKUP($A68,Prevs!$C:$AJ,COLUMN() - COLUMN($D68)+2,FALSE)*VLOOKUP($A68,Usinas!$C:$D,2,FALSE)</f>
        <v>52.694400000000002</v>
      </c>
      <c r="AH68" s="309">
        <f>VLOOKUP($A68,Prevs!$C:$AJ,COLUMN() - COLUMN($D68)+2,FALSE)*VLOOKUP($A68,Usinas!$C:$D,2,FALSE)</f>
        <v>52.095599999999997</v>
      </c>
      <c r="AI68" s="309">
        <f>VLOOKUP($A68,Prevs!$C:$AJ,COLUMN() - COLUMN($D68)+2,FALSE)*VLOOKUP($A68,Usinas!$C:$D,2,FALSE)</f>
        <v>51.197400000000002</v>
      </c>
      <c r="AJ68" s="330">
        <f>VLOOKUP($A68,Prevs!$C:$AJ,COLUMN() - COLUMN($D68)+2,FALSE)*VLOOKUP($A68,Usinas!$C:$D,2,FALSE)</f>
        <v>47.604599999999998</v>
      </c>
    </row>
    <row r="69" spans="1:37" hidden="1" outlineLevel="2" x14ac:dyDescent="0.25">
      <c r="A69" s="161">
        <v>51</v>
      </c>
      <c r="B69" s="162" t="s">
        <v>131</v>
      </c>
      <c r="D69" s="329">
        <f>VLOOKUP($A69,Prevs!$C:$AJ,COLUMN() - COLUMN($D69)+2,FALSE)*VLOOKUP($A69,Usinas!$C:$D,2,FALSE)</f>
        <v>43.310399999999994</v>
      </c>
      <c r="E69" s="309">
        <f>VLOOKUP($A69,Prevs!$C:$AJ,COLUMN() - COLUMN($D69)+2,FALSE)*VLOOKUP($A69,Usinas!$C:$D,2,FALSE)</f>
        <v>47.950799999999994</v>
      </c>
      <c r="F69" s="309">
        <f>VLOOKUP($A69,Prevs!$C:$AJ,COLUMN() - COLUMN($D69)+2,FALSE)*VLOOKUP($A69,Usinas!$C:$D,2,FALSE)</f>
        <v>46.403999999999996</v>
      </c>
      <c r="G69" s="309">
        <f>VLOOKUP($A69,Prevs!$C:$AJ,COLUMN() - COLUMN($D69)+2,FALSE)*VLOOKUP($A69,Usinas!$C:$D,2,FALSE)</f>
        <v>45.630599999999994</v>
      </c>
      <c r="H69" s="309">
        <f>VLOOKUP($A69,Prevs!$C:$AJ,COLUMN() - COLUMN($D69)+2,FALSE)*VLOOKUP($A69,Usinas!$C:$D,2,FALSE)</f>
        <v>44.857199999999999</v>
      </c>
      <c r="I69" s="330">
        <f>VLOOKUP($A69,Prevs!$C:$AJ,COLUMN() - COLUMN($D69)+2,FALSE)*VLOOKUP($A69,Usinas!$C:$D,2,FALSE)</f>
        <v>41.763599999999997</v>
      </c>
      <c r="J69" s="477">
        <f ca="1">VLOOKUP($A69,Prevs_MLT!$C:$AJ,1+Entrada!$C$4,FALSE)*VLOOKUP($A69,Usinas!$C:$D,2,FALSE)</f>
        <v>53.751299999999993</v>
      </c>
      <c r="M69" s="329">
        <f>VLOOKUP($A69,Prevs!$C:$AJ,COLUMN() - COLUMN($D69)+2,FALSE)*VLOOKUP($A69,Usinas!$C:$D,2,FALSE)</f>
        <v>67.285799999999995</v>
      </c>
      <c r="N69" s="309">
        <f>VLOOKUP($A69,Prevs!$C:$AJ,COLUMN() - COLUMN($D69)+2,FALSE)*VLOOKUP($A69,Usinas!$C:$D,2,FALSE)</f>
        <v>74.504199999999997</v>
      </c>
      <c r="O69" s="309">
        <f>VLOOKUP($A69,Prevs!$C:$AJ,COLUMN() - COLUMN($D69)+2,FALSE)*VLOOKUP($A69,Usinas!$C:$D,2,FALSE)</f>
        <v>72.055099999999996</v>
      </c>
      <c r="P69" s="309">
        <f>VLOOKUP($A69,Prevs!$C:$AJ,COLUMN() - COLUMN($D69)+2,FALSE)*VLOOKUP($A69,Usinas!$C:$D,2,FALSE)</f>
        <v>70.894999999999996</v>
      </c>
      <c r="Q69" s="309">
        <f>VLOOKUP($A69,Prevs!$C:$AJ,COLUMN() - COLUMN($D69)+2,FALSE)*VLOOKUP($A69,Usinas!$C:$D,2,FALSE)</f>
        <v>69.734899999999996</v>
      </c>
      <c r="R69" s="330">
        <f>VLOOKUP($A69,Prevs!$C:$AJ,COLUMN() - COLUMN($D69)+2,FALSE)*VLOOKUP($A69,Usinas!$C:$D,2,FALSE)</f>
        <v>64.836699999999993</v>
      </c>
      <c r="V69" s="329">
        <f>VLOOKUP($A69,Prevs!$C:$AJ,COLUMN() - COLUMN($D69)+2,FALSE)*VLOOKUP($A69,Usinas!$C:$D,2,FALSE)</f>
        <v>57.102699999999992</v>
      </c>
      <c r="W69" s="309">
        <f>VLOOKUP($A69,Prevs!$C:$AJ,COLUMN() - COLUMN($D69)+2,FALSE)*VLOOKUP($A69,Usinas!$C:$D,2,FALSE)</f>
        <v>63.289899999999996</v>
      </c>
      <c r="X69" s="309">
        <f>VLOOKUP($A69,Prevs!$C:$AJ,COLUMN() - COLUMN($D69)+2,FALSE)*VLOOKUP($A69,Usinas!$C:$D,2,FALSE)</f>
        <v>61.227499999999992</v>
      </c>
      <c r="Y69" s="309">
        <f>VLOOKUP($A69,Prevs!$C:$AJ,COLUMN() - COLUMN($D69)+2,FALSE)*VLOOKUP($A69,Usinas!$C:$D,2,FALSE)</f>
        <v>60.196299999999994</v>
      </c>
      <c r="Z69" s="309">
        <f>VLOOKUP($A69,Prevs!$C:$AJ,COLUMN() - COLUMN($D69)+2,FALSE)*VLOOKUP($A69,Usinas!$C:$D,2,FALSE)</f>
        <v>59.165099999999995</v>
      </c>
      <c r="AA69" s="330">
        <f>VLOOKUP($A69,Prevs!$C:$AJ,COLUMN() - COLUMN($D69)+2,FALSE)*VLOOKUP($A69,Usinas!$C:$D,2,FALSE)</f>
        <v>55.040299999999995</v>
      </c>
      <c r="AE69" s="329">
        <f>VLOOKUP($A69,Prevs!$C:$AJ,COLUMN() - COLUMN($D69)+2,FALSE)*VLOOKUP($A69,Usinas!$C:$D,2,FALSE)</f>
        <v>43.310399999999994</v>
      </c>
      <c r="AF69" s="309">
        <f>VLOOKUP($A69,Prevs!$C:$AJ,COLUMN() - COLUMN($D69)+2,FALSE)*VLOOKUP($A69,Usinas!$C:$D,2,FALSE)</f>
        <v>47.950799999999994</v>
      </c>
      <c r="AG69" s="309">
        <f>VLOOKUP($A69,Prevs!$C:$AJ,COLUMN() - COLUMN($D69)+2,FALSE)*VLOOKUP($A69,Usinas!$C:$D,2,FALSE)</f>
        <v>46.403999999999996</v>
      </c>
      <c r="AH69" s="309">
        <f>VLOOKUP($A69,Prevs!$C:$AJ,COLUMN() - COLUMN($D69)+2,FALSE)*VLOOKUP($A69,Usinas!$C:$D,2,FALSE)</f>
        <v>45.630599999999994</v>
      </c>
      <c r="AI69" s="309">
        <f>VLOOKUP($A69,Prevs!$C:$AJ,COLUMN() - COLUMN($D69)+2,FALSE)*VLOOKUP($A69,Usinas!$C:$D,2,FALSE)</f>
        <v>44.857199999999999</v>
      </c>
      <c r="AJ69" s="330">
        <f>VLOOKUP($A69,Prevs!$C:$AJ,COLUMN() - COLUMN($D69)+2,FALSE)*VLOOKUP($A69,Usinas!$C:$D,2,FALSE)</f>
        <v>41.763599999999997</v>
      </c>
    </row>
    <row r="70" spans="1:37" hidden="1" outlineLevel="2" x14ac:dyDescent="0.25">
      <c r="A70" s="161">
        <v>52</v>
      </c>
      <c r="B70" s="162" t="s">
        <v>132</v>
      </c>
      <c r="D70" s="329">
        <f>VLOOKUP($A70,Prevs!$C:$AJ,COLUMN() - COLUMN($D70)+2,FALSE)*VLOOKUP($A70,Usinas!$C:$D,2,FALSE)</f>
        <v>52.664100000000005</v>
      </c>
      <c r="E70" s="309">
        <f>VLOOKUP($A70,Prevs!$C:$AJ,COLUMN() - COLUMN($D70)+2,FALSE)*VLOOKUP($A70,Usinas!$C:$D,2,FALSE)</f>
        <v>58.398299999999999</v>
      </c>
      <c r="F70" s="309">
        <f>VLOOKUP($A70,Prevs!$C:$AJ,COLUMN() - COLUMN($D70)+2,FALSE)*VLOOKUP($A70,Usinas!$C:$D,2,FALSE)</f>
        <v>56.587500000000006</v>
      </c>
      <c r="G70" s="309">
        <f>VLOOKUP($A70,Prevs!$C:$AJ,COLUMN() - COLUMN($D70)+2,FALSE)*VLOOKUP($A70,Usinas!$C:$D,2,FALSE)</f>
        <v>55.682100000000005</v>
      </c>
      <c r="H70" s="309">
        <f>VLOOKUP($A70,Prevs!$C:$AJ,COLUMN() - COLUMN($D70)+2,FALSE)*VLOOKUP($A70,Usinas!$C:$D,2,FALSE)</f>
        <v>54.776700000000005</v>
      </c>
      <c r="I70" s="330">
        <f>VLOOKUP($A70,Prevs!$C:$AJ,COLUMN() - COLUMN($D70)+2,FALSE)*VLOOKUP($A70,Usinas!$C:$D,2,FALSE)</f>
        <v>50.853300000000004</v>
      </c>
      <c r="J70" s="477">
        <f ca="1">VLOOKUP($A70,Prevs_MLT!$C:$AJ,1+Entrada!$C$4,FALSE)*VLOOKUP($A70,Usinas!$C:$D,2,FALSE)</f>
        <v>65.490600000000001</v>
      </c>
      <c r="M70" s="329">
        <f>VLOOKUP($A70,Prevs!$C:$AJ,COLUMN() - COLUMN($D70)+2,FALSE)*VLOOKUP($A70,Usinas!$C:$D,2,FALSE)</f>
        <v>81.787800000000004</v>
      </c>
      <c r="N70" s="309">
        <f>VLOOKUP($A70,Prevs!$C:$AJ,COLUMN() - COLUMN($D70)+2,FALSE)*VLOOKUP($A70,Usinas!$C:$D,2,FALSE)</f>
        <v>90.690899999999999</v>
      </c>
      <c r="O70" s="309">
        <f>VLOOKUP($A70,Prevs!$C:$AJ,COLUMN() - COLUMN($D70)+2,FALSE)*VLOOKUP($A70,Usinas!$C:$D,2,FALSE)</f>
        <v>87.823800000000006</v>
      </c>
      <c r="P70" s="309">
        <f>VLOOKUP($A70,Prevs!$C:$AJ,COLUMN() - COLUMN($D70)+2,FALSE)*VLOOKUP($A70,Usinas!$C:$D,2,FALSE)</f>
        <v>86.465699999999998</v>
      </c>
      <c r="Q70" s="309">
        <f>VLOOKUP($A70,Prevs!$C:$AJ,COLUMN() - COLUMN($D70)+2,FALSE)*VLOOKUP($A70,Usinas!$C:$D,2,FALSE)</f>
        <v>85.107600000000005</v>
      </c>
      <c r="R70" s="330">
        <f>VLOOKUP($A70,Prevs!$C:$AJ,COLUMN() - COLUMN($D70)+2,FALSE)*VLOOKUP($A70,Usinas!$C:$D,2,FALSE)</f>
        <v>78.920699999999997</v>
      </c>
      <c r="V70" s="329">
        <f>VLOOKUP($A70,Prevs!$C:$AJ,COLUMN() - COLUMN($D70)+2,FALSE)*VLOOKUP($A70,Usinas!$C:$D,2,FALSE)</f>
        <v>69.414000000000001</v>
      </c>
      <c r="W70" s="309">
        <f>VLOOKUP($A70,Prevs!$C:$AJ,COLUMN() - COLUMN($D70)+2,FALSE)*VLOOKUP($A70,Usinas!$C:$D,2,FALSE)</f>
        <v>76.959000000000003</v>
      </c>
      <c r="X70" s="309">
        <f>VLOOKUP($A70,Prevs!$C:$AJ,COLUMN() - COLUMN($D70)+2,FALSE)*VLOOKUP($A70,Usinas!$C:$D,2,FALSE)</f>
        <v>74.544600000000003</v>
      </c>
      <c r="Y70" s="309">
        <f>VLOOKUP($A70,Prevs!$C:$AJ,COLUMN() - COLUMN($D70)+2,FALSE)*VLOOKUP($A70,Usinas!$C:$D,2,FALSE)</f>
        <v>73.48830000000001</v>
      </c>
      <c r="Z70" s="309">
        <f>VLOOKUP($A70,Prevs!$C:$AJ,COLUMN() - COLUMN($D70)+2,FALSE)*VLOOKUP($A70,Usinas!$C:$D,2,FALSE)</f>
        <v>72.281100000000009</v>
      </c>
      <c r="AA70" s="330">
        <f>VLOOKUP($A70,Prevs!$C:$AJ,COLUMN() - COLUMN($D70)+2,FALSE)*VLOOKUP($A70,Usinas!$C:$D,2,FALSE)</f>
        <v>66.999600000000001</v>
      </c>
      <c r="AE70" s="329">
        <f>VLOOKUP($A70,Prevs!$C:$AJ,COLUMN() - COLUMN($D70)+2,FALSE)*VLOOKUP($A70,Usinas!$C:$D,2,FALSE)</f>
        <v>52.664100000000005</v>
      </c>
      <c r="AF70" s="309">
        <f>VLOOKUP($A70,Prevs!$C:$AJ,COLUMN() - COLUMN($D70)+2,FALSE)*VLOOKUP($A70,Usinas!$C:$D,2,FALSE)</f>
        <v>58.398299999999999</v>
      </c>
      <c r="AG70" s="309">
        <f>VLOOKUP($A70,Prevs!$C:$AJ,COLUMN() - COLUMN($D70)+2,FALSE)*VLOOKUP($A70,Usinas!$C:$D,2,FALSE)</f>
        <v>56.587500000000006</v>
      </c>
      <c r="AH70" s="309">
        <f>VLOOKUP($A70,Prevs!$C:$AJ,COLUMN() - COLUMN($D70)+2,FALSE)*VLOOKUP($A70,Usinas!$C:$D,2,FALSE)</f>
        <v>55.682100000000005</v>
      </c>
      <c r="AI70" s="309">
        <f>VLOOKUP($A70,Prevs!$C:$AJ,COLUMN() - COLUMN($D70)+2,FALSE)*VLOOKUP($A70,Usinas!$C:$D,2,FALSE)</f>
        <v>54.776700000000005</v>
      </c>
      <c r="AJ70" s="330">
        <f>VLOOKUP($A70,Prevs!$C:$AJ,COLUMN() - COLUMN($D70)+2,FALSE)*VLOOKUP($A70,Usinas!$C:$D,2,FALSE)</f>
        <v>50.853300000000004</v>
      </c>
    </row>
    <row r="71" spans="1:37" hidden="1" outlineLevel="2" x14ac:dyDescent="0.25">
      <c r="A71" s="161">
        <v>61</v>
      </c>
      <c r="B71" s="162" t="s">
        <v>133</v>
      </c>
      <c r="D71" s="329">
        <f>VLOOKUP($A71,Prevs!$C:$AJ,COLUMN() - COLUMN($D71)+2,FALSE)*VLOOKUP($A71,Usinas!$C:$D,2,FALSE)</f>
        <v>294.36159999999995</v>
      </c>
      <c r="E71" s="309">
        <f>VLOOKUP($A71,Prevs!$C:$AJ,COLUMN() - COLUMN($D71)+2,FALSE)*VLOOKUP($A71,Usinas!$C:$D,2,FALSE)</f>
        <v>316.26239999999996</v>
      </c>
      <c r="F71" s="309">
        <f>VLOOKUP($A71,Prevs!$C:$AJ,COLUMN() - COLUMN($D71)+2,FALSE)*VLOOKUP($A71,Usinas!$C:$D,2,FALSE)</f>
        <v>328.88319999999999</v>
      </c>
      <c r="G71" s="309">
        <f>VLOOKUP($A71,Prevs!$C:$AJ,COLUMN() - COLUMN($D71)+2,FALSE)*VLOOKUP($A71,Usinas!$C:$D,2,FALSE)</f>
        <v>322.94399999999996</v>
      </c>
      <c r="H71" s="309">
        <f>VLOOKUP($A71,Prevs!$C:$AJ,COLUMN() - COLUMN($D71)+2,FALSE)*VLOOKUP($A71,Usinas!$C:$D,2,FALSE)</f>
        <v>257.61279999999999</v>
      </c>
      <c r="I71" s="330">
        <f>VLOOKUP($A71,Prevs!$C:$AJ,COLUMN() - COLUMN($D71)+2,FALSE)*VLOOKUP($A71,Usinas!$C:$D,2,FALSE)</f>
        <v>263.92320000000001</v>
      </c>
      <c r="J71" s="477">
        <f ca="1">VLOOKUP($A71,Prevs_MLT!$C:$AJ,1+Entrada!$C$4,FALSE)*VLOOKUP($A71,Usinas!$C:$D,2,FALSE)</f>
        <v>364.51839999999999</v>
      </c>
      <c r="M71" s="329">
        <f>VLOOKUP($A71,Prevs!$C:$AJ,COLUMN() - COLUMN($D71)+2,FALSE)*VLOOKUP($A71,Usinas!$C:$D,2,FALSE)</f>
        <v>407.20639999999997</v>
      </c>
      <c r="N71" s="309">
        <f>VLOOKUP($A71,Prevs!$C:$AJ,COLUMN() - COLUMN($D71)+2,FALSE)*VLOOKUP($A71,Usinas!$C:$D,2,FALSE)</f>
        <v>443.95519999999999</v>
      </c>
      <c r="O71" s="309">
        <f>VLOOKUP($A71,Prevs!$C:$AJ,COLUMN() - COLUMN($D71)+2,FALSE)*VLOOKUP($A71,Usinas!$C:$D,2,FALSE)</f>
        <v>469.93919999999997</v>
      </c>
      <c r="P71" s="309">
        <f>VLOOKUP($A71,Prevs!$C:$AJ,COLUMN() - COLUMN($D71)+2,FALSE)*VLOOKUP($A71,Usinas!$C:$D,2,FALSE)</f>
        <v>461.40159999999997</v>
      </c>
      <c r="Q71" s="309">
        <f>VLOOKUP($A71,Prevs!$C:$AJ,COLUMN() - COLUMN($D71)+2,FALSE)*VLOOKUP($A71,Usinas!$C:$D,2,FALSE)</f>
        <v>354.49599999999998</v>
      </c>
      <c r="R71" s="330">
        <f>VLOOKUP($A71,Prevs!$C:$AJ,COLUMN() - COLUMN($D71)+2,FALSE)*VLOOKUP($A71,Usinas!$C:$D,2,FALSE)</f>
        <v>376.0256</v>
      </c>
      <c r="V71" s="329">
        <f>VLOOKUP($A71,Prevs!$C:$AJ,COLUMN() - COLUMN($D71)+2,FALSE)*VLOOKUP($A71,Usinas!$C:$D,2,FALSE)</f>
        <v>353.75359999999995</v>
      </c>
      <c r="W71" s="309">
        <f>VLOOKUP($A71,Prevs!$C:$AJ,COLUMN() - COLUMN($D71)+2,FALSE)*VLOOKUP($A71,Usinas!$C:$D,2,FALSE)</f>
        <v>384.56319999999999</v>
      </c>
      <c r="X71" s="309">
        <f>VLOOKUP($A71,Prevs!$C:$AJ,COLUMN() - COLUMN($D71)+2,FALSE)*VLOOKUP($A71,Usinas!$C:$D,2,FALSE)</f>
        <v>405.35039999999998</v>
      </c>
      <c r="Y71" s="309">
        <f>VLOOKUP($A71,Prevs!$C:$AJ,COLUMN() - COLUMN($D71)+2,FALSE)*VLOOKUP($A71,Usinas!$C:$D,2,FALSE)</f>
        <v>398.29759999999999</v>
      </c>
      <c r="Z71" s="309">
        <f>VLOOKUP($A71,Prevs!$C:$AJ,COLUMN() - COLUMN($D71)+2,FALSE)*VLOOKUP($A71,Usinas!$C:$D,2,FALSE)</f>
        <v>308.096</v>
      </c>
      <c r="AA71" s="330">
        <f>VLOOKUP($A71,Prevs!$C:$AJ,COLUMN() - COLUMN($D71)+2,FALSE)*VLOOKUP($A71,Usinas!$C:$D,2,FALSE)</f>
        <v>324.79999999999995</v>
      </c>
      <c r="AE71" s="329">
        <f>VLOOKUP($A71,Prevs!$C:$AJ,COLUMN() - COLUMN($D71)+2,FALSE)*VLOOKUP($A71,Usinas!$C:$D,2,FALSE)</f>
        <v>294.36159999999995</v>
      </c>
      <c r="AF71" s="309">
        <f>VLOOKUP($A71,Prevs!$C:$AJ,COLUMN() - COLUMN($D71)+2,FALSE)*VLOOKUP($A71,Usinas!$C:$D,2,FALSE)</f>
        <v>316.26239999999996</v>
      </c>
      <c r="AG71" s="309">
        <f>VLOOKUP($A71,Prevs!$C:$AJ,COLUMN() - COLUMN($D71)+2,FALSE)*VLOOKUP($A71,Usinas!$C:$D,2,FALSE)</f>
        <v>328.88319999999999</v>
      </c>
      <c r="AH71" s="309">
        <f>VLOOKUP($A71,Prevs!$C:$AJ,COLUMN() - COLUMN($D71)+2,FALSE)*VLOOKUP($A71,Usinas!$C:$D,2,FALSE)</f>
        <v>322.94399999999996</v>
      </c>
      <c r="AI71" s="309">
        <f>VLOOKUP($A71,Prevs!$C:$AJ,COLUMN() - COLUMN($D71)+2,FALSE)*VLOOKUP($A71,Usinas!$C:$D,2,FALSE)</f>
        <v>257.61279999999999</v>
      </c>
      <c r="AJ71" s="330">
        <f>VLOOKUP($A71,Prevs!$C:$AJ,COLUMN() - COLUMN($D71)+2,FALSE)*VLOOKUP($A71,Usinas!$C:$D,2,FALSE)</f>
        <v>263.92320000000001</v>
      </c>
    </row>
    <row r="72" spans="1:37" hidden="1" outlineLevel="2" x14ac:dyDescent="0.25">
      <c r="A72" s="161">
        <v>62</v>
      </c>
      <c r="B72" s="162" t="s">
        <v>134</v>
      </c>
      <c r="D72" s="329">
        <f>VLOOKUP($A72,Prevs!$C:$AJ,COLUMN() - COLUMN($D72)+2,FALSE)*VLOOKUP($A72,Usinas!$C:$D,2,FALSE)</f>
        <v>189.3092</v>
      </c>
      <c r="E72" s="309">
        <f>VLOOKUP($A72,Prevs!$C:$AJ,COLUMN() - COLUMN($D72)+2,FALSE)*VLOOKUP($A72,Usinas!$C:$D,2,FALSE)</f>
        <v>208.59899999999999</v>
      </c>
      <c r="F72" s="309">
        <f>VLOOKUP($A72,Prevs!$C:$AJ,COLUMN() - COLUMN($D72)+2,FALSE)*VLOOKUP($A72,Usinas!$C:$D,2,FALSE)</f>
        <v>215.7766</v>
      </c>
      <c r="G72" s="309">
        <f>VLOOKUP($A72,Prevs!$C:$AJ,COLUMN() - COLUMN($D72)+2,FALSE)*VLOOKUP($A72,Usinas!$C:$D,2,FALSE)</f>
        <v>211.73920000000001</v>
      </c>
      <c r="H72" s="309">
        <f>VLOOKUP($A72,Prevs!$C:$AJ,COLUMN() - COLUMN($D72)+2,FALSE)*VLOOKUP($A72,Usinas!$C:$D,2,FALSE)</f>
        <v>170.46799999999999</v>
      </c>
      <c r="I72" s="330">
        <f>VLOOKUP($A72,Prevs!$C:$AJ,COLUMN() - COLUMN($D72)+2,FALSE)*VLOOKUP($A72,Usinas!$C:$D,2,FALSE)</f>
        <v>172.71100000000001</v>
      </c>
      <c r="J72" s="477">
        <f ca="1">VLOOKUP($A72,Prevs_MLT!$C:$AJ,1+Entrada!$C$4,FALSE)*VLOOKUP($A72,Usinas!$C:$D,2,FALSE)</f>
        <v>232.37479999999999</v>
      </c>
      <c r="M72" s="329">
        <f>VLOOKUP($A72,Prevs!$C:$AJ,COLUMN() - COLUMN($D72)+2,FALSE)*VLOOKUP($A72,Usinas!$C:$D,2,FALSE)</f>
        <v>263.77679999999998</v>
      </c>
      <c r="N72" s="309">
        <f>VLOOKUP($A72,Prevs!$C:$AJ,COLUMN() - COLUMN($D72)+2,FALSE)*VLOOKUP($A72,Usinas!$C:$D,2,FALSE)</f>
        <v>295.40309999999999</v>
      </c>
      <c r="O72" s="309">
        <f>VLOOKUP($A72,Prevs!$C:$AJ,COLUMN() - COLUMN($D72)+2,FALSE)*VLOOKUP($A72,Usinas!$C:$D,2,FALSE)</f>
        <v>310.43119999999999</v>
      </c>
      <c r="P72" s="309">
        <f>VLOOKUP($A72,Prevs!$C:$AJ,COLUMN() - COLUMN($D72)+2,FALSE)*VLOOKUP($A72,Usinas!$C:$D,2,FALSE)</f>
        <v>304.5994</v>
      </c>
      <c r="Q72" s="309">
        <f>VLOOKUP($A72,Prevs!$C:$AJ,COLUMN() - COLUMN($D72)+2,FALSE)*VLOOKUP($A72,Usinas!$C:$D,2,FALSE)</f>
        <v>237.08510000000001</v>
      </c>
      <c r="R72" s="330">
        <f>VLOOKUP($A72,Prevs!$C:$AJ,COLUMN() - COLUMN($D72)+2,FALSE)*VLOOKUP($A72,Usinas!$C:$D,2,FALSE)</f>
        <v>247.85149999999999</v>
      </c>
      <c r="V72" s="329">
        <f>VLOOKUP($A72,Prevs!$C:$AJ,COLUMN() - COLUMN($D72)+2,FALSE)*VLOOKUP($A72,Usinas!$C:$D,2,FALSE)</f>
        <v>228.786</v>
      </c>
      <c r="W72" s="309">
        <f>VLOOKUP($A72,Prevs!$C:$AJ,COLUMN() - COLUMN($D72)+2,FALSE)*VLOOKUP($A72,Usinas!$C:$D,2,FALSE)</f>
        <v>255.2534</v>
      </c>
      <c r="X72" s="309">
        <f>VLOOKUP($A72,Prevs!$C:$AJ,COLUMN() - COLUMN($D72)+2,FALSE)*VLOOKUP($A72,Usinas!$C:$D,2,FALSE)</f>
        <v>267.5899</v>
      </c>
      <c r="Y72" s="309">
        <f>VLOOKUP($A72,Prevs!$C:$AJ,COLUMN() - COLUMN($D72)+2,FALSE)*VLOOKUP($A72,Usinas!$C:$D,2,FALSE)</f>
        <v>262.43099999999998</v>
      </c>
      <c r="Z72" s="309">
        <f>VLOOKUP($A72,Prevs!$C:$AJ,COLUMN() - COLUMN($D72)+2,FALSE)*VLOOKUP($A72,Usinas!$C:$D,2,FALSE)</f>
        <v>205.6831</v>
      </c>
      <c r="AA72" s="330">
        <f>VLOOKUP($A72,Prevs!$C:$AJ,COLUMN() - COLUMN($D72)+2,FALSE)*VLOOKUP($A72,Usinas!$C:$D,2,FALSE)</f>
        <v>213.75790000000001</v>
      </c>
      <c r="AE72" s="329">
        <f>VLOOKUP($A72,Prevs!$C:$AJ,COLUMN() - COLUMN($D72)+2,FALSE)*VLOOKUP($A72,Usinas!$C:$D,2,FALSE)</f>
        <v>189.3092</v>
      </c>
      <c r="AF72" s="309">
        <f>VLOOKUP($A72,Prevs!$C:$AJ,COLUMN() - COLUMN($D72)+2,FALSE)*VLOOKUP($A72,Usinas!$C:$D,2,FALSE)</f>
        <v>208.59899999999999</v>
      </c>
      <c r="AG72" s="309">
        <f>VLOOKUP($A72,Prevs!$C:$AJ,COLUMN() - COLUMN($D72)+2,FALSE)*VLOOKUP($A72,Usinas!$C:$D,2,FALSE)</f>
        <v>215.7766</v>
      </c>
      <c r="AH72" s="309">
        <f>VLOOKUP($A72,Prevs!$C:$AJ,COLUMN() - COLUMN($D72)+2,FALSE)*VLOOKUP($A72,Usinas!$C:$D,2,FALSE)</f>
        <v>211.73920000000001</v>
      </c>
      <c r="AI72" s="309">
        <f>VLOOKUP($A72,Prevs!$C:$AJ,COLUMN() - COLUMN($D72)+2,FALSE)*VLOOKUP($A72,Usinas!$C:$D,2,FALSE)</f>
        <v>170.46799999999999</v>
      </c>
      <c r="AJ72" s="330">
        <f>VLOOKUP($A72,Prevs!$C:$AJ,COLUMN() - COLUMN($D72)+2,FALSE)*VLOOKUP($A72,Usinas!$C:$D,2,FALSE)</f>
        <v>172.71100000000001</v>
      </c>
    </row>
    <row r="73" spans="1:37" hidden="1" outlineLevel="2" x14ac:dyDescent="0.25">
      <c r="A73" s="161">
        <v>63</v>
      </c>
      <c r="B73" s="162" t="s">
        <v>135</v>
      </c>
      <c r="D73" s="329">
        <f>VLOOKUP($A73,Prevs!$C:$AJ,COLUMN() - COLUMN($D73)+2,FALSE)*VLOOKUP($A73,Usinas!$C:$D,2,FALSE)</f>
        <v>180.15209999999999</v>
      </c>
      <c r="E73" s="309">
        <f>VLOOKUP($A73,Prevs!$C:$AJ,COLUMN() - COLUMN($D73)+2,FALSE)*VLOOKUP($A73,Usinas!$C:$D,2,FALSE)</f>
        <v>180.8973</v>
      </c>
      <c r="F73" s="309">
        <f>VLOOKUP($A73,Prevs!$C:$AJ,COLUMN() - COLUMN($D73)+2,FALSE)*VLOOKUP($A73,Usinas!$C:$D,2,FALSE)</f>
        <v>226.16819999999998</v>
      </c>
      <c r="G73" s="309">
        <f>VLOOKUP($A73,Prevs!$C:$AJ,COLUMN() - COLUMN($D73)+2,FALSE)*VLOOKUP($A73,Usinas!$C:$D,2,FALSE)</f>
        <v>208.84229999999999</v>
      </c>
      <c r="H73" s="309">
        <f>VLOOKUP($A73,Prevs!$C:$AJ,COLUMN() - COLUMN($D73)+2,FALSE)*VLOOKUP($A73,Usinas!$C:$D,2,FALSE)</f>
        <v>159.47280000000001</v>
      </c>
      <c r="I73" s="330">
        <f>VLOOKUP($A73,Prevs!$C:$AJ,COLUMN() - COLUMN($D73)+2,FALSE)*VLOOKUP($A73,Usinas!$C:$D,2,FALSE)</f>
        <v>171.76859999999999</v>
      </c>
      <c r="J73" s="477">
        <f ca="1">VLOOKUP($A73,Prevs_MLT!$C:$AJ,1+Entrada!$C$4,FALSE)*VLOOKUP($A73,Usinas!$C:$D,2,FALSE)</f>
        <v>216.108</v>
      </c>
      <c r="M73" s="329">
        <f>VLOOKUP($A73,Prevs!$C:$AJ,COLUMN() - COLUMN($D73)+2,FALSE)*VLOOKUP($A73,Usinas!$C:$D,2,FALSE)</f>
        <v>254.6721</v>
      </c>
      <c r="N73" s="309">
        <f>VLOOKUP($A73,Prevs!$C:$AJ,COLUMN() - COLUMN($D73)+2,FALSE)*VLOOKUP($A73,Usinas!$C:$D,2,FALSE)</f>
        <v>257.09399999999999</v>
      </c>
      <c r="O73" s="309">
        <f>VLOOKUP($A73,Prevs!$C:$AJ,COLUMN() - COLUMN($D73)+2,FALSE)*VLOOKUP($A73,Usinas!$C:$D,2,FALSE)</f>
        <v>330.6825</v>
      </c>
      <c r="P73" s="309">
        <f>VLOOKUP($A73,Prevs!$C:$AJ,COLUMN() - COLUMN($D73)+2,FALSE)*VLOOKUP($A73,Usinas!$C:$D,2,FALSE)</f>
        <v>304.22789999999998</v>
      </c>
      <c r="Q73" s="309">
        <f>VLOOKUP($A73,Prevs!$C:$AJ,COLUMN() - COLUMN($D73)+2,FALSE)*VLOOKUP($A73,Usinas!$C:$D,2,FALSE)</f>
        <v>224.67779999999999</v>
      </c>
      <c r="R73" s="330">
        <f>VLOOKUP($A73,Prevs!$C:$AJ,COLUMN() - COLUMN($D73)+2,FALSE)*VLOOKUP($A73,Usinas!$C:$D,2,FALSE)</f>
        <v>249.82829999999998</v>
      </c>
      <c r="V73" s="329">
        <f>VLOOKUP($A73,Prevs!$C:$AJ,COLUMN() - COLUMN($D73)+2,FALSE)*VLOOKUP($A73,Usinas!$C:$D,2,FALSE)</f>
        <v>220.3929</v>
      </c>
      <c r="W73" s="309">
        <f>VLOOKUP($A73,Prevs!$C:$AJ,COLUMN() - COLUMN($D73)+2,FALSE)*VLOOKUP($A73,Usinas!$C:$D,2,FALSE)</f>
        <v>222.2559</v>
      </c>
      <c r="X73" s="309">
        <f>VLOOKUP($A73,Prevs!$C:$AJ,COLUMN() - COLUMN($D73)+2,FALSE)*VLOOKUP($A73,Usinas!$C:$D,2,FALSE)</f>
        <v>284.10750000000002</v>
      </c>
      <c r="Y73" s="309">
        <f>VLOOKUP($A73,Prevs!$C:$AJ,COLUMN() - COLUMN($D73)+2,FALSE)*VLOOKUP($A73,Usinas!$C:$D,2,FALSE)</f>
        <v>261.5652</v>
      </c>
      <c r="Z73" s="309">
        <f>VLOOKUP($A73,Prevs!$C:$AJ,COLUMN() - COLUMN($D73)+2,FALSE)*VLOOKUP($A73,Usinas!$C:$D,2,FALSE)</f>
        <v>194.49719999999999</v>
      </c>
      <c r="AA73" s="330">
        <f>VLOOKUP($A73,Prevs!$C:$AJ,COLUMN() - COLUMN($D73)+2,FALSE)*VLOOKUP($A73,Usinas!$C:$D,2,FALSE)</f>
        <v>214.8039</v>
      </c>
      <c r="AE73" s="329">
        <f>VLOOKUP($A73,Prevs!$C:$AJ,COLUMN() - COLUMN($D73)+2,FALSE)*VLOOKUP($A73,Usinas!$C:$D,2,FALSE)</f>
        <v>180.15209999999999</v>
      </c>
      <c r="AF73" s="309">
        <f>VLOOKUP($A73,Prevs!$C:$AJ,COLUMN() - COLUMN($D73)+2,FALSE)*VLOOKUP($A73,Usinas!$C:$D,2,FALSE)</f>
        <v>180.8973</v>
      </c>
      <c r="AG73" s="309">
        <f>VLOOKUP($A73,Prevs!$C:$AJ,COLUMN() - COLUMN($D73)+2,FALSE)*VLOOKUP($A73,Usinas!$C:$D,2,FALSE)</f>
        <v>226.16819999999998</v>
      </c>
      <c r="AH73" s="309">
        <f>VLOOKUP($A73,Prevs!$C:$AJ,COLUMN() - COLUMN($D73)+2,FALSE)*VLOOKUP($A73,Usinas!$C:$D,2,FALSE)</f>
        <v>208.84229999999999</v>
      </c>
      <c r="AI73" s="309">
        <f>VLOOKUP($A73,Prevs!$C:$AJ,COLUMN() - COLUMN($D73)+2,FALSE)*VLOOKUP($A73,Usinas!$C:$D,2,FALSE)</f>
        <v>159.47280000000001</v>
      </c>
      <c r="AJ73" s="330">
        <f>VLOOKUP($A73,Prevs!$C:$AJ,COLUMN() - COLUMN($D73)+2,FALSE)*VLOOKUP($A73,Usinas!$C:$D,2,FALSE)</f>
        <v>171.76859999999999</v>
      </c>
    </row>
    <row r="74" spans="1:37" outlineLevel="1" collapsed="1" x14ac:dyDescent="0.25">
      <c r="A74" s="170"/>
      <c r="B74" s="171" t="s">
        <v>92</v>
      </c>
      <c r="D74" s="174">
        <f t="shared" ref="D74:I74" si="30">SUM(D64:D73)</f>
        <v>1073.5029</v>
      </c>
      <c r="E74" s="59">
        <f t="shared" si="30"/>
        <v>1153.3408999999999</v>
      </c>
      <c r="F74" s="59">
        <f t="shared" si="30"/>
        <v>1203.4214999999999</v>
      </c>
      <c r="G74" s="59">
        <f t="shared" si="30"/>
        <v>1169.8262</v>
      </c>
      <c r="H74" s="59">
        <f t="shared" si="30"/>
        <v>1006.1152</v>
      </c>
      <c r="I74" s="175">
        <f t="shared" si="30"/>
        <v>996.81229999999994</v>
      </c>
      <c r="J74" s="423">
        <f ca="1">SUMPRODUCT(D74:I74,Saida!$B$7:$G$7)/SUM(Saida!$B$7:$G$7)</f>
        <v>1126.6413933333331</v>
      </c>
      <c r="M74" s="331">
        <f t="shared" ref="M74:R74" si="31">SUM(M64:M73)</f>
        <v>1562.2902999999999</v>
      </c>
      <c r="N74" s="310">
        <f t="shared" si="31"/>
        <v>1691.6143999999999</v>
      </c>
      <c r="O74" s="310">
        <f t="shared" si="31"/>
        <v>1782.9148</v>
      </c>
      <c r="P74" s="310">
        <f t="shared" si="31"/>
        <v>1732.3748000000001</v>
      </c>
      <c r="Q74" s="310">
        <f t="shared" si="31"/>
        <v>1466.6424</v>
      </c>
      <c r="R74" s="332">
        <f t="shared" si="31"/>
        <v>1476.7440999999999</v>
      </c>
      <c r="S74" s="423">
        <f ca="1">SUMPRODUCT(M74:R74,Saida!$B$7:$G$7)/SUM(Saida!$B$7:$G$7)</f>
        <v>1658.4619733333336</v>
      </c>
      <c r="V74" s="331">
        <f t="shared" ref="V74:AA74" si="32">SUM(V64:V73)</f>
        <v>1343.2617</v>
      </c>
      <c r="W74" s="310">
        <f t="shared" si="32"/>
        <v>1452.1313</v>
      </c>
      <c r="X74" s="310">
        <f t="shared" si="32"/>
        <v>1526.9686000000002</v>
      </c>
      <c r="Y74" s="310">
        <f t="shared" si="32"/>
        <v>1484.5499</v>
      </c>
      <c r="Z74" s="310">
        <f t="shared" si="32"/>
        <v>1260.693</v>
      </c>
      <c r="AA74" s="332">
        <f t="shared" si="32"/>
        <v>1265.6361000000002</v>
      </c>
      <c r="AB74" s="423">
        <f ca="1">SUMPRODUCT(V74:AA74,Saida!$B$7:$G$7)/SUM(Saida!$B$7:$G$7)</f>
        <v>1422.6432466666668</v>
      </c>
      <c r="AE74" s="331">
        <f t="shared" ref="AE74:AJ74" si="33">SUM(AE64:AE73)</f>
        <v>1073.5029</v>
      </c>
      <c r="AF74" s="310">
        <f t="shared" si="33"/>
        <v>1153.3408999999999</v>
      </c>
      <c r="AG74" s="310">
        <f t="shared" si="33"/>
        <v>1203.4214999999999</v>
      </c>
      <c r="AH74" s="310">
        <f t="shared" si="33"/>
        <v>1169.8262</v>
      </c>
      <c r="AI74" s="310">
        <f t="shared" si="33"/>
        <v>1006.1152</v>
      </c>
      <c r="AJ74" s="332">
        <f t="shared" si="33"/>
        <v>996.81229999999994</v>
      </c>
      <c r="AK74" s="423">
        <f ca="1">SUMPRODUCT(AE74:AJ74,Saida!$B$7:$G$7)/SUM(Saida!$B$7:$G$7)</f>
        <v>1126.6413933333331</v>
      </c>
    </row>
    <row r="75" spans="1:37" outlineLevel="1" x14ac:dyDescent="0.25">
      <c r="A75" s="172"/>
      <c r="B75" s="173" t="s">
        <v>13</v>
      </c>
      <c r="D75" s="176"/>
      <c r="E75" s="177"/>
      <c r="F75" s="177"/>
      <c r="G75" s="177"/>
      <c r="H75" s="177"/>
      <c r="I75" s="178"/>
      <c r="J75" s="478">
        <f ca="1">SUM(J64:J73)</f>
        <v>1312.0001</v>
      </c>
      <c r="M75" s="333"/>
      <c r="N75" s="334"/>
      <c r="O75" s="334"/>
      <c r="P75" s="334"/>
      <c r="Q75" s="334"/>
      <c r="R75" s="335"/>
      <c r="V75" s="333"/>
      <c r="W75" s="334"/>
      <c r="X75" s="334"/>
      <c r="Y75" s="334"/>
      <c r="Z75" s="334"/>
      <c r="AA75" s="335"/>
      <c r="AE75" s="333"/>
      <c r="AF75" s="334"/>
      <c r="AG75" s="334"/>
      <c r="AH75" s="334"/>
      <c r="AI75" s="334"/>
      <c r="AJ75" s="335"/>
    </row>
    <row r="76" spans="1:37" outlineLevel="1" x14ac:dyDescent="0.25">
      <c r="A76" s="64"/>
      <c r="B76" s="64"/>
      <c r="D76" s="64"/>
      <c r="E76" s="64"/>
      <c r="F76" s="64"/>
      <c r="G76" s="64"/>
      <c r="H76" s="64"/>
      <c r="I76" s="64"/>
      <c r="M76" s="313"/>
      <c r="N76" s="313"/>
      <c r="O76" s="313"/>
      <c r="P76" s="313"/>
      <c r="Q76" s="313"/>
      <c r="R76" s="313"/>
      <c r="V76" s="313"/>
      <c r="W76" s="313"/>
      <c r="X76" s="313"/>
      <c r="Y76" s="313"/>
      <c r="Z76" s="313"/>
      <c r="AA76" s="313"/>
      <c r="AE76" s="313"/>
      <c r="AF76" s="313"/>
      <c r="AG76" s="313"/>
      <c r="AH76" s="313"/>
      <c r="AI76" s="313"/>
      <c r="AJ76" s="313"/>
    </row>
    <row r="77" spans="1:37" outlineLevel="1" x14ac:dyDescent="0.25">
      <c r="A77" s="168"/>
      <c r="B77" s="169"/>
      <c r="D77" s="503" t="s">
        <v>136</v>
      </c>
      <c r="E77" s="504" t="s">
        <v>94</v>
      </c>
      <c r="F77" s="504" t="s">
        <v>137</v>
      </c>
      <c r="G77" s="504"/>
      <c r="H77" s="504"/>
      <c r="I77" s="505"/>
      <c r="M77" s="503" t="s">
        <v>136</v>
      </c>
      <c r="N77" s="504" t="s">
        <v>94</v>
      </c>
      <c r="O77" s="504" t="s">
        <v>137</v>
      </c>
      <c r="P77" s="504"/>
      <c r="Q77" s="504"/>
      <c r="R77" s="505"/>
      <c r="V77" s="503" t="s">
        <v>136</v>
      </c>
      <c r="W77" s="504" t="s">
        <v>94</v>
      </c>
      <c r="X77" s="504" t="s">
        <v>137</v>
      </c>
      <c r="Y77" s="504"/>
      <c r="Z77" s="504"/>
      <c r="AA77" s="505"/>
      <c r="AE77" s="503" t="s">
        <v>136</v>
      </c>
      <c r="AF77" s="504" t="s">
        <v>94</v>
      </c>
      <c r="AG77" s="504" t="s">
        <v>137</v>
      </c>
      <c r="AH77" s="504"/>
      <c r="AI77" s="504"/>
      <c r="AJ77" s="505"/>
    </row>
    <row r="78" spans="1:37" hidden="1" outlineLevel="2" x14ac:dyDescent="0.25">
      <c r="A78" s="161">
        <v>34</v>
      </c>
      <c r="B78" s="162" t="s">
        <v>138</v>
      </c>
      <c r="D78" s="329">
        <f>VLOOKUP($A78,Prevs!$C:$AJ,COLUMN() - COLUMN($D78)+2,FALSE)*VLOOKUP($A78,Usinas!$C:$D,2,FALSE)</f>
        <v>832.86350000000004</v>
      </c>
      <c r="E78" s="309">
        <f>VLOOKUP($A78,Prevs!$C:$AJ,COLUMN() - COLUMN($D78)+2,FALSE)*VLOOKUP($A78,Usinas!$C:$D,2,FALSE)</f>
        <v>817.64959999999996</v>
      </c>
      <c r="F78" s="309">
        <f>VLOOKUP($A78,Prevs!$C:$AJ,COLUMN() - COLUMN($D78)+2,FALSE)*VLOOKUP($A78,Usinas!$C:$D,2,FALSE)</f>
        <v>802.82579999999996</v>
      </c>
      <c r="G78" s="309">
        <f>VLOOKUP($A78,Prevs!$C:$AJ,COLUMN() - COLUMN($D78)+2,FALSE)*VLOOKUP($A78,Usinas!$C:$D,2,FALSE)</f>
        <v>787.22180000000003</v>
      </c>
      <c r="H78" s="309">
        <f>VLOOKUP($A78,Prevs!$C:$AJ,COLUMN() - COLUMN($D78)+2,FALSE)*VLOOKUP($A78,Usinas!$C:$D,2,FALSE)</f>
        <v>792.29309999999998</v>
      </c>
      <c r="I78" s="330">
        <f>VLOOKUP($A78,Prevs!$C:$AJ,COLUMN() - COLUMN($D78)+2,FALSE)*VLOOKUP($A78,Usinas!$C:$D,2,FALSE)</f>
        <v>748.99199999999996</v>
      </c>
      <c r="J78" s="477">
        <f ca="1">VLOOKUP($A78,Prevs_MLT!$C:$AJ,1+Entrada!$C$4,FALSE)*VLOOKUP($A78,Usinas!$C:$D,2,FALSE)</f>
        <v>1813.1848</v>
      </c>
      <c r="M78" s="329">
        <f>VLOOKUP($A78,Prevs!$C:$AJ,COLUMN() - COLUMN($D78)+2,FALSE)*VLOOKUP($A78,Usinas!$C:$D,2,FALSE)</f>
        <v>1293.5716</v>
      </c>
      <c r="N78" s="309">
        <f>VLOOKUP($A78,Prevs!$C:$AJ,COLUMN() - COLUMN($D78)+2,FALSE)*VLOOKUP($A78,Usinas!$C:$D,2,FALSE)</f>
        <v>1269.7755</v>
      </c>
      <c r="O78" s="309">
        <f>VLOOKUP($A78,Prevs!$C:$AJ,COLUMN() - COLUMN($D78)+2,FALSE)*VLOOKUP($A78,Usinas!$C:$D,2,FALSE)</f>
        <v>1246.7596000000001</v>
      </c>
      <c r="P78" s="309">
        <f>VLOOKUP($A78,Prevs!$C:$AJ,COLUMN() - COLUMN($D78)+2,FALSE)*VLOOKUP($A78,Usinas!$C:$D,2,FALSE)</f>
        <v>1222.5734</v>
      </c>
      <c r="Q78" s="309">
        <f>VLOOKUP($A78,Prevs!$C:$AJ,COLUMN() - COLUMN($D78)+2,FALSE)*VLOOKUP($A78,Usinas!$C:$D,2,FALSE)</f>
        <v>1230.3753999999999</v>
      </c>
      <c r="R78" s="330">
        <f>VLOOKUP($A78,Prevs!$C:$AJ,COLUMN() - COLUMN($D78)+2,FALSE)*VLOOKUP($A78,Usinas!$C:$D,2,FALSE)</f>
        <v>1163.2782</v>
      </c>
      <c r="V78" s="329">
        <f>VLOOKUP($A78,Prevs!$C:$AJ,COLUMN() - COLUMN($D78)+2,FALSE)*VLOOKUP($A78,Usinas!$C:$D,2,FALSE)</f>
        <v>1098.1315</v>
      </c>
      <c r="W78" s="309">
        <f>VLOOKUP($A78,Prevs!$C:$AJ,COLUMN() - COLUMN($D78)+2,FALSE)*VLOOKUP($A78,Usinas!$C:$D,2,FALSE)</f>
        <v>1078.2364</v>
      </c>
      <c r="X78" s="309">
        <f>VLOOKUP($A78,Prevs!$C:$AJ,COLUMN() - COLUMN($D78)+2,FALSE)*VLOOKUP($A78,Usinas!$C:$D,2,FALSE)</f>
        <v>1058.7313999999999</v>
      </c>
      <c r="Y78" s="309">
        <f>VLOOKUP($A78,Prevs!$C:$AJ,COLUMN() - COLUMN($D78)+2,FALSE)*VLOOKUP($A78,Usinas!$C:$D,2,FALSE)</f>
        <v>1038.0561</v>
      </c>
      <c r="Z78" s="309">
        <f>VLOOKUP($A78,Prevs!$C:$AJ,COLUMN() - COLUMN($D78)+2,FALSE)*VLOOKUP($A78,Usinas!$C:$D,2,FALSE)</f>
        <v>1044.6877999999999</v>
      </c>
      <c r="AA78" s="330">
        <f>VLOOKUP($A78,Prevs!$C:$AJ,COLUMN() - COLUMN($D78)+2,FALSE)*VLOOKUP($A78,Usinas!$C:$D,2,FALSE)</f>
        <v>987.73320000000001</v>
      </c>
      <c r="AE78" s="329">
        <f>VLOOKUP($A78,Prevs!$C:$AJ,COLUMN() - COLUMN($D78)+2,FALSE)*VLOOKUP($A78,Usinas!$C:$D,2,FALSE)</f>
        <v>832.86350000000004</v>
      </c>
      <c r="AF78" s="309">
        <f>VLOOKUP($A78,Prevs!$C:$AJ,COLUMN() - COLUMN($D78)+2,FALSE)*VLOOKUP($A78,Usinas!$C:$D,2,FALSE)</f>
        <v>817.64959999999996</v>
      </c>
      <c r="AG78" s="309">
        <f>VLOOKUP($A78,Prevs!$C:$AJ,COLUMN() - COLUMN($D78)+2,FALSE)*VLOOKUP($A78,Usinas!$C:$D,2,FALSE)</f>
        <v>802.82579999999996</v>
      </c>
      <c r="AH78" s="309">
        <f>VLOOKUP($A78,Prevs!$C:$AJ,COLUMN() - COLUMN($D78)+2,FALSE)*VLOOKUP($A78,Usinas!$C:$D,2,FALSE)</f>
        <v>787.22180000000003</v>
      </c>
      <c r="AI78" s="309">
        <f>VLOOKUP($A78,Prevs!$C:$AJ,COLUMN() - COLUMN($D78)+2,FALSE)*VLOOKUP($A78,Usinas!$C:$D,2,FALSE)</f>
        <v>792.29309999999998</v>
      </c>
      <c r="AJ78" s="330">
        <f>VLOOKUP($A78,Prevs!$C:$AJ,COLUMN() - COLUMN($D78)+2,FALSE)*VLOOKUP($A78,Usinas!$C:$D,2,FALSE)</f>
        <v>748.99199999999996</v>
      </c>
    </row>
    <row r="79" spans="1:37" hidden="1" outlineLevel="2" x14ac:dyDescent="0.25">
      <c r="A79" s="161">
        <v>45</v>
      </c>
      <c r="B79" s="162" t="s">
        <v>139</v>
      </c>
      <c r="D79" s="329">
        <f>VLOOKUP($A79,Prevs!$C:$AJ,COLUMN() - COLUMN($D79)+2,FALSE)*VLOOKUP($A79,Usinas!$C:$D,2,FALSE)</f>
        <v>585.03059999999994</v>
      </c>
      <c r="E79" s="309">
        <f>VLOOKUP($A79,Prevs!$C:$AJ,COLUMN() - COLUMN($D79)+2,FALSE)*VLOOKUP($A79,Usinas!$C:$D,2,FALSE)</f>
        <v>579.40740000000005</v>
      </c>
      <c r="F79" s="309">
        <f>VLOOKUP($A79,Prevs!$C:$AJ,COLUMN() - COLUMN($D79)+2,FALSE)*VLOOKUP($A79,Usinas!$C:$D,2,FALSE)</f>
        <v>569.86379999999997</v>
      </c>
      <c r="G79" s="309">
        <f>VLOOKUP($A79,Prevs!$C:$AJ,COLUMN() - COLUMN($D79)+2,FALSE)*VLOOKUP($A79,Usinas!$C:$D,2,FALSE)</f>
        <v>557.80560000000003</v>
      </c>
      <c r="H79" s="309">
        <f>VLOOKUP($A79,Prevs!$C:$AJ,COLUMN() - COLUMN($D79)+2,FALSE)*VLOOKUP($A79,Usinas!$C:$D,2,FALSE)</f>
        <v>547.50959999999998</v>
      </c>
      <c r="I79" s="330">
        <f>VLOOKUP($A79,Prevs!$C:$AJ,COLUMN() - COLUMN($D79)+2,FALSE)*VLOOKUP($A79,Usinas!$C:$D,2,FALSE)</f>
        <v>532.83780000000002</v>
      </c>
      <c r="J79" s="477">
        <f ca="1">VLOOKUP($A79,Prevs_MLT!$C:$AJ,1+Entrada!$C$4,FALSE)*VLOOKUP($A79,Usinas!$C:$D,2,FALSE)</f>
        <v>1107.2160000000001</v>
      </c>
      <c r="M79" s="329">
        <f>VLOOKUP($A79,Prevs!$C:$AJ,COLUMN() - COLUMN($D79)+2,FALSE)*VLOOKUP($A79,Usinas!$C:$D,2,FALSE)</f>
        <v>908.70119999999997</v>
      </c>
      <c r="N79" s="309">
        <f>VLOOKUP($A79,Prevs!$C:$AJ,COLUMN() - COLUMN($D79)+2,FALSE)*VLOOKUP($A79,Usinas!$C:$D,2,FALSE)</f>
        <v>899.98919999999998</v>
      </c>
      <c r="O79" s="309">
        <f>VLOOKUP($A79,Prevs!$C:$AJ,COLUMN() - COLUMN($D79)+2,FALSE)*VLOOKUP($A79,Usinas!$C:$D,2,FALSE)</f>
        <v>884.88180000000011</v>
      </c>
      <c r="P79" s="309">
        <f>VLOOKUP($A79,Prevs!$C:$AJ,COLUMN() - COLUMN($D79)+2,FALSE)*VLOOKUP($A79,Usinas!$C:$D,2,FALSE)</f>
        <v>866.28959999999995</v>
      </c>
      <c r="Q79" s="309">
        <f>VLOOKUP($A79,Prevs!$C:$AJ,COLUMN() - COLUMN($D79)+2,FALSE)*VLOOKUP($A79,Usinas!$C:$D,2,FALSE)</f>
        <v>850.44960000000003</v>
      </c>
      <c r="R79" s="330">
        <f>VLOOKUP($A79,Prevs!$C:$AJ,COLUMN() - COLUMN($D79)+2,FALSE)*VLOOKUP($A79,Usinas!$C:$D,2,FALSE)</f>
        <v>827.46180000000015</v>
      </c>
      <c r="V79" s="329">
        <f>VLOOKUP($A79,Prevs!$C:$AJ,COLUMN() - COLUMN($D79)+2,FALSE)*VLOOKUP($A79,Usinas!$C:$D,2,FALSE)</f>
        <v>771.3882000000001</v>
      </c>
      <c r="W79" s="309">
        <f>VLOOKUP($A79,Prevs!$C:$AJ,COLUMN() - COLUMN($D79)+2,FALSE)*VLOOKUP($A79,Usinas!$C:$D,2,FALSE)</f>
        <v>764.22059999999999</v>
      </c>
      <c r="X79" s="309">
        <f>VLOOKUP($A79,Prevs!$C:$AJ,COLUMN() - COLUMN($D79)+2,FALSE)*VLOOKUP($A79,Usinas!$C:$D,2,FALSE)</f>
        <v>751.31100000000004</v>
      </c>
      <c r="Y79" s="309">
        <f>VLOOKUP($A79,Prevs!$C:$AJ,COLUMN() - COLUMN($D79)+2,FALSE)*VLOOKUP($A79,Usinas!$C:$D,2,FALSE)</f>
        <v>735.51059999999995</v>
      </c>
      <c r="Z79" s="309">
        <f>VLOOKUP($A79,Prevs!$C:$AJ,COLUMN() - COLUMN($D79)+2,FALSE)*VLOOKUP($A79,Usinas!$C:$D,2,FALSE)</f>
        <v>721.84860000000003</v>
      </c>
      <c r="AA79" s="330">
        <f>VLOOKUP($A79,Prevs!$C:$AJ,COLUMN() - COLUMN($D79)+2,FALSE)*VLOOKUP($A79,Usinas!$C:$D,2,FALSE)</f>
        <v>702.60300000000007</v>
      </c>
      <c r="AE79" s="329">
        <f>VLOOKUP($A79,Prevs!$C:$AJ,COLUMN() - COLUMN($D79)+2,FALSE)*VLOOKUP($A79,Usinas!$C:$D,2,FALSE)</f>
        <v>585.03059999999994</v>
      </c>
      <c r="AF79" s="309">
        <f>VLOOKUP($A79,Prevs!$C:$AJ,COLUMN() - COLUMN($D79)+2,FALSE)*VLOOKUP($A79,Usinas!$C:$D,2,FALSE)</f>
        <v>579.40740000000005</v>
      </c>
      <c r="AG79" s="309">
        <f>VLOOKUP($A79,Prevs!$C:$AJ,COLUMN() - COLUMN($D79)+2,FALSE)*VLOOKUP($A79,Usinas!$C:$D,2,FALSE)</f>
        <v>569.86379999999997</v>
      </c>
      <c r="AH79" s="309">
        <f>VLOOKUP($A79,Prevs!$C:$AJ,COLUMN() - COLUMN($D79)+2,FALSE)*VLOOKUP($A79,Usinas!$C:$D,2,FALSE)</f>
        <v>557.80560000000003</v>
      </c>
      <c r="AI79" s="309">
        <f>VLOOKUP($A79,Prevs!$C:$AJ,COLUMN() - COLUMN($D79)+2,FALSE)*VLOOKUP($A79,Usinas!$C:$D,2,FALSE)</f>
        <v>547.50959999999998</v>
      </c>
      <c r="AJ79" s="330">
        <f>VLOOKUP($A79,Prevs!$C:$AJ,COLUMN() - COLUMN($D79)+2,FALSE)*VLOOKUP($A79,Usinas!$C:$D,2,FALSE)</f>
        <v>532.83780000000002</v>
      </c>
    </row>
    <row r="80" spans="1:37" outlineLevel="1" collapsed="1" x14ac:dyDescent="0.25">
      <c r="A80" s="170"/>
      <c r="B80" s="171" t="s">
        <v>92</v>
      </c>
      <c r="D80" s="174">
        <f t="shared" ref="D80:I80" si="34">SUM(D78:D79)</f>
        <v>1417.8941</v>
      </c>
      <c r="E80" s="59">
        <f t="shared" si="34"/>
        <v>1397.057</v>
      </c>
      <c r="F80" s="59">
        <f t="shared" si="34"/>
        <v>1372.6895999999999</v>
      </c>
      <c r="G80" s="59">
        <f t="shared" si="34"/>
        <v>1345.0273999999999</v>
      </c>
      <c r="H80" s="59">
        <f t="shared" si="34"/>
        <v>1339.8027</v>
      </c>
      <c r="I80" s="175">
        <f t="shared" si="34"/>
        <v>1281.8298</v>
      </c>
      <c r="J80" s="423">
        <f ca="1">SUMPRODUCT(D80:I80,Saida!$B$7:$G$7)/SUM(Saida!$B$7:$G$7)</f>
        <v>1362.7253599999999</v>
      </c>
      <c r="M80" s="331">
        <f t="shared" ref="M80:R80" si="35">SUM(M78:M79)</f>
        <v>2202.2727999999997</v>
      </c>
      <c r="N80" s="310">
        <f t="shared" si="35"/>
        <v>2169.7646999999997</v>
      </c>
      <c r="O80" s="310">
        <f t="shared" si="35"/>
        <v>2131.6414000000004</v>
      </c>
      <c r="P80" s="310">
        <f t="shared" si="35"/>
        <v>2088.8629999999998</v>
      </c>
      <c r="Q80" s="310">
        <f t="shared" si="35"/>
        <v>2080.8249999999998</v>
      </c>
      <c r="R80" s="332">
        <f t="shared" si="35"/>
        <v>1990.7400000000002</v>
      </c>
      <c r="S80" s="423">
        <f ca="1">SUMPRODUCT(M80:R80,Saida!$B$7:$G$7)/SUM(Saida!$B$7:$G$7)</f>
        <v>2116.3557166666665</v>
      </c>
      <c r="V80" s="331">
        <f t="shared" ref="V80:AA80" si="36">SUM(V78:V79)</f>
        <v>1869.5197000000001</v>
      </c>
      <c r="W80" s="310">
        <f t="shared" si="36"/>
        <v>1842.4569999999999</v>
      </c>
      <c r="X80" s="310">
        <f t="shared" si="36"/>
        <v>1810.0423999999998</v>
      </c>
      <c r="Y80" s="310">
        <f t="shared" si="36"/>
        <v>1773.5666999999999</v>
      </c>
      <c r="Z80" s="310">
        <f t="shared" si="36"/>
        <v>1766.5364</v>
      </c>
      <c r="AA80" s="332">
        <f t="shared" si="36"/>
        <v>1690.3362000000002</v>
      </c>
      <c r="AB80" s="423">
        <f ca="1">SUMPRODUCT(V80:AA80,Saida!$B$7:$G$7)/SUM(Saida!$B$7:$G$7)</f>
        <v>1796.9357799999996</v>
      </c>
      <c r="AE80" s="331">
        <f t="shared" ref="AE80:AJ80" si="37">SUM(AE78:AE79)</f>
        <v>1417.8941</v>
      </c>
      <c r="AF80" s="310">
        <f t="shared" si="37"/>
        <v>1397.057</v>
      </c>
      <c r="AG80" s="310">
        <f t="shared" si="37"/>
        <v>1372.6895999999999</v>
      </c>
      <c r="AH80" s="310">
        <f t="shared" si="37"/>
        <v>1345.0273999999999</v>
      </c>
      <c r="AI80" s="310">
        <f t="shared" si="37"/>
        <v>1339.8027</v>
      </c>
      <c r="AJ80" s="332">
        <f t="shared" si="37"/>
        <v>1281.8298</v>
      </c>
      <c r="AK80" s="423">
        <f ca="1">SUMPRODUCT(AE80:AJ80,Saida!$B$7:$G$7)/SUM(Saida!$B$7:$G$7)</f>
        <v>1362.7253599999999</v>
      </c>
    </row>
    <row r="81" spans="1:37" outlineLevel="1" x14ac:dyDescent="0.25">
      <c r="A81" s="172"/>
      <c r="B81" s="173" t="s">
        <v>13</v>
      </c>
      <c r="D81" s="176"/>
      <c r="E81" s="177"/>
      <c r="F81" s="177"/>
      <c r="G81" s="177"/>
      <c r="H81" s="177"/>
      <c r="I81" s="178"/>
      <c r="J81" s="478">
        <f ca="1">SUM(J78:J79)</f>
        <v>2920.4008000000003</v>
      </c>
      <c r="M81" s="333"/>
      <c r="N81" s="334"/>
      <c r="O81" s="334"/>
      <c r="P81" s="334"/>
      <c r="Q81" s="334"/>
      <c r="R81" s="335"/>
      <c r="V81" s="333"/>
      <c r="W81" s="334"/>
      <c r="X81" s="334"/>
      <c r="Y81" s="334"/>
      <c r="Z81" s="334"/>
      <c r="AA81" s="335"/>
      <c r="AE81" s="333"/>
      <c r="AF81" s="334"/>
      <c r="AG81" s="334"/>
      <c r="AH81" s="334"/>
      <c r="AI81" s="334"/>
      <c r="AJ81" s="335"/>
    </row>
    <row r="82" spans="1:37" outlineLevel="1" x14ac:dyDescent="0.25">
      <c r="A82" s="60"/>
      <c r="B82" s="61"/>
      <c r="D82" s="62"/>
      <c r="E82" s="63"/>
      <c r="F82" s="63"/>
      <c r="G82" s="63"/>
      <c r="H82" s="63"/>
      <c r="I82" s="63"/>
      <c r="M82" s="311"/>
      <c r="N82" s="312"/>
      <c r="O82" s="312"/>
      <c r="P82" s="312"/>
      <c r="Q82" s="312"/>
      <c r="R82" s="312"/>
      <c r="V82" s="311"/>
      <c r="W82" s="312"/>
      <c r="X82" s="312"/>
      <c r="Y82" s="312"/>
      <c r="Z82" s="312"/>
      <c r="AA82" s="312"/>
      <c r="AE82" s="311"/>
      <c r="AF82" s="312"/>
      <c r="AG82" s="312"/>
      <c r="AH82" s="312"/>
      <c r="AI82" s="312"/>
      <c r="AJ82" s="312"/>
    </row>
    <row r="83" spans="1:37" outlineLevel="1" x14ac:dyDescent="0.25">
      <c r="A83" s="168"/>
      <c r="B83" s="169"/>
      <c r="D83" s="503" t="s">
        <v>140</v>
      </c>
      <c r="E83" s="504" t="s">
        <v>94</v>
      </c>
      <c r="F83" s="504" t="s">
        <v>141</v>
      </c>
      <c r="G83" s="504"/>
      <c r="H83" s="504"/>
      <c r="I83" s="505"/>
      <c r="M83" s="503" t="s">
        <v>140</v>
      </c>
      <c r="N83" s="504" t="s">
        <v>94</v>
      </c>
      <c r="O83" s="504" t="s">
        <v>141</v>
      </c>
      <c r="P83" s="504"/>
      <c r="Q83" s="504"/>
      <c r="R83" s="505"/>
      <c r="V83" s="503" t="s">
        <v>140</v>
      </c>
      <c r="W83" s="504" t="s">
        <v>94</v>
      </c>
      <c r="X83" s="504" t="s">
        <v>141</v>
      </c>
      <c r="Y83" s="504"/>
      <c r="Z83" s="504"/>
      <c r="AA83" s="505"/>
      <c r="AE83" s="503" t="s">
        <v>140</v>
      </c>
      <c r="AF83" s="504" t="s">
        <v>94</v>
      </c>
      <c r="AG83" s="504" t="s">
        <v>141</v>
      </c>
      <c r="AH83" s="504"/>
      <c r="AI83" s="504"/>
      <c r="AJ83" s="505"/>
    </row>
    <row r="84" spans="1:37" hidden="1" outlineLevel="2" x14ac:dyDescent="0.25">
      <c r="A84" s="161">
        <v>46</v>
      </c>
      <c r="B84" s="162" t="s">
        <v>142</v>
      </c>
      <c r="D84" s="329">
        <f>VLOOKUP($A84,Prevs!$C:$AJ,COLUMN() - COLUMN($D84)+2,FALSE)*VLOOKUP($A84,Usinas!$C:$D,2,FALSE)</f>
        <v>594.61910999999998</v>
      </c>
      <c r="E84" s="309">
        <f>VLOOKUP($A84,Prevs!$C:$AJ,COLUMN() - COLUMN($D84)+2,FALSE)*VLOOKUP($A84,Usinas!$C:$D,2,FALSE)</f>
        <v>591.52868999999998</v>
      </c>
      <c r="F84" s="309">
        <f>VLOOKUP($A84,Prevs!$C:$AJ,COLUMN() - COLUMN($D84)+2,FALSE)*VLOOKUP($A84,Usinas!$C:$D,2,FALSE)</f>
        <v>588.31083000000001</v>
      </c>
      <c r="G84" s="309">
        <f>VLOOKUP($A84,Prevs!$C:$AJ,COLUMN() - COLUMN($D84)+2,FALSE)*VLOOKUP($A84,Usinas!$C:$D,2,FALSE)</f>
        <v>565.86545999999998</v>
      </c>
      <c r="H84" s="309">
        <f>VLOOKUP($A84,Prevs!$C:$AJ,COLUMN() - COLUMN($D84)+2,FALSE)*VLOOKUP($A84,Usinas!$C:$D,2,FALSE)</f>
        <v>552.64355999999998</v>
      </c>
      <c r="I84" s="330">
        <f>VLOOKUP($A84,Prevs!$C:$AJ,COLUMN() - COLUMN($D84)+2,FALSE)*VLOOKUP($A84,Usinas!$C:$D,2,FALSE)</f>
        <v>547.05212999999992</v>
      </c>
      <c r="J84" s="477">
        <f ca="1">VLOOKUP($A84,Prevs_MLT!$C:$AJ,1+Entrada!$C$4,FALSE)*VLOOKUP($A84,Usinas!$C:$D,2,FALSE)</f>
        <v>1032.2639999999999</v>
      </c>
      <c r="M84" s="329">
        <f>VLOOKUP($A84,Prevs!$C:$AJ,COLUMN() - COLUMN($D84)+2,FALSE)*VLOOKUP($A84,Usinas!$C:$D,2,FALSE)</f>
        <v>923.52581999999995</v>
      </c>
      <c r="N84" s="309">
        <f>VLOOKUP($A84,Prevs!$C:$AJ,COLUMN() - COLUMN($D84)+2,FALSE)*VLOOKUP($A84,Usinas!$C:$D,2,FALSE)</f>
        <v>918.74681999999996</v>
      </c>
      <c r="O84" s="309">
        <f>VLOOKUP($A84,Prevs!$C:$AJ,COLUMN() - COLUMN($D84)+2,FALSE)*VLOOKUP($A84,Usinas!$C:$D,2,FALSE)</f>
        <v>913.60143000000005</v>
      </c>
      <c r="P84" s="309">
        <f>VLOOKUP($A84,Prevs!$C:$AJ,COLUMN() - COLUMN($D84)+2,FALSE)*VLOOKUP($A84,Usinas!$C:$D,2,FALSE)</f>
        <v>878.88995999999997</v>
      </c>
      <c r="Q84" s="309">
        <f>VLOOKUP($A84,Prevs!$C:$AJ,COLUMN() - COLUMN($D84)+2,FALSE)*VLOOKUP($A84,Usinas!$C:$D,2,FALSE)</f>
        <v>858.34025999999994</v>
      </c>
      <c r="R84" s="330">
        <f>VLOOKUP($A84,Prevs!$C:$AJ,COLUMN() - COLUMN($D84)+2,FALSE)*VLOOKUP($A84,Usinas!$C:$D,2,FALSE)</f>
        <v>849.56283000000008</v>
      </c>
      <c r="V84" s="329">
        <f>VLOOKUP($A84,Prevs!$C:$AJ,COLUMN() - COLUMN($D84)+2,FALSE)*VLOOKUP($A84,Usinas!$C:$D,2,FALSE)</f>
        <v>784.05866999999989</v>
      </c>
      <c r="W84" s="309">
        <f>VLOOKUP($A84,Prevs!$C:$AJ,COLUMN() - COLUMN($D84)+2,FALSE)*VLOOKUP($A84,Usinas!$C:$D,2,FALSE)</f>
        <v>780.04431</v>
      </c>
      <c r="X84" s="309">
        <f>VLOOKUP($A84,Prevs!$C:$AJ,COLUMN() - COLUMN($D84)+2,FALSE)*VLOOKUP($A84,Usinas!$C:$D,2,FALSE)</f>
        <v>775.71135000000004</v>
      </c>
      <c r="Y84" s="309">
        <f>VLOOKUP($A84,Prevs!$C:$AJ,COLUMN() - COLUMN($D84)+2,FALSE)*VLOOKUP($A84,Usinas!$C:$D,2,FALSE)</f>
        <v>746.11340999999993</v>
      </c>
      <c r="Z84" s="309">
        <f>VLOOKUP($A84,Prevs!$C:$AJ,COLUMN() - COLUMN($D84)+2,FALSE)*VLOOKUP($A84,Usinas!$C:$D,2,FALSE)</f>
        <v>728.59040999999991</v>
      </c>
      <c r="AA84" s="330">
        <f>VLOOKUP($A84,Prevs!$C:$AJ,COLUMN() - COLUMN($D84)+2,FALSE)*VLOOKUP($A84,Usinas!$C:$D,2,FALSE)</f>
        <v>721.39004999999997</v>
      </c>
      <c r="AE84" s="329">
        <f>VLOOKUP($A84,Prevs!$C:$AJ,COLUMN() - COLUMN($D84)+2,FALSE)*VLOOKUP($A84,Usinas!$C:$D,2,FALSE)</f>
        <v>594.61910999999998</v>
      </c>
      <c r="AF84" s="309">
        <f>VLOOKUP($A84,Prevs!$C:$AJ,COLUMN() - COLUMN($D84)+2,FALSE)*VLOOKUP($A84,Usinas!$C:$D,2,FALSE)</f>
        <v>591.52868999999998</v>
      </c>
      <c r="AG84" s="309">
        <f>VLOOKUP($A84,Prevs!$C:$AJ,COLUMN() - COLUMN($D84)+2,FALSE)*VLOOKUP($A84,Usinas!$C:$D,2,FALSE)</f>
        <v>588.31083000000001</v>
      </c>
      <c r="AH84" s="309">
        <f>VLOOKUP($A84,Prevs!$C:$AJ,COLUMN() - COLUMN($D84)+2,FALSE)*VLOOKUP($A84,Usinas!$C:$D,2,FALSE)</f>
        <v>565.86545999999998</v>
      </c>
      <c r="AI84" s="309">
        <f>VLOOKUP($A84,Prevs!$C:$AJ,COLUMN() - COLUMN($D84)+2,FALSE)*VLOOKUP($A84,Usinas!$C:$D,2,FALSE)</f>
        <v>552.64355999999998</v>
      </c>
      <c r="AJ84" s="330">
        <f>VLOOKUP($A84,Prevs!$C:$AJ,COLUMN() - COLUMN($D84)+2,FALSE)*VLOOKUP($A84,Usinas!$C:$D,2,FALSE)</f>
        <v>547.05212999999992</v>
      </c>
    </row>
    <row r="85" spans="1:37" hidden="1" outlineLevel="2" x14ac:dyDescent="0.25">
      <c r="A85" s="161">
        <v>66</v>
      </c>
      <c r="B85" s="162" t="s">
        <v>143</v>
      </c>
      <c r="D85" s="329">
        <f>VLOOKUP($A85,Prevs!$C:$AJ,COLUMN() - COLUMN($D85)+2,FALSE)*VLOOKUP($A85,Usinas!$C:$D,2,FALSE)</f>
        <v>11369.61189</v>
      </c>
      <c r="E85" s="309">
        <f>VLOOKUP($A85,Prevs!$C:$AJ,COLUMN() - COLUMN($D85)+2,FALSE)*VLOOKUP($A85,Usinas!$C:$D,2,FALSE)</f>
        <v>10603.66671</v>
      </c>
      <c r="F85" s="309">
        <f>VLOOKUP($A85,Prevs!$C:$AJ,COLUMN() - COLUMN($D85)+2,FALSE)*VLOOKUP($A85,Usinas!$C:$D,2,FALSE)</f>
        <v>10481.013269999999</v>
      </c>
      <c r="G85" s="309">
        <f>VLOOKUP($A85,Prevs!$C:$AJ,COLUMN() - COLUMN($D85)+2,FALSE)*VLOOKUP($A85,Usinas!$C:$D,2,FALSE)</f>
        <v>10798.40034</v>
      </c>
      <c r="H85" s="309">
        <f>VLOOKUP($A85,Prevs!$C:$AJ,COLUMN() - COLUMN($D85)+2,FALSE)*VLOOKUP($A85,Usinas!$C:$D,2,FALSE)</f>
        <v>9550.5719399999998</v>
      </c>
      <c r="I85" s="330">
        <f>VLOOKUP($A85,Prevs!$C:$AJ,COLUMN() - COLUMN($D85)+2,FALSE)*VLOOKUP($A85,Usinas!$C:$D,2,FALSE)</f>
        <v>9000.0155699999996</v>
      </c>
      <c r="J85" s="477">
        <f ca="1">VLOOKUP($A85,Prevs_MLT!$C:$AJ,1+Entrada!$C$4,FALSE)*VLOOKUP($A85,Usinas!$C:$D,2,FALSE)</f>
        <v>10165.7556</v>
      </c>
      <c r="M85" s="329">
        <f>VLOOKUP($A85,Prevs!$C:$AJ,COLUMN() - COLUMN($D85)+2,FALSE)*VLOOKUP($A85,Usinas!$C:$D,2,FALSE)</f>
        <v>17515.80558</v>
      </c>
      <c r="N85" s="309">
        <f>VLOOKUP($A85,Prevs!$C:$AJ,COLUMN() - COLUMN($D85)+2,FALSE)*VLOOKUP($A85,Usinas!$C:$D,2,FALSE)</f>
        <v>16332.923879999998</v>
      </c>
      <c r="O85" s="309">
        <f>VLOOKUP($A85,Prevs!$C:$AJ,COLUMN() - COLUMN($D85)+2,FALSE)*VLOOKUP($A85,Usinas!$C:$D,2,FALSE)</f>
        <v>16160.12307</v>
      </c>
      <c r="P85" s="309">
        <f>VLOOKUP($A85,Prevs!$C:$AJ,COLUMN() - COLUMN($D85)+2,FALSE)*VLOOKUP($A85,Usinas!$C:$D,2,FALSE)</f>
        <v>16656.37974</v>
      </c>
      <c r="Q85" s="309">
        <f>VLOOKUP($A85,Prevs!$C:$AJ,COLUMN() - COLUMN($D85)+2,FALSE)*VLOOKUP($A85,Usinas!$C:$D,2,FALSE)</f>
        <v>14702.65524</v>
      </c>
      <c r="R85" s="330">
        <f>VLOOKUP($A85,Prevs!$C:$AJ,COLUMN() - COLUMN($D85)+2,FALSE)*VLOOKUP($A85,Usinas!$C:$D,2,FALSE)</f>
        <v>13880.60037</v>
      </c>
      <c r="V85" s="329">
        <f>VLOOKUP($A85,Prevs!$C:$AJ,COLUMN() - COLUMN($D85)+2,FALSE)*VLOOKUP($A85,Usinas!$C:$D,2,FALSE)</f>
        <v>14893.981829999999</v>
      </c>
      <c r="W85" s="309">
        <f>VLOOKUP($A85,Prevs!$C:$AJ,COLUMN() - COLUMN($D85)+2,FALSE)*VLOOKUP($A85,Usinas!$C:$D,2,FALSE)</f>
        <v>13889.756790000001</v>
      </c>
      <c r="X85" s="309">
        <f>VLOOKUP($A85,Prevs!$C:$AJ,COLUMN() - COLUMN($D85)+2,FALSE)*VLOOKUP($A85,Usinas!$C:$D,2,FALSE)</f>
        <v>13739.42115</v>
      </c>
      <c r="Y85" s="309">
        <f>VLOOKUP($A85,Prevs!$C:$AJ,COLUMN() - COLUMN($D85)+2,FALSE)*VLOOKUP($A85,Usinas!$C:$D,2,FALSE)</f>
        <v>14159.125890000001</v>
      </c>
      <c r="Z85" s="309">
        <f>VLOOKUP($A85,Prevs!$C:$AJ,COLUMN() - COLUMN($D85)+2,FALSE)*VLOOKUP($A85,Usinas!$C:$D,2,FALSE)</f>
        <v>12502.45269</v>
      </c>
      <c r="AA85" s="330">
        <f>VLOOKUP($A85,Prevs!$C:$AJ,COLUMN() - COLUMN($D85)+2,FALSE)*VLOOKUP($A85,Usinas!$C:$D,2,FALSE)</f>
        <v>11801.667149999999</v>
      </c>
      <c r="AE85" s="329">
        <f>VLOOKUP($A85,Prevs!$C:$AJ,COLUMN() - COLUMN($D85)+2,FALSE)*VLOOKUP($A85,Usinas!$C:$D,2,FALSE)</f>
        <v>11369.61189</v>
      </c>
      <c r="AF85" s="309">
        <f>VLOOKUP($A85,Prevs!$C:$AJ,COLUMN() - COLUMN($D85)+2,FALSE)*VLOOKUP($A85,Usinas!$C:$D,2,FALSE)</f>
        <v>10603.66671</v>
      </c>
      <c r="AG85" s="309">
        <f>VLOOKUP($A85,Prevs!$C:$AJ,COLUMN() - COLUMN($D85)+2,FALSE)*VLOOKUP($A85,Usinas!$C:$D,2,FALSE)</f>
        <v>10481.013269999999</v>
      </c>
      <c r="AH85" s="309">
        <f>VLOOKUP($A85,Prevs!$C:$AJ,COLUMN() - COLUMN($D85)+2,FALSE)*VLOOKUP($A85,Usinas!$C:$D,2,FALSE)</f>
        <v>10798.40034</v>
      </c>
      <c r="AI85" s="309">
        <f>VLOOKUP($A85,Prevs!$C:$AJ,COLUMN() - COLUMN($D85)+2,FALSE)*VLOOKUP($A85,Usinas!$C:$D,2,FALSE)</f>
        <v>9550.5719399999998</v>
      </c>
      <c r="AJ85" s="330">
        <f>VLOOKUP($A85,Prevs!$C:$AJ,COLUMN() - COLUMN($D85)+2,FALSE)*VLOOKUP($A85,Usinas!$C:$D,2,FALSE)</f>
        <v>9000.0155699999996</v>
      </c>
    </row>
    <row r="86" spans="1:37" outlineLevel="1" collapsed="1" x14ac:dyDescent="0.25">
      <c r="A86" s="170"/>
      <c r="B86" s="171" t="s">
        <v>92</v>
      </c>
      <c r="D86" s="174">
        <f t="shared" ref="D86:I86" si="38">SUM(D84:D85)</f>
        <v>11964.231</v>
      </c>
      <c r="E86" s="59">
        <f t="shared" si="38"/>
        <v>11195.195399999999</v>
      </c>
      <c r="F86" s="59">
        <f t="shared" si="38"/>
        <v>11069.3241</v>
      </c>
      <c r="G86" s="59">
        <f t="shared" si="38"/>
        <v>11364.265800000001</v>
      </c>
      <c r="H86" s="59">
        <f t="shared" si="38"/>
        <v>10103.2155</v>
      </c>
      <c r="I86" s="175">
        <f t="shared" si="38"/>
        <v>9547.0676999999996</v>
      </c>
      <c r="J86" s="423">
        <f ca="1">SUMPRODUCT(D86:I86,Saida!$B$7:$G$7)/SUM(Saida!$B$7:$G$7)</f>
        <v>10921.176810000001</v>
      </c>
      <c r="M86" s="331">
        <f t="shared" ref="M86:R86" si="39">SUM(M84:M85)</f>
        <v>18439.331399999999</v>
      </c>
      <c r="N86" s="310">
        <f t="shared" si="39"/>
        <v>17251.670699999999</v>
      </c>
      <c r="O86" s="310">
        <f t="shared" si="39"/>
        <v>17073.7245</v>
      </c>
      <c r="P86" s="310">
        <f t="shared" si="39"/>
        <v>17535.269700000001</v>
      </c>
      <c r="Q86" s="310">
        <f t="shared" si="39"/>
        <v>15560.995500000001</v>
      </c>
      <c r="R86" s="332">
        <f t="shared" si="39"/>
        <v>14730.163200000001</v>
      </c>
      <c r="S86" s="423">
        <f ca="1">SUMPRODUCT(M86:R86,Saida!$B$7:$G$7)/SUM(Saida!$B$7:$G$7)</f>
        <v>16837.370579999999</v>
      </c>
      <c r="V86" s="331">
        <f t="shared" ref="V86:AA86" si="40">SUM(V84:V85)</f>
        <v>15678.040499999999</v>
      </c>
      <c r="W86" s="310">
        <f t="shared" si="40"/>
        <v>14669.801100000001</v>
      </c>
      <c r="X86" s="310">
        <f t="shared" si="40"/>
        <v>14515.1325</v>
      </c>
      <c r="Y86" s="310">
        <f t="shared" si="40"/>
        <v>14905.239300000001</v>
      </c>
      <c r="Z86" s="310">
        <f t="shared" si="40"/>
        <v>13231.043100000001</v>
      </c>
      <c r="AA86" s="332">
        <f t="shared" si="40"/>
        <v>12523.057199999999</v>
      </c>
      <c r="AB86" s="423">
        <f ca="1">SUMPRODUCT(V86:AA86,Saida!$B$7:$G$7)/SUM(Saida!$B$7:$G$7)</f>
        <v>14314.986989999999</v>
      </c>
      <c r="AE86" s="331">
        <f t="shared" ref="AE86:AJ86" si="41">SUM(AE84:AE85)</f>
        <v>11964.231</v>
      </c>
      <c r="AF86" s="310">
        <f t="shared" si="41"/>
        <v>11195.195399999999</v>
      </c>
      <c r="AG86" s="310">
        <f t="shared" si="41"/>
        <v>11069.3241</v>
      </c>
      <c r="AH86" s="310">
        <f t="shared" si="41"/>
        <v>11364.265800000001</v>
      </c>
      <c r="AI86" s="310">
        <f t="shared" si="41"/>
        <v>10103.2155</v>
      </c>
      <c r="AJ86" s="332">
        <f t="shared" si="41"/>
        <v>9547.0676999999996</v>
      </c>
      <c r="AK86" s="423">
        <f ca="1">SUMPRODUCT(AE86:AJ86,Saida!$B$7:$G$7)/SUM(Saida!$B$7:$G$7)</f>
        <v>10921.176810000001</v>
      </c>
    </row>
    <row r="87" spans="1:37" outlineLevel="1" x14ac:dyDescent="0.25">
      <c r="A87" s="172"/>
      <c r="B87" s="173" t="s">
        <v>13</v>
      </c>
      <c r="D87" s="176"/>
      <c r="E87" s="177"/>
      <c r="F87" s="177"/>
      <c r="G87" s="177"/>
      <c r="H87" s="177"/>
      <c r="I87" s="178"/>
      <c r="J87" s="478">
        <f ca="1">SUM(J84:J85)</f>
        <v>11198.0196</v>
      </c>
      <c r="M87" s="333"/>
      <c r="N87" s="334"/>
      <c r="O87" s="334"/>
      <c r="P87" s="334"/>
      <c r="Q87" s="334"/>
      <c r="R87" s="335"/>
      <c r="V87" s="333"/>
      <c r="W87" s="334"/>
      <c r="X87" s="334"/>
      <c r="Y87" s="334"/>
      <c r="Z87" s="334"/>
      <c r="AA87" s="335"/>
      <c r="AE87" s="333"/>
      <c r="AF87" s="334"/>
      <c r="AG87" s="334"/>
      <c r="AH87" s="334"/>
      <c r="AI87" s="334"/>
      <c r="AJ87" s="335"/>
    </row>
    <row r="88" spans="1:37" outlineLevel="1" x14ac:dyDescent="0.25">
      <c r="A88" s="60"/>
      <c r="B88" s="61"/>
      <c r="D88" s="62"/>
      <c r="E88" s="63"/>
      <c r="F88" s="63"/>
      <c r="G88" s="63"/>
      <c r="H88" s="63"/>
      <c r="I88" s="63"/>
      <c r="M88" s="311"/>
      <c r="N88" s="312"/>
      <c r="O88" s="312"/>
      <c r="P88" s="312"/>
      <c r="Q88" s="312"/>
      <c r="R88" s="312"/>
      <c r="V88" s="311"/>
      <c r="W88" s="312"/>
      <c r="X88" s="312"/>
      <c r="Y88" s="312"/>
      <c r="Z88" s="312"/>
      <c r="AA88" s="312"/>
      <c r="AE88" s="311"/>
      <c r="AF88" s="312"/>
      <c r="AG88" s="312"/>
      <c r="AH88" s="312"/>
      <c r="AI88" s="312"/>
      <c r="AJ88" s="312"/>
    </row>
    <row r="89" spans="1:37" outlineLevel="1" x14ac:dyDescent="0.25">
      <c r="A89" s="168"/>
      <c r="B89" s="169"/>
      <c r="D89" s="503" t="s">
        <v>144</v>
      </c>
      <c r="E89" s="504" t="s">
        <v>94</v>
      </c>
      <c r="F89" s="504" t="s">
        <v>145</v>
      </c>
      <c r="G89" s="504"/>
      <c r="H89" s="504"/>
      <c r="I89" s="505"/>
      <c r="M89" s="503" t="s">
        <v>144</v>
      </c>
      <c r="N89" s="504" t="s">
        <v>94</v>
      </c>
      <c r="O89" s="504" t="s">
        <v>145</v>
      </c>
      <c r="P89" s="504"/>
      <c r="Q89" s="504"/>
      <c r="R89" s="505"/>
      <c r="V89" s="503" t="s">
        <v>144</v>
      </c>
      <c r="W89" s="504" t="s">
        <v>94</v>
      </c>
      <c r="X89" s="504" t="s">
        <v>145</v>
      </c>
      <c r="Y89" s="504"/>
      <c r="Z89" s="504"/>
      <c r="AA89" s="505"/>
      <c r="AE89" s="503" t="s">
        <v>144</v>
      </c>
      <c r="AF89" s="504" t="s">
        <v>94</v>
      </c>
      <c r="AG89" s="504" t="s">
        <v>145</v>
      </c>
      <c r="AH89" s="504"/>
      <c r="AI89" s="504"/>
      <c r="AJ89" s="505"/>
    </row>
    <row r="90" spans="1:37" hidden="1" outlineLevel="2" x14ac:dyDescent="0.25">
      <c r="A90" s="161">
        <v>120</v>
      </c>
      <c r="B90" s="162" t="s">
        <v>146</v>
      </c>
      <c r="D90" s="329">
        <f>VLOOKUP($A90,Prevs!$C:$AJ,COLUMN() - COLUMN($D90)+2,FALSE)*VLOOKUP($A90,Usinas!$C:$D,2,FALSE)</f>
        <v>5.5506000000000002</v>
      </c>
      <c r="E90" s="309">
        <f>VLOOKUP($A90,Prevs!$C:$AJ,COLUMN() - COLUMN($D90)+2,FALSE)*VLOOKUP($A90,Usinas!$C:$D,2,FALSE)</f>
        <v>6.055200000000001</v>
      </c>
      <c r="F90" s="309">
        <f>VLOOKUP($A90,Prevs!$C:$AJ,COLUMN() - COLUMN($D90)+2,FALSE)*VLOOKUP($A90,Usinas!$C:$D,2,FALSE)</f>
        <v>5.5506000000000002</v>
      </c>
      <c r="G90" s="309">
        <f>VLOOKUP($A90,Prevs!$C:$AJ,COLUMN() - COLUMN($D90)+2,FALSE)*VLOOKUP($A90,Usinas!$C:$D,2,FALSE)</f>
        <v>6.055200000000001</v>
      </c>
      <c r="H90" s="309">
        <f>VLOOKUP($A90,Prevs!$C:$AJ,COLUMN() - COLUMN($D90)+2,FALSE)*VLOOKUP($A90,Usinas!$C:$D,2,FALSE)</f>
        <v>6.559800000000001</v>
      </c>
      <c r="I90" s="330">
        <f>VLOOKUP($A90,Prevs!$C:$AJ,COLUMN() - COLUMN($D90)+2,FALSE)*VLOOKUP($A90,Usinas!$C:$D,2,FALSE)</f>
        <v>5.5506000000000002</v>
      </c>
      <c r="J90" s="477">
        <f ca="1">VLOOKUP($A90,Prevs_MLT!$C:$AJ,1+Entrada!$C$4,FALSE)*VLOOKUP($A90,Usinas!$C:$D,2,FALSE)</f>
        <v>13.624200000000002</v>
      </c>
      <c r="M90" s="329">
        <f>VLOOKUP($A90,Prevs!$C:$AJ,COLUMN() - COLUMN($D90)+2,FALSE)*VLOOKUP($A90,Usinas!$C:$D,2,FALSE)</f>
        <v>8.5782000000000007</v>
      </c>
      <c r="N90" s="309">
        <f>VLOOKUP($A90,Prevs!$C:$AJ,COLUMN() - COLUMN($D90)+2,FALSE)*VLOOKUP($A90,Usinas!$C:$D,2,FALSE)</f>
        <v>9.5874000000000006</v>
      </c>
      <c r="O90" s="309">
        <f>VLOOKUP($A90,Prevs!$C:$AJ,COLUMN() - COLUMN($D90)+2,FALSE)*VLOOKUP($A90,Usinas!$C:$D,2,FALSE)</f>
        <v>8.5782000000000007</v>
      </c>
      <c r="P90" s="309">
        <f>VLOOKUP($A90,Prevs!$C:$AJ,COLUMN() - COLUMN($D90)+2,FALSE)*VLOOKUP($A90,Usinas!$C:$D,2,FALSE)</f>
        <v>9.5874000000000006</v>
      </c>
      <c r="Q90" s="309">
        <f>VLOOKUP($A90,Prevs!$C:$AJ,COLUMN() - COLUMN($D90)+2,FALSE)*VLOOKUP($A90,Usinas!$C:$D,2,FALSE)</f>
        <v>10.092000000000001</v>
      </c>
      <c r="R90" s="330">
        <f>VLOOKUP($A90,Prevs!$C:$AJ,COLUMN() - COLUMN($D90)+2,FALSE)*VLOOKUP($A90,Usinas!$C:$D,2,FALSE)</f>
        <v>8.5782000000000007</v>
      </c>
      <c r="V90" s="329">
        <f>VLOOKUP($A90,Prevs!$C:$AJ,COLUMN() - COLUMN($D90)+2,FALSE)*VLOOKUP($A90,Usinas!$C:$D,2,FALSE)</f>
        <v>7.5690000000000008</v>
      </c>
      <c r="W90" s="309">
        <f>VLOOKUP($A90,Prevs!$C:$AJ,COLUMN() - COLUMN($D90)+2,FALSE)*VLOOKUP($A90,Usinas!$C:$D,2,FALSE)</f>
        <v>8.0736000000000008</v>
      </c>
      <c r="X90" s="309">
        <f>VLOOKUP($A90,Prevs!$C:$AJ,COLUMN() - COLUMN($D90)+2,FALSE)*VLOOKUP($A90,Usinas!$C:$D,2,FALSE)</f>
        <v>7.5690000000000008</v>
      </c>
      <c r="Y90" s="309">
        <f>VLOOKUP($A90,Prevs!$C:$AJ,COLUMN() - COLUMN($D90)+2,FALSE)*VLOOKUP($A90,Usinas!$C:$D,2,FALSE)</f>
        <v>8.0736000000000008</v>
      </c>
      <c r="Z90" s="309">
        <f>VLOOKUP($A90,Prevs!$C:$AJ,COLUMN() - COLUMN($D90)+2,FALSE)*VLOOKUP($A90,Usinas!$C:$D,2,FALSE)</f>
        <v>8.5782000000000007</v>
      </c>
      <c r="AA90" s="330">
        <f>VLOOKUP($A90,Prevs!$C:$AJ,COLUMN() - COLUMN($D90)+2,FALSE)*VLOOKUP($A90,Usinas!$C:$D,2,FALSE)</f>
        <v>7.5690000000000008</v>
      </c>
      <c r="AE90" s="329">
        <f>VLOOKUP($A90,Prevs!$C:$AJ,COLUMN() - COLUMN($D90)+2,FALSE)*VLOOKUP($A90,Usinas!$C:$D,2,FALSE)</f>
        <v>5.5506000000000002</v>
      </c>
      <c r="AF90" s="309">
        <f>VLOOKUP($A90,Prevs!$C:$AJ,COLUMN() - COLUMN($D90)+2,FALSE)*VLOOKUP($A90,Usinas!$C:$D,2,FALSE)</f>
        <v>6.055200000000001</v>
      </c>
      <c r="AG90" s="309">
        <f>VLOOKUP($A90,Prevs!$C:$AJ,COLUMN() - COLUMN($D90)+2,FALSE)*VLOOKUP($A90,Usinas!$C:$D,2,FALSE)</f>
        <v>5.5506000000000002</v>
      </c>
      <c r="AH90" s="309">
        <f>VLOOKUP($A90,Prevs!$C:$AJ,COLUMN() - COLUMN($D90)+2,FALSE)*VLOOKUP($A90,Usinas!$C:$D,2,FALSE)</f>
        <v>6.055200000000001</v>
      </c>
      <c r="AI90" s="309">
        <f>VLOOKUP($A90,Prevs!$C:$AJ,COLUMN() - COLUMN($D90)+2,FALSE)*VLOOKUP($A90,Usinas!$C:$D,2,FALSE)</f>
        <v>6.559800000000001</v>
      </c>
      <c r="AJ90" s="330">
        <f>VLOOKUP($A90,Prevs!$C:$AJ,COLUMN() - COLUMN($D90)+2,FALSE)*VLOOKUP($A90,Usinas!$C:$D,2,FALSE)</f>
        <v>5.5506000000000002</v>
      </c>
    </row>
    <row r="91" spans="1:37" hidden="1" outlineLevel="2" x14ac:dyDescent="0.25">
      <c r="A91" s="161">
        <v>121</v>
      </c>
      <c r="B91" s="162" t="s">
        <v>147</v>
      </c>
      <c r="D91" s="329">
        <f>VLOOKUP($A91,Prevs!$C:$AJ,COLUMN() - COLUMN($D91)+2,FALSE)*VLOOKUP($A91,Usinas!$C:$D,2,FALSE)</f>
        <v>23.1099</v>
      </c>
      <c r="E91" s="309">
        <f>VLOOKUP($A91,Prevs!$C:$AJ,COLUMN() - COLUMN($D91)+2,FALSE)*VLOOKUP($A91,Usinas!$C:$D,2,FALSE)</f>
        <v>23.810200000000002</v>
      </c>
      <c r="F91" s="309">
        <f>VLOOKUP($A91,Prevs!$C:$AJ,COLUMN() - COLUMN($D91)+2,FALSE)*VLOOKUP($A91,Usinas!$C:$D,2,FALSE)</f>
        <v>24.5105</v>
      </c>
      <c r="G91" s="309">
        <f>VLOOKUP($A91,Prevs!$C:$AJ,COLUMN() - COLUMN($D91)+2,FALSE)*VLOOKUP($A91,Usinas!$C:$D,2,FALSE)</f>
        <v>22.409600000000001</v>
      </c>
      <c r="H91" s="309">
        <f>VLOOKUP($A91,Prevs!$C:$AJ,COLUMN() - COLUMN($D91)+2,FALSE)*VLOOKUP($A91,Usinas!$C:$D,2,FALSE)</f>
        <v>27.311700000000002</v>
      </c>
      <c r="I91" s="330">
        <f>VLOOKUP($A91,Prevs!$C:$AJ,COLUMN() - COLUMN($D91)+2,FALSE)*VLOOKUP($A91,Usinas!$C:$D,2,FALSE)</f>
        <v>25.210800000000003</v>
      </c>
      <c r="J91" s="477">
        <f ca="1">VLOOKUP($A91,Prevs_MLT!$C:$AJ,1+Entrada!$C$4,FALSE)*VLOOKUP($A91,Usinas!$C:$D,2,FALSE)</f>
        <v>43.418600000000005</v>
      </c>
      <c r="M91" s="329">
        <f>VLOOKUP($A91,Prevs!$C:$AJ,COLUMN() - COLUMN($D91)+2,FALSE)*VLOOKUP($A91,Usinas!$C:$D,2,FALSE)</f>
        <v>35.715299999999999</v>
      </c>
      <c r="N91" s="309">
        <f>VLOOKUP($A91,Prevs!$C:$AJ,COLUMN() - COLUMN($D91)+2,FALSE)*VLOOKUP($A91,Usinas!$C:$D,2,FALSE)</f>
        <v>37.115900000000003</v>
      </c>
      <c r="O91" s="309">
        <f>VLOOKUP($A91,Prevs!$C:$AJ,COLUMN() - COLUMN($D91)+2,FALSE)*VLOOKUP($A91,Usinas!$C:$D,2,FALSE)</f>
        <v>37.816200000000002</v>
      </c>
      <c r="P91" s="309">
        <f>VLOOKUP($A91,Prevs!$C:$AJ,COLUMN() - COLUMN($D91)+2,FALSE)*VLOOKUP($A91,Usinas!$C:$D,2,FALSE)</f>
        <v>35.015000000000001</v>
      </c>
      <c r="Q91" s="309">
        <f>VLOOKUP($A91,Prevs!$C:$AJ,COLUMN() - COLUMN($D91)+2,FALSE)*VLOOKUP($A91,Usinas!$C:$D,2,FALSE)</f>
        <v>42.718299999999999</v>
      </c>
      <c r="R91" s="330">
        <f>VLOOKUP($A91,Prevs!$C:$AJ,COLUMN() - COLUMN($D91)+2,FALSE)*VLOOKUP($A91,Usinas!$C:$D,2,FALSE)</f>
        <v>39.216799999999999</v>
      </c>
      <c r="V91" s="329">
        <f>VLOOKUP($A91,Prevs!$C:$AJ,COLUMN() - COLUMN($D91)+2,FALSE)*VLOOKUP($A91,Usinas!$C:$D,2,FALSE)</f>
        <v>30.813200000000002</v>
      </c>
      <c r="W91" s="309">
        <f>VLOOKUP($A91,Prevs!$C:$AJ,COLUMN() - COLUMN($D91)+2,FALSE)*VLOOKUP($A91,Usinas!$C:$D,2,FALSE)</f>
        <v>31.513500000000001</v>
      </c>
      <c r="X91" s="309">
        <f>VLOOKUP($A91,Prevs!$C:$AJ,COLUMN() - COLUMN($D91)+2,FALSE)*VLOOKUP($A91,Usinas!$C:$D,2,FALSE)</f>
        <v>32.213799999999999</v>
      </c>
      <c r="Y91" s="309">
        <f>VLOOKUP($A91,Prevs!$C:$AJ,COLUMN() - COLUMN($D91)+2,FALSE)*VLOOKUP($A91,Usinas!$C:$D,2,FALSE)</f>
        <v>29.412600000000001</v>
      </c>
      <c r="Z91" s="309">
        <f>VLOOKUP($A91,Prevs!$C:$AJ,COLUMN() - COLUMN($D91)+2,FALSE)*VLOOKUP($A91,Usinas!$C:$D,2,FALSE)</f>
        <v>35.715299999999999</v>
      </c>
      <c r="AA91" s="330">
        <f>VLOOKUP($A91,Prevs!$C:$AJ,COLUMN() - COLUMN($D91)+2,FALSE)*VLOOKUP($A91,Usinas!$C:$D,2,FALSE)</f>
        <v>32.914100000000005</v>
      </c>
      <c r="AE91" s="329">
        <f>VLOOKUP($A91,Prevs!$C:$AJ,COLUMN() - COLUMN($D91)+2,FALSE)*VLOOKUP($A91,Usinas!$C:$D,2,FALSE)</f>
        <v>23.1099</v>
      </c>
      <c r="AF91" s="309">
        <f>VLOOKUP($A91,Prevs!$C:$AJ,COLUMN() - COLUMN($D91)+2,FALSE)*VLOOKUP($A91,Usinas!$C:$D,2,FALSE)</f>
        <v>23.810200000000002</v>
      </c>
      <c r="AG91" s="309">
        <f>VLOOKUP($A91,Prevs!$C:$AJ,COLUMN() - COLUMN($D91)+2,FALSE)*VLOOKUP($A91,Usinas!$C:$D,2,FALSE)</f>
        <v>24.5105</v>
      </c>
      <c r="AH91" s="309">
        <f>VLOOKUP($A91,Prevs!$C:$AJ,COLUMN() - COLUMN($D91)+2,FALSE)*VLOOKUP($A91,Usinas!$C:$D,2,FALSE)</f>
        <v>22.409600000000001</v>
      </c>
      <c r="AI91" s="309">
        <f>VLOOKUP($A91,Prevs!$C:$AJ,COLUMN() - COLUMN($D91)+2,FALSE)*VLOOKUP($A91,Usinas!$C:$D,2,FALSE)</f>
        <v>27.311700000000002</v>
      </c>
      <c r="AJ91" s="330">
        <f>VLOOKUP($A91,Prevs!$C:$AJ,COLUMN() - COLUMN($D91)+2,FALSE)*VLOOKUP($A91,Usinas!$C:$D,2,FALSE)</f>
        <v>25.210800000000003</v>
      </c>
    </row>
    <row r="92" spans="1:37" hidden="1" outlineLevel="2" x14ac:dyDescent="0.25">
      <c r="A92" s="161">
        <v>122</v>
      </c>
      <c r="B92" s="162" t="s">
        <v>148</v>
      </c>
      <c r="D92" s="329">
        <f>VLOOKUP($A92,Prevs!$C:$AJ,COLUMN() - COLUMN($D92)+2,FALSE)*VLOOKUP($A92,Usinas!$C:$D,2,FALSE)</f>
        <v>14.448399999999999</v>
      </c>
      <c r="E92" s="309">
        <f>VLOOKUP($A92,Prevs!$C:$AJ,COLUMN() - COLUMN($D92)+2,FALSE)*VLOOKUP($A92,Usinas!$C:$D,2,FALSE)</f>
        <v>14.448399999999999</v>
      </c>
      <c r="F92" s="309">
        <f>VLOOKUP($A92,Prevs!$C:$AJ,COLUMN() - COLUMN($D92)+2,FALSE)*VLOOKUP($A92,Usinas!$C:$D,2,FALSE)</f>
        <v>15.1532</v>
      </c>
      <c r="G92" s="309">
        <f>VLOOKUP($A92,Prevs!$C:$AJ,COLUMN() - COLUMN($D92)+2,FALSE)*VLOOKUP($A92,Usinas!$C:$D,2,FALSE)</f>
        <v>13.743599999999999</v>
      </c>
      <c r="H92" s="309">
        <f>VLOOKUP($A92,Prevs!$C:$AJ,COLUMN() - COLUMN($D92)+2,FALSE)*VLOOKUP($A92,Usinas!$C:$D,2,FALSE)</f>
        <v>16.2104</v>
      </c>
      <c r="I92" s="330">
        <f>VLOOKUP($A92,Prevs!$C:$AJ,COLUMN() - COLUMN($D92)+2,FALSE)*VLOOKUP($A92,Usinas!$C:$D,2,FALSE)</f>
        <v>15.1532</v>
      </c>
      <c r="J92" s="477">
        <f ca="1">VLOOKUP($A92,Prevs_MLT!$C:$AJ,1+Entrada!$C$4,FALSE)*VLOOKUP($A92,Usinas!$C:$D,2,FALSE)</f>
        <v>25.020399999999999</v>
      </c>
      <c r="M92" s="329">
        <f>VLOOKUP($A92,Prevs!$C:$AJ,COLUMN() - COLUMN($D92)+2,FALSE)*VLOOKUP($A92,Usinas!$C:$D,2,FALSE)</f>
        <v>22.553599999999999</v>
      </c>
      <c r="N92" s="309">
        <f>VLOOKUP($A92,Prevs!$C:$AJ,COLUMN() - COLUMN($D92)+2,FALSE)*VLOOKUP($A92,Usinas!$C:$D,2,FALSE)</f>
        <v>22.553599999999999</v>
      </c>
      <c r="O92" s="309">
        <f>VLOOKUP($A92,Prevs!$C:$AJ,COLUMN() - COLUMN($D92)+2,FALSE)*VLOOKUP($A92,Usinas!$C:$D,2,FALSE)</f>
        <v>23.610800000000001</v>
      </c>
      <c r="P92" s="309">
        <f>VLOOKUP($A92,Prevs!$C:$AJ,COLUMN() - COLUMN($D92)+2,FALSE)*VLOOKUP($A92,Usinas!$C:$D,2,FALSE)</f>
        <v>21.496399999999998</v>
      </c>
      <c r="Q92" s="309">
        <f>VLOOKUP($A92,Prevs!$C:$AJ,COLUMN() - COLUMN($D92)+2,FALSE)*VLOOKUP($A92,Usinas!$C:$D,2,FALSE)</f>
        <v>25.020399999999999</v>
      </c>
      <c r="R92" s="330">
        <f>VLOOKUP($A92,Prevs!$C:$AJ,COLUMN() - COLUMN($D92)+2,FALSE)*VLOOKUP($A92,Usinas!$C:$D,2,FALSE)</f>
        <v>23.610800000000001</v>
      </c>
      <c r="V92" s="329">
        <f>VLOOKUP($A92,Prevs!$C:$AJ,COLUMN() - COLUMN($D92)+2,FALSE)*VLOOKUP($A92,Usinas!$C:$D,2,FALSE)</f>
        <v>19.029599999999999</v>
      </c>
      <c r="W92" s="309">
        <f>VLOOKUP($A92,Prevs!$C:$AJ,COLUMN() - COLUMN($D92)+2,FALSE)*VLOOKUP($A92,Usinas!$C:$D,2,FALSE)</f>
        <v>19.029599999999999</v>
      </c>
      <c r="X92" s="309">
        <f>VLOOKUP($A92,Prevs!$C:$AJ,COLUMN() - COLUMN($D92)+2,FALSE)*VLOOKUP($A92,Usinas!$C:$D,2,FALSE)</f>
        <v>20.0868</v>
      </c>
      <c r="Y92" s="309">
        <f>VLOOKUP($A92,Prevs!$C:$AJ,COLUMN() - COLUMN($D92)+2,FALSE)*VLOOKUP($A92,Usinas!$C:$D,2,FALSE)</f>
        <v>17.9724</v>
      </c>
      <c r="Z92" s="309">
        <f>VLOOKUP($A92,Prevs!$C:$AJ,COLUMN() - COLUMN($D92)+2,FALSE)*VLOOKUP($A92,Usinas!$C:$D,2,FALSE)</f>
        <v>21.496399999999998</v>
      </c>
      <c r="AA92" s="330">
        <f>VLOOKUP($A92,Prevs!$C:$AJ,COLUMN() - COLUMN($D92)+2,FALSE)*VLOOKUP($A92,Usinas!$C:$D,2,FALSE)</f>
        <v>20.0868</v>
      </c>
      <c r="AE92" s="329">
        <f>VLOOKUP($A92,Prevs!$C:$AJ,COLUMN() - COLUMN($D92)+2,FALSE)*VLOOKUP($A92,Usinas!$C:$D,2,FALSE)</f>
        <v>14.448399999999999</v>
      </c>
      <c r="AF92" s="309">
        <f>VLOOKUP($A92,Prevs!$C:$AJ,COLUMN() - COLUMN($D92)+2,FALSE)*VLOOKUP($A92,Usinas!$C:$D,2,FALSE)</f>
        <v>14.448399999999999</v>
      </c>
      <c r="AG92" s="309">
        <f>VLOOKUP($A92,Prevs!$C:$AJ,COLUMN() - COLUMN($D92)+2,FALSE)*VLOOKUP($A92,Usinas!$C:$D,2,FALSE)</f>
        <v>15.1532</v>
      </c>
      <c r="AH92" s="309">
        <f>VLOOKUP($A92,Prevs!$C:$AJ,COLUMN() - COLUMN($D92)+2,FALSE)*VLOOKUP($A92,Usinas!$C:$D,2,FALSE)</f>
        <v>13.743599999999999</v>
      </c>
      <c r="AI92" s="309">
        <f>VLOOKUP($A92,Prevs!$C:$AJ,COLUMN() - COLUMN($D92)+2,FALSE)*VLOOKUP($A92,Usinas!$C:$D,2,FALSE)</f>
        <v>16.2104</v>
      </c>
      <c r="AJ92" s="330">
        <f>VLOOKUP($A92,Prevs!$C:$AJ,COLUMN() - COLUMN($D92)+2,FALSE)*VLOOKUP($A92,Usinas!$C:$D,2,FALSE)</f>
        <v>15.1532</v>
      </c>
    </row>
    <row r="93" spans="1:37" hidden="1" outlineLevel="2" x14ac:dyDescent="0.25">
      <c r="A93" s="161">
        <v>123</v>
      </c>
      <c r="B93" s="162" t="s">
        <v>149</v>
      </c>
      <c r="D93" s="329">
        <f>VLOOKUP($A93,Prevs!$C:$AJ,COLUMN() - COLUMN($D93)+2,FALSE)*VLOOKUP($A93,Usinas!$C:$D,2,FALSE)</f>
        <v>50.606499999999997</v>
      </c>
      <c r="E93" s="309">
        <f>VLOOKUP($A93,Prevs!$C:$AJ,COLUMN() - COLUMN($D93)+2,FALSE)*VLOOKUP($A93,Usinas!$C:$D,2,FALSE)</f>
        <v>51.139199999999995</v>
      </c>
      <c r="F93" s="309">
        <f>VLOOKUP($A93,Prevs!$C:$AJ,COLUMN() - COLUMN($D93)+2,FALSE)*VLOOKUP($A93,Usinas!$C:$D,2,FALSE)</f>
        <v>51.139199999999995</v>
      </c>
      <c r="G93" s="309">
        <f>VLOOKUP($A93,Prevs!$C:$AJ,COLUMN() - COLUMN($D93)+2,FALSE)*VLOOKUP($A93,Usinas!$C:$D,2,FALSE)</f>
        <v>36.756299999999996</v>
      </c>
      <c r="H93" s="309">
        <f>VLOOKUP($A93,Prevs!$C:$AJ,COLUMN() - COLUMN($D93)+2,FALSE)*VLOOKUP($A93,Usinas!$C:$D,2,FALSE)</f>
        <v>55.933499999999995</v>
      </c>
      <c r="I93" s="330">
        <f>VLOOKUP($A93,Prevs!$C:$AJ,COLUMN() - COLUMN($D93)+2,FALSE)*VLOOKUP($A93,Usinas!$C:$D,2,FALSE)</f>
        <v>56.466199999999994</v>
      </c>
      <c r="J93" s="477">
        <f ca="1">VLOOKUP($A93,Prevs_MLT!$C:$AJ,1+Entrada!$C$4,FALSE)*VLOOKUP($A93,Usinas!$C:$D,2,FALSE)</f>
        <v>102.8111</v>
      </c>
      <c r="M93" s="329">
        <f>VLOOKUP($A93,Prevs!$C:$AJ,COLUMN() - COLUMN($D93)+2,FALSE)*VLOOKUP($A93,Usinas!$C:$D,2,FALSE)</f>
        <v>78.83959999999999</v>
      </c>
      <c r="N93" s="309">
        <f>VLOOKUP($A93,Prevs!$C:$AJ,COLUMN() - COLUMN($D93)+2,FALSE)*VLOOKUP($A93,Usinas!$C:$D,2,FALSE)</f>
        <v>79.372299999999996</v>
      </c>
      <c r="O93" s="309">
        <f>VLOOKUP($A93,Prevs!$C:$AJ,COLUMN() - COLUMN($D93)+2,FALSE)*VLOOKUP($A93,Usinas!$C:$D,2,FALSE)</f>
        <v>79.372299999999996</v>
      </c>
      <c r="P93" s="309">
        <f>VLOOKUP($A93,Prevs!$C:$AJ,COLUMN() - COLUMN($D93)+2,FALSE)*VLOOKUP($A93,Usinas!$C:$D,2,FALSE)</f>
        <v>56.998899999999992</v>
      </c>
      <c r="Q93" s="309">
        <f>VLOOKUP($A93,Prevs!$C:$AJ,COLUMN() - COLUMN($D93)+2,FALSE)*VLOOKUP($A93,Usinas!$C:$D,2,FALSE)</f>
        <v>86.830099999999987</v>
      </c>
      <c r="R93" s="330">
        <f>VLOOKUP($A93,Prevs!$C:$AJ,COLUMN() - COLUMN($D93)+2,FALSE)*VLOOKUP($A93,Usinas!$C:$D,2,FALSE)</f>
        <v>87.895499999999998</v>
      </c>
      <c r="V93" s="329">
        <f>VLOOKUP($A93,Prevs!$C:$AJ,COLUMN() - COLUMN($D93)+2,FALSE)*VLOOKUP($A93,Usinas!$C:$D,2,FALSE)</f>
        <v>66.587499999999991</v>
      </c>
      <c r="W93" s="309">
        <f>VLOOKUP($A93,Prevs!$C:$AJ,COLUMN() - COLUMN($D93)+2,FALSE)*VLOOKUP($A93,Usinas!$C:$D,2,FALSE)</f>
        <v>67.652899999999988</v>
      </c>
      <c r="X93" s="309">
        <f>VLOOKUP($A93,Prevs!$C:$AJ,COLUMN() - COLUMN($D93)+2,FALSE)*VLOOKUP($A93,Usinas!$C:$D,2,FALSE)</f>
        <v>67.652899999999988</v>
      </c>
      <c r="Y93" s="309">
        <f>VLOOKUP($A93,Prevs!$C:$AJ,COLUMN() - COLUMN($D93)+2,FALSE)*VLOOKUP($A93,Usinas!$C:$D,2,FALSE)</f>
        <v>48.475699999999996</v>
      </c>
      <c r="Z93" s="309">
        <f>VLOOKUP($A93,Prevs!$C:$AJ,COLUMN() - COLUMN($D93)+2,FALSE)*VLOOKUP($A93,Usinas!$C:$D,2,FALSE)</f>
        <v>73.512599999999992</v>
      </c>
      <c r="AA93" s="330">
        <f>VLOOKUP($A93,Prevs!$C:$AJ,COLUMN() - COLUMN($D93)+2,FALSE)*VLOOKUP($A93,Usinas!$C:$D,2,FALSE)</f>
        <v>74.577999999999989</v>
      </c>
      <c r="AE93" s="329">
        <f>VLOOKUP($A93,Prevs!$C:$AJ,COLUMN() - COLUMN($D93)+2,FALSE)*VLOOKUP($A93,Usinas!$C:$D,2,FALSE)</f>
        <v>50.606499999999997</v>
      </c>
      <c r="AF93" s="309">
        <f>VLOOKUP($A93,Prevs!$C:$AJ,COLUMN() - COLUMN($D93)+2,FALSE)*VLOOKUP($A93,Usinas!$C:$D,2,FALSE)</f>
        <v>51.139199999999995</v>
      </c>
      <c r="AG93" s="309">
        <f>VLOOKUP($A93,Prevs!$C:$AJ,COLUMN() - COLUMN($D93)+2,FALSE)*VLOOKUP($A93,Usinas!$C:$D,2,FALSE)</f>
        <v>51.139199999999995</v>
      </c>
      <c r="AH93" s="309">
        <f>VLOOKUP($A93,Prevs!$C:$AJ,COLUMN() - COLUMN($D93)+2,FALSE)*VLOOKUP($A93,Usinas!$C:$D,2,FALSE)</f>
        <v>36.756299999999996</v>
      </c>
      <c r="AI93" s="309">
        <f>VLOOKUP($A93,Prevs!$C:$AJ,COLUMN() - COLUMN($D93)+2,FALSE)*VLOOKUP($A93,Usinas!$C:$D,2,FALSE)</f>
        <v>55.933499999999995</v>
      </c>
      <c r="AJ93" s="330">
        <f>VLOOKUP($A93,Prevs!$C:$AJ,COLUMN() - COLUMN($D93)+2,FALSE)*VLOOKUP($A93,Usinas!$C:$D,2,FALSE)</f>
        <v>56.466199999999994</v>
      </c>
    </row>
    <row r="94" spans="1:37" hidden="1" outlineLevel="2" x14ac:dyDescent="0.25">
      <c r="A94" s="161">
        <v>197</v>
      </c>
      <c r="B94" s="162" t="s">
        <v>150</v>
      </c>
      <c r="D94" s="329">
        <f>VLOOKUP($A94,Prevs!$C:$AJ,COLUMN() - COLUMN($D94)+2,FALSE)*VLOOKUP($A94,Usinas!$C:$D,2,FALSE)</f>
        <v>16.581</v>
      </c>
      <c r="E94" s="309">
        <f>VLOOKUP($A94,Prevs!$C:$AJ,COLUMN() - COLUMN($D94)+2,FALSE)*VLOOKUP($A94,Usinas!$C:$D,2,FALSE)</f>
        <v>15.4756</v>
      </c>
      <c r="F94" s="309">
        <f>VLOOKUP($A94,Prevs!$C:$AJ,COLUMN() - COLUMN($D94)+2,FALSE)*VLOOKUP($A94,Usinas!$C:$D,2,FALSE)</f>
        <v>14.370199999999999</v>
      </c>
      <c r="G94" s="309">
        <f>VLOOKUP($A94,Prevs!$C:$AJ,COLUMN() - COLUMN($D94)+2,FALSE)*VLOOKUP($A94,Usinas!$C:$D,2,FALSE)</f>
        <v>15.4756</v>
      </c>
      <c r="H94" s="309">
        <f>VLOOKUP($A94,Prevs!$C:$AJ,COLUMN() - COLUMN($D94)+2,FALSE)*VLOOKUP($A94,Usinas!$C:$D,2,FALSE)</f>
        <v>13.264799999999999</v>
      </c>
      <c r="I94" s="330">
        <f>VLOOKUP($A94,Prevs!$C:$AJ,COLUMN() - COLUMN($D94)+2,FALSE)*VLOOKUP($A94,Usinas!$C:$D,2,FALSE)</f>
        <v>14.370199999999999</v>
      </c>
      <c r="J94" s="477">
        <f ca="1">VLOOKUP($A94,Prevs_MLT!$C:$AJ,1+Entrada!$C$4,FALSE)*VLOOKUP($A94,Usinas!$C:$D,2,FALSE)</f>
        <v>36.478200000000001</v>
      </c>
      <c r="M94" s="329">
        <f>VLOOKUP($A94,Prevs!$C:$AJ,COLUMN() - COLUMN($D94)+2,FALSE)*VLOOKUP($A94,Usinas!$C:$D,2,FALSE)</f>
        <v>25.424199999999999</v>
      </c>
      <c r="N94" s="309">
        <f>VLOOKUP($A94,Prevs!$C:$AJ,COLUMN() - COLUMN($D94)+2,FALSE)*VLOOKUP($A94,Usinas!$C:$D,2,FALSE)</f>
        <v>24.3188</v>
      </c>
      <c r="O94" s="309">
        <f>VLOOKUP($A94,Prevs!$C:$AJ,COLUMN() - COLUMN($D94)+2,FALSE)*VLOOKUP($A94,Usinas!$C:$D,2,FALSE)</f>
        <v>22.107999999999997</v>
      </c>
      <c r="P94" s="309">
        <f>VLOOKUP($A94,Prevs!$C:$AJ,COLUMN() - COLUMN($D94)+2,FALSE)*VLOOKUP($A94,Usinas!$C:$D,2,FALSE)</f>
        <v>24.3188</v>
      </c>
      <c r="Q94" s="309">
        <f>VLOOKUP($A94,Prevs!$C:$AJ,COLUMN() - COLUMN($D94)+2,FALSE)*VLOOKUP($A94,Usinas!$C:$D,2,FALSE)</f>
        <v>21.002599999999997</v>
      </c>
      <c r="R94" s="330">
        <f>VLOOKUP($A94,Prevs!$C:$AJ,COLUMN() - COLUMN($D94)+2,FALSE)*VLOOKUP($A94,Usinas!$C:$D,2,FALSE)</f>
        <v>22.107999999999997</v>
      </c>
      <c r="V94" s="329">
        <f>VLOOKUP($A94,Prevs!$C:$AJ,COLUMN() - COLUMN($D94)+2,FALSE)*VLOOKUP($A94,Usinas!$C:$D,2,FALSE)</f>
        <v>22.107999999999997</v>
      </c>
      <c r="W94" s="309">
        <f>VLOOKUP($A94,Prevs!$C:$AJ,COLUMN() - COLUMN($D94)+2,FALSE)*VLOOKUP($A94,Usinas!$C:$D,2,FALSE)</f>
        <v>19.897199999999998</v>
      </c>
      <c r="X94" s="309">
        <f>VLOOKUP($A94,Prevs!$C:$AJ,COLUMN() - COLUMN($D94)+2,FALSE)*VLOOKUP($A94,Usinas!$C:$D,2,FALSE)</f>
        <v>18.791799999999999</v>
      </c>
      <c r="Y94" s="309">
        <f>VLOOKUP($A94,Prevs!$C:$AJ,COLUMN() - COLUMN($D94)+2,FALSE)*VLOOKUP($A94,Usinas!$C:$D,2,FALSE)</f>
        <v>19.897199999999998</v>
      </c>
      <c r="Z94" s="309">
        <f>VLOOKUP($A94,Prevs!$C:$AJ,COLUMN() - COLUMN($D94)+2,FALSE)*VLOOKUP($A94,Usinas!$C:$D,2,FALSE)</f>
        <v>17.686399999999999</v>
      </c>
      <c r="AA94" s="330">
        <f>VLOOKUP($A94,Prevs!$C:$AJ,COLUMN() - COLUMN($D94)+2,FALSE)*VLOOKUP($A94,Usinas!$C:$D,2,FALSE)</f>
        <v>18.791799999999999</v>
      </c>
      <c r="AE94" s="329">
        <f>VLOOKUP($A94,Prevs!$C:$AJ,COLUMN() - COLUMN($D94)+2,FALSE)*VLOOKUP($A94,Usinas!$C:$D,2,FALSE)</f>
        <v>16.581</v>
      </c>
      <c r="AF94" s="309">
        <f>VLOOKUP($A94,Prevs!$C:$AJ,COLUMN() - COLUMN($D94)+2,FALSE)*VLOOKUP($A94,Usinas!$C:$D,2,FALSE)</f>
        <v>15.4756</v>
      </c>
      <c r="AG94" s="309">
        <f>VLOOKUP($A94,Prevs!$C:$AJ,COLUMN() - COLUMN($D94)+2,FALSE)*VLOOKUP($A94,Usinas!$C:$D,2,FALSE)</f>
        <v>14.370199999999999</v>
      </c>
      <c r="AH94" s="309">
        <f>VLOOKUP($A94,Prevs!$C:$AJ,COLUMN() - COLUMN($D94)+2,FALSE)*VLOOKUP($A94,Usinas!$C:$D,2,FALSE)</f>
        <v>15.4756</v>
      </c>
      <c r="AI94" s="309">
        <f>VLOOKUP($A94,Prevs!$C:$AJ,COLUMN() - COLUMN($D94)+2,FALSE)*VLOOKUP($A94,Usinas!$C:$D,2,FALSE)</f>
        <v>13.264799999999999</v>
      </c>
      <c r="AJ94" s="330">
        <f>VLOOKUP($A94,Prevs!$C:$AJ,COLUMN() - COLUMN($D94)+2,FALSE)*VLOOKUP($A94,Usinas!$C:$D,2,FALSE)</f>
        <v>14.370199999999999</v>
      </c>
    </row>
    <row r="95" spans="1:37" hidden="1" outlineLevel="2" x14ac:dyDescent="0.25">
      <c r="A95" s="161">
        <v>198</v>
      </c>
      <c r="B95" s="162" t="s">
        <v>151</v>
      </c>
      <c r="D95" s="329">
        <f>VLOOKUP($A95,Prevs!$C:$AJ,COLUMN() - COLUMN($D95)+2,FALSE)*VLOOKUP($A95,Usinas!$C:$D,2,FALSE)</f>
        <v>21.256799999999998</v>
      </c>
      <c r="E95" s="309">
        <f>VLOOKUP($A95,Prevs!$C:$AJ,COLUMN() - COLUMN($D95)+2,FALSE)*VLOOKUP($A95,Usinas!$C:$D,2,FALSE)</f>
        <v>20.631599999999999</v>
      </c>
      <c r="F95" s="309">
        <f>VLOOKUP($A95,Prevs!$C:$AJ,COLUMN() - COLUMN($D95)+2,FALSE)*VLOOKUP($A95,Usinas!$C:$D,2,FALSE)</f>
        <v>19.3812</v>
      </c>
      <c r="G95" s="309">
        <f>VLOOKUP($A95,Prevs!$C:$AJ,COLUMN() - COLUMN($D95)+2,FALSE)*VLOOKUP($A95,Usinas!$C:$D,2,FALSE)</f>
        <v>20.631599999999999</v>
      </c>
      <c r="H95" s="309">
        <f>VLOOKUP($A95,Prevs!$C:$AJ,COLUMN() - COLUMN($D95)+2,FALSE)*VLOOKUP($A95,Usinas!$C:$D,2,FALSE)</f>
        <v>18.756</v>
      </c>
      <c r="I95" s="330">
        <f>VLOOKUP($A95,Prevs!$C:$AJ,COLUMN() - COLUMN($D95)+2,FALSE)*VLOOKUP($A95,Usinas!$C:$D,2,FALSE)</f>
        <v>19.3812</v>
      </c>
      <c r="J95" s="477">
        <f ca="1">VLOOKUP($A95,Prevs_MLT!$C:$AJ,1+Entrada!$C$4,FALSE)*VLOOKUP($A95,Usinas!$C:$D,2,FALSE)</f>
        <v>40.637999999999998</v>
      </c>
      <c r="M95" s="329">
        <f>VLOOKUP($A95,Prevs!$C:$AJ,COLUMN() - COLUMN($D95)+2,FALSE)*VLOOKUP($A95,Usinas!$C:$D,2,FALSE)</f>
        <v>33.135599999999997</v>
      </c>
      <c r="N95" s="309">
        <f>VLOOKUP($A95,Prevs!$C:$AJ,COLUMN() - COLUMN($D95)+2,FALSE)*VLOOKUP($A95,Usinas!$C:$D,2,FALSE)</f>
        <v>31.885199999999998</v>
      </c>
      <c r="O95" s="309">
        <f>VLOOKUP($A95,Prevs!$C:$AJ,COLUMN() - COLUMN($D95)+2,FALSE)*VLOOKUP($A95,Usinas!$C:$D,2,FALSE)</f>
        <v>30.009599999999999</v>
      </c>
      <c r="P95" s="309">
        <f>VLOOKUP($A95,Prevs!$C:$AJ,COLUMN() - COLUMN($D95)+2,FALSE)*VLOOKUP($A95,Usinas!$C:$D,2,FALSE)</f>
        <v>31.885199999999998</v>
      </c>
      <c r="Q95" s="309">
        <f>VLOOKUP($A95,Prevs!$C:$AJ,COLUMN() - COLUMN($D95)+2,FALSE)*VLOOKUP($A95,Usinas!$C:$D,2,FALSE)</f>
        <v>29.384399999999999</v>
      </c>
      <c r="R95" s="330">
        <f>VLOOKUP($A95,Prevs!$C:$AJ,COLUMN() - COLUMN($D95)+2,FALSE)*VLOOKUP($A95,Usinas!$C:$D,2,FALSE)</f>
        <v>30.009599999999999</v>
      </c>
      <c r="V95" s="329">
        <f>VLOOKUP($A95,Prevs!$C:$AJ,COLUMN() - COLUMN($D95)+2,FALSE)*VLOOKUP($A95,Usinas!$C:$D,2,FALSE)</f>
        <v>28.134</v>
      </c>
      <c r="W95" s="309">
        <f>VLOOKUP($A95,Prevs!$C:$AJ,COLUMN() - COLUMN($D95)+2,FALSE)*VLOOKUP($A95,Usinas!$C:$D,2,FALSE)</f>
        <v>27.508800000000001</v>
      </c>
      <c r="X95" s="309">
        <f>VLOOKUP($A95,Prevs!$C:$AJ,COLUMN() - COLUMN($D95)+2,FALSE)*VLOOKUP($A95,Usinas!$C:$D,2,FALSE)</f>
        <v>25.633199999999999</v>
      </c>
      <c r="Y95" s="309">
        <f>VLOOKUP($A95,Prevs!$C:$AJ,COLUMN() - COLUMN($D95)+2,FALSE)*VLOOKUP($A95,Usinas!$C:$D,2,FALSE)</f>
        <v>27.508800000000001</v>
      </c>
      <c r="Z95" s="309">
        <f>VLOOKUP($A95,Prevs!$C:$AJ,COLUMN() - COLUMN($D95)+2,FALSE)*VLOOKUP($A95,Usinas!$C:$D,2,FALSE)</f>
        <v>25.007999999999999</v>
      </c>
      <c r="AA95" s="330">
        <f>VLOOKUP($A95,Prevs!$C:$AJ,COLUMN() - COLUMN($D95)+2,FALSE)*VLOOKUP($A95,Usinas!$C:$D,2,FALSE)</f>
        <v>25.633199999999999</v>
      </c>
      <c r="AE95" s="329">
        <f>VLOOKUP($A95,Prevs!$C:$AJ,COLUMN() - COLUMN($D95)+2,FALSE)*VLOOKUP($A95,Usinas!$C:$D,2,FALSE)</f>
        <v>21.256799999999998</v>
      </c>
      <c r="AF95" s="309">
        <f>VLOOKUP($A95,Prevs!$C:$AJ,COLUMN() - COLUMN($D95)+2,FALSE)*VLOOKUP($A95,Usinas!$C:$D,2,FALSE)</f>
        <v>20.631599999999999</v>
      </c>
      <c r="AG95" s="309">
        <f>VLOOKUP($A95,Prevs!$C:$AJ,COLUMN() - COLUMN($D95)+2,FALSE)*VLOOKUP($A95,Usinas!$C:$D,2,FALSE)</f>
        <v>19.3812</v>
      </c>
      <c r="AH95" s="309">
        <f>VLOOKUP($A95,Prevs!$C:$AJ,COLUMN() - COLUMN($D95)+2,FALSE)*VLOOKUP($A95,Usinas!$C:$D,2,FALSE)</f>
        <v>20.631599999999999</v>
      </c>
      <c r="AI95" s="309">
        <f>VLOOKUP($A95,Prevs!$C:$AJ,COLUMN() - COLUMN($D95)+2,FALSE)*VLOOKUP($A95,Usinas!$C:$D,2,FALSE)</f>
        <v>18.756</v>
      </c>
      <c r="AJ95" s="330">
        <f>VLOOKUP($A95,Prevs!$C:$AJ,COLUMN() - COLUMN($D95)+2,FALSE)*VLOOKUP($A95,Usinas!$C:$D,2,FALSE)</f>
        <v>19.3812</v>
      </c>
    </row>
    <row r="96" spans="1:37" hidden="1" outlineLevel="2" x14ac:dyDescent="0.25">
      <c r="A96" s="161">
        <v>126</v>
      </c>
      <c r="B96" s="162" t="s">
        <v>152</v>
      </c>
      <c r="D96" s="329">
        <f>VLOOKUP($A96,Prevs!$C:$AJ,COLUMN() - COLUMN($D96)+2,FALSE)*VLOOKUP($A96,Usinas!$C:$D,2,FALSE)</f>
        <v>70.221513157894748</v>
      </c>
      <c r="E96" s="309">
        <f>VLOOKUP($A96,Prevs!$C:$AJ,COLUMN() - COLUMN($D96)+2,FALSE)*VLOOKUP($A96,Usinas!$C:$D,2,FALSE)</f>
        <v>68.713105263157885</v>
      </c>
      <c r="F96" s="309">
        <f>VLOOKUP($A96,Prevs!$C:$AJ,COLUMN() - COLUMN($D96)+2,FALSE)*VLOOKUP($A96,Usinas!$C:$D,2,FALSE)</f>
        <v>74.624697368421039</v>
      </c>
      <c r="G96" s="309">
        <f>VLOOKUP($A96,Prevs!$C:$AJ,COLUMN() - COLUMN($D96)+2,FALSE)*VLOOKUP($A96,Usinas!$C:$D,2,FALSE)</f>
        <v>78.261473684210529</v>
      </c>
      <c r="H96" s="309">
        <f>VLOOKUP($A96,Prevs!$C:$AJ,COLUMN() - COLUMN($D96)+2,FALSE)*VLOOKUP($A96,Usinas!$C:$D,2,FALSE)</f>
        <v>66.033118421052635</v>
      </c>
      <c r="I96" s="330">
        <f>VLOOKUP($A96,Prevs!$C:$AJ,COLUMN() - COLUMN($D96)+2,FALSE)*VLOOKUP($A96,Usinas!$C:$D,2,FALSE)</f>
        <v>45.62811842105264</v>
      </c>
      <c r="J96" s="477">
        <f ca="1">VLOOKUP($A96,Prevs_MLT!$C:$AJ,1+Entrada!$C$4,FALSE)*VLOOKUP($A96,Usinas!$C:$D,2,FALSE)</f>
        <v>202.19499999999999</v>
      </c>
      <c r="M96" s="329">
        <f>VLOOKUP($A96,Prevs!$C:$AJ,COLUMN() - COLUMN($D96)+2,FALSE)*VLOOKUP($A96,Usinas!$C:$D,2,FALSE)</f>
        <v>157.67500000000001</v>
      </c>
      <c r="N96" s="309">
        <f>VLOOKUP($A96,Prevs!$C:$AJ,COLUMN() - COLUMN($D96)+2,FALSE)*VLOOKUP($A96,Usinas!$C:$D,2,FALSE)</f>
        <v>155.82</v>
      </c>
      <c r="O96" s="309">
        <f>VLOOKUP($A96,Prevs!$C:$AJ,COLUMN() - COLUMN($D96)+2,FALSE)*VLOOKUP($A96,Usinas!$C:$D,2,FALSE)</f>
        <v>166.02250000000001</v>
      </c>
      <c r="P96" s="309">
        <f>VLOOKUP($A96,Prevs!$C:$AJ,COLUMN() - COLUMN($D96)+2,FALSE)*VLOOKUP($A96,Usinas!$C:$D,2,FALSE)</f>
        <v>167.35517105263159</v>
      </c>
      <c r="Q96" s="309">
        <f>VLOOKUP($A96,Prevs!$C:$AJ,COLUMN() - COLUMN($D96)+2,FALSE)*VLOOKUP($A96,Usinas!$C:$D,2,FALSE)</f>
        <v>158.60249999999999</v>
      </c>
      <c r="R96" s="330">
        <f>VLOOKUP($A96,Prevs!$C:$AJ,COLUMN() - COLUMN($D96)+2,FALSE)*VLOOKUP($A96,Usinas!$C:$D,2,FALSE)</f>
        <v>126.14</v>
      </c>
      <c r="V96" s="329">
        <f>VLOOKUP($A96,Prevs!$C:$AJ,COLUMN() - COLUMN($D96)+2,FALSE)*VLOOKUP($A96,Usinas!$C:$D,2,FALSE)</f>
        <v>119.33019736842105</v>
      </c>
      <c r="W96" s="309">
        <f>VLOOKUP($A96,Prevs!$C:$AJ,COLUMN() - COLUMN($D96)+2,FALSE)*VLOOKUP($A96,Usinas!$C:$D,2,FALSE)</f>
        <v>117.82178947368421</v>
      </c>
      <c r="X96" s="309">
        <f>VLOOKUP($A96,Prevs!$C:$AJ,COLUMN() - COLUMN($D96)+2,FALSE)*VLOOKUP($A96,Usinas!$C:$D,2,FALSE)</f>
        <v>125.58838157894738</v>
      </c>
      <c r="Y96" s="309">
        <f>VLOOKUP($A96,Prevs!$C:$AJ,COLUMN() - COLUMN($D96)+2,FALSE)*VLOOKUP($A96,Usinas!$C:$D,2,FALSE)</f>
        <v>130.0501447368421</v>
      </c>
      <c r="Z96" s="309">
        <f>VLOOKUP($A96,Prevs!$C:$AJ,COLUMN() - COLUMN($D96)+2,FALSE)*VLOOKUP($A96,Usinas!$C:$D,2,FALSE)</f>
        <v>113.74567105263158</v>
      </c>
      <c r="AA96" s="330">
        <f>VLOOKUP($A96,Prevs!$C:$AJ,COLUMN() - COLUMN($D96)+2,FALSE)*VLOOKUP($A96,Usinas!$C:$D,2,FALSE)</f>
        <v>86.848171052631571</v>
      </c>
      <c r="AE96" s="329">
        <f>VLOOKUP($A96,Prevs!$C:$AJ,COLUMN() - COLUMN($D96)+2,FALSE)*VLOOKUP($A96,Usinas!$C:$D,2,FALSE)</f>
        <v>70.221513157894748</v>
      </c>
      <c r="AF96" s="309">
        <f>VLOOKUP($A96,Prevs!$C:$AJ,COLUMN() - COLUMN($D96)+2,FALSE)*VLOOKUP($A96,Usinas!$C:$D,2,FALSE)</f>
        <v>68.713105263157885</v>
      </c>
      <c r="AG96" s="309">
        <f>VLOOKUP($A96,Prevs!$C:$AJ,COLUMN() - COLUMN($D96)+2,FALSE)*VLOOKUP($A96,Usinas!$C:$D,2,FALSE)</f>
        <v>74.624697368421039</v>
      </c>
      <c r="AH96" s="309">
        <f>VLOOKUP($A96,Prevs!$C:$AJ,COLUMN() - COLUMN($D96)+2,FALSE)*VLOOKUP($A96,Usinas!$C:$D,2,FALSE)</f>
        <v>78.261473684210529</v>
      </c>
      <c r="AI96" s="309">
        <f>VLOOKUP($A96,Prevs!$C:$AJ,COLUMN() - COLUMN($D96)+2,FALSE)*VLOOKUP($A96,Usinas!$C:$D,2,FALSE)</f>
        <v>66.033118421052635</v>
      </c>
      <c r="AJ96" s="330">
        <f>VLOOKUP($A96,Prevs!$C:$AJ,COLUMN() - COLUMN($D96)+2,FALSE)*VLOOKUP($A96,Usinas!$C:$D,2,FALSE)</f>
        <v>45.62811842105264</v>
      </c>
    </row>
    <row r="97" spans="1:37" hidden="1" outlineLevel="2" x14ac:dyDescent="0.25">
      <c r="A97" s="161">
        <v>303</v>
      </c>
      <c r="B97" s="162" t="s">
        <v>153</v>
      </c>
      <c r="D97" s="329">
        <f>VLOOKUP($A97,Prevs!$C:$AJ,COLUMN() - COLUMN($D97)+2,FALSE)*VLOOKUP($A97,Usinas!$C:$D,2,FALSE)</f>
        <v>17.706500000000002</v>
      </c>
      <c r="E97" s="309">
        <f>VLOOKUP($A97,Prevs!$C:$AJ,COLUMN() - COLUMN($D97)+2,FALSE)*VLOOKUP($A97,Usinas!$C:$D,2,FALSE)</f>
        <v>20.236000000000001</v>
      </c>
      <c r="F97" s="309">
        <f>VLOOKUP($A97,Prevs!$C:$AJ,COLUMN() - COLUMN($D97)+2,FALSE)*VLOOKUP($A97,Usinas!$C:$D,2,FALSE)</f>
        <v>17.706500000000002</v>
      </c>
      <c r="G97" s="309">
        <f>VLOOKUP($A97,Prevs!$C:$AJ,COLUMN() - COLUMN($D97)+2,FALSE)*VLOOKUP($A97,Usinas!$C:$D,2,FALSE)</f>
        <v>17.706500000000002</v>
      </c>
      <c r="H97" s="309">
        <f>VLOOKUP($A97,Prevs!$C:$AJ,COLUMN() - COLUMN($D97)+2,FALSE)*VLOOKUP($A97,Usinas!$C:$D,2,FALSE)</f>
        <v>15.177</v>
      </c>
      <c r="I97" s="330">
        <f>VLOOKUP($A97,Prevs!$C:$AJ,COLUMN() - COLUMN($D97)+2,FALSE)*VLOOKUP($A97,Usinas!$C:$D,2,FALSE)</f>
        <v>17.706500000000002</v>
      </c>
      <c r="J97" s="477">
        <f ca="1">VLOOKUP($A97,Prevs_MLT!$C:$AJ,1+Entrada!$C$4,FALSE)*VLOOKUP($A97,Usinas!$C:$D,2,FALSE)</f>
        <v>70.826000000000008</v>
      </c>
      <c r="M97" s="329">
        <f>VLOOKUP($A97,Prevs!$C:$AJ,COLUMN() - COLUMN($D97)+2,FALSE)*VLOOKUP($A97,Usinas!$C:$D,2,FALSE)</f>
        <v>27.8245</v>
      </c>
      <c r="N97" s="309">
        <f>VLOOKUP($A97,Prevs!$C:$AJ,COLUMN() - COLUMN($D97)+2,FALSE)*VLOOKUP($A97,Usinas!$C:$D,2,FALSE)</f>
        <v>30.353999999999999</v>
      </c>
      <c r="O97" s="309">
        <f>VLOOKUP($A97,Prevs!$C:$AJ,COLUMN() - COLUMN($D97)+2,FALSE)*VLOOKUP($A97,Usinas!$C:$D,2,FALSE)</f>
        <v>27.8245</v>
      </c>
      <c r="P97" s="309">
        <f>VLOOKUP($A97,Prevs!$C:$AJ,COLUMN() - COLUMN($D97)+2,FALSE)*VLOOKUP($A97,Usinas!$C:$D,2,FALSE)</f>
        <v>27.8245</v>
      </c>
      <c r="Q97" s="309">
        <f>VLOOKUP($A97,Prevs!$C:$AJ,COLUMN() - COLUMN($D97)+2,FALSE)*VLOOKUP($A97,Usinas!$C:$D,2,FALSE)</f>
        <v>25.295000000000002</v>
      </c>
      <c r="R97" s="330">
        <f>VLOOKUP($A97,Prevs!$C:$AJ,COLUMN() - COLUMN($D97)+2,FALSE)*VLOOKUP($A97,Usinas!$C:$D,2,FALSE)</f>
        <v>27.8245</v>
      </c>
      <c r="V97" s="329">
        <f>VLOOKUP($A97,Prevs!$C:$AJ,COLUMN() - COLUMN($D97)+2,FALSE)*VLOOKUP($A97,Usinas!$C:$D,2,FALSE)</f>
        <v>25.295000000000002</v>
      </c>
      <c r="W97" s="309">
        <f>VLOOKUP($A97,Prevs!$C:$AJ,COLUMN() - COLUMN($D97)+2,FALSE)*VLOOKUP($A97,Usinas!$C:$D,2,FALSE)</f>
        <v>27.8245</v>
      </c>
      <c r="X97" s="309">
        <f>VLOOKUP($A97,Prevs!$C:$AJ,COLUMN() - COLUMN($D97)+2,FALSE)*VLOOKUP($A97,Usinas!$C:$D,2,FALSE)</f>
        <v>25.295000000000002</v>
      </c>
      <c r="Y97" s="309">
        <f>VLOOKUP($A97,Prevs!$C:$AJ,COLUMN() - COLUMN($D97)+2,FALSE)*VLOOKUP($A97,Usinas!$C:$D,2,FALSE)</f>
        <v>25.295000000000002</v>
      </c>
      <c r="Z97" s="309">
        <f>VLOOKUP($A97,Prevs!$C:$AJ,COLUMN() - COLUMN($D97)+2,FALSE)*VLOOKUP($A97,Usinas!$C:$D,2,FALSE)</f>
        <v>20.236000000000001</v>
      </c>
      <c r="AA97" s="330">
        <f>VLOOKUP($A97,Prevs!$C:$AJ,COLUMN() - COLUMN($D97)+2,FALSE)*VLOOKUP($A97,Usinas!$C:$D,2,FALSE)</f>
        <v>25.295000000000002</v>
      </c>
      <c r="AE97" s="329">
        <f>VLOOKUP($A97,Prevs!$C:$AJ,COLUMN() - COLUMN($D97)+2,FALSE)*VLOOKUP($A97,Usinas!$C:$D,2,FALSE)</f>
        <v>17.706500000000002</v>
      </c>
      <c r="AF97" s="309">
        <f>VLOOKUP($A97,Prevs!$C:$AJ,COLUMN() - COLUMN($D97)+2,FALSE)*VLOOKUP($A97,Usinas!$C:$D,2,FALSE)</f>
        <v>20.236000000000001</v>
      </c>
      <c r="AG97" s="309">
        <f>VLOOKUP($A97,Prevs!$C:$AJ,COLUMN() - COLUMN($D97)+2,FALSE)*VLOOKUP($A97,Usinas!$C:$D,2,FALSE)</f>
        <v>17.706500000000002</v>
      </c>
      <c r="AH97" s="309">
        <f>VLOOKUP($A97,Prevs!$C:$AJ,COLUMN() - COLUMN($D97)+2,FALSE)*VLOOKUP($A97,Usinas!$C:$D,2,FALSE)</f>
        <v>17.706500000000002</v>
      </c>
      <c r="AI97" s="309">
        <f>VLOOKUP($A97,Prevs!$C:$AJ,COLUMN() - COLUMN($D97)+2,FALSE)*VLOOKUP($A97,Usinas!$C:$D,2,FALSE)</f>
        <v>15.177</v>
      </c>
      <c r="AJ97" s="330">
        <f>VLOOKUP($A97,Prevs!$C:$AJ,COLUMN() - COLUMN($D97)+2,FALSE)*VLOOKUP($A97,Usinas!$C:$D,2,FALSE)</f>
        <v>17.706500000000002</v>
      </c>
    </row>
    <row r="98" spans="1:37" hidden="1" outlineLevel="2" x14ac:dyDescent="0.25">
      <c r="A98" s="161">
        <v>131</v>
      </c>
      <c r="B98" s="162" t="s">
        <v>154</v>
      </c>
      <c r="D98" s="329">
        <f>VLOOKUP($A98,Prevs!$C:$AJ,COLUMN() - COLUMN($D98)+2,FALSE)*VLOOKUP($A98,Usinas!$C:$D,2,FALSE)</f>
        <v>216.66818421052631</v>
      </c>
      <c r="E98" s="309">
        <f>VLOOKUP($A98,Prevs!$C:$AJ,COLUMN() - COLUMN($D98)+2,FALSE)*VLOOKUP($A98,Usinas!$C:$D,2,FALSE)</f>
        <v>218.31727368421053</v>
      </c>
      <c r="F98" s="309">
        <f>VLOOKUP($A98,Prevs!$C:$AJ,COLUMN() - COLUMN($D98)+2,FALSE)*VLOOKUP($A98,Usinas!$C:$D,2,FALSE)</f>
        <v>219.96636315789473</v>
      </c>
      <c r="G98" s="309">
        <f>VLOOKUP($A98,Prevs!$C:$AJ,COLUMN() - COLUMN($D98)+2,FALSE)*VLOOKUP($A98,Usinas!$C:$D,2,FALSE)</f>
        <v>156.98223157894736</v>
      </c>
      <c r="H98" s="309">
        <f>VLOOKUP($A98,Prevs!$C:$AJ,COLUMN() - COLUMN($D98)+2,FALSE)*VLOOKUP($A98,Usinas!$C:$D,2,FALSE)</f>
        <v>231.19125789473685</v>
      </c>
      <c r="I98" s="330">
        <f>VLOOKUP($A98,Prevs!$C:$AJ,COLUMN() - COLUMN($D98)+2,FALSE)*VLOOKUP($A98,Usinas!$C:$D,2,FALSE)</f>
        <v>236.45725789473687</v>
      </c>
      <c r="J98" s="477">
        <f ca="1">VLOOKUP($A98,Prevs_MLT!$C:$AJ,1+Entrada!$C$4,FALSE)*VLOOKUP($A98,Usinas!$C:$D,2,FALSE)</f>
        <v>355.45499999999998</v>
      </c>
      <c r="M98" s="329">
        <f>VLOOKUP($A98,Prevs!$C:$AJ,COLUMN() - COLUMN($D98)+2,FALSE)*VLOOKUP($A98,Usinas!$C:$D,2,FALSE)</f>
        <v>329.125</v>
      </c>
      <c r="N98" s="309">
        <f>VLOOKUP($A98,Prevs!$C:$AJ,COLUMN() - COLUMN($D98)+2,FALSE)*VLOOKUP($A98,Usinas!$C:$D,2,FALSE)</f>
        <v>331.75799999999998</v>
      </c>
      <c r="O98" s="309">
        <f>VLOOKUP($A98,Prevs!$C:$AJ,COLUMN() - COLUMN($D98)+2,FALSE)*VLOOKUP($A98,Usinas!$C:$D,2,FALSE)</f>
        <v>329.125</v>
      </c>
      <c r="P98" s="309">
        <f>VLOOKUP($A98,Prevs!$C:$AJ,COLUMN() - COLUMN($D98)+2,FALSE)*VLOOKUP($A98,Usinas!$C:$D,2,FALSE)</f>
        <v>243.71879473684211</v>
      </c>
      <c r="Q98" s="309">
        <f>VLOOKUP($A98,Prevs!$C:$AJ,COLUMN() - COLUMN($D98)+2,FALSE)*VLOOKUP($A98,Usinas!$C:$D,2,FALSE)</f>
        <v>331.75799999999998</v>
      </c>
      <c r="R98" s="330">
        <f>VLOOKUP($A98,Prevs!$C:$AJ,COLUMN() - COLUMN($D98)+2,FALSE)*VLOOKUP($A98,Usinas!$C:$D,2,FALSE)</f>
        <v>339.65699999999998</v>
      </c>
      <c r="V98" s="329">
        <f>VLOOKUP($A98,Prevs!$C:$AJ,COLUMN() - COLUMN($D98)+2,FALSE)*VLOOKUP($A98,Usinas!$C:$D,2,FALSE)</f>
        <v>285.26476315789472</v>
      </c>
      <c r="W98" s="309">
        <f>VLOOKUP($A98,Prevs!$C:$AJ,COLUMN() - COLUMN($D98)+2,FALSE)*VLOOKUP($A98,Usinas!$C:$D,2,FALSE)</f>
        <v>286.91385263157895</v>
      </c>
      <c r="X98" s="309">
        <f>VLOOKUP($A98,Prevs!$C:$AJ,COLUMN() - COLUMN($D98)+2,FALSE)*VLOOKUP($A98,Usinas!$C:$D,2,FALSE)</f>
        <v>288.56294210526318</v>
      </c>
      <c r="Y98" s="309">
        <f>VLOOKUP($A98,Prevs!$C:$AJ,COLUMN() - COLUMN($D98)+2,FALSE)*VLOOKUP($A98,Usinas!$C:$D,2,FALSE)</f>
        <v>204.80582631578946</v>
      </c>
      <c r="Z98" s="309">
        <f>VLOOKUP($A98,Prevs!$C:$AJ,COLUMN() - COLUMN($D98)+2,FALSE)*VLOOKUP($A98,Usinas!$C:$D,2,FALSE)</f>
        <v>303.75119473684214</v>
      </c>
      <c r="AA98" s="330">
        <f>VLOOKUP($A98,Prevs!$C:$AJ,COLUMN() - COLUMN($D98)+2,FALSE)*VLOOKUP($A98,Usinas!$C:$D,2,FALSE)</f>
        <v>311.65019473684214</v>
      </c>
      <c r="AE98" s="329">
        <f>VLOOKUP($A98,Prevs!$C:$AJ,COLUMN() - COLUMN($D98)+2,FALSE)*VLOOKUP($A98,Usinas!$C:$D,2,FALSE)</f>
        <v>216.66818421052631</v>
      </c>
      <c r="AF98" s="309">
        <f>VLOOKUP($A98,Prevs!$C:$AJ,COLUMN() - COLUMN($D98)+2,FALSE)*VLOOKUP($A98,Usinas!$C:$D,2,FALSE)</f>
        <v>218.31727368421053</v>
      </c>
      <c r="AG98" s="309">
        <f>VLOOKUP($A98,Prevs!$C:$AJ,COLUMN() - COLUMN($D98)+2,FALSE)*VLOOKUP($A98,Usinas!$C:$D,2,FALSE)</f>
        <v>219.96636315789473</v>
      </c>
      <c r="AH98" s="309">
        <f>VLOOKUP($A98,Prevs!$C:$AJ,COLUMN() - COLUMN($D98)+2,FALSE)*VLOOKUP($A98,Usinas!$C:$D,2,FALSE)</f>
        <v>156.98223157894736</v>
      </c>
      <c r="AI98" s="309">
        <f>VLOOKUP($A98,Prevs!$C:$AJ,COLUMN() - COLUMN($D98)+2,FALSE)*VLOOKUP($A98,Usinas!$C:$D,2,FALSE)</f>
        <v>231.19125789473685</v>
      </c>
      <c r="AJ98" s="330">
        <f>VLOOKUP($A98,Prevs!$C:$AJ,COLUMN() - COLUMN($D98)+2,FALSE)*VLOOKUP($A98,Usinas!$C:$D,2,FALSE)</f>
        <v>236.45725789473687</v>
      </c>
    </row>
    <row r="99" spans="1:37" hidden="1" outlineLevel="2" x14ac:dyDescent="0.25">
      <c r="A99" s="161">
        <v>306</v>
      </c>
      <c r="B99" s="162" t="s">
        <v>155</v>
      </c>
      <c r="D99" s="329">
        <f>VLOOKUP($A99,Prevs!$C:$AJ,COLUMN() - COLUMN($D99)+2,FALSE)*VLOOKUP($A99,Usinas!$C:$D,2,FALSE)</f>
        <v>28.036894736842104</v>
      </c>
      <c r="E99" s="309">
        <f>VLOOKUP($A99,Prevs!$C:$AJ,COLUMN() - COLUMN($D99)+2,FALSE)*VLOOKUP($A99,Usinas!$C:$D,2,FALSE)</f>
        <v>28.547557894736844</v>
      </c>
      <c r="F99" s="309">
        <f>VLOOKUP($A99,Prevs!$C:$AJ,COLUMN() - COLUMN($D99)+2,FALSE)*VLOOKUP($A99,Usinas!$C:$D,2,FALSE)</f>
        <v>28.430221052631577</v>
      </c>
      <c r="G99" s="309">
        <f>VLOOKUP($A99,Prevs!$C:$AJ,COLUMN() - COLUMN($D99)+2,FALSE)*VLOOKUP($A99,Usinas!$C:$D,2,FALSE)</f>
        <v>20.919010526315791</v>
      </c>
      <c r="H99" s="309">
        <f>VLOOKUP($A99,Prevs!$C:$AJ,COLUMN() - COLUMN($D99)+2,FALSE)*VLOOKUP($A99,Usinas!$C:$D,2,FALSE)</f>
        <v>29.454852631578948</v>
      </c>
      <c r="I99" s="330">
        <f>VLOOKUP($A99,Prevs!$C:$AJ,COLUMN() - COLUMN($D99)+2,FALSE)*VLOOKUP($A99,Usinas!$C:$D,2,FALSE)</f>
        <v>30.396852631578948</v>
      </c>
      <c r="J99" s="477">
        <f ca="1">VLOOKUP($A99,Prevs_MLT!$C:$AJ,1+Entrada!$C$4,FALSE)*VLOOKUP($A99,Usinas!$C:$D,2,FALSE)</f>
        <v>51.182000000000002</v>
      </c>
      <c r="M99" s="329">
        <f>VLOOKUP($A99,Prevs!$C:$AJ,COLUMN() - COLUMN($D99)+2,FALSE)*VLOOKUP($A99,Usinas!$C:$D,2,FALSE)</f>
        <v>42.704000000000001</v>
      </c>
      <c r="N99" s="309">
        <f>VLOOKUP($A99,Prevs!$C:$AJ,COLUMN() - COLUMN($D99)+2,FALSE)*VLOOKUP($A99,Usinas!$C:$D,2,FALSE)</f>
        <v>43.332000000000001</v>
      </c>
      <c r="O99" s="309">
        <f>VLOOKUP($A99,Prevs!$C:$AJ,COLUMN() - COLUMN($D99)+2,FALSE)*VLOOKUP($A99,Usinas!$C:$D,2,FALSE)</f>
        <v>42.704000000000001</v>
      </c>
      <c r="P99" s="309">
        <f>VLOOKUP($A99,Prevs!$C:$AJ,COLUMN() - COLUMN($D99)+2,FALSE)*VLOOKUP($A99,Usinas!$C:$D,2,FALSE)</f>
        <v>32.518831578947371</v>
      </c>
      <c r="Q99" s="309">
        <f>VLOOKUP($A99,Prevs!$C:$AJ,COLUMN() - COLUMN($D99)+2,FALSE)*VLOOKUP($A99,Usinas!$C:$D,2,FALSE)</f>
        <v>42.704000000000001</v>
      </c>
      <c r="R99" s="330">
        <f>VLOOKUP($A99,Prevs!$C:$AJ,COLUMN() - COLUMN($D99)+2,FALSE)*VLOOKUP($A99,Usinas!$C:$D,2,FALSE)</f>
        <v>43.96</v>
      </c>
      <c r="V99" s="329">
        <f>VLOOKUP($A99,Prevs!$C:$AJ,COLUMN() - COLUMN($D99)+2,FALSE)*VLOOKUP($A99,Usinas!$C:$D,2,FALSE)</f>
        <v>37.159421052631579</v>
      </c>
      <c r="W99" s="309">
        <f>VLOOKUP($A99,Prevs!$C:$AJ,COLUMN() - COLUMN($D99)+2,FALSE)*VLOOKUP($A99,Usinas!$C:$D,2,FALSE)</f>
        <v>37.670084210526319</v>
      </c>
      <c r="X99" s="309">
        <f>VLOOKUP($A99,Prevs!$C:$AJ,COLUMN() - COLUMN($D99)+2,FALSE)*VLOOKUP($A99,Usinas!$C:$D,2,FALSE)</f>
        <v>37.552747368421052</v>
      </c>
      <c r="Y99" s="309">
        <f>VLOOKUP($A99,Prevs!$C:$AJ,COLUMN() - COLUMN($D99)+2,FALSE)*VLOOKUP($A99,Usinas!$C:$D,2,FALSE)</f>
        <v>27.564242105263158</v>
      </c>
      <c r="Z99" s="309">
        <f>VLOOKUP($A99,Prevs!$C:$AJ,COLUMN() - COLUMN($D99)+2,FALSE)*VLOOKUP($A99,Usinas!$C:$D,2,FALSE)</f>
        <v>38.736031578947369</v>
      </c>
      <c r="AA99" s="330">
        <f>VLOOKUP($A99,Prevs!$C:$AJ,COLUMN() - COLUMN($D99)+2,FALSE)*VLOOKUP($A99,Usinas!$C:$D,2,FALSE)</f>
        <v>40.306031578947369</v>
      </c>
      <c r="AE99" s="329">
        <f>VLOOKUP($A99,Prevs!$C:$AJ,COLUMN() - COLUMN($D99)+2,FALSE)*VLOOKUP($A99,Usinas!$C:$D,2,FALSE)</f>
        <v>28.036894736842104</v>
      </c>
      <c r="AF99" s="309">
        <f>VLOOKUP($A99,Prevs!$C:$AJ,COLUMN() - COLUMN($D99)+2,FALSE)*VLOOKUP($A99,Usinas!$C:$D,2,FALSE)</f>
        <v>28.547557894736844</v>
      </c>
      <c r="AG99" s="309">
        <f>VLOOKUP($A99,Prevs!$C:$AJ,COLUMN() - COLUMN($D99)+2,FALSE)*VLOOKUP($A99,Usinas!$C:$D,2,FALSE)</f>
        <v>28.430221052631577</v>
      </c>
      <c r="AH99" s="309">
        <f>VLOOKUP($A99,Prevs!$C:$AJ,COLUMN() - COLUMN($D99)+2,FALSE)*VLOOKUP($A99,Usinas!$C:$D,2,FALSE)</f>
        <v>20.919010526315791</v>
      </c>
      <c r="AI99" s="309">
        <f>VLOOKUP($A99,Prevs!$C:$AJ,COLUMN() - COLUMN($D99)+2,FALSE)*VLOOKUP($A99,Usinas!$C:$D,2,FALSE)</f>
        <v>29.454852631578948</v>
      </c>
      <c r="AJ99" s="330">
        <f>VLOOKUP($A99,Prevs!$C:$AJ,COLUMN() - COLUMN($D99)+2,FALSE)*VLOOKUP($A99,Usinas!$C:$D,2,FALSE)</f>
        <v>30.396852631578948</v>
      </c>
    </row>
    <row r="100" spans="1:37" hidden="1" outlineLevel="2" x14ac:dyDescent="0.25">
      <c r="A100" s="161">
        <v>299</v>
      </c>
      <c r="B100" s="162" t="s">
        <v>156</v>
      </c>
      <c r="D100" s="329">
        <f>VLOOKUP($A100,Prevs!$C:$AJ,COLUMN() - COLUMN($D100)+2,FALSE)*VLOOKUP($A100,Usinas!$C:$D,2,FALSE)</f>
        <v>44.956284210526313</v>
      </c>
      <c r="E100" s="309">
        <f>VLOOKUP($A100,Prevs!$C:$AJ,COLUMN() - COLUMN($D100)+2,FALSE)*VLOOKUP($A100,Usinas!$C:$D,2,FALSE)</f>
        <v>44.535393684210518</v>
      </c>
      <c r="F100" s="309">
        <f>VLOOKUP($A100,Prevs!$C:$AJ,COLUMN() - COLUMN($D100)+2,FALSE)*VLOOKUP($A100,Usinas!$C:$D,2,FALSE)</f>
        <v>46.443703157894731</v>
      </c>
      <c r="G100" s="309">
        <f>VLOOKUP($A100,Prevs!$C:$AJ,COLUMN() - COLUMN($D100)+2,FALSE)*VLOOKUP($A100,Usinas!$C:$D,2,FALSE)</f>
        <v>46.682071578947365</v>
      </c>
      <c r="H100" s="309">
        <f>VLOOKUP($A100,Prevs!$C:$AJ,COLUMN() - COLUMN($D100)+2,FALSE)*VLOOKUP($A100,Usinas!$C:$D,2,FALSE)</f>
        <v>43.787597894736841</v>
      </c>
      <c r="I100" s="330">
        <f>VLOOKUP($A100,Prevs!$C:$AJ,COLUMN() - COLUMN($D100)+2,FALSE)*VLOOKUP($A100,Usinas!$C:$D,2,FALSE)</f>
        <v>38.352797894736838</v>
      </c>
      <c r="J100" s="477">
        <f ca="1">VLOOKUP($A100,Prevs_MLT!$C:$AJ,1+Entrada!$C$4,FALSE)*VLOOKUP($A100,Usinas!$C:$D,2,FALSE)</f>
        <v>93.685599999999994</v>
      </c>
      <c r="M100" s="329">
        <f>VLOOKUP($A100,Prevs!$C:$AJ,COLUMN() - COLUMN($D100)+2,FALSE)*VLOOKUP($A100,Usinas!$C:$D,2,FALSE)</f>
        <v>70.393599999999992</v>
      </c>
      <c r="N100" s="309">
        <f>VLOOKUP($A100,Prevs!$C:$AJ,COLUMN() - COLUMN($D100)+2,FALSE)*VLOOKUP($A100,Usinas!$C:$D,2,FALSE)</f>
        <v>69.875999999999991</v>
      </c>
      <c r="O100" s="309">
        <f>VLOOKUP($A100,Prevs!$C:$AJ,COLUMN() - COLUMN($D100)+2,FALSE)*VLOOKUP($A100,Usinas!$C:$D,2,FALSE)</f>
        <v>73.240399999999994</v>
      </c>
      <c r="P100" s="309">
        <f>VLOOKUP($A100,Prevs!$C:$AJ,COLUMN() - COLUMN($D100)+2,FALSE)*VLOOKUP($A100,Usinas!$C:$D,2,FALSE)</f>
        <v>72.577054736842101</v>
      </c>
      <c r="Q100" s="309">
        <f>VLOOKUP($A100,Prevs!$C:$AJ,COLUMN() - COLUMN($D100)+2,FALSE)*VLOOKUP($A100,Usinas!$C:$D,2,FALSE)</f>
        <v>70.6524</v>
      </c>
      <c r="R100" s="330">
        <f>VLOOKUP($A100,Prevs!$C:$AJ,COLUMN() - COLUMN($D100)+2,FALSE)*VLOOKUP($A100,Usinas!$C:$D,2,FALSE)</f>
        <v>62.111999999999995</v>
      </c>
      <c r="V100" s="329">
        <f>VLOOKUP($A100,Prevs!$C:$AJ,COLUMN() - COLUMN($D100)+2,FALSE)*VLOOKUP($A100,Usinas!$C:$D,2,FALSE)</f>
        <v>59.17666315789473</v>
      </c>
      <c r="W100" s="309">
        <f>VLOOKUP($A100,Prevs!$C:$AJ,COLUMN() - COLUMN($D100)+2,FALSE)*VLOOKUP($A100,Usinas!$C:$D,2,FALSE)</f>
        <v>58.755772631578942</v>
      </c>
      <c r="X100" s="309">
        <f>VLOOKUP($A100,Prevs!$C:$AJ,COLUMN() - COLUMN($D100)+2,FALSE)*VLOOKUP($A100,Usinas!$C:$D,2,FALSE)</f>
        <v>61.181682105263157</v>
      </c>
      <c r="Y100" s="309">
        <f>VLOOKUP($A100,Prevs!$C:$AJ,COLUMN() - COLUMN($D100)+2,FALSE)*VLOOKUP($A100,Usinas!$C:$D,2,FALSE)</f>
        <v>61.650246315789467</v>
      </c>
      <c r="Z100" s="309">
        <f>VLOOKUP($A100,Prevs!$C:$AJ,COLUMN() - COLUMN($D100)+2,FALSE)*VLOOKUP($A100,Usinas!$C:$D,2,FALSE)</f>
        <v>57.618414736842098</v>
      </c>
      <c r="AA100" s="330">
        <f>VLOOKUP($A100,Prevs!$C:$AJ,COLUMN() - COLUMN($D100)+2,FALSE)*VLOOKUP($A100,Usinas!$C:$D,2,FALSE)</f>
        <v>50.372014736842097</v>
      </c>
      <c r="AE100" s="329">
        <f>VLOOKUP($A100,Prevs!$C:$AJ,COLUMN() - COLUMN($D100)+2,FALSE)*VLOOKUP($A100,Usinas!$C:$D,2,FALSE)</f>
        <v>44.956284210526313</v>
      </c>
      <c r="AF100" s="309">
        <f>VLOOKUP($A100,Prevs!$C:$AJ,COLUMN() - COLUMN($D100)+2,FALSE)*VLOOKUP($A100,Usinas!$C:$D,2,FALSE)</f>
        <v>44.535393684210518</v>
      </c>
      <c r="AG100" s="309">
        <f>VLOOKUP($A100,Prevs!$C:$AJ,COLUMN() - COLUMN($D100)+2,FALSE)*VLOOKUP($A100,Usinas!$C:$D,2,FALSE)</f>
        <v>46.443703157894731</v>
      </c>
      <c r="AH100" s="309">
        <f>VLOOKUP($A100,Prevs!$C:$AJ,COLUMN() - COLUMN($D100)+2,FALSE)*VLOOKUP($A100,Usinas!$C:$D,2,FALSE)</f>
        <v>46.682071578947365</v>
      </c>
      <c r="AI100" s="309">
        <f>VLOOKUP($A100,Prevs!$C:$AJ,COLUMN() - COLUMN($D100)+2,FALSE)*VLOOKUP($A100,Usinas!$C:$D,2,FALSE)</f>
        <v>43.787597894736841</v>
      </c>
      <c r="AJ100" s="330">
        <f>VLOOKUP($A100,Prevs!$C:$AJ,COLUMN() - COLUMN($D100)+2,FALSE)*VLOOKUP($A100,Usinas!$C:$D,2,FALSE)</f>
        <v>38.352797894736838</v>
      </c>
    </row>
    <row r="101" spans="1:37" outlineLevel="1" collapsed="1" x14ac:dyDescent="0.25">
      <c r="A101" s="170"/>
      <c r="B101" s="171" t="s">
        <v>92</v>
      </c>
      <c r="D101" s="174">
        <f t="shared" ref="D101:I101" si="42">SUM(D90:D100)</f>
        <v>509.14257631578948</v>
      </c>
      <c r="E101" s="59">
        <f t="shared" si="42"/>
        <v>511.90953052631579</v>
      </c>
      <c r="F101" s="59">
        <f t="shared" si="42"/>
        <v>517.27638473684203</v>
      </c>
      <c r="G101" s="59">
        <f t="shared" si="42"/>
        <v>435.62318736842104</v>
      </c>
      <c r="H101" s="59">
        <f t="shared" si="42"/>
        <v>523.68002684210524</v>
      </c>
      <c r="I101" s="175">
        <f t="shared" si="42"/>
        <v>504.67372684210534</v>
      </c>
      <c r="J101" s="423">
        <f ca="1">SUMPRODUCT(D101:I101,Saida!$B$7:$G$7)/SUM(Saida!$B$7:$G$7)</f>
        <v>497.7746736491228</v>
      </c>
      <c r="M101" s="331">
        <f t="shared" ref="M101:R101" si="43">SUM(M90:M100)</f>
        <v>831.96859999999992</v>
      </c>
      <c r="N101" s="310">
        <f t="shared" si="43"/>
        <v>835.97319999999991</v>
      </c>
      <c r="O101" s="310">
        <f t="shared" si="43"/>
        <v>840.41150000000005</v>
      </c>
      <c r="P101" s="310">
        <f t="shared" si="43"/>
        <v>723.29605210526313</v>
      </c>
      <c r="Q101" s="310">
        <f t="shared" si="43"/>
        <v>844.05970000000002</v>
      </c>
      <c r="R101" s="332">
        <f t="shared" si="43"/>
        <v>811.11239999999998</v>
      </c>
      <c r="S101" s="423">
        <f ca="1">SUMPRODUCT(M101:R101,Saida!$B$7:$G$7)/SUM(Saida!$B$7:$G$7)</f>
        <v>811.64213882456147</v>
      </c>
      <c r="V101" s="331">
        <f t="shared" ref="V101:AA101" si="44">SUM(V90:V100)</f>
        <v>700.46734473684216</v>
      </c>
      <c r="W101" s="310">
        <f t="shared" si="44"/>
        <v>702.66159894736836</v>
      </c>
      <c r="X101" s="310">
        <f t="shared" si="44"/>
        <v>710.12825315789473</v>
      </c>
      <c r="Y101" s="310">
        <f t="shared" si="44"/>
        <v>600.70575947368422</v>
      </c>
      <c r="Z101" s="310">
        <f t="shared" si="44"/>
        <v>716.08421210526319</v>
      </c>
      <c r="AA101" s="332">
        <f t="shared" si="44"/>
        <v>694.04431210526309</v>
      </c>
      <c r="AB101" s="423">
        <f ca="1">SUMPRODUCT(V101:AA101,Saida!$B$7:$G$7)/SUM(Saida!$B$7:$G$7)</f>
        <v>683.38568075438593</v>
      </c>
      <c r="AE101" s="331">
        <f t="shared" ref="AE101:AJ101" si="45">SUM(AE90:AE100)</f>
        <v>509.14257631578948</v>
      </c>
      <c r="AF101" s="310">
        <f t="shared" si="45"/>
        <v>511.90953052631579</v>
      </c>
      <c r="AG101" s="310">
        <f t="shared" si="45"/>
        <v>517.27638473684203</v>
      </c>
      <c r="AH101" s="310">
        <f t="shared" si="45"/>
        <v>435.62318736842104</v>
      </c>
      <c r="AI101" s="310">
        <f t="shared" si="45"/>
        <v>523.68002684210524</v>
      </c>
      <c r="AJ101" s="332">
        <f t="shared" si="45"/>
        <v>504.67372684210534</v>
      </c>
      <c r="AK101" s="423">
        <f ca="1">SUMPRODUCT(AE101:AJ101,Saida!$B$7:$G$7)/SUM(Saida!$B$7:$G$7)</f>
        <v>497.7746736491228</v>
      </c>
    </row>
    <row r="102" spans="1:37" outlineLevel="1" x14ac:dyDescent="0.25">
      <c r="A102" s="172"/>
      <c r="B102" s="173" t="s">
        <v>13</v>
      </c>
      <c r="D102" s="176"/>
      <c r="E102" s="177"/>
      <c r="F102" s="177"/>
      <c r="G102" s="177"/>
      <c r="H102" s="177"/>
      <c r="I102" s="178"/>
      <c r="J102" s="478">
        <f ca="1">SUM(J90:J100)</f>
        <v>1035.3341</v>
      </c>
      <c r="M102" s="333"/>
      <c r="N102" s="334"/>
      <c r="O102" s="334"/>
      <c r="P102" s="334"/>
      <c r="Q102" s="334"/>
      <c r="R102" s="335"/>
      <c r="V102" s="333"/>
      <c r="W102" s="334"/>
      <c r="X102" s="334"/>
      <c r="Y102" s="334"/>
      <c r="Z102" s="334"/>
      <c r="AA102" s="335"/>
      <c r="AE102" s="333"/>
      <c r="AF102" s="334"/>
      <c r="AG102" s="334"/>
      <c r="AH102" s="334"/>
      <c r="AI102" s="334"/>
      <c r="AJ102" s="335"/>
    </row>
    <row r="103" spans="1:37" outlineLevel="1" x14ac:dyDescent="0.25">
      <c r="A103" s="60"/>
      <c r="B103" s="61"/>
      <c r="D103" s="62"/>
      <c r="E103" s="63"/>
      <c r="F103" s="63"/>
      <c r="G103" s="63"/>
      <c r="H103" s="63"/>
      <c r="I103" s="63"/>
      <c r="M103" s="311"/>
      <c r="N103" s="312"/>
      <c r="O103" s="312"/>
      <c r="P103" s="312"/>
      <c r="Q103" s="312"/>
      <c r="R103" s="312"/>
      <c r="V103" s="311"/>
      <c r="W103" s="312"/>
      <c r="X103" s="312"/>
      <c r="Y103" s="312"/>
      <c r="Z103" s="312"/>
      <c r="AA103" s="312"/>
      <c r="AE103" s="311"/>
      <c r="AF103" s="312"/>
      <c r="AG103" s="312"/>
      <c r="AH103" s="312"/>
      <c r="AI103" s="312"/>
      <c r="AJ103" s="312"/>
    </row>
    <row r="104" spans="1:37" outlineLevel="1" x14ac:dyDescent="0.25">
      <c r="A104" s="168"/>
      <c r="B104" s="169"/>
      <c r="D104" s="503" t="s">
        <v>157</v>
      </c>
      <c r="E104" s="504" t="s">
        <v>94</v>
      </c>
      <c r="F104" s="504" t="s">
        <v>145</v>
      </c>
      <c r="G104" s="504"/>
      <c r="H104" s="504"/>
      <c r="I104" s="505"/>
      <c r="M104" s="503" t="s">
        <v>157</v>
      </c>
      <c r="N104" s="504" t="s">
        <v>94</v>
      </c>
      <c r="O104" s="504" t="s">
        <v>145</v>
      </c>
      <c r="P104" s="504"/>
      <c r="Q104" s="504"/>
      <c r="R104" s="505"/>
      <c r="V104" s="503" t="s">
        <v>157</v>
      </c>
      <c r="W104" s="504" t="s">
        <v>94</v>
      </c>
      <c r="X104" s="504" t="s">
        <v>145</v>
      </c>
      <c r="Y104" s="504"/>
      <c r="Z104" s="504"/>
      <c r="AA104" s="505"/>
      <c r="AE104" s="503" t="s">
        <v>157</v>
      </c>
      <c r="AF104" s="504" t="s">
        <v>94</v>
      </c>
      <c r="AG104" s="504" t="s">
        <v>145</v>
      </c>
      <c r="AH104" s="504"/>
      <c r="AI104" s="504"/>
      <c r="AJ104" s="505"/>
    </row>
    <row r="105" spans="1:37" hidden="1" outlineLevel="2" x14ac:dyDescent="0.25">
      <c r="A105" s="161">
        <v>196</v>
      </c>
      <c r="B105" s="162" t="s">
        <v>158</v>
      </c>
      <c r="D105" s="329">
        <f>VLOOKUP($A105,Prevs!$C:$AJ,COLUMN() - COLUMN($D105)+2,FALSE)*VLOOKUP($A105,Usinas!$C:$D,2,FALSE)</f>
        <v>22.035</v>
      </c>
      <c r="E105" s="309">
        <f>VLOOKUP($A105,Prevs!$C:$AJ,COLUMN() - COLUMN($D105)+2,FALSE)*VLOOKUP($A105,Usinas!$C:$D,2,FALSE)</f>
        <v>23.73</v>
      </c>
      <c r="F105" s="309">
        <f>VLOOKUP($A105,Prevs!$C:$AJ,COLUMN() - COLUMN($D105)+2,FALSE)*VLOOKUP($A105,Usinas!$C:$D,2,FALSE)</f>
        <v>23.73</v>
      </c>
      <c r="G105" s="309">
        <f>VLOOKUP($A105,Prevs!$C:$AJ,COLUMN() - COLUMN($D105)+2,FALSE)*VLOOKUP($A105,Usinas!$C:$D,2,FALSE)</f>
        <v>23.73</v>
      </c>
      <c r="H105" s="309">
        <f>VLOOKUP($A105,Prevs!$C:$AJ,COLUMN() - COLUMN($D105)+2,FALSE)*VLOOKUP($A105,Usinas!$C:$D,2,FALSE)</f>
        <v>22.035</v>
      </c>
      <c r="I105" s="330">
        <f>VLOOKUP($A105,Prevs!$C:$AJ,COLUMN() - COLUMN($D105)+2,FALSE)*VLOOKUP($A105,Usinas!$C:$D,2,FALSE)</f>
        <v>20.34</v>
      </c>
      <c r="J105" s="477">
        <f ca="1">VLOOKUP($A105,Prevs_MLT!$C:$AJ,1+Entrada!$C$4,FALSE)*VLOOKUP($A105,Usinas!$C:$D,2,FALSE)</f>
        <v>44.07</v>
      </c>
      <c r="M105" s="329">
        <f>VLOOKUP($A105,Prevs!$C:$AJ,COLUMN() - COLUMN($D105)+2,FALSE)*VLOOKUP($A105,Usinas!$C:$D,2,FALSE)</f>
        <v>33.9</v>
      </c>
      <c r="N105" s="309">
        <f>VLOOKUP($A105,Prevs!$C:$AJ,COLUMN() - COLUMN($D105)+2,FALSE)*VLOOKUP($A105,Usinas!$C:$D,2,FALSE)</f>
        <v>37.29</v>
      </c>
      <c r="O105" s="309">
        <f>VLOOKUP($A105,Prevs!$C:$AJ,COLUMN() - COLUMN($D105)+2,FALSE)*VLOOKUP($A105,Usinas!$C:$D,2,FALSE)</f>
        <v>37.29</v>
      </c>
      <c r="P105" s="309">
        <f>VLOOKUP($A105,Prevs!$C:$AJ,COLUMN() - COLUMN($D105)+2,FALSE)*VLOOKUP($A105,Usinas!$C:$D,2,FALSE)</f>
        <v>37.29</v>
      </c>
      <c r="Q105" s="309">
        <f>VLOOKUP($A105,Prevs!$C:$AJ,COLUMN() - COLUMN($D105)+2,FALSE)*VLOOKUP($A105,Usinas!$C:$D,2,FALSE)</f>
        <v>33.9</v>
      </c>
      <c r="R105" s="330">
        <f>VLOOKUP($A105,Prevs!$C:$AJ,COLUMN() - COLUMN($D105)+2,FALSE)*VLOOKUP($A105,Usinas!$C:$D,2,FALSE)</f>
        <v>32.204999999999998</v>
      </c>
      <c r="V105" s="329">
        <f>VLOOKUP($A105,Prevs!$C:$AJ,COLUMN() - COLUMN($D105)+2,FALSE)*VLOOKUP($A105,Usinas!$C:$D,2,FALSE)</f>
        <v>28.815000000000001</v>
      </c>
      <c r="W105" s="309">
        <f>VLOOKUP($A105,Prevs!$C:$AJ,COLUMN() - COLUMN($D105)+2,FALSE)*VLOOKUP($A105,Usinas!$C:$D,2,FALSE)</f>
        <v>30.51</v>
      </c>
      <c r="X105" s="309">
        <f>VLOOKUP($A105,Prevs!$C:$AJ,COLUMN() - COLUMN($D105)+2,FALSE)*VLOOKUP($A105,Usinas!$C:$D,2,FALSE)</f>
        <v>30.51</v>
      </c>
      <c r="Y105" s="309">
        <f>VLOOKUP($A105,Prevs!$C:$AJ,COLUMN() - COLUMN($D105)+2,FALSE)*VLOOKUP($A105,Usinas!$C:$D,2,FALSE)</f>
        <v>30.51</v>
      </c>
      <c r="Z105" s="309">
        <f>VLOOKUP($A105,Prevs!$C:$AJ,COLUMN() - COLUMN($D105)+2,FALSE)*VLOOKUP($A105,Usinas!$C:$D,2,FALSE)</f>
        <v>28.815000000000001</v>
      </c>
      <c r="AA105" s="330">
        <f>VLOOKUP($A105,Prevs!$C:$AJ,COLUMN() - COLUMN($D105)+2,FALSE)*VLOOKUP($A105,Usinas!$C:$D,2,FALSE)</f>
        <v>27.12</v>
      </c>
      <c r="AE105" s="329">
        <f>VLOOKUP($A105,Prevs!$C:$AJ,COLUMN() - COLUMN($D105)+2,FALSE)*VLOOKUP($A105,Usinas!$C:$D,2,FALSE)</f>
        <v>22.035</v>
      </c>
      <c r="AF105" s="309">
        <f>VLOOKUP($A105,Prevs!$C:$AJ,COLUMN() - COLUMN($D105)+2,FALSE)*VLOOKUP($A105,Usinas!$C:$D,2,FALSE)</f>
        <v>23.73</v>
      </c>
      <c r="AG105" s="309">
        <f>VLOOKUP($A105,Prevs!$C:$AJ,COLUMN() - COLUMN($D105)+2,FALSE)*VLOOKUP($A105,Usinas!$C:$D,2,FALSE)</f>
        <v>23.73</v>
      </c>
      <c r="AH105" s="309">
        <f>VLOOKUP($A105,Prevs!$C:$AJ,COLUMN() - COLUMN($D105)+2,FALSE)*VLOOKUP($A105,Usinas!$C:$D,2,FALSE)</f>
        <v>23.73</v>
      </c>
      <c r="AI105" s="309">
        <f>VLOOKUP($A105,Prevs!$C:$AJ,COLUMN() - COLUMN($D105)+2,FALSE)*VLOOKUP($A105,Usinas!$C:$D,2,FALSE)</f>
        <v>22.035</v>
      </c>
      <c r="AJ105" s="330">
        <f>VLOOKUP($A105,Prevs!$C:$AJ,COLUMN() - COLUMN($D105)+2,FALSE)*VLOOKUP($A105,Usinas!$C:$D,2,FALSE)</f>
        <v>20.34</v>
      </c>
    </row>
    <row r="106" spans="1:37" outlineLevel="1" collapsed="1" x14ac:dyDescent="0.25">
      <c r="A106" s="170"/>
      <c r="B106" s="171" t="s">
        <v>92</v>
      </c>
      <c r="D106" s="174">
        <f t="shared" ref="D106:I106" si="46">D105</f>
        <v>22.035</v>
      </c>
      <c r="E106" s="59">
        <f t="shared" si="46"/>
        <v>23.73</v>
      </c>
      <c r="F106" s="59">
        <f t="shared" si="46"/>
        <v>23.73</v>
      </c>
      <c r="G106" s="59">
        <f t="shared" si="46"/>
        <v>23.73</v>
      </c>
      <c r="H106" s="59">
        <f t="shared" si="46"/>
        <v>22.035</v>
      </c>
      <c r="I106" s="175">
        <f t="shared" si="46"/>
        <v>20.34</v>
      </c>
      <c r="J106" s="423">
        <f ca="1">SUMPRODUCT(D106:I106,Saida!$B$7:$G$7)/SUM(Saida!$B$7:$G$7)</f>
        <v>23.165000000000003</v>
      </c>
      <c r="M106" s="331">
        <f t="shared" ref="M106:R106" si="47">M105</f>
        <v>33.9</v>
      </c>
      <c r="N106" s="310">
        <f t="shared" si="47"/>
        <v>37.29</v>
      </c>
      <c r="O106" s="310">
        <f t="shared" si="47"/>
        <v>37.29</v>
      </c>
      <c r="P106" s="310">
        <f t="shared" si="47"/>
        <v>37.29</v>
      </c>
      <c r="Q106" s="310">
        <f t="shared" si="47"/>
        <v>33.9</v>
      </c>
      <c r="R106" s="332">
        <f t="shared" si="47"/>
        <v>32.204999999999998</v>
      </c>
      <c r="S106" s="423">
        <f ca="1">SUMPRODUCT(M106:R106,Saida!$B$7:$G$7)/SUM(Saida!$B$7:$G$7)</f>
        <v>36.216499999999996</v>
      </c>
      <c r="V106" s="331">
        <f t="shared" ref="V106:AA106" si="48">V105</f>
        <v>28.815000000000001</v>
      </c>
      <c r="W106" s="310">
        <f t="shared" si="48"/>
        <v>30.51</v>
      </c>
      <c r="X106" s="310">
        <f t="shared" si="48"/>
        <v>30.51</v>
      </c>
      <c r="Y106" s="310">
        <f t="shared" si="48"/>
        <v>30.51</v>
      </c>
      <c r="Z106" s="310">
        <f t="shared" si="48"/>
        <v>28.815000000000001</v>
      </c>
      <c r="AA106" s="332">
        <f t="shared" si="48"/>
        <v>27.12</v>
      </c>
      <c r="AB106" s="423">
        <f ca="1">SUMPRODUCT(V106:AA106,Saida!$B$7:$G$7)/SUM(Saida!$B$7:$G$7)</f>
        <v>29.945000000000004</v>
      </c>
      <c r="AE106" s="331">
        <f t="shared" ref="AE106:AJ106" si="49">AE105</f>
        <v>22.035</v>
      </c>
      <c r="AF106" s="310">
        <f t="shared" si="49"/>
        <v>23.73</v>
      </c>
      <c r="AG106" s="310">
        <f t="shared" si="49"/>
        <v>23.73</v>
      </c>
      <c r="AH106" s="310">
        <f t="shared" si="49"/>
        <v>23.73</v>
      </c>
      <c r="AI106" s="310">
        <f t="shared" si="49"/>
        <v>22.035</v>
      </c>
      <c r="AJ106" s="332">
        <f t="shared" si="49"/>
        <v>20.34</v>
      </c>
      <c r="AK106" s="423">
        <f ca="1">SUMPRODUCT(AE106:AJ106,Saida!$B$7:$G$7)/SUM(Saida!$B$7:$G$7)</f>
        <v>23.165000000000003</v>
      </c>
    </row>
    <row r="107" spans="1:37" outlineLevel="1" x14ac:dyDescent="0.25">
      <c r="A107" s="172"/>
      <c r="B107" s="173" t="s">
        <v>13</v>
      </c>
      <c r="D107" s="176"/>
      <c r="E107" s="177"/>
      <c r="F107" s="177"/>
      <c r="G107" s="177"/>
      <c r="H107" s="177"/>
      <c r="I107" s="178"/>
      <c r="J107" s="478">
        <f ca="1">SUM(J105)</f>
        <v>44.07</v>
      </c>
      <c r="M107" s="333"/>
      <c r="N107" s="334"/>
      <c r="O107" s="334"/>
      <c r="P107" s="334"/>
      <c r="Q107" s="334"/>
      <c r="R107" s="335"/>
      <c r="V107" s="333"/>
      <c r="W107" s="334"/>
      <c r="X107" s="334"/>
      <c r="Y107" s="334"/>
      <c r="Z107" s="334"/>
      <c r="AA107" s="335"/>
      <c r="AE107" s="333"/>
      <c r="AF107" s="334"/>
      <c r="AG107" s="334"/>
      <c r="AH107" s="334"/>
      <c r="AI107" s="334"/>
      <c r="AJ107" s="335"/>
    </row>
    <row r="108" spans="1:37" outlineLevel="1" x14ac:dyDescent="0.25">
      <c r="A108" s="60"/>
      <c r="B108" s="61"/>
      <c r="D108" s="62"/>
      <c r="E108" s="63"/>
      <c r="F108" s="63"/>
      <c r="G108" s="63"/>
      <c r="H108" s="63"/>
      <c r="I108" s="63"/>
      <c r="M108" s="311"/>
      <c r="N108" s="312"/>
      <c r="O108" s="312"/>
      <c r="P108" s="312"/>
      <c r="Q108" s="312"/>
      <c r="R108" s="312"/>
      <c r="V108" s="311"/>
      <c r="W108" s="312"/>
      <c r="X108" s="312"/>
      <c r="Y108" s="312"/>
      <c r="Z108" s="312"/>
      <c r="AA108" s="312"/>
      <c r="AE108" s="311"/>
      <c r="AF108" s="312"/>
      <c r="AG108" s="312"/>
      <c r="AH108" s="312"/>
      <c r="AI108" s="312"/>
      <c r="AJ108" s="312"/>
    </row>
    <row r="109" spans="1:37" outlineLevel="1" x14ac:dyDescent="0.25">
      <c r="A109" s="168"/>
      <c r="B109" s="169"/>
      <c r="D109" s="503" t="s">
        <v>159</v>
      </c>
      <c r="E109" s="504" t="s">
        <v>94</v>
      </c>
      <c r="F109" s="504" t="s">
        <v>160</v>
      </c>
      <c r="G109" s="504"/>
      <c r="H109" s="504"/>
      <c r="I109" s="505"/>
      <c r="M109" s="503" t="s">
        <v>159</v>
      </c>
      <c r="N109" s="504" t="s">
        <v>94</v>
      </c>
      <c r="O109" s="504" t="s">
        <v>160</v>
      </c>
      <c r="P109" s="504"/>
      <c r="Q109" s="504"/>
      <c r="R109" s="505"/>
      <c r="V109" s="503" t="s">
        <v>159</v>
      </c>
      <c r="W109" s="504" t="s">
        <v>94</v>
      </c>
      <c r="X109" s="504" t="s">
        <v>160</v>
      </c>
      <c r="Y109" s="504"/>
      <c r="Z109" s="504"/>
      <c r="AA109" s="505"/>
      <c r="AE109" s="503" t="s">
        <v>159</v>
      </c>
      <c r="AF109" s="504" t="s">
        <v>94</v>
      </c>
      <c r="AG109" s="504" t="s">
        <v>160</v>
      </c>
      <c r="AH109" s="504"/>
      <c r="AI109" s="504"/>
      <c r="AJ109" s="505"/>
    </row>
    <row r="110" spans="1:37" hidden="1" outlineLevel="2" x14ac:dyDescent="0.25">
      <c r="A110" s="161">
        <v>283</v>
      </c>
      <c r="B110" s="162" t="s">
        <v>161</v>
      </c>
      <c r="D110" s="329">
        <f>VLOOKUP($A110,Prevs!$C:$AJ,COLUMN() - COLUMN($D110)+2,FALSE)*VLOOKUP($A110,Usinas!$C:$D,2,FALSE)</f>
        <v>20.628</v>
      </c>
      <c r="E110" s="309">
        <f>VLOOKUP($A110,Prevs!$C:$AJ,COLUMN() - COLUMN($D110)+2,FALSE)*VLOOKUP($A110,Usinas!$C:$D,2,FALSE)</f>
        <v>18.335999999999999</v>
      </c>
      <c r="F110" s="309">
        <f>VLOOKUP($A110,Prevs!$C:$AJ,COLUMN() - COLUMN($D110)+2,FALSE)*VLOOKUP($A110,Usinas!$C:$D,2,FALSE)</f>
        <v>15.127199999999998</v>
      </c>
      <c r="G110" s="309">
        <f>VLOOKUP($A110,Prevs!$C:$AJ,COLUMN() - COLUMN($D110)+2,FALSE)*VLOOKUP($A110,Usinas!$C:$D,2,FALSE)</f>
        <v>19.711199999999998</v>
      </c>
      <c r="H110" s="309">
        <f>VLOOKUP($A110,Prevs!$C:$AJ,COLUMN() - COLUMN($D110)+2,FALSE)*VLOOKUP($A110,Usinas!$C:$D,2,FALSE)</f>
        <v>17.877599999999997</v>
      </c>
      <c r="I110" s="330">
        <f>VLOOKUP($A110,Prevs!$C:$AJ,COLUMN() - COLUMN($D110)+2,FALSE)*VLOOKUP($A110,Usinas!$C:$D,2,FALSE)</f>
        <v>13.2936</v>
      </c>
      <c r="J110" s="477">
        <f ca="1">VLOOKUP($A110,Prevs_MLT!$C:$AJ,1+Entrada!$C$4,FALSE)*VLOOKUP($A110,Usinas!$C:$D,2,FALSE)</f>
        <v>33.921599999999998</v>
      </c>
      <c r="M110" s="329">
        <f>VLOOKUP($A110,Prevs!$C:$AJ,COLUMN() - COLUMN($D110)+2,FALSE)*VLOOKUP($A110,Usinas!$C:$D,2,FALSE)</f>
        <v>32.088000000000001</v>
      </c>
      <c r="N110" s="309">
        <f>VLOOKUP($A110,Prevs!$C:$AJ,COLUMN() - COLUMN($D110)+2,FALSE)*VLOOKUP($A110,Usinas!$C:$D,2,FALSE)</f>
        <v>28.4208</v>
      </c>
      <c r="O110" s="309">
        <f>VLOOKUP($A110,Prevs!$C:$AJ,COLUMN() - COLUMN($D110)+2,FALSE)*VLOOKUP($A110,Usinas!$C:$D,2,FALSE)</f>
        <v>23.378399999999999</v>
      </c>
      <c r="P110" s="309">
        <f>VLOOKUP($A110,Prevs!$C:$AJ,COLUMN() - COLUMN($D110)+2,FALSE)*VLOOKUP($A110,Usinas!$C:$D,2,FALSE)</f>
        <v>30.712799999999998</v>
      </c>
      <c r="Q110" s="309">
        <f>VLOOKUP($A110,Prevs!$C:$AJ,COLUMN() - COLUMN($D110)+2,FALSE)*VLOOKUP($A110,Usinas!$C:$D,2,FALSE)</f>
        <v>27.962399999999999</v>
      </c>
      <c r="R110" s="330">
        <f>VLOOKUP($A110,Prevs!$C:$AJ,COLUMN() - COLUMN($D110)+2,FALSE)*VLOOKUP($A110,Usinas!$C:$D,2,FALSE)</f>
        <v>20.628</v>
      </c>
      <c r="V110" s="329">
        <f>VLOOKUP($A110,Prevs!$C:$AJ,COLUMN() - COLUMN($D110)+2,FALSE)*VLOOKUP($A110,Usinas!$C:$D,2,FALSE)</f>
        <v>27.045599999999997</v>
      </c>
      <c r="W110" s="309">
        <f>VLOOKUP($A110,Prevs!$C:$AJ,COLUMN() - COLUMN($D110)+2,FALSE)*VLOOKUP($A110,Usinas!$C:$D,2,FALSE)</f>
        <v>24.295199999999998</v>
      </c>
      <c r="X110" s="309">
        <f>VLOOKUP($A110,Prevs!$C:$AJ,COLUMN() - COLUMN($D110)+2,FALSE)*VLOOKUP($A110,Usinas!$C:$D,2,FALSE)</f>
        <v>20.169599999999999</v>
      </c>
      <c r="Y110" s="309">
        <f>VLOOKUP($A110,Prevs!$C:$AJ,COLUMN() - COLUMN($D110)+2,FALSE)*VLOOKUP($A110,Usinas!$C:$D,2,FALSE)</f>
        <v>26.128799999999998</v>
      </c>
      <c r="Z110" s="309">
        <f>VLOOKUP($A110,Prevs!$C:$AJ,COLUMN() - COLUMN($D110)+2,FALSE)*VLOOKUP($A110,Usinas!$C:$D,2,FALSE)</f>
        <v>23.378399999999999</v>
      </c>
      <c r="AA110" s="330">
        <f>VLOOKUP($A110,Prevs!$C:$AJ,COLUMN() - COLUMN($D110)+2,FALSE)*VLOOKUP($A110,Usinas!$C:$D,2,FALSE)</f>
        <v>17.4192</v>
      </c>
      <c r="AE110" s="329">
        <f>VLOOKUP($A110,Prevs!$C:$AJ,COLUMN() - COLUMN($D110)+2,FALSE)*VLOOKUP($A110,Usinas!$C:$D,2,FALSE)</f>
        <v>20.628</v>
      </c>
      <c r="AF110" s="309">
        <f>VLOOKUP($A110,Prevs!$C:$AJ,COLUMN() - COLUMN($D110)+2,FALSE)*VLOOKUP($A110,Usinas!$C:$D,2,FALSE)</f>
        <v>18.335999999999999</v>
      </c>
      <c r="AG110" s="309">
        <f>VLOOKUP($A110,Prevs!$C:$AJ,COLUMN() - COLUMN($D110)+2,FALSE)*VLOOKUP($A110,Usinas!$C:$D,2,FALSE)</f>
        <v>15.127199999999998</v>
      </c>
      <c r="AH110" s="309">
        <f>VLOOKUP($A110,Prevs!$C:$AJ,COLUMN() - COLUMN($D110)+2,FALSE)*VLOOKUP($A110,Usinas!$C:$D,2,FALSE)</f>
        <v>19.711199999999998</v>
      </c>
      <c r="AI110" s="309">
        <f>VLOOKUP($A110,Prevs!$C:$AJ,COLUMN() - COLUMN($D110)+2,FALSE)*VLOOKUP($A110,Usinas!$C:$D,2,FALSE)</f>
        <v>17.877599999999997</v>
      </c>
      <c r="AJ110" s="330">
        <f>VLOOKUP($A110,Prevs!$C:$AJ,COLUMN() - COLUMN($D110)+2,FALSE)*VLOOKUP($A110,Usinas!$C:$D,2,FALSE)</f>
        <v>13.2936</v>
      </c>
    </row>
    <row r="111" spans="1:37" outlineLevel="1" collapsed="1" x14ac:dyDescent="0.25">
      <c r="A111" s="170"/>
      <c r="B111" s="171" t="s">
        <v>92</v>
      </c>
      <c r="D111" s="174">
        <f t="shared" ref="D111:I111" si="50">D110</f>
        <v>20.628</v>
      </c>
      <c r="E111" s="59">
        <f t="shared" si="50"/>
        <v>18.335999999999999</v>
      </c>
      <c r="F111" s="59">
        <f t="shared" si="50"/>
        <v>15.127199999999998</v>
      </c>
      <c r="G111" s="59">
        <f t="shared" si="50"/>
        <v>19.711199999999998</v>
      </c>
      <c r="H111" s="59">
        <f t="shared" si="50"/>
        <v>17.877599999999997</v>
      </c>
      <c r="I111" s="175">
        <f t="shared" si="50"/>
        <v>13.2936</v>
      </c>
      <c r="J111" s="423">
        <f ca="1">SUMPRODUCT(D111:I111,Saida!$B$7:$G$7)/SUM(Saida!$B$7:$G$7)</f>
        <v>17.709519999999998</v>
      </c>
      <c r="M111" s="331">
        <f t="shared" ref="M111:R111" si="51">M110</f>
        <v>32.088000000000001</v>
      </c>
      <c r="N111" s="310">
        <f t="shared" si="51"/>
        <v>28.4208</v>
      </c>
      <c r="O111" s="310">
        <f t="shared" si="51"/>
        <v>23.378399999999999</v>
      </c>
      <c r="P111" s="310">
        <f t="shared" si="51"/>
        <v>30.712799999999998</v>
      </c>
      <c r="Q111" s="310">
        <f t="shared" si="51"/>
        <v>27.962399999999999</v>
      </c>
      <c r="R111" s="332">
        <f t="shared" si="51"/>
        <v>20.628</v>
      </c>
      <c r="S111" s="423">
        <f ca="1">SUMPRODUCT(M111:R111,Saida!$B$7:$G$7)/SUM(Saida!$B$7:$G$7)</f>
        <v>27.534560000000003</v>
      </c>
      <c r="V111" s="331">
        <f t="shared" ref="V111:AA111" si="52">V110</f>
        <v>27.045599999999997</v>
      </c>
      <c r="W111" s="310">
        <f t="shared" si="52"/>
        <v>24.295199999999998</v>
      </c>
      <c r="X111" s="310">
        <f t="shared" si="52"/>
        <v>20.169599999999999</v>
      </c>
      <c r="Y111" s="310">
        <f t="shared" si="52"/>
        <v>26.128799999999998</v>
      </c>
      <c r="Z111" s="310">
        <f t="shared" si="52"/>
        <v>23.378399999999999</v>
      </c>
      <c r="AA111" s="332">
        <f t="shared" si="52"/>
        <v>17.4192</v>
      </c>
      <c r="AB111" s="423">
        <f ca="1">SUMPRODUCT(V111:AA111,Saida!$B$7:$G$7)/SUM(Saida!$B$7:$G$7)</f>
        <v>23.40896</v>
      </c>
      <c r="AE111" s="331">
        <f t="shared" ref="AE111:AJ111" si="53">AE110</f>
        <v>20.628</v>
      </c>
      <c r="AF111" s="310">
        <f t="shared" si="53"/>
        <v>18.335999999999999</v>
      </c>
      <c r="AG111" s="310">
        <f t="shared" si="53"/>
        <v>15.127199999999998</v>
      </c>
      <c r="AH111" s="310">
        <f t="shared" si="53"/>
        <v>19.711199999999998</v>
      </c>
      <c r="AI111" s="310">
        <f t="shared" si="53"/>
        <v>17.877599999999997</v>
      </c>
      <c r="AJ111" s="332">
        <f t="shared" si="53"/>
        <v>13.2936</v>
      </c>
      <c r="AK111" s="423">
        <f ca="1">SUMPRODUCT(AE111:AJ111,Saida!$B$7:$G$7)/SUM(Saida!$B$7:$G$7)</f>
        <v>17.709519999999998</v>
      </c>
    </row>
    <row r="112" spans="1:37" outlineLevel="1" x14ac:dyDescent="0.25">
      <c r="A112" s="172"/>
      <c r="B112" s="173" t="s">
        <v>13</v>
      </c>
      <c r="D112" s="176"/>
      <c r="E112" s="177"/>
      <c r="F112" s="177"/>
      <c r="G112" s="177"/>
      <c r="H112" s="177"/>
      <c r="I112" s="178"/>
      <c r="J112" s="478">
        <f ca="1">SUM(J110)</f>
        <v>33.921599999999998</v>
      </c>
      <c r="M112" s="333"/>
      <c r="N112" s="334"/>
      <c r="O112" s="334"/>
      <c r="P112" s="334"/>
      <c r="Q112" s="334"/>
      <c r="R112" s="335"/>
      <c r="V112" s="333"/>
      <c r="W112" s="334"/>
      <c r="X112" s="334"/>
      <c r="Y112" s="334"/>
      <c r="Z112" s="334"/>
      <c r="AA112" s="335"/>
      <c r="AE112" s="333"/>
      <c r="AF112" s="334"/>
      <c r="AG112" s="334"/>
      <c r="AH112" s="334"/>
      <c r="AI112" s="334"/>
      <c r="AJ112" s="335"/>
    </row>
    <row r="113" spans="1:37" outlineLevel="1" x14ac:dyDescent="0.25">
      <c r="A113" s="60"/>
      <c r="B113" s="61"/>
      <c r="D113" s="62"/>
      <c r="E113" s="63"/>
      <c r="F113" s="63"/>
      <c r="G113" s="63"/>
      <c r="H113" s="63"/>
      <c r="I113" s="63"/>
      <c r="M113" s="311"/>
      <c r="N113" s="312"/>
      <c r="O113" s="312"/>
      <c r="P113" s="312"/>
      <c r="Q113" s="312"/>
      <c r="R113" s="312"/>
      <c r="V113" s="311"/>
      <c r="W113" s="312"/>
      <c r="X113" s="312"/>
      <c r="Y113" s="312"/>
      <c r="Z113" s="312"/>
      <c r="AA113" s="312"/>
      <c r="AE113" s="311"/>
      <c r="AF113" s="312"/>
      <c r="AG113" s="312"/>
      <c r="AH113" s="312"/>
      <c r="AI113" s="312"/>
      <c r="AJ113" s="312"/>
    </row>
    <row r="114" spans="1:37" outlineLevel="1" x14ac:dyDescent="0.25">
      <c r="A114" s="168"/>
      <c r="B114" s="169"/>
      <c r="D114" s="503" t="s">
        <v>162</v>
      </c>
      <c r="E114" s="504" t="s">
        <v>94</v>
      </c>
      <c r="F114" s="504" t="s">
        <v>163</v>
      </c>
      <c r="G114" s="504"/>
      <c r="H114" s="504"/>
      <c r="I114" s="505"/>
      <c r="M114" s="503" t="s">
        <v>162</v>
      </c>
      <c r="N114" s="504" t="s">
        <v>94</v>
      </c>
      <c r="O114" s="504" t="s">
        <v>163</v>
      </c>
      <c r="P114" s="504"/>
      <c r="Q114" s="504"/>
      <c r="R114" s="505"/>
      <c r="V114" s="503" t="s">
        <v>162</v>
      </c>
      <c r="W114" s="504" t="s">
        <v>94</v>
      </c>
      <c r="X114" s="504" t="s">
        <v>163</v>
      </c>
      <c r="Y114" s="504"/>
      <c r="Z114" s="504"/>
      <c r="AA114" s="505"/>
      <c r="AE114" s="503" t="s">
        <v>162</v>
      </c>
      <c r="AF114" s="504" t="s">
        <v>94</v>
      </c>
      <c r="AG114" s="504" t="s">
        <v>163</v>
      </c>
      <c r="AH114" s="504"/>
      <c r="AI114" s="504"/>
      <c r="AJ114" s="505"/>
    </row>
    <row r="115" spans="1:37" hidden="1" outlineLevel="2" x14ac:dyDescent="0.25">
      <c r="A115" s="161">
        <v>262</v>
      </c>
      <c r="B115" s="162" t="s">
        <v>164</v>
      </c>
      <c r="D115" s="329">
        <f>VLOOKUP($A115,Prevs!$C:$AJ,COLUMN() - COLUMN($D115)+2,FALSE)*VLOOKUP($A115,Usinas!$C:$D,2,FALSE)</f>
        <v>33.7986</v>
      </c>
      <c r="E115" s="309">
        <f>VLOOKUP($A115,Prevs!$C:$AJ,COLUMN() - COLUMN($D115)+2,FALSE)*VLOOKUP($A115,Usinas!$C:$D,2,FALSE)</f>
        <v>33.7986</v>
      </c>
      <c r="F115" s="309">
        <f>VLOOKUP($A115,Prevs!$C:$AJ,COLUMN() - COLUMN($D115)+2,FALSE)*VLOOKUP($A115,Usinas!$C:$D,2,FALSE)</f>
        <v>32.7744</v>
      </c>
      <c r="G115" s="309">
        <f>VLOOKUP($A115,Prevs!$C:$AJ,COLUMN() - COLUMN($D115)+2,FALSE)*VLOOKUP($A115,Usinas!$C:$D,2,FALSE)</f>
        <v>31.7502</v>
      </c>
      <c r="H115" s="309">
        <f>VLOOKUP($A115,Prevs!$C:$AJ,COLUMN() - COLUMN($D115)+2,FALSE)*VLOOKUP($A115,Usinas!$C:$D,2,FALSE)</f>
        <v>31.7502</v>
      </c>
      <c r="I115" s="330">
        <f>VLOOKUP($A115,Prevs!$C:$AJ,COLUMN() - COLUMN($D115)+2,FALSE)*VLOOKUP($A115,Usinas!$C:$D,2,FALSE)</f>
        <v>31.7502</v>
      </c>
      <c r="J115" s="477">
        <f ca="1">VLOOKUP($A115,Prevs_MLT!$C:$AJ,1+Entrada!$C$4,FALSE)*VLOOKUP($A115,Usinas!$C:$D,2,FALSE)</f>
        <v>58.379399999999997</v>
      </c>
      <c r="M115" s="329">
        <f>VLOOKUP($A115,Prevs!$C:$AJ,COLUMN() - COLUMN($D115)+2,FALSE)*VLOOKUP($A115,Usinas!$C:$D,2,FALSE)</f>
        <v>52.234200000000001</v>
      </c>
      <c r="N115" s="309">
        <f>VLOOKUP($A115,Prevs!$C:$AJ,COLUMN() - COLUMN($D115)+2,FALSE)*VLOOKUP($A115,Usinas!$C:$D,2,FALSE)</f>
        <v>52.234200000000001</v>
      </c>
      <c r="O115" s="309">
        <f>VLOOKUP($A115,Prevs!$C:$AJ,COLUMN() - COLUMN($D115)+2,FALSE)*VLOOKUP($A115,Usinas!$C:$D,2,FALSE)</f>
        <v>51.21</v>
      </c>
      <c r="P115" s="309">
        <f>VLOOKUP($A115,Prevs!$C:$AJ,COLUMN() - COLUMN($D115)+2,FALSE)*VLOOKUP($A115,Usinas!$C:$D,2,FALSE)</f>
        <v>49.1616</v>
      </c>
      <c r="Q115" s="309">
        <f>VLOOKUP($A115,Prevs!$C:$AJ,COLUMN() - COLUMN($D115)+2,FALSE)*VLOOKUP($A115,Usinas!$C:$D,2,FALSE)</f>
        <v>49.1616</v>
      </c>
      <c r="R115" s="330">
        <f>VLOOKUP($A115,Prevs!$C:$AJ,COLUMN() - COLUMN($D115)+2,FALSE)*VLOOKUP($A115,Usinas!$C:$D,2,FALSE)</f>
        <v>49.1616</v>
      </c>
      <c r="V115" s="329">
        <f>VLOOKUP($A115,Prevs!$C:$AJ,COLUMN() - COLUMN($D115)+2,FALSE)*VLOOKUP($A115,Usinas!$C:$D,2,FALSE)</f>
        <v>45.064799999999998</v>
      </c>
      <c r="W115" s="309">
        <f>VLOOKUP($A115,Prevs!$C:$AJ,COLUMN() - COLUMN($D115)+2,FALSE)*VLOOKUP($A115,Usinas!$C:$D,2,FALSE)</f>
        <v>45.064799999999998</v>
      </c>
      <c r="X115" s="309">
        <f>VLOOKUP($A115,Prevs!$C:$AJ,COLUMN() - COLUMN($D115)+2,FALSE)*VLOOKUP($A115,Usinas!$C:$D,2,FALSE)</f>
        <v>43.016399999999997</v>
      </c>
      <c r="Y115" s="309">
        <f>VLOOKUP($A115,Prevs!$C:$AJ,COLUMN() - COLUMN($D115)+2,FALSE)*VLOOKUP($A115,Usinas!$C:$D,2,FALSE)</f>
        <v>41.992199999999997</v>
      </c>
      <c r="Z115" s="309">
        <f>VLOOKUP($A115,Prevs!$C:$AJ,COLUMN() - COLUMN($D115)+2,FALSE)*VLOOKUP($A115,Usinas!$C:$D,2,FALSE)</f>
        <v>41.992199999999997</v>
      </c>
      <c r="AA115" s="330">
        <f>VLOOKUP($A115,Prevs!$C:$AJ,COLUMN() - COLUMN($D115)+2,FALSE)*VLOOKUP($A115,Usinas!$C:$D,2,FALSE)</f>
        <v>41.992199999999997</v>
      </c>
      <c r="AE115" s="329">
        <f>VLOOKUP($A115,Prevs!$C:$AJ,COLUMN() - COLUMN($D115)+2,FALSE)*VLOOKUP($A115,Usinas!$C:$D,2,FALSE)</f>
        <v>33.7986</v>
      </c>
      <c r="AF115" s="309">
        <f>VLOOKUP($A115,Prevs!$C:$AJ,COLUMN() - COLUMN($D115)+2,FALSE)*VLOOKUP($A115,Usinas!$C:$D,2,FALSE)</f>
        <v>33.7986</v>
      </c>
      <c r="AG115" s="309">
        <f>VLOOKUP($A115,Prevs!$C:$AJ,COLUMN() - COLUMN($D115)+2,FALSE)*VLOOKUP($A115,Usinas!$C:$D,2,FALSE)</f>
        <v>32.7744</v>
      </c>
      <c r="AH115" s="309">
        <f>VLOOKUP($A115,Prevs!$C:$AJ,COLUMN() - COLUMN($D115)+2,FALSE)*VLOOKUP($A115,Usinas!$C:$D,2,FALSE)</f>
        <v>31.7502</v>
      </c>
      <c r="AI115" s="309">
        <f>VLOOKUP($A115,Prevs!$C:$AJ,COLUMN() - COLUMN($D115)+2,FALSE)*VLOOKUP($A115,Usinas!$C:$D,2,FALSE)</f>
        <v>31.7502</v>
      </c>
      <c r="AJ115" s="330">
        <f>VLOOKUP($A115,Prevs!$C:$AJ,COLUMN() - COLUMN($D115)+2,FALSE)*VLOOKUP($A115,Usinas!$C:$D,2,FALSE)</f>
        <v>31.7502</v>
      </c>
    </row>
    <row r="116" spans="1:37" hidden="1" outlineLevel="2" x14ac:dyDescent="0.25">
      <c r="A116" s="161">
        <v>183</v>
      </c>
      <c r="B116" s="162" t="s">
        <v>165</v>
      </c>
      <c r="D116" s="329">
        <f>VLOOKUP($A116,Prevs!$C:$AJ,COLUMN() - COLUMN($D116)+2,FALSE)*VLOOKUP($A116,Usinas!$C:$D,2,FALSE)</f>
        <v>32.8125</v>
      </c>
      <c r="E116" s="309">
        <f>VLOOKUP($A116,Prevs!$C:$AJ,COLUMN() - COLUMN($D116)+2,FALSE)*VLOOKUP($A116,Usinas!$C:$D,2,FALSE)</f>
        <v>32.8125</v>
      </c>
      <c r="F116" s="309">
        <f>VLOOKUP($A116,Prevs!$C:$AJ,COLUMN() - COLUMN($D116)+2,FALSE)*VLOOKUP($A116,Usinas!$C:$D,2,FALSE)</f>
        <v>31.875</v>
      </c>
      <c r="G116" s="309">
        <f>VLOOKUP($A116,Prevs!$C:$AJ,COLUMN() - COLUMN($D116)+2,FALSE)*VLOOKUP($A116,Usinas!$C:$D,2,FALSE)</f>
        <v>31.875</v>
      </c>
      <c r="H116" s="309">
        <f>VLOOKUP($A116,Prevs!$C:$AJ,COLUMN() - COLUMN($D116)+2,FALSE)*VLOOKUP($A116,Usinas!$C:$D,2,FALSE)</f>
        <v>30.9375</v>
      </c>
      <c r="I116" s="330">
        <f>VLOOKUP($A116,Prevs!$C:$AJ,COLUMN() - COLUMN($D116)+2,FALSE)*VLOOKUP($A116,Usinas!$C:$D,2,FALSE)</f>
        <v>30.9375</v>
      </c>
      <c r="J116" s="477">
        <f ca="1">VLOOKUP($A116,Prevs_MLT!$C:$AJ,1+Entrada!$C$4,FALSE)*VLOOKUP($A116,Usinas!$C:$D,2,FALSE)</f>
        <v>58.125</v>
      </c>
      <c r="M116" s="329">
        <f>VLOOKUP($A116,Prevs!$C:$AJ,COLUMN() - COLUMN($D116)+2,FALSE)*VLOOKUP($A116,Usinas!$C:$D,2,FALSE)</f>
        <v>50.625</v>
      </c>
      <c r="N116" s="309">
        <f>VLOOKUP($A116,Prevs!$C:$AJ,COLUMN() - COLUMN($D116)+2,FALSE)*VLOOKUP($A116,Usinas!$C:$D,2,FALSE)</f>
        <v>50.625</v>
      </c>
      <c r="O116" s="309">
        <f>VLOOKUP($A116,Prevs!$C:$AJ,COLUMN() - COLUMN($D116)+2,FALSE)*VLOOKUP($A116,Usinas!$C:$D,2,FALSE)</f>
        <v>49.6875</v>
      </c>
      <c r="P116" s="309">
        <f>VLOOKUP($A116,Prevs!$C:$AJ,COLUMN() - COLUMN($D116)+2,FALSE)*VLOOKUP($A116,Usinas!$C:$D,2,FALSE)</f>
        <v>49.6875</v>
      </c>
      <c r="Q116" s="309">
        <f>VLOOKUP($A116,Prevs!$C:$AJ,COLUMN() - COLUMN($D116)+2,FALSE)*VLOOKUP($A116,Usinas!$C:$D,2,FALSE)</f>
        <v>47.8125</v>
      </c>
      <c r="R116" s="330">
        <f>VLOOKUP($A116,Prevs!$C:$AJ,COLUMN() - COLUMN($D116)+2,FALSE)*VLOOKUP($A116,Usinas!$C:$D,2,FALSE)</f>
        <v>47.8125</v>
      </c>
      <c r="V116" s="329">
        <f>VLOOKUP($A116,Prevs!$C:$AJ,COLUMN() - COLUMN($D116)+2,FALSE)*VLOOKUP($A116,Usinas!$C:$D,2,FALSE)</f>
        <v>43.125</v>
      </c>
      <c r="W116" s="309">
        <f>VLOOKUP($A116,Prevs!$C:$AJ,COLUMN() - COLUMN($D116)+2,FALSE)*VLOOKUP($A116,Usinas!$C:$D,2,FALSE)</f>
        <v>43.125</v>
      </c>
      <c r="X116" s="309">
        <f>VLOOKUP($A116,Prevs!$C:$AJ,COLUMN() - COLUMN($D116)+2,FALSE)*VLOOKUP($A116,Usinas!$C:$D,2,FALSE)</f>
        <v>42.1875</v>
      </c>
      <c r="Y116" s="309">
        <f>VLOOKUP($A116,Prevs!$C:$AJ,COLUMN() - COLUMN($D116)+2,FALSE)*VLOOKUP($A116,Usinas!$C:$D,2,FALSE)</f>
        <v>42.1875</v>
      </c>
      <c r="Z116" s="309">
        <f>VLOOKUP($A116,Prevs!$C:$AJ,COLUMN() - COLUMN($D116)+2,FALSE)*VLOOKUP($A116,Usinas!$C:$D,2,FALSE)</f>
        <v>41.25</v>
      </c>
      <c r="AA116" s="330">
        <f>VLOOKUP($A116,Prevs!$C:$AJ,COLUMN() - COLUMN($D116)+2,FALSE)*VLOOKUP($A116,Usinas!$C:$D,2,FALSE)</f>
        <v>41.25</v>
      </c>
      <c r="AE116" s="329">
        <f>VLOOKUP($A116,Prevs!$C:$AJ,COLUMN() - COLUMN($D116)+2,FALSE)*VLOOKUP($A116,Usinas!$C:$D,2,FALSE)</f>
        <v>32.8125</v>
      </c>
      <c r="AF116" s="309">
        <f>VLOOKUP($A116,Prevs!$C:$AJ,COLUMN() - COLUMN($D116)+2,FALSE)*VLOOKUP($A116,Usinas!$C:$D,2,FALSE)</f>
        <v>32.8125</v>
      </c>
      <c r="AG116" s="309">
        <f>VLOOKUP($A116,Prevs!$C:$AJ,COLUMN() - COLUMN($D116)+2,FALSE)*VLOOKUP($A116,Usinas!$C:$D,2,FALSE)</f>
        <v>31.875</v>
      </c>
      <c r="AH116" s="309">
        <f>VLOOKUP($A116,Prevs!$C:$AJ,COLUMN() - COLUMN($D116)+2,FALSE)*VLOOKUP($A116,Usinas!$C:$D,2,FALSE)</f>
        <v>31.875</v>
      </c>
      <c r="AI116" s="309">
        <f>VLOOKUP($A116,Prevs!$C:$AJ,COLUMN() - COLUMN($D116)+2,FALSE)*VLOOKUP($A116,Usinas!$C:$D,2,FALSE)</f>
        <v>30.9375</v>
      </c>
      <c r="AJ116" s="330">
        <f>VLOOKUP($A116,Prevs!$C:$AJ,COLUMN() - COLUMN($D116)+2,FALSE)*VLOOKUP($A116,Usinas!$C:$D,2,FALSE)</f>
        <v>30.9375</v>
      </c>
    </row>
    <row r="117" spans="1:37" hidden="1" outlineLevel="2" x14ac:dyDescent="0.25">
      <c r="A117" s="161">
        <v>134</v>
      </c>
      <c r="B117" s="162" t="s">
        <v>166</v>
      </c>
      <c r="D117" s="329">
        <f>VLOOKUP($A117,Prevs!$C:$AJ,COLUMN() - COLUMN($D117)+2,FALSE)*VLOOKUP($A117,Usinas!$C:$D,2,FALSE)</f>
        <v>32.881799999999998</v>
      </c>
      <c r="E117" s="309">
        <f>VLOOKUP($A117,Prevs!$C:$AJ,COLUMN() - COLUMN($D117)+2,FALSE)*VLOOKUP($A117,Usinas!$C:$D,2,FALSE)</f>
        <v>32.0989</v>
      </c>
      <c r="F117" s="309">
        <f>VLOOKUP($A117,Prevs!$C:$AJ,COLUMN() - COLUMN($D117)+2,FALSE)*VLOOKUP($A117,Usinas!$C:$D,2,FALSE)</f>
        <v>31.316000000000003</v>
      </c>
      <c r="G117" s="309">
        <f>VLOOKUP($A117,Prevs!$C:$AJ,COLUMN() - COLUMN($D117)+2,FALSE)*VLOOKUP($A117,Usinas!$C:$D,2,FALSE)</f>
        <v>30.533100000000001</v>
      </c>
      <c r="H117" s="309">
        <f>VLOOKUP($A117,Prevs!$C:$AJ,COLUMN() - COLUMN($D117)+2,FALSE)*VLOOKUP($A117,Usinas!$C:$D,2,FALSE)</f>
        <v>28.1844</v>
      </c>
      <c r="I117" s="330">
        <f>VLOOKUP($A117,Prevs!$C:$AJ,COLUMN() - COLUMN($D117)+2,FALSE)*VLOOKUP($A117,Usinas!$C:$D,2,FALSE)</f>
        <v>26.618600000000001</v>
      </c>
      <c r="J117" s="477">
        <f ca="1">VLOOKUP($A117,Prevs_MLT!$C:$AJ,1+Entrada!$C$4,FALSE)*VLOOKUP($A117,Usinas!$C:$D,2,FALSE)</f>
        <v>91.599299999999999</v>
      </c>
      <c r="M117" s="329">
        <f>VLOOKUP($A117,Prevs!$C:$AJ,COLUMN() - COLUMN($D117)+2,FALSE)*VLOOKUP($A117,Usinas!$C:$D,2,FALSE)</f>
        <v>50.888500000000001</v>
      </c>
      <c r="N117" s="309">
        <f>VLOOKUP($A117,Prevs!$C:$AJ,COLUMN() - COLUMN($D117)+2,FALSE)*VLOOKUP($A117,Usinas!$C:$D,2,FALSE)</f>
        <v>50.105600000000003</v>
      </c>
      <c r="O117" s="309">
        <f>VLOOKUP($A117,Prevs!$C:$AJ,COLUMN() - COLUMN($D117)+2,FALSE)*VLOOKUP($A117,Usinas!$C:$D,2,FALSE)</f>
        <v>48.5398</v>
      </c>
      <c r="P117" s="309">
        <f>VLOOKUP($A117,Prevs!$C:$AJ,COLUMN() - COLUMN($D117)+2,FALSE)*VLOOKUP($A117,Usinas!$C:$D,2,FALSE)</f>
        <v>47.756900000000002</v>
      </c>
      <c r="Q117" s="309">
        <f>VLOOKUP($A117,Prevs!$C:$AJ,COLUMN() - COLUMN($D117)+2,FALSE)*VLOOKUP($A117,Usinas!$C:$D,2,FALSE)</f>
        <v>43.842400000000005</v>
      </c>
      <c r="R117" s="330">
        <f>VLOOKUP($A117,Prevs!$C:$AJ,COLUMN() - COLUMN($D117)+2,FALSE)*VLOOKUP($A117,Usinas!$C:$D,2,FALSE)</f>
        <v>41.493700000000004</v>
      </c>
      <c r="V117" s="329">
        <f>VLOOKUP($A117,Prevs!$C:$AJ,COLUMN() - COLUMN($D117)+2,FALSE)*VLOOKUP($A117,Usinas!$C:$D,2,FALSE)</f>
        <v>43.0595</v>
      </c>
      <c r="W117" s="309">
        <f>VLOOKUP($A117,Prevs!$C:$AJ,COLUMN() - COLUMN($D117)+2,FALSE)*VLOOKUP($A117,Usinas!$C:$D,2,FALSE)</f>
        <v>42.276600000000002</v>
      </c>
      <c r="X117" s="309">
        <f>VLOOKUP($A117,Prevs!$C:$AJ,COLUMN() - COLUMN($D117)+2,FALSE)*VLOOKUP($A117,Usinas!$C:$D,2,FALSE)</f>
        <v>41.493700000000004</v>
      </c>
      <c r="Y117" s="309">
        <f>VLOOKUP($A117,Prevs!$C:$AJ,COLUMN() - COLUMN($D117)+2,FALSE)*VLOOKUP($A117,Usinas!$C:$D,2,FALSE)</f>
        <v>39.927900000000001</v>
      </c>
      <c r="Z117" s="309">
        <f>VLOOKUP($A117,Prevs!$C:$AJ,COLUMN() - COLUMN($D117)+2,FALSE)*VLOOKUP($A117,Usinas!$C:$D,2,FALSE)</f>
        <v>36.796300000000002</v>
      </c>
      <c r="AA117" s="330">
        <f>VLOOKUP($A117,Prevs!$C:$AJ,COLUMN() - COLUMN($D117)+2,FALSE)*VLOOKUP($A117,Usinas!$C:$D,2,FALSE)</f>
        <v>35.230499999999999</v>
      </c>
      <c r="AE117" s="329">
        <f>VLOOKUP($A117,Prevs!$C:$AJ,COLUMN() - COLUMN($D117)+2,FALSE)*VLOOKUP($A117,Usinas!$C:$D,2,FALSE)</f>
        <v>32.881799999999998</v>
      </c>
      <c r="AF117" s="309">
        <f>VLOOKUP($A117,Prevs!$C:$AJ,COLUMN() - COLUMN($D117)+2,FALSE)*VLOOKUP($A117,Usinas!$C:$D,2,FALSE)</f>
        <v>32.0989</v>
      </c>
      <c r="AG117" s="309">
        <f>VLOOKUP($A117,Prevs!$C:$AJ,COLUMN() - COLUMN($D117)+2,FALSE)*VLOOKUP($A117,Usinas!$C:$D,2,FALSE)</f>
        <v>31.316000000000003</v>
      </c>
      <c r="AH117" s="309">
        <f>VLOOKUP($A117,Prevs!$C:$AJ,COLUMN() - COLUMN($D117)+2,FALSE)*VLOOKUP($A117,Usinas!$C:$D,2,FALSE)</f>
        <v>30.533100000000001</v>
      </c>
      <c r="AI117" s="309">
        <f>VLOOKUP($A117,Prevs!$C:$AJ,COLUMN() - COLUMN($D117)+2,FALSE)*VLOOKUP($A117,Usinas!$C:$D,2,FALSE)</f>
        <v>28.1844</v>
      </c>
      <c r="AJ117" s="330">
        <f>VLOOKUP($A117,Prevs!$C:$AJ,COLUMN() - COLUMN($D117)+2,FALSE)*VLOOKUP($A117,Usinas!$C:$D,2,FALSE)</f>
        <v>26.618600000000001</v>
      </c>
    </row>
    <row r="118" spans="1:37" hidden="1" outlineLevel="2" x14ac:dyDescent="0.25">
      <c r="A118" s="161">
        <v>263</v>
      </c>
      <c r="B118" s="162" t="s">
        <v>167</v>
      </c>
      <c r="D118" s="329">
        <f>VLOOKUP($A118,Prevs!$C:$AJ,COLUMN() - COLUMN($D118)+2,FALSE)*VLOOKUP($A118,Usinas!$C:$D,2,FALSE)</f>
        <v>18.240600000000001</v>
      </c>
      <c r="E118" s="309">
        <f>VLOOKUP($A118,Prevs!$C:$AJ,COLUMN() - COLUMN($D118)+2,FALSE)*VLOOKUP($A118,Usinas!$C:$D,2,FALSE)</f>
        <v>17.816400000000002</v>
      </c>
      <c r="F118" s="309">
        <f>VLOOKUP($A118,Prevs!$C:$AJ,COLUMN() - COLUMN($D118)+2,FALSE)*VLOOKUP($A118,Usinas!$C:$D,2,FALSE)</f>
        <v>17.816400000000002</v>
      </c>
      <c r="G118" s="309">
        <f>VLOOKUP($A118,Prevs!$C:$AJ,COLUMN() - COLUMN($D118)+2,FALSE)*VLOOKUP($A118,Usinas!$C:$D,2,FALSE)</f>
        <v>16.968</v>
      </c>
      <c r="H118" s="309">
        <f>VLOOKUP($A118,Prevs!$C:$AJ,COLUMN() - COLUMN($D118)+2,FALSE)*VLOOKUP($A118,Usinas!$C:$D,2,FALSE)</f>
        <v>15.695400000000001</v>
      </c>
      <c r="I118" s="330">
        <f>VLOOKUP($A118,Prevs!$C:$AJ,COLUMN() - COLUMN($D118)+2,FALSE)*VLOOKUP($A118,Usinas!$C:$D,2,FALSE)</f>
        <v>15.2712</v>
      </c>
      <c r="J118" s="477">
        <f ca="1">VLOOKUP($A118,Prevs_MLT!$C:$AJ,1+Entrada!$C$4,FALSE)*VLOOKUP($A118,Usinas!$C:$D,2,FALSE)</f>
        <v>51.752400000000002</v>
      </c>
      <c r="M118" s="329">
        <f>VLOOKUP($A118,Prevs!$C:$AJ,COLUMN() - COLUMN($D118)+2,FALSE)*VLOOKUP($A118,Usinas!$C:$D,2,FALSE)</f>
        <v>28.421400000000002</v>
      </c>
      <c r="N118" s="309">
        <f>VLOOKUP($A118,Prevs!$C:$AJ,COLUMN() - COLUMN($D118)+2,FALSE)*VLOOKUP($A118,Usinas!$C:$D,2,FALSE)</f>
        <v>27.573</v>
      </c>
      <c r="O118" s="309">
        <f>VLOOKUP($A118,Prevs!$C:$AJ,COLUMN() - COLUMN($D118)+2,FALSE)*VLOOKUP($A118,Usinas!$C:$D,2,FALSE)</f>
        <v>27.573</v>
      </c>
      <c r="P118" s="309">
        <f>VLOOKUP($A118,Prevs!$C:$AJ,COLUMN() - COLUMN($D118)+2,FALSE)*VLOOKUP($A118,Usinas!$C:$D,2,FALSE)</f>
        <v>26.3004</v>
      </c>
      <c r="Q118" s="309">
        <f>VLOOKUP($A118,Prevs!$C:$AJ,COLUMN() - COLUMN($D118)+2,FALSE)*VLOOKUP($A118,Usinas!$C:$D,2,FALSE)</f>
        <v>24.179400000000001</v>
      </c>
      <c r="R118" s="330">
        <f>VLOOKUP($A118,Prevs!$C:$AJ,COLUMN() - COLUMN($D118)+2,FALSE)*VLOOKUP($A118,Usinas!$C:$D,2,FALSE)</f>
        <v>23.755200000000002</v>
      </c>
      <c r="V118" s="329">
        <f>VLOOKUP($A118,Prevs!$C:$AJ,COLUMN() - COLUMN($D118)+2,FALSE)*VLOOKUP($A118,Usinas!$C:$D,2,FALSE)</f>
        <v>24.179400000000001</v>
      </c>
      <c r="W118" s="309">
        <f>VLOOKUP($A118,Prevs!$C:$AJ,COLUMN() - COLUMN($D118)+2,FALSE)*VLOOKUP($A118,Usinas!$C:$D,2,FALSE)</f>
        <v>23.331</v>
      </c>
      <c r="X118" s="309">
        <f>VLOOKUP($A118,Prevs!$C:$AJ,COLUMN() - COLUMN($D118)+2,FALSE)*VLOOKUP($A118,Usinas!$C:$D,2,FALSE)</f>
        <v>23.331</v>
      </c>
      <c r="Y118" s="309">
        <f>VLOOKUP($A118,Prevs!$C:$AJ,COLUMN() - COLUMN($D118)+2,FALSE)*VLOOKUP($A118,Usinas!$C:$D,2,FALSE)</f>
        <v>22.482600000000001</v>
      </c>
      <c r="Z118" s="309">
        <f>VLOOKUP($A118,Prevs!$C:$AJ,COLUMN() - COLUMN($D118)+2,FALSE)*VLOOKUP($A118,Usinas!$C:$D,2,FALSE)</f>
        <v>20.785800000000002</v>
      </c>
      <c r="AA118" s="330">
        <f>VLOOKUP($A118,Prevs!$C:$AJ,COLUMN() - COLUMN($D118)+2,FALSE)*VLOOKUP($A118,Usinas!$C:$D,2,FALSE)</f>
        <v>19.9374</v>
      </c>
      <c r="AE118" s="329">
        <f>VLOOKUP($A118,Prevs!$C:$AJ,COLUMN() - COLUMN($D118)+2,FALSE)*VLOOKUP($A118,Usinas!$C:$D,2,FALSE)</f>
        <v>18.240600000000001</v>
      </c>
      <c r="AF118" s="309">
        <f>VLOOKUP($A118,Prevs!$C:$AJ,COLUMN() - COLUMN($D118)+2,FALSE)*VLOOKUP($A118,Usinas!$C:$D,2,FALSE)</f>
        <v>17.816400000000002</v>
      </c>
      <c r="AG118" s="309">
        <f>VLOOKUP($A118,Prevs!$C:$AJ,COLUMN() - COLUMN($D118)+2,FALSE)*VLOOKUP($A118,Usinas!$C:$D,2,FALSE)</f>
        <v>17.816400000000002</v>
      </c>
      <c r="AH118" s="309">
        <f>VLOOKUP($A118,Prevs!$C:$AJ,COLUMN() - COLUMN($D118)+2,FALSE)*VLOOKUP($A118,Usinas!$C:$D,2,FALSE)</f>
        <v>16.968</v>
      </c>
      <c r="AI118" s="309">
        <f>VLOOKUP($A118,Prevs!$C:$AJ,COLUMN() - COLUMN($D118)+2,FALSE)*VLOOKUP($A118,Usinas!$C:$D,2,FALSE)</f>
        <v>15.695400000000001</v>
      </c>
      <c r="AJ118" s="330">
        <f>VLOOKUP($A118,Prevs!$C:$AJ,COLUMN() - COLUMN($D118)+2,FALSE)*VLOOKUP($A118,Usinas!$C:$D,2,FALSE)</f>
        <v>15.2712</v>
      </c>
    </row>
    <row r="119" spans="1:37" hidden="1" outlineLevel="2" x14ac:dyDescent="0.25">
      <c r="A119" s="161">
        <v>149</v>
      </c>
      <c r="B119" s="162" t="s">
        <v>168</v>
      </c>
      <c r="D119" s="329">
        <f>VLOOKUP($A119,Prevs!$C:$AJ,COLUMN() - COLUMN($D119)+2,FALSE)*VLOOKUP($A119,Usinas!$C:$D,2,FALSE)</f>
        <v>23.32</v>
      </c>
      <c r="E119" s="309">
        <f>VLOOKUP($A119,Prevs!$C:$AJ,COLUMN() - COLUMN($D119)+2,FALSE)*VLOOKUP($A119,Usinas!$C:$D,2,FALSE)</f>
        <v>23.7864</v>
      </c>
      <c r="F119" s="309">
        <f>VLOOKUP($A119,Prevs!$C:$AJ,COLUMN() - COLUMN($D119)+2,FALSE)*VLOOKUP($A119,Usinas!$C:$D,2,FALSE)</f>
        <v>22.3872</v>
      </c>
      <c r="G119" s="309">
        <f>VLOOKUP($A119,Prevs!$C:$AJ,COLUMN() - COLUMN($D119)+2,FALSE)*VLOOKUP($A119,Usinas!$C:$D,2,FALSE)</f>
        <v>21.9208</v>
      </c>
      <c r="H119" s="309">
        <f>VLOOKUP($A119,Prevs!$C:$AJ,COLUMN() - COLUMN($D119)+2,FALSE)*VLOOKUP($A119,Usinas!$C:$D,2,FALSE)</f>
        <v>23.7864</v>
      </c>
      <c r="I119" s="330">
        <f>VLOOKUP($A119,Prevs!$C:$AJ,COLUMN() - COLUMN($D119)+2,FALSE)*VLOOKUP($A119,Usinas!$C:$D,2,FALSE)</f>
        <v>22.8536</v>
      </c>
      <c r="J119" s="477">
        <f ca="1">VLOOKUP($A119,Prevs_MLT!$C:$AJ,1+Entrada!$C$4,FALSE)*VLOOKUP($A119,Usinas!$C:$D,2,FALSE)</f>
        <v>57.367199999999997</v>
      </c>
      <c r="M119" s="329">
        <f>VLOOKUP($A119,Prevs!$C:$AJ,COLUMN() - COLUMN($D119)+2,FALSE)*VLOOKUP($A119,Usinas!$C:$D,2,FALSE)</f>
        <v>36.379199999999997</v>
      </c>
      <c r="N119" s="309">
        <f>VLOOKUP($A119,Prevs!$C:$AJ,COLUMN() - COLUMN($D119)+2,FALSE)*VLOOKUP($A119,Usinas!$C:$D,2,FALSE)</f>
        <v>36.845599999999997</v>
      </c>
      <c r="O119" s="309">
        <f>VLOOKUP($A119,Prevs!$C:$AJ,COLUMN() - COLUMN($D119)+2,FALSE)*VLOOKUP($A119,Usinas!$C:$D,2,FALSE)</f>
        <v>34.979999999999997</v>
      </c>
      <c r="P119" s="309">
        <f>VLOOKUP($A119,Prevs!$C:$AJ,COLUMN() - COLUMN($D119)+2,FALSE)*VLOOKUP($A119,Usinas!$C:$D,2,FALSE)</f>
        <v>34.047199999999997</v>
      </c>
      <c r="Q119" s="309">
        <f>VLOOKUP($A119,Prevs!$C:$AJ,COLUMN() - COLUMN($D119)+2,FALSE)*VLOOKUP($A119,Usinas!$C:$D,2,FALSE)</f>
        <v>36.845599999999997</v>
      </c>
      <c r="R119" s="330">
        <f>VLOOKUP($A119,Prevs!$C:$AJ,COLUMN() - COLUMN($D119)+2,FALSE)*VLOOKUP($A119,Usinas!$C:$D,2,FALSE)</f>
        <v>35.446399999999997</v>
      </c>
      <c r="V119" s="329">
        <f>VLOOKUP($A119,Prevs!$C:$AJ,COLUMN() - COLUMN($D119)+2,FALSE)*VLOOKUP($A119,Usinas!$C:$D,2,FALSE)</f>
        <v>30.782399999999999</v>
      </c>
      <c r="W119" s="309">
        <f>VLOOKUP($A119,Prevs!$C:$AJ,COLUMN() - COLUMN($D119)+2,FALSE)*VLOOKUP($A119,Usinas!$C:$D,2,FALSE)</f>
        <v>31.248799999999999</v>
      </c>
      <c r="X119" s="309">
        <f>VLOOKUP($A119,Prevs!$C:$AJ,COLUMN() - COLUMN($D119)+2,FALSE)*VLOOKUP($A119,Usinas!$C:$D,2,FALSE)</f>
        <v>29.383199999999999</v>
      </c>
      <c r="Y119" s="309">
        <f>VLOOKUP($A119,Prevs!$C:$AJ,COLUMN() - COLUMN($D119)+2,FALSE)*VLOOKUP($A119,Usinas!$C:$D,2,FALSE)</f>
        <v>28.916799999999999</v>
      </c>
      <c r="Z119" s="309">
        <f>VLOOKUP($A119,Prevs!$C:$AJ,COLUMN() - COLUMN($D119)+2,FALSE)*VLOOKUP($A119,Usinas!$C:$D,2,FALSE)</f>
        <v>31.248799999999999</v>
      </c>
      <c r="AA119" s="330">
        <f>VLOOKUP($A119,Prevs!$C:$AJ,COLUMN() - COLUMN($D119)+2,FALSE)*VLOOKUP($A119,Usinas!$C:$D,2,FALSE)</f>
        <v>30.315999999999999</v>
      </c>
      <c r="AE119" s="329">
        <f>VLOOKUP($A119,Prevs!$C:$AJ,COLUMN() - COLUMN($D119)+2,FALSE)*VLOOKUP($A119,Usinas!$C:$D,2,FALSE)</f>
        <v>23.32</v>
      </c>
      <c r="AF119" s="309">
        <f>VLOOKUP($A119,Prevs!$C:$AJ,COLUMN() - COLUMN($D119)+2,FALSE)*VLOOKUP($A119,Usinas!$C:$D,2,FALSE)</f>
        <v>23.7864</v>
      </c>
      <c r="AG119" s="309">
        <f>VLOOKUP($A119,Prevs!$C:$AJ,COLUMN() - COLUMN($D119)+2,FALSE)*VLOOKUP($A119,Usinas!$C:$D,2,FALSE)</f>
        <v>22.3872</v>
      </c>
      <c r="AH119" s="309">
        <f>VLOOKUP($A119,Prevs!$C:$AJ,COLUMN() - COLUMN($D119)+2,FALSE)*VLOOKUP($A119,Usinas!$C:$D,2,FALSE)</f>
        <v>21.9208</v>
      </c>
      <c r="AI119" s="309">
        <f>VLOOKUP($A119,Prevs!$C:$AJ,COLUMN() - COLUMN($D119)+2,FALSE)*VLOOKUP($A119,Usinas!$C:$D,2,FALSE)</f>
        <v>23.7864</v>
      </c>
      <c r="AJ119" s="330">
        <f>VLOOKUP($A119,Prevs!$C:$AJ,COLUMN() - COLUMN($D119)+2,FALSE)*VLOOKUP($A119,Usinas!$C:$D,2,FALSE)</f>
        <v>22.8536</v>
      </c>
    </row>
    <row r="120" spans="1:37" hidden="1" outlineLevel="2" x14ac:dyDescent="0.25">
      <c r="A120" s="161">
        <v>141</v>
      </c>
      <c r="B120" s="162" t="s">
        <v>169</v>
      </c>
      <c r="D120" s="329">
        <f>VLOOKUP($A120,Prevs!$C:$AJ,COLUMN() - COLUMN($D120)+2,FALSE)*VLOOKUP($A120,Usinas!$C:$D,2,FALSE)</f>
        <v>39.276600000000002</v>
      </c>
      <c r="E120" s="309">
        <f>VLOOKUP($A120,Prevs!$C:$AJ,COLUMN() - COLUMN($D120)+2,FALSE)*VLOOKUP($A120,Usinas!$C:$D,2,FALSE)</f>
        <v>39.276600000000002</v>
      </c>
      <c r="F120" s="309">
        <f>VLOOKUP($A120,Prevs!$C:$AJ,COLUMN() - COLUMN($D120)+2,FALSE)*VLOOKUP($A120,Usinas!$C:$D,2,FALSE)</f>
        <v>37.653599999999997</v>
      </c>
      <c r="G120" s="309">
        <f>VLOOKUP($A120,Prevs!$C:$AJ,COLUMN() - COLUMN($D120)+2,FALSE)*VLOOKUP($A120,Usinas!$C:$D,2,FALSE)</f>
        <v>37.166699999999999</v>
      </c>
      <c r="H120" s="309">
        <f>VLOOKUP($A120,Prevs!$C:$AJ,COLUMN() - COLUMN($D120)+2,FALSE)*VLOOKUP($A120,Usinas!$C:$D,2,FALSE)</f>
        <v>36.6798</v>
      </c>
      <c r="I120" s="330">
        <f>VLOOKUP($A120,Prevs!$C:$AJ,COLUMN() - COLUMN($D120)+2,FALSE)*VLOOKUP($A120,Usinas!$C:$D,2,FALSE)</f>
        <v>36.355199999999996</v>
      </c>
      <c r="J120" s="477">
        <f ca="1">VLOOKUP($A120,Prevs_MLT!$C:$AJ,1+Entrada!$C$4,FALSE)*VLOOKUP($A120,Usinas!$C:$D,2,FALSE)</f>
        <v>72.061199999999999</v>
      </c>
      <c r="M120" s="329">
        <f>VLOOKUP($A120,Prevs!$C:$AJ,COLUMN() - COLUMN($D120)+2,FALSE)*VLOOKUP($A120,Usinas!$C:$D,2,FALSE)</f>
        <v>61.024799999999999</v>
      </c>
      <c r="N120" s="309">
        <f>VLOOKUP($A120,Prevs!$C:$AJ,COLUMN() - COLUMN($D120)+2,FALSE)*VLOOKUP($A120,Usinas!$C:$D,2,FALSE)</f>
        <v>61.024799999999999</v>
      </c>
      <c r="O120" s="309">
        <f>VLOOKUP($A120,Prevs!$C:$AJ,COLUMN() - COLUMN($D120)+2,FALSE)*VLOOKUP($A120,Usinas!$C:$D,2,FALSE)</f>
        <v>58.427999999999997</v>
      </c>
      <c r="P120" s="309">
        <f>VLOOKUP($A120,Prevs!$C:$AJ,COLUMN() - COLUMN($D120)+2,FALSE)*VLOOKUP($A120,Usinas!$C:$D,2,FALSE)</f>
        <v>57.778799999999997</v>
      </c>
      <c r="Q120" s="309">
        <f>VLOOKUP($A120,Prevs!$C:$AJ,COLUMN() - COLUMN($D120)+2,FALSE)*VLOOKUP($A120,Usinas!$C:$D,2,FALSE)</f>
        <v>56.967300000000002</v>
      </c>
      <c r="R120" s="330">
        <f>VLOOKUP($A120,Prevs!$C:$AJ,COLUMN() - COLUMN($D120)+2,FALSE)*VLOOKUP($A120,Usinas!$C:$D,2,FALSE)</f>
        <v>56.480400000000003</v>
      </c>
      <c r="V120" s="329">
        <f>VLOOKUP($A120,Prevs!$C:$AJ,COLUMN() - COLUMN($D120)+2,FALSE)*VLOOKUP($A120,Usinas!$C:$D,2,FALSE)</f>
        <v>51.773699999999998</v>
      </c>
      <c r="W120" s="309">
        <f>VLOOKUP($A120,Prevs!$C:$AJ,COLUMN() - COLUMN($D120)+2,FALSE)*VLOOKUP($A120,Usinas!$C:$D,2,FALSE)</f>
        <v>51.773699999999998</v>
      </c>
      <c r="X120" s="309">
        <f>VLOOKUP($A120,Prevs!$C:$AJ,COLUMN() - COLUMN($D120)+2,FALSE)*VLOOKUP($A120,Usinas!$C:$D,2,FALSE)</f>
        <v>49.663800000000002</v>
      </c>
      <c r="Y120" s="309">
        <f>VLOOKUP($A120,Prevs!$C:$AJ,COLUMN() - COLUMN($D120)+2,FALSE)*VLOOKUP($A120,Usinas!$C:$D,2,FALSE)</f>
        <v>49.014600000000002</v>
      </c>
      <c r="Z120" s="309">
        <f>VLOOKUP($A120,Prevs!$C:$AJ,COLUMN() - COLUMN($D120)+2,FALSE)*VLOOKUP($A120,Usinas!$C:$D,2,FALSE)</f>
        <v>48.365400000000001</v>
      </c>
      <c r="AA120" s="330">
        <f>VLOOKUP($A120,Prevs!$C:$AJ,COLUMN() - COLUMN($D120)+2,FALSE)*VLOOKUP($A120,Usinas!$C:$D,2,FALSE)</f>
        <v>47.878500000000003</v>
      </c>
      <c r="AE120" s="329">
        <f>VLOOKUP($A120,Prevs!$C:$AJ,COLUMN() - COLUMN($D120)+2,FALSE)*VLOOKUP($A120,Usinas!$C:$D,2,FALSE)</f>
        <v>39.276600000000002</v>
      </c>
      <c r="AF120" s="309">
        <f>VLOOKUP($A120,Prevs!$C:$AJ,COLUMN() - COLUMN($D120)+2,FALSE)*VLOOKUP($A120,Usinas!$C:$D,2,FALSE)</f>
        <v>39.276600000000002</v>
      </c>
      <c r="AG120" s="309">
        <f>VLOOKUP($A120,Prevs!$C:$AJ,COLUMN() - COLUMN($D120)+2,FALSE)*VLOOKUP($A120,Usinas!$C:$D,2,FALSE)</f>
        <v>37.653599999999997</v>
      </c>
      <c r="AH120" s="309">
        <f>VLOOKUP($A120,Prevs!$C:$AJ,COLUMN() - COLUMN($D120)+2,FALSE)*VLOOKUP($A120,Usinas!$C:$D,2,FALSE)</f>
        <v>37.166699999999999</v>
      </c>
      <c r="AI120" s="309">
        <f>VLOOKUP($A120,Prevs!$C:$AJ,COLUMN() - COLUMN($D120)+2,FALSE)*VLOOKUP($A120,Usinas!$C:$D,2,FALSE)</f>
        <v>36.6798</v>
      </c>
      <c r="AJ120" s="330">
        <f>VLOOKUP($A120,Prevs!$C:$AJ,COLUMN() - COLUMN($D120)+2,FALSE)*VLOOKUP($A120,Usinas!$C:$D,2,FALSE)</f>
        <v>36.355199999999996</v>
      </c>
    </row>
    <row r="121" spans="1:37" hidden="1" outlineLevel="2" x14ac:dyDescent="0.25">
      <c r="A121" s="161">
        <v>148</v>
      </c>
      <c r="B121" s="162" t="s">
        <v>170</v>
      </c>
      <c r="D121" s="329">
        <f>VLOOKUP($A121,Prevs!$C:$AJ,COLUMN() - COLUMN($D121)+2,FALSE)*VLOOKUP($A121,Usinas!$C:$D,2,FALSE)</f>
        <v>69.435099999999991</v>
      </c>
      <c r="E121" s="309">
        <f>VLOOKUP($A121,Prevs!$C:$AJ,COLUMN() - COLUMN($D121)+2,FALSE)*VLOOKUP($A121,Usinas!$C:$D,2,FALSE)</f>
        <v>69.682199999999995</v>
      </c>
      <c r="F121" s="309">
        <f>VLOOKUP($A121,Prevs!$C:$AJ,COLUMN() - COLUMN($D121)+2,FALSE)*VLOOKUP($A121,Usinas!$C:$D,2,FALSE)</f>
        <v>65.234399999999994</v>
      </c>
      <c r="G121" s="309">
        <f>VLOOKUP($A121,Prevs!$C:$AJ,COLUMN() - COLUMN($D121)+2,FALSE)*VLOOKUP($A121,Usinas!$C:$D,2,FALSE)</f>
        <v>63.751799999999996</v>
      </c>
      <c r="H121" s="309">
        <f>VLOOKUP($A121,Prevs!$C:$AJ,COLUMN() - COLUMN($D121)+2,FALSE)*VLOOKUP($A121,Usinas!$C:$D,2,FALSE)</f>
        <v>62.269199999999998</v>
      </c>
      <c r="I121" s="330">
        <f>VLOOKUP($A121,Prevs!$C:$AJ,COLUMN() - COLUMN($D121)+2,FALSE)*VLOOKUP($A121,Usinas!$C:$D,2,FALSE)</f>
        <v>63.257599999999996</v>
      </c>
      <c r="J121" s="477">
        <f ca="1">VLOOKUP($A121,Prevs_MLT!$C:$AJ,1+Entrada!$C$4,FALSE)*VLOOKUP($A121,Usinas!$C:$D,2,FALSE)</f>
        <v>153.44909999999999</v>
      </c>
      <c r="M121" s="329">
        <f>VLOOKUP($A121,Prevs!$C:$AJ,COLUMN() - COLUMN($D121)+2,FALSE)*VLOOKUP($A121,Usinas!$C:$D,2,FALSE)</f>
        <v>107.73559999999999</v>
      </c>
      <c r="N121" s="309">
        <f>VLOOKUP($A121,Prevs!$C:$AJ,COLUMN() - COLUMN($D121)+2,FALSE)*VLOOKUP($A121,Usinas!$C:$D,2,FALSE)</f>
        <v>108.2298</v>
      </c>
      <c r="O121" s="309">
        <f>VLOOKUP($A121,Prevs!$C:$AJ,COLUMN() - COLUMN($D121)+2,FALSE)*VLOOKUP($A121,Usinas!$C:$D,2,FALSE)</f>
        <v>101.31099999999999</v>
      </c>
      <c r="P121" s="309">
        <f>VLOOKUP($A121,Prevs!$C:$AJ,COLUMN() - COLUMN($D121)+2,FALSE)*VLOOKUP($A121,Usinas!$C:$D,2,FALSE)</f>
        <v>99.087099999999992</v>
      </c>
      <c r="Q121" s="309">
        <f>VLOOKUP($A121,Prevs!$C:$AJ,COLUMN() - COLUMN($D121)+2,FALSE)*VLOOKUP($A121,Usinas!$C:$D,2,FALSE)</f>
        <v>96.616099999999989</v>
      </c>
      <c r="R121" s="330">
        <f>VLOOKUP($A121,Prevs!$C:$AJ,COLUMN() - COLUMN($D121)+2,FALSE)*VLOOKUP($A121,Usinas!$C:$D,2,FALSE)</f>
        <v>98.345799999999997</v>
      </c>
      <c r="V121" s="329">
        <f>VLOOKUP($A121,Prevs!$C:$AJ,COLUMN() - COLUMN($D121)+2,FALSE)*VLOOKUP($A121,Usinas!$C:$D,2,FALSE)</f>
        <v>91.674099999999996</v>
      </c>
      <c r="W121" s="309">
        <f>VLOOKUP($A121,Prevs!$C:$AJ,COLUMN() - COLUMN($D121)+2,FALSE)*VLOOKUP($A121,Usinas!$C:$D,2,FALSE)</f>
        <v>91.921199999999999</v>
      </c>
      <c r="X121" s="309">
        <f>VLOOKUP($A121,Prevs!$C:$AJ,COLUMN() - COLUMN($D121)+2,FALSE)*VLOOKUP($A121,Usinas!$C:$D,2,FALSE)</f>
        <v>85.990799999999993</v>
      </c>
      <c r="Y121" s="309">
        <f>VLOOKUP($A121,Prevs!$C:$AJ,COLUMN() - COLUMN($D121)+2,FALSE)*VLOOKUP($A121,Usinas!$C:$D,2,FALSE)</f>
        <v>84.013999999999996</v>
      </c>
      <c r="Z121" s="309">
        <f>VLOOKUP($A121,Prevs!$C:$AJ,COLUMN() - COLUMN($D121)+2,FALSE)*VLOOKUP($A121,Usinas!$C:$D,2,FALSE)</f>
        <v>82.037199999999999</v>
      </c>
      <c r="AA121" s="330">
        <f>VLOOKUP($A121,Prevs!$C:$AJ,COLUMN() - COLUMN($D121)+2,FALSE)*VLOOKUP($A121,Usinas!$C:$D,2,FALSE)</f>
        <v>83.519799999999989</v>
      </c>
      <c r="AE121" s="329">
        <f>VLOOKUP($A121,Prevs!$C:$AJ,COLUMN() - COLUMN($D121)+2,FALSE)*VLOOKUP($A121,Usinas!$C:$D,2,FALSE)</f>
        <v>69.435099999999991</v>
      </c>
      <c r="AF121" s="309">
        <f>VLOOKUP($A121,Prevs!$C:$AJ,COLUMN() - COLUMN($D121)+2,FALSE)*VLOOKUP($A121,Usinas!$C:$D,2,FALSE)</f>
        <v>69.682199999999995</v>
      </c>
      <c r="AG121" s="309">
        <f>VLOOKUP($A121,Prevs!$C:$AJ,COLUMN() - COLUMN($D121)+2,FALSE)*VLOOKUP($A121,Usinas!$C:$D,2,FALSE)</f>
        <v>65.234399999999994</v>
      </c>
      <c r="AH121" s="309">
        <f>VLOOKUP($A121,Prevs!$C:$AJ,COLUMN() - COLUMN($D121)+2,FALSE)*VLOOKUP($A121,Usinas!$C:$D,2,FALSE)</f>
        <v>63.751799999999996</v>
      </c>
      <c r="AI121" s="309">
        <f>VLOOKUP($A121,Prevs!$C:$AJ,COLUMN() - COLUMN($D121)+2,FALSE)*VLOOKUP($A121,Usinas!$C:$D,2,FALSE)</f>
        <v>62.269199999999998</v>
      </c>
      <c r="AJ121" s="330">
        <f>VLOOKUP($A121,Prevs!$C:$AJ,COLUMN() - COLUMN($D121)+2,FALSE)*VLOOKUP($A121,Usinas!$C:$D,2,FALSE)</f>
        <v>63.257599999999996</v>
      </c>
    </row>
    <row r="122" spans="1:37" hidden="1" outlineLevel="2" x14ac:dyDescent="0.25">
      <c r="A122" s="161">
        <v>144</v>
      </c>
      <c r="B122" s="162" t="s">
        <v>171</v>
      </c>
      <c r="D122" s="329">
        <f>VLOOKUP($A122,Prevs!$C:$AJ,COLUMN() - COLUMN($D122)+2,FALSE)*VLOOKUP($A122,Usinas!$C:$D,2,FALSE)</f>
        <v>57.313599999999994</v>
      </c>
      <c r="E122" s="309">
        <f>VLOOKUP($A122,Prevs!$C:$AJ,COLUMN() - COLUMN($D122)+2,FALSE)*VLOOKUP($A122,Usinas!$C:$D,2,FALSE)</f>
        <v>57.675199999999997</v>
      </c>
      <c r="F122" s="309">
        <f>VLOOKUP($A122,Prevs!$C:$AJ,COLUMN() - COLUMN($D122)+2,FALSE)*VLOOKUP($A122,Usinas!$C:$D,2,FALSE)</f>
        <v>53.878399999999999</v>
      </c>
      <c r="G122" s="309">
        <f>VLOOKUP($A122,Prevs!$C:$AJ,COLUMN() - COLUMN($D122)+2,FALSE)*VLOOKUP($A122,Usinas!$C:$D,2,FALSE)</f>
        <v>52.431999999999995</v>
      </c>
      <c r="H122" s="309">
        <f>VLOOKUP($A122,Prevs!$C:$AJ,COLUMN() - COLUMN($D122)+2,FALSE)*VLOOKUP($A122,Usinas!$C:$D,2,FALSE)</f>
        <v>51.347199999999994</v>
      </c>
      <c r="I122" s="330">
        <f>VLOOKUP($A122,Prevs!$C:$AJ,COLUMN() - COLUMN($D122)+2,FALSE)*VLOOKUP($A122,Usinas!$C:$D,2,FALSE)</f>
        <v>51.889599999999994</v>
      </c>
      <c r="J122" s="477">
        <f ca="1">VLOOKUP($A122,Prevs_MLT!$C:$AJ,1+Entrada!$C$4,FALSE)*VLOOKUP($A122,Usinas!$C:$D,2,FALSE)</f>
        <v>129.99519999999998</v>
      </c>
      <c r="M122" s="329">
        <f>VLOOKUP($A122,Prevs!$C:$AJ,COLUMN() - COLUMN($D122)+2,FALSE)*VLOOKUP($A122,Usinas!$C:$D,2,FALSE)</f>
        <v>88.953599999999994</v>
      </c>
      <c r="N122" s="309">
        <f>VLOOKUP($A122,Prevs!$C:$AJ,COLUMN() - COLUMN($D122)+2,FALSE)*VLOOKUP($A122,Usinas!$C:$D,2,FALSE)</f>
        <v>89.495999999999995</v>
      </c>
      <c r="O122" s="309">
        <f>VLOOKUP($A122,Prevs!$C:$AJ,COLUMN() - COLUMN($D122)+2,FALSE)*VLOOKUP($A122,Usinas!$C:$D,2,FALSE)</f>
        <v>83.710399999999993</v>
      </c>
      <c r="P122" s="309">
        <f>VLOOKUP($A122,Prevs!$C:$AJ,COLUMN() - COLUMN($D122)+2,FALSE)*VLOOKUP($A122,Usinas!$C:$D,2,FALSE)</f>
        <v>81.36</v>
      </c>
      <c r="Q122" s="309">
        <f>VLOOKUP($A122,Prevs!$C:$AJ,COLUMN() - COLUMN($D122)+2,FALSE)*VLOOKUP($A122,Usinas!$C:$D,2,FALSE)</f>
        <v>79.732799999999997</v>
      </c>
      <c r="R122" s="330">
        <f>VLOOKUP($A122,Prevs!$C:$AJ,COLUMN() - COLUMN($D122)+2,FALSE)*VLOOKUP($A122,Usinas!$C:$D,2,FALSE)</f>
        <v>80.636799999999994</v>
      </c>
      <c r="V122" s="329">
        <f>VLOOKUP($A122,Prevs!$C:$AJ,COLUMN() - COLUMN($D122)+2,FALSE)*VLOOKUP($A122,Usinas!$C:$D,2,FALSE)</f>
        <v>75.574399999999997</v>
      </c>
      <c r="W122" s="309">
        <f>VLOOKUP($A122,Prevs!$C:$AJ,COLUMN() - COLUMN($D122)+2,FALSE)*VLOOKUP($A122,Usinas!$C:$D,2,FALSE)</f>
        <v>76.116799999999998</v>
      </c>
      <c r="X122" s="309">
        <f>VLOOKUP($A122,Prevs!$C:$AJ,COLUMN() - COLUMN($D122)+2,FALSE)*VLOOKUP($A122,Usinas!$C:$D,2,FALSE)</f>
        <v>71.054400000000001</v>
      </c>
      <c r="Y122" s="309">
        <f>VLOOKUP($A122,Prevs!$C:$AJ,COLUMN() - COLUMN($D122)+2,FALSE)*VLOOKUP($A122,Usinas!$C:$D,2,FALSE)</f>
        <v>69.065599999999989</v>
      </c>
      <c r="Z122" s="309">
        <f>VLOOKUP($A122,Prevs!$C:$AJ,COLUMN() - COLUMN($D122)+2,FALSE)*VLOOKUP($A122,Usinas!$C:$D,2,FALSE)</f>
        <v>67.619199999999992</v>
      </c>
      <c r="AA122" s="330">
        <f>VLOOKUP($A122,Prevs!$C:$AJ,COLUMN() - COLUMN($D122)+2,FALSE)*VLOOKUP($A122,Usinas!$C:$D,2,FALSE)</f>
        <v>68.342399999999998</v>
      </c>
      <c r="AE122" s="329">
        <f>VLOOKUP($A122,Prevs!$C:$AJ,COLUMN() - COLUMN($D122)+2,FALSE)*VLOOKUP($A122,Usinas!$C:$D,2,FALSE)</f>
        <v>57.313599999999994</v>
      </c>
      <c r="AF122" s="309">
        <f>VLOOKUP($A122,Prevs!$C:$AJ,COLUMN() - COLUMN($D122)+2,FALSE)*VLOOKUP($A122,Usinas!$C:$D,2,FALSE)</f>
        <v>57.675199999999997</v>
      </c>
      <c r="AG122" s="309">
        <f>VLOOKUP($A122,Prevs!$C:$AJ,COLUMN() - COLUMN($D122)+2,FALSE)*VLOOKUP($A122,Usinas!$C:$D,2,FALSE)</f>
        <v>53.878399999999999</v>
      </c>
      <c r="AH122" s="309">
        <f>VLOOKUP($A122,Prevs!$C:$AJ,COLUMN() - COLUMN($D122)+2,FALSE)*VLOOKUP($A122,Usinas!$C:$D,2,FALSE)</f>
        <v>52.431999999999995</v>
      </c>
      <c r="AI122" s="309">
        <f>VLOOKUP($A122,Prevs!$C:$AJ,COLUMN() - COLUMN($D122)+2,FALSE)*VLOOKUP($A122,Usinas!$C:$D,2,FALSE)</f>
        <v>51.347199999999994</v>
      </c>
      <c r="AJ122" s="330">
        <f>VLOOKUP($A122,Prevs!$C:$AJ,COLUMN() - COLUMN($D122)+2,FALSE)*VLOOKUP($A122,Usinas!$C:$D,2,FALSE)</f>
        <v>51.889599999999994</v>
      </c>
    </row>
    <row r="123" spans="1:37" outlineLevel="1" collapsed="1" x14ac:dyDescent="0.25">
      <c r="A123" s="170"/>
      <c r="B123" s="171" t="s">
        <v>92</v>
      </c>
      <c r="D123" s="174">
        <f t="shared" ref="D123:I123" si="54">SUM(D115:D122)</f>
        <v>307.0788</v>
      </c>
      <c r="E123" s="59">
        <f t="shared" si="54"/>
        <v>306.9468</v>
      </c>
      <c r="F123" s="59">
        <f t="shared" si="54"/>
        <v>292.93540000000002</v>
      </c>
      <c r="G123" s="59">
        <f t="shared" si="54"/>
        <v>286.39760000000001</v>
      </c>
      <c r="H123" s="59">
        <f t="shared" si="54"/>
        <v>280.65010000000001</v>
      </c>
      <c r="I123" s="175">
        <f t="shared" si="54"/>
        <v>278.93349999999998</v>
      </c>
      <c r="J123" s="423">
        <f ca="1">SUMPRODUCT(D123:I123,Saida!$B$7:$G$7)/SUM(Saida!$B$7:$G$7)</f>
        <v>291.81738666666666</v>
      </c>
      <c r="M123" s="331">
        <f t="shared" ref="M123:R123" si="55">SUM(M115:M122)</f>
        <v>476.26229999999998</v>
      </c>
      <c r="N123" s="310">
        <f t="shared" si="55"/>
        <v>476.13399999999996</v>
      </c>
      <c r="O123" s="310">
        <f t="shared" si="55"/>
        <v>455.43969999999996</v>
      </c>
      <c r="P123" s="310">
        <f t="shared" si="55"/>
        <v>445.17949999999996</v>
      </c>
      <c r="Q123" s="310">
        <f t="shared" si="55"/>
        <v>435.15769999999998</v>
      </c>
      <c r="R123" s="332">
        <f t="shared" si="55"/>
        <v>433.13239999999996</v>
      </c>
      <c r="S123" s="423">
        <f ca="1">SUMPRODUCT(M123:R123,Saida!$B$7:$G$7)/SUM(Saida!$B$7:$G$7)</f>
        <v>453.09236666666663</v>
      </c>
      <c r="V123" s="331">
        <f t="shared" ref="V123:AA123" si="56">SUM(V115:V122)</f>
        <v>405.23329999999999</v>
      </c>
      <c r="W123" s="310">
        <f t="shared" si="56"/>
        <v>404.85789999999997</v>
      </c>
      <c r="X123" s="310">
        <f t="shared" si="56"/>
        <v>386.12079999999997</v>
      </c>
      <c r="Y123" s="310">
        <f t="shared" si="56"/>
        <v>377.60119999999995</v>
      </c>
      <c r="Z123" s="310">
        <f t="shared" si="56"/>
        <v>370.09489999999994</v>
      </c>
      <c r="AA123" s="332">
        <f t="shared" si="56"/>
        <v>368.46679999999998</v>
      </c>
      <c r="AB123" s="423">
        <f ca="1">SUMPRODUCT(V123:AA123,Saida!$B$7:$G$7)/SUM(Saida!$B$7:$G$7)</f>
        <v>384.81412333333327</v>
      </c>
      <c r="AE123" s="331">
        <f t="shared" ref="AE123:AJ123" si="57">SUM(AE115:AE122)</f>
        <v>307.0788</v>
      </c>
      <c r="AF123" s="310">
        <f t="shared" si="57"/>
        <v>306.9468</v>
      </c>
      <c r="AG123" s="310">
        <f t="shared" si="57"/>
        <v>292.93540000000002</v>
      </c>
      <c r="AH123" s="310">
        <f t="shared" si="57"/>
        <v>286.39760000000001</v>
      </c>
      <c r="AI123" s="310">
        <f t="shared" si="57"/>
        <v>280.65010000000001</v>
      </c>
      <c r="AJ123" s="332">
        <f t="shared" si="57"/>
        <v>278.93349999999998</v>
      </c>
      <c r="AK123" s="423">
        <f ca="1">SUMPRODUCT(AE123:AJ123,Saida!$B$7:$G$7)/SUM(Saida!$B$7:$G$7)</f>
        <v>291.81738666666666</v>
      </c>
    </row>
    <row r="124" spans="1:37" outlineLevel="1" x14ac:dyDescent="0.25">
      <c r="A124" s="172"/>
      <c r="B124" s="173" t="s">
        <v>13</v>
      </c>
      <c r="D124" s="176"/>
      <c r="E124" s="177"/>
      <c r="F124" s="177"/>
      <c r="G124" s="177"/>
      <c r="H124" s="177"/>
      <c r="I124" s="178"/>
      <c r="J124" s="478">
        <f ca="1">SUM(J115:J122)</f>
        <v>672.72879999999998</v>
      </c>
      <c r="M124" s="333"/>
      <c r="N124" s="334"/>
      <c r="O124" s="334"/>
      <c r="P124" s="334"/>
      <c r="Q124" s="334"/>
      <c r="R124" s="335"/>
      <c r="V124" s="333"/>
      <c r="W124" s="334"/>
      <c r="X124" s="334"/>
      <c r="Y124" s="334"/>
      <c r="Z124" s="334"/>
      <c r="AA124" s="335"/>
      <c r="AE124" s="333"/>
      <c r="AF124" s="334"/>
      <c r="AG124" s="334"/>
      <c r="AH124" s="334"/>
      <c r="AI124" s="334"/>
      <c r="AJ124" s="335"/>
    </row>
    <row r="125" spans="1:37" outlineLevel="1" x14ac:dyDescent="0.25">
      <c r="A125" s="60"/>
      <c r="B125" s="61"/>
      <c r="D125" s="62"/>
      <c r="E125" s="63"/>
      <c r="F125" s="63"/>
      <c r="G125" s="63"/>
      <c r="H125" s="63"/>
      <c r="I125" s="63"/>
      <c r="M125" s="311"/>
      <c r="N125" s="312"/>
      <c r="O125" s="312"/>
      <c r="P125" s="312"/>
      <c r="Q125" s="312"/>
      <c r="R125" s="312"/>
      <c r="V125" s="311"/>
      <c r="W125" s="312"/>
      <c r="X125" s="312"/>
      <c r="Y125" s="312"/>
      <c r="Z125" s="312"/>
      <c r="AA125" s="312"/>
      <c r="AE125" s="311"/>
      <c r="AF125" s="312"/>
      <c r="AG125" s="312"/>
      <c r="AH125" s="312"/>
      <c r="AI125" s="312"/>
      <c r="AJ125" s="312"/>
    </row>
    <row r="126" spans="1:37" outlineLevel="1" x14ac:dyDescent="0.25">
      <c r="A126" s="219"/>
      <c r="B126" s="220"/>
      <c r="D126" s="509" t="s">
        <v>172</v>
      </c>
      <c r="E126" s="510" t="s">
        <v>94</v>
      </c>
      <c r="F126" s="510" t="s">
        <v>173</v>
      </c>
      <c r="G126" s="510"/>
      <c r="H126" s="510"/>
      <c r="I126" s="511"/>
      <c r="M126" s="509" t="s">
        <v>172</v>
      </c>
      <c r="N126" s="510" t="s">
        <v>94</v>
      </c>
      <c r="O126" s="510" t="s">
        <v>173</v>
      </c>
      <c r="P126" s="510"/>
      <c r="Q126" s="510"/>
      <c r="R126" s="511"/>
      <c r="V126" s="509" t="s">
        <v>172</v>
      </c>
      <c r="W126" s="510" t="s">
        <v>94</v>
      </c>
      <c r="X126" s="510" t="s">
        <v>173</v>
      </c>
      <c r="Y126" s="510"/>
      <c r="Z126" s="510"/>
      <c r="AA126" s="511"/>
      <c r="AE126" s="509" t="s">
        <v>172</v>
      </c>
      <c r="AF126" s="510" t="s">
        <v>94</v>
      </c>
      <c r="AG126" s="510" t="s">
        <v>173</v>
      </c>
      <c r="AH126" s="510"/>
      <c r="AI126" s="510"/>
      <c r="AJ126" s="511"/>
    </row>
    <row r="127" spans="1:37" hidden="1" outlineLevel="2" x14ac:dyDescent="0.25">
      <c r="A127" s="198">
        <v>278</v>
      </c>
      <c r="B127" s="199" t="s">
        <v>174</v>
      </c>
      <c r="D127" s="329">
        <f>VLOOKUP($A127,Prevs!$C:$AJ,COLUMN() - COLUMN($D127)+2,FALSE)*VLOOKUP($A127,Usinas!$C:$D,2,FALSE)</f>
        <v>33.956999999999994</v>
      </c>
      <c r="E127" s="309">
        <f>VLOOKUP($A127,Prevs!$C:$AJ,COLUMN() - COLUMN($D127)+2,FALSE)*VLOOKUP($A127,Usinas!$C:$D,2,FALSE)</f>
        <v>32.927999999999997</v>
      </c>
      <c r="F127" s="309">
        <f>VLOOKUP($A127,Prevs!$C:$AJ,COLUMN() - COLUMN($D127)+2,FALSE)*VLOOKUP($A127,Usinas!$C:$D,2,FALSE)</f>
        <v>31.898999999999997</v>
      </c>
      <c r="G127" s="309">
        <f>VLOOKUP($A127,Prevs!$C:$AJ,COLUMN() - COLUMN($D127)+2,FALSE)*VLOOKUP($A127,Usinas!$C:$D,2,FALSE)</f>
        <v>30.869999999999997</v>
      </c>
      <c r="H127" s="309">
        <f>VLOOKUP($A127,Prevs!$C:$AJ,COLUMN() - COLUMN($D127)+2,FALSE)*VLOOKUP($A127,Usinas!$C:$D,2,FALSE)</f>
        <v>30.355499999999999</v>
      </c>
      <c r="I127" s="330">
        <f>VLOOKUP($A127,Prevs!$C:$AJ,COLUMN() - COLUMN($D127)+2,FALSE)*VLOOKUP($A127,Usinas!$C:$D,2,FALSE)</f>
        <v>33.956999999999994</v>
      </c>
      <c r="J127" s="477">
        <f ca="1">VLOOKUP($A127,Prevs_MLT!$C:$AJ,1+Entrada!$C$4,FALSE)*VLOOKUP($A127,Usinas!$C:$D,2,FALSE)</f>
        <v>63.283499999999997</v>
      </c>
      <c r="M127" s="329">
        <f>VLOOKUP($A127,Prevs!$C:$AJ,COLUMN() - COLUMN($D127)+2,FALSE)*VLOOKUP($A127,Usinas!$C:$D,2,FALSE)</f>
        <v>52.993499999999997</v>
      </c>
      <c r="N127" s="309">
        <f>VLOOKUP($A127,Prevs!$C:$AJ,COLUMN() - COLUMN($D127)+2,FALSE)*VLOOKUP($A127,Usinas!$C:$D,2,FALSE)</f>
        <v>50.935499999999998</v>
      </c>
      <c r="O127" s="309">
        <f>VLOOKUP($A127,Prevs!$C:$AJ,COLUMN() - COLUMN($D127)+2,FALSE)*VLOOKUP($A127,Usinas!$C:$D,2,FALSE)</f>
        <v>49.391999999999996</v>
      </c>
      <c r="P127" s="309">
        <f>VLOOKUP($A127,Prevs!$C:$AJ,COLUMN() - COLUMN($D127)+2,FALSE)*VLOOKUP($A127,Usinas!$C:$D,2,FALSE)</f>
        <v>47.848499999999994</v>
      </c>
      <c r="Q127" s="309">
        <f>VLOOKUP($A127,Prevs!$C:$AJ,COLUMN() - COLUMN($D127)+2,FALSE)*VLOOKUP($A127,Usinas!$C:$D,2,FALSE)</f>
        <v>47.333999999999996</v>
      </c>
      <c r="R127" s="330">
        <f>VLOOKUP($A127,Prevs!$C:$AJ,COLUMN() - COLUMN($D127)+2,FALSE)*VLOOKUP($A127,Usinas!$C:$D,2,FALSE)</f>
        <v>52.993499999999997</v>
      </c>
      <c r="V127" s="329">
        <f>VLOOKUP($A127,Prevs!$C:$AJ,COLUMN() - COLUMN($D127)+2,FALSE)*VLOOKUP($A127,Usinas!$C:$D,2,FALSE)</f>
        <v>44.761499999999998</v>
      </c>
      <c r="W127" s="309">
        <f>VLOOKUP($A127,Prevs!$C:$AJ,COLUMN() - COLUMN($D127)+2,FALSE)*VLOOKUP($A127,Usinas!$C:$D,2,FALSE)</f>
        <v>43.217999999999996</v>
      </c>
      <c r="X127" s="309">
        <f>VLOOKUP($A127,Prevs!$C:$AJ,COLUMN() - COLUMN($D127)+2,FALSE)*VLOOKUP($A127,Usinas!$C:$D,2,FALSE)</f>
        <v>42.188999999999993</v>
      </c>
      <c r="Y127" s="309">
        <f>VLOOKUP($A127,Prevs!$C:$AJ,COLUMN() - COLUMN($D127)+2,FALSE)*VLOOKUP($A127,Usinas!$C:$D,2,FALSE)</f>
        <v>40.645499999999998</v>
      </c>
      <c r="Z127" s="309">
        <f>VLOOKUP($A127,Prevs!$C:$AJ,COLUMN() - COLUMN($D127)+2,FALSE)*VLOOKUP($A127,Usinas!$C:$D,2,FALSE)</f>
        <v>40.131</v>
      </c>
      <c r="AA127" s="330">
        <f>VLOOKUP($A127,Prevs!$C:$AJ,COLUMN() - COLUMN($D127)+2,FALSE)*VLOOKUP($A127,Usinas!$C:$D,2,FALSE)</f>
        <v>44.761499999999998</v>
      </c>
      <c r="AE127" s="329">
        <f>VLOOKUP($A127,Prevs!$C:$AJ,COLUMN() - COLUMN($D127)+2,FALSE)*VLOOKUP($A127,Usinas!$C:$D,2,FALSE)</f>
        <v>33.956999999999994</v>
      </c>
      <c r="AF127" s="309">
        <f>VLOOKUP($A127,Prevs!$C:$AJ,COLUMN() - COLUMN($D127)+2,FALSE)*VLOOKUP($A127,Usinas!$C:$D,2,FALSE)</f>
        <v>32.927999999999997</v>
      </c>
      <c r="AG127" s="309">
        <f>VLOOKUP($A127,Prevs!$C:$AJ,COLUMN() - COLUMN($D127)+2,FALSE)*VLOOKUP($A127,Usinas!$C:$D,2,FALSE)</f>
        <v>31.898999999999997</v>
      </c>
      <c r="AH127" s="309">
        <f>VLOOKUP($A127,Prevs!$C:$AJ,COLUMN() - COLUMN($D127)+2,FALSE)*VLOOKUP($A127,Usinas!$C:$D,2,FALSE)</f>
        <v>30.869999999999997</v>
      </c>
      <c r="AI127" s="309">
        <f>VLOOKUP($A127,Prevs!$C:$AJ,COLUMN() - COLUMN($D127)+2,FALSE)*VLOOKUP($A127,Usinas!$C:$D,2,FALSE)</f>
        <v>30.355499999999999</v>
      </c>
      <c r="AJ127" s="330">
        <f>VLOOKUP($A127,Prevs!$C:$AJ,COLUMN() - COLUMN($D127)+2,FALSE)*VLOOKUP($A127,Usinas!$C:$D,2,FALSE)</f>
        <v>33.956999999999994</v>
      </c>
    </row>
    <row r="128" spans="1:37" hidden="1" outlineLevel="2" x14ac:dyDescent="0.25">
      <c r="A128" s="198">
        <v>281</v>
      </c>
      <c r="B128" s="199" t="s">
        <v>175</v>
      </c>
      <c r="D128" s="329">
        <f>VLOOKUP($A128,Prevs!$C:$AJ,COLUMN() - COLUMN($D128)+2,FALSE)*VLOOKUP($A128,Usinas!$C:$D,2,FALSE)</f>
        <v>160.6876</v>
      </c>
      <c r="E128" s="309">
        <f>VLOOKUP($A128,Prevs!$C:$AJ,COLUMN() - COLUMN($D128)+2,FALSE)*VLOOKUP($A128,Usinas!$C:$D,2,FALSE)</f>
        <v>160.6876</v>
      </c>
      <c r="F128" s="309">
        <f>VLOOKUP($A128,Prevs!$C:$AJ,COLUMN() - COLUMN($D128)+2,FALSE)*VLOOKUP($A128,Usinas!$C:$D,2,FALSE)</f>
        <v>158.4864</v>
      </c>
      <c r="G128" s="309">
        <f>VLOOKUP($A128,Prevs!$C:$AJ,COLUMN() - COLUMN($D128)+2,FALSE)*VLOOKUP($A128,Usinas!$C:$D,2,FALSE)</f>
        <v>158.4864</v>
      </c>
      <c r="H128" s="309">
        <f>VLOOKUP($A128,Prevs!$C:$AJ,COLUMN() - COLUMN($D128)+2,FALSE)*VLOOKUP($A128,Usinas!$C:$D,2,FALSE)</f>
        <v>151.8828</v>
      </c>
      <c r="I128" s="330">
        <f>VLOOKUP($A128,Prevs!$C:$AJ,COLUMN() - COLUMN($D128)+2,FALSE)*VLOOKUP($A128,Usinas!$C:$D,2,FALSE)</f>
        <v>154.084</v>
      </c>
      <c r="J128" s="477">
        <f ca="1">VLOOKUP($A128,Prevs_MLT!$C:$AJ,1+Entrada!$C$4,FALSE)*VLOOKUP($A128,Usinas!$C:$D,2,FALSE)</f>
        <v>169.4924</v>
      </c>
      <c r="M128" s="329">
        <f>VLOOKUP($A128,Prevs!$C:$AJ,COLUMN() - COLUMN($D128)+2,FALSE)*VLOOKUP($A128,Usinas!$C:$D,2,FALSE)</f>
        <v>248.73560000000001</v>
      </c>
      <c r="N128" s="309">
        <f>VLOOKUP($A128,Prevs!$C:$AJ,COLUMN() - COLUMN($D128)+2,FALSE)*VLOOKUP($A128,Usinas!$C:$D,2,FALSE)</f>
        <v>248.73560000000001</v>
      </c>
      <c r="O128" s="309">
        <f>VLOOKUP($A128,Prevs!$C:$AJ,COLUMN() - COLUMN($D128)+2,FALSE)*VLOOKUP($A128,Usinas!$C:$D,2,FALSE)</f>
        <v>246.53440000000001</v>
      </c>
      <c r="P128" s="309">
        <f>VLOOKUP($A128,Prevs!$C:$AJ,COLUMN() - COLUMN($D128)+2,FALSE)*VLOOKUP($A128,Usinas!$C:$D,2,FALSE)</f>
        <v>246.53440000000001</v>
      </c>
      <c r="Q128" s="309">
        <f>VLOOKUP($A128,Prevs!$C:$AJ,COLUMN() - COLUMN($D128)+2,FALSE)*VLOOKUP($A128,Usinas!$C:$D,2,FALSE)</f>
        <v>235.5284</v>
      </c>
      <c r="R128" s="330">
        <f>VLOOKUP($A128,Prevs!$C:$AJ,COLUMN() - COLUMN($D128)+2,FALSE)*VLOOKUP($A128,Usinas!$C:$D,2,FALSE)</f>
        <v>239.9308</v>
      </c>
      <c r="V128" s="329">
        <f>VLOOKUP($A128,Prevs!$C:$AJ,COLUMN() - COLUMN($D128)+2,FALSE)*VLOOKUP($A128,Usinas!$C:$D,2,FALSE)</f>
        <v>211.3152</v>
      </c>
      <c r="W128" s="309">
        <f>VLOOKUP($A128,Prevs!$C:$AJ,COLUMN() - COLUMN($D128)+2,FALSE)*VLOOKUP($A128,Usinas!$C:$D,2,FALSE)</f>
        <v>211.3152</v>
      </c>
      <c r="X128" s="309">
        <f>VLOOKUP($A128,Prevs!$C:$AJ,COLUMN() - COLUMN($D128)+2,FALSE)*VLOOKUP($A128,Usinas!$C:$D,2,FALSE)</f>
        <v>209.114</v>
      </c>
      <c r="Y128" s="309">
        <f>VLOOKUP($A128,Prevs!$C:$AJ,COLUMN() - COLUMN($D128)+2,FALSE)*VLOOKUP($A128,Usinas!$C:$D,2,FALSE)</f>
        <v>209.114</v>
      </c>
      <c r="Z128" s="309">
        <f>VLOOKUP($A128,Prevs!$C:$AJ,COLUMN() - COLUMN($D128)+2,FALSE)*VLOOKUP($A128,Usinas!$C:$D,2,FALSE)</f>
        <v>200.3092</v>
      </c>
      <c r="AA128" s="330">
        <f>VLOOKUP($A128,Prevs!$C:$AJ,COLUMN() - COLUMN($D128)+2,FALSE)*VLOOKUP($A128,Usinas!$C:$D,2,FALSE)</f>
        <v>202.5104</v>
      </c>
      <c r="AE128" s="329">
        <f>VLOOKUP($A128,Prevs!$C:$AJ,COLUMN() - COLUMN($D128)+2,FALSE)*VLOOKUP($A128,Usinas!$C:$D,2,FALSE)</f>
        <v>160.6876</v>
      </c>
      <c r="AF128" s="309">
        <f>VLOOKUP($A128,Prevs!$C:$AJ,COLUMN() - COLUMN($D128)+2,FALSE)*VLOOKUP($A128,Usinas!$C:$D,2,FALSE)</f>
        <v>160.6876</v>
      </c>
      <c r="AG128" s="309">
        <f>VLOOKUP($A128,Prevs!$C:$AJ,COLUMN() - COLUMN($D128)+2,FALSE)*VLOOKUP($A128,Usinas!$C:$D,2,FALSE)</f>
        <v>158.4864</v>
      </c>
      <c r="AH128" s="309">
        <f>VLOOKUP($A128,Prevs!$C:$AJ,COLUMN() - COLUMN($D128)+2,FALSE)*VLOOKUP($A128,Usinas!$C:$D,2,FALSE)</f>
        <v>158.4864</v>
      </c>
      <c r="AI128" s="309">
        <f>VLOOKUP($A128,Prevs!$C:$AJ,COLUMN() - COLUMN($D128)+2,FALSE)*VLOOKUP($A128,Usinas!$C:$D,2,FALSE)</f>
        <v>151.8828</v>
      </c>
      <c r="AJ128" s="330">
        <f>VLOOKUP($A128,Prevs!$C:$AJ,COLUMN() - COLUMN($D128)+2,FALSE)*VLOOKUP($A128,Usinas!$C:$D,2,FALSE)</f>
        <v>154.084</v>
      </c>
    </row>
    <row r="129" spans="1:37" hidden="1" outlineLevel="2" x14ac:dyDescent="0.25">
      <c r="A129" s="198">
        <v>295</v>
      </c>
      <c r="B129" s="199" t="s">
        <v>176</v>
      </c>
      <c r="D129" s="329">
        <f>VLOOKUP($A129,Prevs!$C:$AJ,COLUMN() - COLUMN($D129)+2,FALSE)*VLOOKUP($A129,Usinas!$C:$D,2,FALSE)</f>
        <v>72.537800000000004</v>
      </c>
      <c r="E129" s="309">
        <f>VLOOKUP($A129,Prevs!$C:$AJ,COLUMN() - COLUMN($D129)+2,FALSE)*VLOOKUP($A129,Usinas!$C:$D,2,FALSE)</f>
        <v>71.619600000000005</v>
      </c>
      <c r="F129" s="309">
        <f>VLOOKUP($A129,Prevs!$C:$AJ,COLUMN() - COLUMN($D129)+2,FALSE)*VLOOKUP($A129,Usinas!$C:$D,2,FALSE)</f>
        <v>70.701400000000007</v>
      </c>
      <c r="G129" s="309">
        <f>VLOOKUP($A129,Prevs!$C:$AJ,COLUMN() - COLUMN($D129)+2,FALSE)*VLOOKUP($A129,Usinas!$C:$D,2,FALSE)</f>
        <v>69.783200000000008</v>
      </c>
      <c r="H129" s="309">
        <f>VLOOKUP($A129,Prevs!$C:$AJ,COLUMN() - COLUMN($D129)+2,FALSE)*VLOOKUP($A129,Usinas!$C:$D,2,FALSE)</f>
        <v>68.864999999999995</v>
      </c>
      <c r="I129" s="330">
        <f>VLOOKUP($A129,Prevs!$C:$AJ,COLUMN() - COLUMN($D129)+2,FALSE)*VLOOKUP($A129,Usinas!$C:$D,2,FALSE)</f>
        <v>68.864999999999995</v>
      </c>
      <c r="J129" s="477">
        <f ca="1">VLOOKUP($A129,Prevs_MLT!$C:$AJ,1+Entrada!$C$4,FALSE)*VLOOKUP($A129,Usinas!$C:$D,2,FALSE)</f>
        <v>77.128799999999998</v>
      </c>
      <c r="M129" s="329">
        <f>VLOOKUP($A129,Prevs!$C:$AJ,COLUMN() - COLUMN($D129)+2,FALSE)*VLOOKUP($A129,Usinas!$C:$D,2,FALSE)</f>
        <v>112.93860000000001</v>
      </c>
      <c r="N129" s="309">
        <f>VLOOKUP($A129,Prevs!$C:$AJ,COLUMN() - COLUMN($D129)+2,FALSE)*VLOOKUP($A129,Usinas!$C:$D,2,FALSE)</f>
        <v>111.1022</v>
      </c>
      <c r="O129" s="309">
        <f>VLOOKUP($A129,Prevs!$C:$AJ,COLUMN() - COLUMN($D129)+2,FALSE)*VLOOKUP($A129,Usinas!$C:$D,2,FALSE)</f>
        <v>110.184</v>
      </c>
      <c r="P129" s="309">
        <f>VLOOKUP($A129,Prevs!$C:$AJ,COLUMN() - COLUMN($D129)+2,FALSE)*VLOOKUP($A129,Usinas!$C:$D,2,FALSE)</f>
        <v>108.3476</v>
      </c>
      <c r="Q129" s="309">
        <f>VLOOKUP($A129,Prevs!$C:$AJ,COLUMN() - COLUMN($D129)+2,FALSE)*VLOOKUP($A129,Usinas!$C:$D,2,FALSE)</f>
        <v>106.5112</v>
      </c>
      <c r="R129" s="330">
        <f>VLOOKUP($A129,Prevs!$C:$AJ,COLUMN() - COLUMN($D129)+2,FALSE)*VLOOKUP($A129,Usinas!$C:$D,2,FALSE)</f>
        <v>106.5112</v>
      </c>
      <c r="V129" s="329">
        <f>VLOOKUP($A129,Prevs!$C:$AJ,COLUMN() - COLUMN($D129)+2,FALSE)*VLOOKUP($A129,Usinas!$C:$D,2,FALSE)</f>
        <v>95.492800000000003</v>
      </c>
      <c r="W129" s="309">
        <f>VLOOKUP($A129,Prevs!$C:$AJ,COLUMN() - COLUMN($D129)+2,FALSE)*VLOOKUP($A129,Usinas!$C:$D,2,FALSE)</f>
        <v>94.574600000000004</v>
      </c>
      <c r="X129" s="309">
        <f>VLOOKUP($A129,Prevs!$C:$AJ,COLUMN() - COLUMN($D129)+2,FALSE)*VLOOKUP($A129,Usinas!$C:$D,2,FALSE)</f>
        <v>93.656400000000005</v>
      </c>
      <c r="Y129" s="309">
        <f>VLOOKUP($A129,Prevs!$C:$AJ,COLUMN() - COLUMN($D129)+2,FALSE)*VLOOKUP($A129,Usinas!$C:$D,2,FALSE)</f>
        <v>91.820000000000007</v>
      </c>
      <c r="Z129" s="309">
        <f>VLOOKUP($A129,Prevs!$C:$AJ,COLUMN() - COLUMN($D129)+2,FALSE)*VLOOKUP($A129,Usinas!$C:$D,2,FALSE)</f>
        <v>90.901800000000009</v>
      </c>
      <c r="AA129" s="330">
        <f>VLOOKUP($A129,Prevs!$C:$AJ,COLUMN() - COLUMN($D129)+2,FALSE)*VLOOKUP($A129,Usinas!$C:$D,2,FALSE)</f>
        <v>90.901800000000009</v>
      </c>
      <c r="AE129" s="329">
        <f>VLOOKUP($A129,Prevs!$C:$AJ,COLUMN() - COLUMN($D129)+2,FALSE)*VLOOKUP($A129,Usinas!$C:$D,2,FALSE)</f>
        <v>72.537800000000004</v>
      </c>
      <c r="AF129" s="309">
        <f>VLOOKUP($A129,Prevs!$C:$AJ,COLUMN() - COLUMN($D129)+2,FALSE)*VLOOKUP($A129,Usinas!$C:$D,2,FALSE)</f>
        <v>71.619600000000005</v>
      </c>
      <c r="AG129" s="309">
        <f>VLOOKUP($A129,Prevs!$C:$AJ,COLUMN() - COLUMN($D129)+2,FALSE)*VLOOKUP($A129,Usinas!$C:$D,2,FALSE)</f>
        <v>70.701400000000007</v>
      </c>
      <c r="AH129" s="309">
        <f>VLOOKUP($A129,Prevs!$C:$AJ,COLUMN() - COLUMN($D129)+2,FALSE)*VLOOKUP($A129,Usinas!$C:$D,2,FALSE)</f>
        <v>69.783200000000008</v>
      </c>
      <c r="AI129" s="309">
        <f>VLOOKUP($A129,Prevs!$C:$AJ,COLUMN() - COLUMN($D129)+2,FALSE)*VLOOKUP($A129,Usinas!$C:$D,2,FALSE)</f>
        <v>68.864999999999995</v>
      </c>
      <c r="AJ129" s="330">
        <f>VLOOKUP($A129,Prevs!$C:$AJ,COLUMN() - COLUMN($D129)+2,FALSE)*VLOOKUP($A129,Usinas!$C:$D,2,FALSE)</f>
        <v>68.864999999999995</v>
      </c>
    </row>
    <row r="130" spans="1:37" hidden="1" outlineLevel="2" x14ac:dyDescent="0.25">
      <c r="A130" s="198">
        <v>259</v>
      </c>
      <c r="B130" s="199" t="s">
        <v>177</v>
      </c>
      <c r="D130" s="329">
        <f>VLOOKUP($A130,Prevs!$C:$AJ,COLUMN() - COLUMN($D130)+2,FALSE)*VLOOKUP($A130,Usinas!$C:$D,2,FALSE)</f>
        <v>53.494</v>
      </c>
      <c r="E130" s="309">
        <f>VLOOKUP($A130,Prevs!$C:$AJ,COLUMN() - COLUMN($D130)+2,FALSE)*VLOOKUP($A130,Usinas!$C:$D,2,FALSE)</f>
        <v>49.673000000000002</v>
      </c>
      <c r="F130" s="309">
        <f>VLOOKUP($A130,Prevs!$C:$AJ,COLUMN() - COLUMN($D130)+2,FALSE)*VLOOKUP($A130,Usinas!$C:$D,2,FALSE)</f>
        <v>48.144599999999997</v>
      </c>
      <c r="G130" s="309">
        <f>VLOOKUP($A130,Prevs!$C:$AJ,COLUMN() - COLUMN($D130)+2,FALSE)*VLOOKUP($A130,Usinas!$C:$D,2,FALSE)</f>
        <v>46.616199999999999</v>
      </c>
      <c r="H130" s="309">
        <f>VLOOKUP($A130,Prevs!$C:$AJ,COLUMN() - COLUMN($D130)+2,FALSE)*VLOOKUP($A130,Usinas!$C:$D,2,FALSE)</f>
        <v>46.616199999999999</v>
      </c>
      <c r="I130" s="330">
        <f>VLOOKUP($A130,Prevs!$C:$AJ,COLUMN() - COLUMN($D130)+2,FALSE)*VLOOKUP($A130,Usinas!$C:$D,2,FALSE)</f>
        <v>45.087800000000001</v>
      </c>
      <c r="J130" s="477">
        <f ca="1">VLOOKUP($A130,Prevs_MLT!$C:$AJ,1+Entrada!$C$4,FALSE)*VLOOKUP($A130,Usinas!$C:$D,2,FALSE)</f>
        <v>50.437199999999997</v>
      </c>
      <c r="M130" s="329">
        <f>VLOOKUP($A130,Prevs!$C:$AJ,COLUMN() - COLUMN($D130)+2,FALSE)*VLOOKUP($A130,Usinas!$C:$D,2,FALSE)</f>
        <v>83.297799999999995</v>
      </c>
      <c r="N130" s="309">
        <f>VLOOKUP($A130,Prevs!$C:$AJ,COLUMN() - COLUMN($D130)+2,FALSE)*VLOOKUP($A130,Usinas!$C:$D,2,FALSE)</f>
        <v>77.184200000000004</v>
      </c>
      <c r="O130" s="309">
        <f>VLOOKUP($A130,Prevs!$C:$AJ,COLUMN() - COLUMN($D130)+2,FALSE)*VLOOKUP($A130,Usinas!$C:$D,2,FALSE)</f>
        <v>74.891599999999997</v>
      </c>
      <c r="P130" s="309">
        <f>VLOOKUP($A130,Prevs!$C:$AJ,COLUMN() - COLUMN($D130)+2,FALSE)*VLOOKUP($A130,Usinas!$C:$D,2,FALSE)</f>
        <v>72.599000000000004</v>
      </c>
      <c r="Q130" s="309">
        <f>VLOOKUP($A130,Prevs!$C:$AJ,COLUMN() - COLUMN($D130)+2,FALSE)*VLOOKUP($A130,Usinas!$C:$D,2,FALSE)</f>
        <v>72.599000000000004</v>
      </c>
      <c r="R130" s="330">
        <f>VLOOKUP($A130,Prevs!$C:$AJ,COLUMN() - COLUMN($D130)+2,FALSE)*VLOOKUP($A130,Usinas!$C:$D,2,FALSE)</f>
        <v>70.306399999999996</v>
      </c>
      <c r="V130" s="329">
        <f>VLOOKUP($A130,Prevs!$C:$AJ,COLUMN() - COLUMN($D130)+2,FALSE)*VLOOKUP($A130,Usinas!$C:$D,2,FALSE)</f>
        <v>70.306399999999996</v>
      </c>
      <c r="W130" s="309">
        <f>VLOOKUP($A130,Prevs!$C:$AJ,COLUMN() - COLUMN($D130)+2,FALSE)*VLOOKUP($A130,Usinas!$C:$D,2,FALSE)</f>
        <v>65.721199999999996</v>
      </c>
      <c r="X130" s="309">
        <f>VLOOKUP($A130,Prevs!$C:$AJ,COLUMN() - COLUMN($D130)+2,FALSE)*VLOOKUP($A130,Usinas!$C:$D,2,FALSE)</f>
        <v>63.428599999999996</v>
      </c>
      <c r="Y130" s="309">
        <f>VLOOKUP($A130,Prevs!$C:$AJ,COLUMN() - COLUMN($D130)+2,FALSE)*VLOOKUP($A130,Usinas!$C:$D,2,FALSE)</f>
        <v>61.135999999999996</v>
      </c>
      <c r="Z130" s="309">
        <f>VLOOKUP($A130,Prevs!$C:$AJ,COLUMN() - COLUMN($D130)+2,FALSE)*VLOOKUP($A130,Usinas!$C:$D,2,FALSE)</f>
        <v>61.135999999999996</v>
      </c>
      <c r="AA130" s="330">
        <f>VLOOKUP($A130,Prevs!$C:$AJ,COLUMN() - COLUMN($D130)+2,FALSE)*VLOOKUP($A130,Usinas!$C:$D,2,FALSE)</f>
        <v>59.607599999999998</v>
      </c>
      <c r="AE130" s="329">
        <f>VLOOKUP($A130,Prevs!$C:$AJ,COLUMN() - COLUMN($D130)+2,FALSE)*VLOOKUP($A130,Usinas!$C:$D,2,FALSE)</f>
        <v>53.494</v>
      </c>
      <c r="AF130" s="309">
        <f>VLOOKUP($A130,Prevs!$C:$AJ,COLUMN() - COLUMN($D130)+2,FALSE)*VLOOKUP($A130,Usinas!$C:$D,2,FALSE)</f>
        <v>49.673000000000002</v>
      </c>
      <c r="AG130" s="309">
        <f>VLOOKUP($A130,Prevs!$C:$AJ,COLUMN() - COLUMN($D130)+2,FALSE)*VLOOKUP($A130,Usinas!$C:$D,2,FALSE)</f>
        <v>48.144599999999997</v>
      </c>
      <c r="AH130" s="309">
        <f>VLOOKUP($A130,Prevs!$C:$AJ,COLUMN() - COLUMN($D130)+2,FALSE)*VLOOKUP($A130,Usinas!$C:$D,2,FALSE)</f>
        <v>46.616199999999999</v>
      </c>
      <c r="AI130" s="309">
        <f>VLOOKUP($A130,Prevs!$C:$AJ,COLUMN() - COLUMN($D130)+2,FALSE)*VLOOKUP($A130,Usinas!$C:$D,2,FALSE)</f>
        <v>46.616199999999999</v>
      </c>
      <c r="AJ130" s="330">
        <f>VLOOKUP($A130,Prevs!$C:$AJ,COLUMN() - COLUMN($D130)+2,FALSE)*VLOOKUP($A130,Usinas!$C:$D,2,FALSE)</f>
        <v>45.087800000000001</v>
      </c>
    </row>
    <row r="131" spans="1:37" hidden="1" outlineLevel="2" x14ac:dyDescent="0.25">
      <c r="A131" s="198">
        <v>252</v>
      </c>
      <c r="B131" s="199" t="s">
        <v>178</v>
      </c>
      <c r="D131" s="329">
        <f>VLOOKUP($A131,Prevs!$C:$AJ,COLUMN() - COLUMN($D131)+2,FALSE)*VLOOKUP($A131,Usinas!$C:$D,2,FALSE)</f>
        <v>87.087000000000003</v>
      </c>
      <c r="E131" s="309">
        <f>VLOOKUP($A131,Prevs!$C:$AJ,COLUMN() - COLUMN($D131)+2,FALSE)*VLOOKUP($A131,Usinas!$C:$D,2,FALSE)</f>
        <v>80.866500000000002</v>
      </c>
      <c r="F131" s="309">
        <f>VLOOKUP($A131,Prevs!$C:$AJ,COLUMN() - COLUMN($D131)+2,FALSE)*VLOOKUP($A131,Usinas!$C:$D,2,FALSE)</f>
        <v>78.378299999999996</v>
      </c>
      <c r="G131" s="309">
        <f>VLOOKUP($A131,Prevs!$C:$AJ,COLUMN() - COLUMN($D131)+2,FALSE)*VLOOKUP($A131,Usinas!$C:$D,2,FALSE)</f>
        <v>75.890100000000004</v>
      </c>
      <c r="H131" s="309">
        <f>VLOOKUP($A131,Prevs!$C:$AJ,COLUMN() - COLUMN($D131)+2,FALSE)*VLOOKUP($A131,Usinas!$C:$D,2,FALSE)</f>
        <v>75.890100000000004</v>
      </c>
      <c r="I131" s="330">
        <f>VLOOKUP($A131,Prevs!$C:$AJ,COLUMN() - COLUMN($D131)+2,FALSE)*VLOOKUP($A131,Usinas!$C:$D,2,FALSE)</f>
        <v>73.401899999999998</v>
      </c>
      <c r="J131" s="477">
        <f ca="1">VLOOKUP($A131,Prevs_MLT!$C:$AJ,1+Entrada!$C$4,FALSE)*VLOOKUP($A131,Usinas!$C:$D,2,FALSE)</f>
        <v>82.110600000000005</v>
      </c>
      <c r="M131" s="329">
        <f>VLOOKUP($A131,Prevs!$C:$AJ,COLUMN() - COLUMN($D131)+2,FALSE)*VLOOKUP($A131,Usinas!$C:$D,2,FALSE)</f>
        <v>135.6069</v>
      </c>
      <c r="N131" s="309">
        <f>VLOOKUP($A131,Prevs!$C:$AJ,COLUMN() - COLUMN($D131)+2,FALSE)*VLOOKUP($A131,Usinas!$C:$D,2,FALSE)</f>
        <v>125.6541</v>
      </c>
      <c r="O131" s="309">
        <f>VLOOKUP($A131,Prevs!$C:$AJ,COLUMN() - COLUMN($D131)+2,FALSE)*VLOOKUP($A131,Usinas!$C:$D,2,FALSE)</f>
        <v>121.9218</v>
      </c>
      <c r="P131" s="309">
        <f>VLOOKUP($A131,Prevs!$C:$AJ,COLUMN() - COLUMN($D131)+2,FALSE)*VLOOKUP($A131,Usinas!$C:$D,2,FALSE)</f>
        <v>118.1895</v>
      </c>
      <c r="Q131" s="309">
        <f>VLOOKUP($A131,Prevs!$C:$AJ,COLUMN() - COLUMN($D131)+2,FALSE)*VLOOKUP($A131,Usinas!$C:$D,2,FALSE)</f>
        <v>118.1895</v>
      </c>
      <c r="R131" s="330">
        <f>VLOOKUP($A131,Prevs!$C:$AJ,COLUMN() - COLUMN($D131)+2,FALSE)*VLOOKUP($A131,Usinas!$C:$D,2,FALSE)</f>
        <v>114.4572</v>
      </c>
      <c r="V131" s="329">
        <f>VLOOKUP($A131,Prevs!$C:$AJ,COLUMN() - COLUMN($D131)+2,FALSE)*VLOOKUP($A131,Usinas!$C:$D,2,FALSE)</f>
        <v>114.4572</v>
      </c>
      <c r="W131" s="309">
        <f>VLOOKUP($A131,Prevs!$C:$AJ,COLUMN() - COLUMN($D131)+2,FALSE)*VLOOKUP($A131,Usinas!$C:$D,2,FALSE)</f>
        <v>106.9926</v>
      </c>
      <c r="X131" s="309">
        <f>VLOOKUP($A131,Prevs!$C:$AJ,COLUMN() - COLUMN($D131)+2,FALSE)*VLOOKUP($A131,Usinas!$C:$D,2,FALSE)</f>
        <v>103.2603</v>
      </c>
      <c r="Y131" s="309">
        <f>VLOOKUP($A131,Prevs!$C:$AJ,COLUMN() - COLUMN($D131)+2,FALSE)*VLOOKUP($A131,Usinas!$C:$D,2,FALSE)</f>
        <v>99.527999999999992</v>
      </c>
      <c r="Z131" s="309">
        <f>VLOOKUP($A131,Prevs!$C:$AJ,COLUMN() - COLUMN($D131)+2,FALSE)*VLOOKUP($A131,Usinas!$C:$D,2,FALSE)</f>
        <v>99.527999999999992</v>
      </c>
      <c r="AA131" s="330">
        <f>VLOOKUP($A131,Prevs!$C:$AJ,COLUMN() - COLUMN($D131)+2,FALSE)*VLOOKUP($A131,Usinas!$C:$D,2,FALSE)</f>
        <v>97.0398</v>
      </c>
      <c r="AE131" s="329">
        <f>VLOOKUP($A131,Prevs!$C:$AJ,COLUMN() - COLUMN($D131)+2,FALSE)*VLOOKUP($A131,Usinas!$C:$D,2,FALSE)</f>
        <v>87.087000000000003</v>
      </c>
      <c r="AF131" s="309">
        <f>VLOOKUP($A131,Prevs!$C:$AJ,COLUMN() - COLUMN($D131)+2,FALSE)*VLOOKUP($A131,Usinas!$C:$D,2,FALSE)</f>
        <v>80.866500000000002</v>
      </c>
      <c r="AG131" s="309">
        <f>VLOOKUP($A131,Prevs!$C:$AJ,COLUMN() - COLUMN($D131)+2,FALSE)*VLOOKUP($A131,Usinas!$C:$D,2,FALSE)</f>
        <v>78.378299999999996</v>
      </c>
      <c r="AH131" s="309">
        <f>VLOOKUP($A131,Prevs!$C:$AJ,COLUMN() - COLUMN($D131)+2,FALSE)*VLOOKUP($A131,Usinas!$C:$D,2,FALSE)</f>
        <v>75.890100000000004</v>
      </c>
      <c r="AI131" s="309">
        <f>VLOOKUP($A131,Prevs!$C:$AJ,COLUMN() - COLUMN($D131)+2,FALSE)*VLOOKUP($A131,Usinas!$C:$D,2,FALSE)</f>
        <v>75.890100000000004</v>
      </c>
      <c r="AJ131" s="330">
        <f>VLOOKUP($A131,Prevs!$C:$AJ,COLUMN() - COLUMN($D131)+2,FALSE)*VLOOKUP($A131,Usinas!$C:$D,2,FALSE)</f>
        <v>73.401899999999998</v>
      </c>
    </row>
    <row r="132" spans="1:37" outlineLevel="1" collapsed="1" x14ac:dyDescent="0.25">
      <c r="A132" s="221"/>
      <c r="B132" s="222" t="s">
        <v>92</v>
      </c>
      <c r="D132" s="225">
        <f t="shared" ref="D132:I132" si="58">SUM(D127:D131)</f>
        <v>407.76340000000005</v>
      </c>
      <c r="E132" s="59">
        <f t="shared" si="58"/>
        <v>395.77470000000005</v>
      </c>
      <c r="F132" s="59">
        <f t="shared" si="58"/>
        <v>387.60969999999998</v>
      </c>
      <c r="G132" s="59">
        <f t="shared" si="58"/>
        <v>381.64590000000004</v>
      </c>
      <c r="H132" s="59">
        <f t="shared" si="58"/>
        <v>373.6096</v>
      </c>
      <c r="I132" s="226">
        <f t="shared" si="58"/>
        <v>375.39570000000003</v>
      </c>
      <c r="J132" s="423">
        <f ca="1">SUMPRODUCT(D132:I132,Saida!$B$7:$G$7)/SUM(Saida!$B$7:$G$7)</f>
        <v>385.12128000000001</v>
      </c>
      <c r="M132" s="355">
        <f t="shared" ref="M132:R132" si="59">SUM(M127:M131)</f>
        <v>633.57240000000002</v>
      </c>
      <c r="N132" s="310">
        <f t="shared" si="59"/>
        <v>613.61159999999995</v>
      </c>
      <c r="O132" s="310">
        <f t="shared" si="59"/>
        <v>602.92380000000003</v>
      </c>
      <c r="P132" s="310">
        <f t="shared" si="59"/>
        <v>593.51900000000001</v>
      </c>
      <c r="Q132" s="310">
        <f t="shared" si="59"/>
        <v>580.16210000000001</v>
      </c>
      <c r="R132" s="356">
        <f t="shared" si="59"/>
        <v>584.19910000000004</v>
      </c>
      <c r="S132" s="423">
        <f ca="1">SUMPRODUCT(M132:R132,Saida!$B$7:$G$7)/SUM(Saida!$B$7:$G$7)</f>
        <v>598.30956666666668</v>
      </c>
      <c r="V132" s="355">
        <f t="shared" ref="V132:AA132" si="60">SUM(V127:V131)</f>
        <v>536.33310000000006</v>
      </c>
      <c r="W132" s="310">
        <f t="shared" si="60"/>
        <v>521.82159999999999</v>
      </c>
      <c r="X132" s="310">
        <f t="shared" si="60"/>
        <v>511.64830000000006</v>
      </c>
      <c r="Y132" s="310">
        <f t="shared" si="60"/>
        <v>502.24350000000004</v>
      </c>
      <c r="Z132" s="310">
        <f t="shared" si="60"/>
        <v>492.00599999999997</v>
      </c>
      <c r="AA132" s="356">
        <f t="shared" si="60"/>
        <v>494.82110000000006</v>
      </c>
      <c r="AB132" s="423">
        <f ca="1">SUMPRODUCT(V132:AA132,Saida!$B$7:$G$7)/SUM(Saida!$B$7:$G$7)</f>
        <v>507.50633333333332</v>
      </c>
      <c r="AE132" s="355">
        <f t="shared" ref="AE132:AJ132" si="61">SUM(AE127:AE131)</f>
        <v>407.76340000000005</v>
      </c>
      <c r="AF132" s="310">
        <f t="shared" si="61"/>
        <v>395.77470000000005</v>
      </c>
      <c r="AG132" s="310">
        <f t="shared" si="61"/>
        <v>387.60969999999998</v>
      </c>
      <c r="AH132" s="310">
        <f t="shared" si="61"/>
        <v>381.64590000000004</v>
      </c>
      <c r="AI132" s="310">
        <f t="shared" si="61"/>
        <v>373.6096</v>
      </c>
      <c r="AJ132" s="356">
        <f t="shared" si="61"/>
        <v>375.39570000000003</v>
      </c>
      <c r="AK132" s="423">
        <f ca="1">SUMPRODUCT(AE132:AJ132,Saida!$B$7:$G$7)/SUM(Saida!$B$7:$G$7)</f>
        <v>385.12128000000001</v>
      </c>
    </row>
    <row r="133" spans="1:37" outlineLevel="1" x14ac:dyDescent="0.25">
      <c r="A133" s="223"/>
      <c r="B133" s="224" t="s">
        <v>13</v>
      </c>
      <c r="D133" s="216"/>
      <c r="E133" s="217"/>
      <c r="F133" s="217"/>
      <c r="G133" s="217"/>
      <c r="H133" s="217"/>
      <c r="I133" s="218"/>
      <c r="J133" s="478">
        <f ca="1">SUM(J127:J131)</f>
        <v>442.45249999999999</v>
      </c>
      <c r="M133" s="352"/>
      <c r="N133" s="353"/>
      <c r="O133" s="353"/>
      <c r="P133" s="353"/>
      <c r="Q133" s="353"/>
      <c r="R133" s="354"/>
      <c r="V133" s="352"/>
      <c r="W133" s="353"/>
      <c r="X133" s="353"/>
      <c r="Y133" s="353"/>
      <c r="Z133" s="353"/>
      <c r="AA133" s="354"/>
      <c r="AE133" s="352"/>
      <c r="AF133" s="353"/>
      <c r="AG133" s="353"/>
      <c r="AH133" s="353"/>
      <c r="AI133" s="353"/>
      <c r="AJ133" s="354"/>
    </row>
    <row r="134" spans="1:37" outlineLevel="1" x14ac:dyDescent="0.25">
      <c r="A134" s="60"/>
      <c r="B134" s="61"/>
      <c r="D134" s="62"/>
      <c r="E134" s="63"/>
      <c r="F134" s="63"/>
      <c r="G134" s="63"/>
      <c r="H134" s="63"/>
      <c r="I134" s="63"/>
      <c r="M134" s="311"/>
      <c r="N134" s="312"/>
      <c r="O134" s="312"/>
      <c r="P134" s="312"/>
      <c r="Q134" s="312"/>
      <c r="R134" s="312"/>
      <c r="V134" s="311"/>
      <c r="W134" s="312"/>
      <c r="X134" s="312"/>
      <c r="Y134" s="312"/>
      <c r="Z134" s="312"/>
      <c r="AA134" s="312"/>
      <c r="AE134" s="311"/>
      <c r="AF134" s="312"/>
      <c r="AG134" s="312"/>
      <c r="AH134" s="312"/>
      <c r="AI134" s="312"/>
      <c r="AJ134" s="312"/>
    </row>
    <row r="135" spans="1:37" outlineLevel="1" x14ac:dyDescent="0.25">
      <c r="A135" s="219"/>
      <c r="B135" s="220"/>
      <c r="D135" s="509" t="s">
        <v>179</v>
      </c>
      <c r="E135" s="510" t="s">
        <v>94</v>
      </c>
      <c r="F135" s="510" t="s">
        <v>180</v>
      </c>
      <c r="G135" s="510"/>
      <c r="H135" s="510"/>
      <c r="I135" s="511"/>
      <c r="M135" s="509" t="s">
        <v>179</v>
      </c>
      <c r="N135" s="510" t="s">
        <v>94</v>
      </c>
      <c r="O135" s="510" t="s">
        <v>180</v>
      </c>
      <c r="P135" s="510"/>
      <c r="Q135" s="510"/>
      <c r="R135" s="511"/>
      <c r="V135" s="509" t="s">
        <v>179</v>
      </c>
      <c r="W135" s="510" t="s">
        <v>94</v>
      </c>
      <c r="X135" s="510" t="s">
        <v>180</v>
      </c>
      <c r="Y135" s="510"/>
      <c r="Z135" s="510"/>
      <c r="AA135" s="511"/>
      <c r="AE135" s="509" t="s">
        <v>179</v>
      </c>
      <c r="AF135" s="510" t="s">
        <v>94</v>
      </c>
      <c r="AG135" s="510" t="s">
        <v>180</v>
      </c>
      <c r="AH135" s="510"/>
      <c r="AI135" s="510"/>
      <c r="AJ135" s="511"/>
    </row>
    <row r="136" spans="1:37" hidden="1" outlineLevel="2" x14ac:dyDescent="0.25">
      <c r="A136" s="198">
        <v>255</v>
      </c>
      <c r="B136" s="199" t="s">
        <v>181</v>
      </c>
      <c r="D136" s="329">
        <f>VLOOKUP($A136,Prevs!$C:$AJ,COLUMN() - COLUMN($D136)+2,FALSE)*VLOOKUP($A136,Usinas!$C:$D,2,FALSE)</f>
        <v>49.255800000000001</v>
      </c>
      <c r="E136" s="309">
        <f>VLOOKUP($A136,Prevs!$C:$AJ,COLUMN() - COLUMN($D136)+2,FALSE)*VLOOKUP($A136,Usinas!$C:$D,2,FALSE)</f>
        <v>46.270599999999995</v>
      </c>
      <c r="F136" s="309">
        <f>VLOOKUP($A136,Prevs!$C:$AJ,COLUMN() - COLUMN($D136)+2,FALSE)*VLOOKUP($A136,Usinas!$C:$D,2,FALSE)</f>
        <v>44.777999999999999</v>
      </c>
      <c r="G136" s="309">
        <f>VLOOKUP($A136,Prevs!$C:$AJ,COLUMN() - COLUMN($D136)+2,FALSE)*VLOOKUP($A136,Usinas!$C:$D,2,FALSE)</f>
        <v>44.777999999999999</v>
      </c>
      <c r="H136" s="309">
        <f>VLOOKUP($A136,Prevs!$C:$AJ,COLUMN() - COLUMN($D136)+2,FALSE)*VLOOKUP($A136,Usinas!$C:$D,2,FALSE)</f>
        <v>41.7928</v>
      </c>
      <c r="I136" s="330">
        <f>VLOOKUP($A136,Prevs!$C:$AJ,COLUMN() - COLUMN($D136)+2,FALSE)*VLOOKUP($A136,Usinas!$C:$D,2,FALSE)</f>
        <v>40.300199999999997</v>
      </c>
      <c r="J136" s="477">
        <f ca="1">VLOOKUP($A136,Prevs_MLT!$C:$AJ,1+Entrada!$C$4,FALSE)*VLOOKUP($A136,Usinas!$C:$D,2,FALSE)</f>
        <v>105.9746</v>
      </c>
      <c r="M136" s="329">
        <f>VLOOKUP($A136,Prevs!$C:$AJ,COLUMN() - COLUMN($D136)+2,FALSE)*VLOOKUP($A136,Usinas!$C:$D,2,FALSE)</f>
        <v>76.122599999999991</v>
      </c>
      <c r="N136" s="309">
        <f>VLOOKUP($A136,Prevs!$C:$AJ,COLUMN() - COLUMN($D136)+2,FALSE)*VLOOKUP($A136,Usinas!$C:$D,2,FALSE)</f>
        <v>71.644800000000004</v>
      </c>
      <c r="O136" s="309">
        <f>VLOOKUP($A136,Prevs!$C:$AJ,COLUMN() - COLUMN($D136)+2,FALSE)*VLOOKUP($A136,Usinas!$C:$D,2,FALSE)</f>
        <v>70.152199999999993</v>
      </c>
      <c r="P136" s="309">
        <f>VLOOKUP($A136,Prevs!$C:$AJ,COLUMN() - COLUMN($D136)+2,FALSE)*VLOOKUP($A136,Usinas!$C:$D,2,FALSE)</f>
        <v>70.152199999999993</v>
      </c>
      <c r="Q136" s="309">
        <f>VLOOKUP($A136,Prevs!$C:$AJ,COLUMN() - COLUMN($D136)+2,FALSE)*VLOOKUP($A136,Usinas!$C:$D,2,FALSE)</f>
        <v>64.181799999999996</v>
      </c>
      <c r="R136" s="330">
        <f>VLOOKUP($A136,Prevs!$C:$AJ,COLUMN() - COLUMN($D136)+2,FALSE)*VLOOKUP($A136,Usinas!$C:$D,2,FALSE)</f>
        <v>62.6892</v>
      </c>
      <c r="V136" s="329">
        <f>VLOOKUP($A136,Prevs!$C:$AJ,COLUMN() - COLUMN($D136)+2,FALSE)*VLOOKUP($A136,Usinas!$C:$D,2,FALSE)</f>
        <v>65.674399999999991</v>
      </c>
      <c r="W136" s="309">
        <f>VLOOKUP($A136,Prevs!$C:$AJ,COLUMN() - COLUMN($D136)+2,FALSE)*VLOOKUP($A136,Usinas!$C:$D,2,FALSE)</f>
        <v>61.196599999999997</v>
      </c>
      <c r="X136" s="309">
        <f>VLOOKUP($A136,Prevs!$C:$AJ,COLUMN() - COLUMN($D136)+2,FALSE)*VLOOKUP($A136,Usinas!$C:$D,2,FALSE)</f>
        <v>59.703999999999994</v>
      </c>
      <c r="Y136" s="309">
        <f>VLOOKUP($A136,Prevs!$C:$AJ,COLUMN() - COLUMN($D136)+2,FALSE)*VLOOKUP($A136,Usinas!$C:$D,2,FALSE)</f>
        <v>59.703999999999994</v>
      </c>
      <c r="Z136" s="309">
        <f>VLOOKUP($A136,Prevs!$C:$AJ,COLUMN() - COLUMN($D136)+2,FALSE)*VLOOKUP($A136,Usinas!$C:$D,2,FALSE)</f>
        <v>55.226199999999999</v>
      </c>
      <c r="AA136" s="330">
        <f>VLOOKUP($A136,Prevs!$C:$AJ,COLUMN() - COLUMN($D136)+2,FALSE)*VLOOKUP($A136,Usinas!$C:$D,2,FALSE)</f>
        <v>53.733599999999996</v>
      </c>
      <c r="AE136" s="329">
        <f>VLOOKUP($A136,Prevs!$C:$AJ,COLUMN() - COLUMN($D136)+2,FALSE)*VLOOKUP($A136,Usinas!$C:$D,2,FALSE)</f>
        <v>49.255800000000001</v>
      </c>
      <c r="AF136" s="309">
        <f>VLOOKUP($A136,Prevs!$C:$AJ,COLUMN() - COLUMN($D136)+2,FALSE)*VLOOKUP($A136,Usinas!$C:$D,2,FALSE)</f>
        <v>46.270599999999995</v>
      </c>
      <c r="AG136" s="309">
        <f>VLOOKUP($A136,Prevs!$C:$AJ,COLUMN() - COLUMN($D136)+2,FALSE)*VLOOKUP($A136,Usinas!$C:$D,2,FALSE)</f>
        <v>44.777999999999999</v>
      </c>
      <c r="AH136" s="309">
        <f>VLOOKUP($A136,Prevs!$C:$AJ,COLUMN() - COLUMN($D136)+2,FALSE)*VLOOKUP($A136,Usinas!$C:$D,2,FALSE)</f>
        <v>44.777999999999999</v>
      </c>
      <c r="AI136" s="309">
        <f>VLOOKUP($A136,Prevs!$C:$AJ,COLUMN() - COLUMN($D136)+2,FALSE)*VLOOKUP($A136,Usinas!$C:$D,2,FALSE)</f>
        <v>41.7928</v>
      </c>
      <c r="AJ136" s="330">
        <f>VLOOKUP($A136,Prevs!$C:$AJ,COLUMN() - COLUMN($D136)+2,FALSE)*VLOOKUP($A136,Usinas!$C:$D,2,FALSE)</f>
        <v>40.300199999999997</v>
      </c>
    </row>
    <row r="137" spans="1:37" outlineLevel="1" collapsed="1" x14ac:dyDescent="0.25">
      <c r="A137" s="221"/>
      <c r="B137" s="222" t="s">
        <v>92</v>
      </c>
      <c r="D137" s="225">
        <f t="shared" ref="D137:I137" si="62">D136</f>
        <v>49.255800000000001</v>
      </c>
      <c r="E137" s="59">
        <f t="shared" si="62"/>
        <v>46.270599999999995</v>
      </c>
      <c r="F137" s="59">
        <f t="shared" si="62"/>
        <v>44.777999999999999</v>
      </c>
      <c r="G137" s="59">
        <f t="shared" si="62"/>
        <v>44.777999999999999</v>
      </c>
      <c r="H137" s="59">
        <f t="shared" si="62"/>
        <v>41.7928</v>
      </c>
      <c r="I137" s="226">
        <f t="shared" si="62"/>
        <v>40.300199999999997</v>
      </c>
      <c r="J137" s="423">
        <f ca="1">SUMPRODUCT(D137:I137,Saida!$B$7:$G$7)/SUM(Saida!$B$7:$G$7)</f>
        <v>44.42972666666666</v>
      </c>
      <c r="M137" s="355">
        <f t="shared" ref="M137:R137" si="63">M136</f>
        <v>76.122599999999991</v>
      </c>
      <c r="N137" s="310">
        <f t="shared" si="63"/>
        <v>71.644800000000004</v>
      </c>
      <c r="O137" s="310">
        <f t="shared" si="63"/>
        <v>70.152199999999993</v>
      </c>
      <c r="P137" s="310">
        <f t="shared" si="63"/>
        <v>70.152199999999993</v>
      </c>
      <c r="Q137" s="310">
        <f t="shared" si="63"/>
        <v>64.181799999999996</v>
      </c>
      <c r="R137" s="356">
        <f t="shared" si="63"/>
        <v>62.6892</v>
      </c>
      <c r="S137" s="423">
        <f ca="1">SUMPRODUCT(M137:R137,Saida!$B$7:$G$7)/SUM(Saida!$B$7:$G$7)</f>
        <v>69.057626666666664</v>
      </c>
      <c r="V137" s="355">
        <f t="shared" ref="V137:AA137" si="64">V136</f>
        <v>65.674399999999991</v>
      </c>
      <c r="W137" s="310">
        <f t="shared" si="64"/>
        <v>61.196599999999997</v>
      </c>
      <c r="X137" s="310">
        <f t="shared" si="64"/>
        <v>59.703999999999994</v>
      </c>
      <c r="Y137" s="310">
        <f t="shared" si="64"/>
        <v>59.703999999999994</v>
      </c>
      <c r="Z137" s="310">
        <f t="shared" si="64"/>
        <v>55.226199999999999</v>
      </c>
      <c r="AA137" s="356">
        <f t="shared" si="64"/>
        <v>53.733599999999996</v>
      </c>
      <c r="AB137" s="423">
        <f ca="1">SUMPRODUCT(V137:AA137,Saida!$B$7:$G$7)/SUM(Saida!$B$7:$G$7)</f>
        <v>59.007453333333324</v>
      </c>
      <c r="AE137" s="355">
        <f t="shared" ref="AE137:AJ137" si="65">AE136</f>
        <v>49.255800000000001</v>
      </c>
      <c r="AF137" s="310">
        <f t="shared" si="65"/>
        <v>46.270599999999995</v>
      </c>
      <c r="AG137" s="310">
        <f t="shared" si="65"/>
        <v>44.777999999999999</v>
      </c>
      <c r="AH137" s="310">
        <f t="shared" si="65"/>
        <v>44.777999999999999</v>
      </c>
      <c r="AI137" s="310">
        <f t="shared" si="65"/>
        <v>41.7928</v>
      </c>
      <c r="AJ137" s="356">
        <f t="shared" si="65"/>
        <v>40.300199999999997</v>
      </c>
      <c r="AK137" s="423">
        <f ca="1">SUMPRODUCT(AE137:AJ137,Saida!$B$7:$G$7)/SUM(Saida!$B$7:$G$7)</f>
        <v>44.42972666666666</v>
      </c>
    </row>
    <row r="138" spans="1:37" outlineLevel="1" x14ac:dyDescent="0.25">
      <c r="A138" s="223"/>
      <c r="B138" s="224" t="s">
        <v>13</v>
      </c>
      <c r="D138" s="216"/>
      <c r="E138" s="217"/>
      <c r="F138" s="217"/>
      <c r="G138" s="217"/>
      <c r="H138" s="217"/>
      <c r="I138" s="218"/>
      <c r="J138" s="478">
        <f ca="1">SUM(J136)</f>
        <v>105.9746</v>
      </c>
      <c r="M138" s="352"/>
      <c r="N138" s="353"/>
      <c r="O138" s="353"/>
      <c r="P138" s="353"/>
      <c r="Q138" s="353"/>
      <c r="R138" s="354"/>
      <c r="V138" s="352"/>
      <c r="W138" s="353"/>
      <c r="X138" s="353"/>
      <c r="Y138" s="353"/>
      <c r="Z138" s="353"/>
      <c r="AA138" s="354"/>
      <c r="AE138" s="352"/>
      <c r="AF138" s="353"/>
      <c r="AG138" s="353"/>
      <c r="AH138" s="353"/>
      <c r="AI138" s="353"/>
      <c r="AJ138" s="354"/>
    </row>
    <row r="139" spans="1:37" outlineLevel="1" x14ac:dyDescent="0.25">
      <c r="A139" s="60"/>
      <c r="B139" s="61"/>
      <c r="D139" s="62"/>
      <c r="E139" s="63"/>
      <c r="F139" s="63"/>
      <c r="G139" s="63"/>
      <c r="H139" s="63"/>
      <c r="I139" s="63"/>
      <c r="M139" s="311"/>
      <c r="N139" s="312"/>
      <c r="O139" s="312"/>
      <c r="P139" s="312"/>
      <c r="Q139" s="312"/>
      <c r="R139" s="312"/>
      <c r="V139" s="311"/>
      <c r="W139" s="312"/>
      <c r="X139" s="312"/>
      <c r="Y139" s="312"/>
      <c r="Z139" s="312"/>
      <c r="AA139" s="312"/>
      <c r="AE139" s="311"/>
      <c r="AF139" s="312"/>
      <c r="AG139" s="312"/>
      <c r="AH139" s="312"/>
      <c r="AI139" s="312"/>
      <c r="AJ139" s="312"/>
    </row>
    <row r="140" spans="1:37" outlineLevel="1" x14ac:dyDescent="0.25">
      <c r="A140" s="219"/>
      <c r="B140" s="220"/>
      <c r="D140" s="509" t="s">
        <v>182</v>
      </c>
      <c r="E140" s="510" t="s">
        <v>94</v>
      </c>
      <c r="F140" s="510" t="s">
        <v>183</v>
      </c>
      <c r="G140" s="510"/>
      <c r="H140" s="510"/>
      <c r="I140" s="511"/>
      <c r="M140" s="509" t="s">
        <v>182</v>
      </c>
      <c r="N140" s="510" t="s">
        <v>94</v>
      </c>
      <c r="O140" s="510" t="s">
        <v>183</v>
      </c>
      <c r="P140" s="510"/>
      <c r="Q140" s="510"/>
      <c r="R140" s="511"/>
      <c r="V140" s="509" t="s">
        <v>182</v>
      </c>
      <c r="W140" s="510" t="s">
        <v>94</v>
      </c>
      <c r="X140" s="510" t="s">
        <v>183</v>
      </c>
      <c r="Y140" s="510"/>
      <c r="Z140" s="510"/>
      <c r="AA140" s="511"/>
      <c r="AE140" s="509" t="s">
        <v>182</v>
      </c>
      <c r="AF140" s="510" t="s">
        <v>94</v>
      </c>
      <c r="AG140" s="510" t="s">
        <v>183</v>
      </c>
      <c r="AH140" s="510"/>
      <c r="AI140" s="510"/>
      <c r="AJ140" s="511"/>
    </row>
    <row r="141" spans="1:37" hidden="1" outlineLevel="2" x14ac:dyDescent="0.25">
      <c r="A141" s="198">
        <v>279</v>
      </c>
      <c r="B141" s="199" t="s">
        <v>184</v>
      </c>
      <c r="D141" s="329">
        <f>VLOOKUP($A141,Prevs!$C:$AJ,COLUMN() - COLUMN($D141)+2,FALSE)*VLOOKUP($A141,Usinas!$C:$D,2,FALSE)</f>
        <v>44.088000000000001</v>
      </c>
      <c r="E141" s="309">
        <f>VLOOKUP($A141,Prevs!$C:$AJ,COLUMN() - COLUMN($D141)+2,FALSE)*VLOOKUP($A141,Usinas!$C:$D,2,FALSE)</f>
        <v>37.073999999999998</v>
      </c>
      <c r="F141" s="309">
        <f>VLOOKUP($A141,Prevs!$C:$AJ,COLUMN() - COLUMN($D141)+2,FALSE)*VLOOKUP($A141,Usinas!$C:$D,2,FALSE)</f>
        <v>31.3125</v>
      </c>
      <c r="G141" s="309">
        <f>VLOOKUP($A141,Prevs!$C:$AJ,COLUMN() - COLUMN($D141)+2,FALSE)*VLOOKUP($A141,Usinas!$C:$D,2,FALSE)</f>
        <v>28.056000000000001</v>
      </c>
      <c r="H141" s="309">
        <f>VLOOKUP($A141,Prevs!$C:$AJ,COLUMN() - COLUMN($D141)+2,FALSE)*VLOOKUP($A141,Usinas!$C:$D,2,FALSE)</f>
        <v>23.296500000000002</v>
      </c>
      <c r="I141" s="330">
        <f>VLOOKUP($A141,Prevs!$C:$AJ,COLUMN() - COLUMN($D141)+2,FALSE)*VLOOKUP($A141,Usinas!$C:$D,2,FALSE)</f>
        <v>19.288499999999999</v>
      </c>
      <c r="J141" s="477">
        <f ca="1">VLOOKUP($A141,Prevs_MLT!$C:$AJ,1+Entrada!$C$4,FALSE)*VLOOKUP($A141,Usinas!$C:$D,2,FALSE)</f>
        <v>115.73099999999999</v>
      </c>
      <c r="M141" s="329">
        <f>VLOOKUP($A141,Prevs!$C:$AJ,COLUMN() - COLUMN($D141)+2,FALSE)*VLOOKUP($A141,Usinas!$C:$D,2,FALSE)</f>
        <v>68.386499999999998</v>
      </c>
      <c r="N141" s="309">
        <f>VLOOKUP($A141,Prevs!$C:$AJ,COLUMN() - COLUMN($D141)+2,FALSE)*VLOOKUP($A141,Usinas!$C:$D,2,FALSE)</f>
        <v>57.615000000000002</v>
      </c>
      <c r="O141" s="309">
        <f>VLOOKUP($A141,Prevs!$C:$AJ,COLUMN() - COLUMN($D141)+2,FALSE)*VLOOKUP($A141,Usinas!$C:$D,2,FALSE)</f>
        <v>48.597000000000001</v>
      </c>
      <c r="P141" s="309">
        <f>VLOOKUP($A141,Prevs!$C:$AJ,COLUMN() - COLUMN($D141)+2,FALSE)*VLOOKUP($A141,Usinas!$C:$D,2,FALSE)</f>
        <v>43.587000000000003</v>
      </c>
      <c r="Q141" s="309">
        <f>VLOOKUP($A141,Prevs!$C:$AJ,COLUMN() - COLUMN($D141)+2,FALSE)*VLOOKUP($A141,Usinas!$C:$D,2,FALSE)</f>
        <v>36.072000000000003</v>
      </c>
      <c r="R141" s="330">
        <f>VLOOKUP($A141,Prevs!$C:$AJ,COLUMN() - COLUMN($D141)+2,FALSE)*VLOOKUP($A141,Usinas!$C:$D,2,FALSE)</f>
        <v>30.06</v>
      </c>
      <c r="V141" s="329">
        <f>VLOOKUP($A141,Prevs!$C:$AJ,COLUMN() - COLUMN($D141)+2,FALSE)*VLOOKUP($A141,Usinas!$C:$D,2,FALSE)</f>
        <v>58.116</v>
      </c>
      <c r="W141" s="309">
        <f>VLOOKUP($A141,Prevs!$C:$AJ,COLUMN() - COLUMN($D141)+2,FALSE)*VLOOKUP($A141,Usinas!$C:$D,2,FALSE)</f>
        <v>48.847499999999997</v>
      </c>
      <c r="X141" s="309">
        <f>VLOOKUP($A141,Prevs!$C:$AJ,COLUMN() - COLUMN($D141)+2,FALSE)*VLOOKUP($A141,Usinas!$C:$D,2,FALSE)</f>
        <v>41.332500000000003</v>
      </c>
      <c r="Y141" s="309">
        <f>VLOOKUP($A141,Prevs!$C:$AJ,COLUMN() - COLUMN($D141)+2,FALSE)*VLOOKUP($A141,Usinas!$C:$D,2,FALSE)</f>
        <v>37.073999999999998</v>
      </c>
      <c r="Z141" s="309">
        <f>VLOOKUP($A141,Prevs!$C:$AJ,COLUMN() - COLUMN($D141)+2,FALSE)*VLOOKUP($A141,Usinas!$C:$D,2,FALSE)</f>
        <v>30.811499999999999</v>
      </c>
      <c r="AA141" s="330">
        <f>VLOOKUP($A141,Prevs!$C:$AJ,COLUMN() - COLUMN($D141)+2,FALSE)*VLOOKUP($A141,Usinas!$C:$D,2,FALSE)</f>
        <v>25.550999999999998</v>
      </c>
      <c r="AE141" s="329">
        <f>VLOOKUP($A141,Prevs!$C:$AJ,COLUMN() - COLUMN($D141)+2,FALSE)*VLOOKUP($A141,Usinas!$C:$D,2,FALSE)</f>
        <v>44.088000000000001</v>
      </c>
      <c r="AF141" s="309">
        <f>VLOOKUP($A141,Prevs!$C:$AJ,COLUMN() - COLUMN($D141)+2,FALSE)*VLOOKUP($A141,Usinas!$C:$D,2,FALSE)</f>
        <v>37.073999999999998</v>
      </c>
      <c r="AG141" s="309">
        <f>VLOOKUP($A141,Prevs!$C:$AJ,COLUMN() - COLUMN($D141)+2,FALSE)*VLOOKUP($A141,Usinas!$C:$D,2,FALSE)</f>
        <v>31.3125</v>
      </c>
      <c r="AH141" s="309">
        <f>VLOOKUP($A141,Prevs!$C:$AJ,COLUMN() - COLUMN($D141)+2,FALSE)*VLOOKUP($A141,Usinas!$C:$D,2,FALSE)</f>
        <v>28.056000000000001</v>
      </c>
      <c r="AI141" s="309">
        <f>VLOOKUP($A141,Prevs!$C:$AJ,COLUMN() - COLUMN($D141)+2,FALSE)*VLOOKUP($A141,Usinas!$C:$D,2,FALSE)</f>
        <v>23.296500000000002</v>
      </c>
      <c r="AJ141" s="330">
        <f>VLOOKUP($A141,Prevs!$C:$AJ,COLUMN() - COLUMN($D141)+2,FALSE)*VLOOKUP($A141,Usinas!$C:$D,2,FALSE)</f>
        <v>19.288499999999999</v>
      </c>
    </row>
    <row r="142" spans="1:37" hidden="1" outlineLevel="2" x14ac:dyDescent="0.25">
      <c r="A142" s="198">
        <v>145</v>
      </c>
      <c r="B142" s="199" t="s">
        <v>185</v>
      </c>
      <c r="D142" s="329">
        <f>VLOOKUP($A142,Prevs!$C:$AJ,COLUMN() - COLUMN($D142)+2,FALSE)*VLOOKUP($A142,Usinas!$C:$D,2,FALSE)</f>
        <v>31.671200000000002</v>
      </c>
      <c r="E142" s="309">
        <f>VLOOKUP($A142,Prevs!$C:$AJ,COLUMN() - COLUMN($D142)+2,FALSE)*VLOOKUP($A142,Usinas!$C:$D,2,FALSE)</f>
        <v>33.281600000000005</v>
      </c>
      <c r="F142" s="309">
        <f>VLOOKUP($A142,Prevs!$C:$AJ,COLUMN() - COLUMN($D142)+2,FALSE)*VLOOKUP($A142,Usinas!$C:$D,2,FALSE)</f>
        <v>32.208000000000006</v>
      </c>
      <c r="G142" s="309">
        <f>VLOOKUP($A142,Prevs!$C:$AJ,COLUMN() - COLUMN($D142)+2,FALSE)*VLOOKUP($A142,Usinas!$C:$D,2,FALSE)</f>
        <v>31.134400000000003</v>
      </c>
      <c r="H142" s="309">
        <f>VLOOKUP($A142,Prevs!$C:$AJ,COLUMN() - COLUMN($D142)+2,FALSE)*VLOOKUP($A142,Usinas!$C:$D,2,FALSE)</f>
        <v>27.913600000000002</v>
      </c>
      <c r="I142" s="330">
        <f>VLOOKUP($A142,Prevs!$C:$AJ,COLUMN() - COLUMN($D142)+2,FALSE)*VLOOKUP($A142,Usinas!$C:$D,2,FALSE)</f>
        <v>27.913600000000002</v>
      </c>
      <c r="J142" s="477">
        <f ca="1">VLOOKUP($A142,Prevs_MLT!$C:$AJ,1+Entrada!$C$4,FALSE)*VLOOKUP($A142,Usinas!$C:$D,2,FALSE)</f>
        <v>41.870400000000004</v>
      </c>
      <c r="M142" s="329">
        <f>VLOOKUP($A142,Prevs!$C:$AJ,COLUMN() - COLUMN($D142)+2,FALSE)*VLOOKUP($A142,Usinas!$C:$D,2,FALSE)</f>
        <v>49.385600000000004</v>
      </c>
      <c r="N142" s="309">
        <f>VLOOKUP($A142,Prevs!$C:$AJ,COLUMN() - COLUMN($D142)+2,FALSE)*VLOOKUP($A142,Usinas!$C:$D,2,FALSE)</f>
        <v>51.532800000000009</v>
      </c>
      <c r="O142" s="309">
        <f>VLOOKUP($A142,Prevs!$C:$AJ,COLUMN() - COLUMN($D142)+2,FALSE)*VLOOKUP($A142,Usinas!$C:$D,2,FALSE)</f>
        <v>49.922400000000003</v>
      </c>
      <c r="P142" s="309">
        <f>VLOOKUP($A142,Prevs!$C:$AJ,COLUMN() - COLUMN($D142)+2,FALSE)*VLOOKUP($A142,Usinas!$C:$D,2,FALSE)</f>
        <v>48.312000000000005</v>
      </c>
      <c r="Q142" s="309">
        <f>VLOOKUP($A142,Prevs!$C:$AJ,COLUMN() - COLUMN($D142)+2,FALSE)*VLOOKUP($A142,Usinas!$C:$D,2,FALSE)</f>
        <v>43.480800000000002</v>
      </c>
      <c r="R142" s="330">
        <f>VLOOKUP($A142,Prevs!$C:$AJ,COLUMN() - COLUMN($D142)+2,FALSE)*VLOOKUP($A142,Usinas!$C:$D,2,FALSE)</f>
        <v>43.480800000000002</v>
      </c>
      <c r="V142" s="329">
        <f>VLOOKUP($A142,Prevs!$C:$AJ,COLUMN() - COLUMN($D142)+2,FALSE)*VLOOKUP($A142,Usinas!$C:$D,2,FALSE)</f>
        <v>41.870400000000004</v>
      </c>
      <c r="W142" s="309">
        <f>VLOOKUP($A142,Prevs!$C:$AJ,COLUMN() - COLUMN($D142)+2,FALSE)*VLOOKUP($A142,Usinas!$C:$D,2,FALSE)</f>
        <v>44.017600000000002</v>
      </c>
      <c r="X142" s="309">
        <f>VLOOKUP($A142,Prevs!$C:$AJ,COLUMN() - COLUMN($D142)+2,FALSE)*VLOOKUP($A142,Usinas!$C:$D,2,FALSE)</f>
        <v>42.407200000000003</v>
      </c>
      <c r="Y142" s="309">
        <f>VLOOKUP($A142,Prevs!$C:$AJ,COLUMN() - COLUMN($D142)+2,FALSE)*VLOOKUP($A142,Usinas!$C:$D,2,FALSE)</f>
        <v>40.796800000000005</v>
      </c>
      <c r="Z142" s="309">
        <f>VLOOKUP($A142,Prevs!$C:$AJ,COLUMN() - COLUMN($D142)+2,FALSE)*VLOOKUP($A142,Usinas!$C:$D,2,FALSE)</f>
        <v>37.039200000000001</v>
      </c>
      <c r="AA142" s="330">
        <f>VLOOKUP($A142,Prevs!$C:$AJ,COLUMN() - COLUMN($D142)+2,FALSE)*VLOOKUP($A142,Usinas!$C:$D,2,FALSE)</f>
        <v>37.039200000000001</v>
      </c>
      <c r="AE142" s="329">
        <f>VLOOKUP($A142,Prevs!$C:$AJ,COLUMN() - COLUMN($D142)+2,FALSE)*VLOOKUP($A142,Usinas!$C:$D,2,FALSE)</f>
        <v>31.671200000000002</v>
      </c>
      <c r="AF142" s="309">
        <f>VLOOKUP($A142,Prevs!$C:$AJ,COLUMN() - COLUMN($D142)+2,FALSE)*VLOOKUP($A142,Usinas!$C:$D,2,FALSE)</f>
        <v>33.281600000000005</v>
      </c>
      <c r="AG142" s="309">
        <f>VLOOKUP($A142,Prevs!$C:$AJ,COLUMN() - COLUMN($D142)+2,FALSE)*VLOOKUP($A142,Usinas!$C:$D,2,FALSE)</f>
        <v>32.208000000000006</v>
      </c>
      <c r="AH142" s="309">
        <f>VLOOKUP($A142,Prevs!$C:$AJ,COLUMN() - COLUMN($D142)+2,FALSE)*VLOOKUP($A142,Usinas!$C:$D,2,FALSE)</f>
        <v>31.134400000000003</v>
      </c>
      <c r="AI142" s="309">
        <f>VLOOKUP($A142,Prevs!$C:$AJ,COLUMN() - COLUMN($D142)+2,FALSE)*VLOOKUP($A142,Usinas!$C:$D,2,FALSE)</f>
        <v>27.913600000000002</v>
      </c>
      <c r="AJ142" s="330">
        <f>VLOOKUP($A142,Prevs!$C:$AJ,COLUMN() - COLUMN($D142)+2,FALSE)*VLOOKUP($A142,Usinas!$C:$D,2,FALSE)</f>
        <v>27.913600000000002</v>
      </c>
    </row>
    <row r="143" spans="1:37" hidden="1" outlineLevel="2" x14ac:dyDescent="0.25">
      <c r="A143" s="198">
        <v>285</v>
      </c>
      <c r="B143" s="199" t="s">
        <v>186</v>
      </c>
      <c r="D143" s="329">
        <f>VLOOKUP($A143,Prevs!$C:$AJ,COLUMN() - COLUMN($D143)+2,FALSE)*VLOOKUP($A143,Usinas!$C:$D,2,FALSE)</f>
        <v>0</v>
      </c>
      <c r="E143" s="309">
        <f>VLOOKUP($A143,Prevs!$C:$AJ,COLUMN() - COLUMN($D143)+2,FALSE)*VLOOKUP($A143,Usinas!$C:$D,2,FALSE)</f>
        <v>0</v>
      </c>
      <c r="F143" s="309">
        <f>VLOOKUP($A143,Prevs!$C:$AJ,COLUMN() - COLUMN($D143)+2,FALSE)*VLOOKUP($A143,Usinas!$C:$D,2,FALSE)</f>
        <v>0</v>
      </c>
      <c r="G143" s="309">
        <f>VLOOKUP($A143,Prevs!$C:$AJ,COLUMN() - COLUMN($D143)+2,FALSE)*VLOOKUP($A143,Usinas!$C:$D,2,FALSE)</f>
        <v>0</v>
      </c>
      <c r="H143" s="309">
        <f>VLOOKUP($A143,Prevs!$C:$AJ,COLUMN() - COLUMN($D143)+2,FALSE)*VLOOKUP($A143,Usinas!$C:$D,2,FALSE)</f>
        <v>0</v>
      </c>
      <c r="I143" s="330">
        <f>VLOOKUP($A143,Prevs!$C:$AJ,COLUMN() - COLUMN($D143)+2,FALSE)*VLOOKUP($A143,Usinas!$C:$D,2,FALSE)</f>
        <v>0</v>
      </c>
      <c r="J143" s="477">
        <f ca="1">VLOOKUP($A143,Prevs_MLT!$C:$AJ,1+Entrada!$C$4,FALSE)*VLOOKUP($A143,Usinas!$C:$D,2,FALSE)</f>
        <v>0</v>
      </c>
      <c r="M143" s="329">
        <f>VLOOKUP($A143,Prevs!$C:$AJ,COLUMN() - COLUMN($D143)+2,FALSE)*VLOOKUP($A143,Usinas!$C:$D,2,FALSE)</f>
        <v>0</v>
      </c>
      <c r="N143" s="309">
        <f>VLOOKUP($A143,Prevs!$C:$AJ,COLUMN() - COLUMN($D143)+2,FALSE)*VLOOKUP($A143,Usinas!$C:$D,2,FALSE)</f>
        <v>0</v>
      </c>
      <c r="O143" s="309">
        <f>VLOOKUP($A143,Prevs!$C:$AJ,COLUMN() - COLUMN($D143)+2,FALSE)*VLOOKUP($A143,Usinas!$C:$D,2,FALSE)</f>
        <v>0</v>
      </c>
      <c r="P143" s="309">
        <f>VLOOKUP($A143,Prevs!$C:$AJ,COLUMN() - COLUMN($D143)+2,FALSE)*VLOOKUP($A143,Usinas!$C:$D,2,FALSE)</f>
        <v>0</v>
      </c>
      <c r="Q143" s="309">
        <f>VLOOKUP($A143,Prevs!$C:$AJ,COLUMN() - COLUMN($D143)+2,FALSE)*VLOOKUP($A143,Usinas!$C:$D,2,FALSE)</f>
        <v>0</v>
      </c>
      <c r="R143" s="330">
        <f>VLOOKUP($A143,Prevs!$C:$AJ,COLUMN() - COLUMN($D143)+2,FALSE)*VLOOKUP($A143,Usinas!$C:$D,2,FALSE)</f>
        <v>0</v>
      </c>
      <c r="V143" s="329">
        <f>VLOOKUP($A143,Prevs!$C:$AJ,COLUMN() - COLUMN($D143)+2,FALSE)*VLOOKUP($A143,Usinas!$C:$D,2,FALSE)</f>
        <v>0</v>
      </c>
      <c r="W143" s="309">
        <f>VLOOKUP($A143,Prevs!$C:$AJ,COLUMN() - COLUMN($D143)+2,FALSE)*VLOOKUP($A143,Usinas!$C:$D,2,FALSE)</f>
        <v>0</v>
      </c>
      <c r="X143" s="309">
        <f>VLOOKUP($A143,Prevs!$C:$AJ,COLUMN() - COLUMN($D143)+2,FALSE)*VLOOKUP($A143,Usinas!$C:$D,2,FALSE)</f>
        <v>0</v>
      </c>
      <c r="Y143" s="309">
        <f>VLOOKUP($A143,Prevs!$C:$AJ,COLUMN() - COLUMN($D143)+2,FALSE)*VLOOKUP($A143,Usinas!$C:$D,2,FALSE)</f>
        <v>0</v>
      </c>
      <c r="Z143" s="309">
        <f>VLOOKUP($A143,Prevs!$C:$AJ,COLUMN() - COLUMN($D143)+2,FALSE)*VLOOKUP($A143,Usinas!$C:$D,2,FALSE)</f>
        <v>0</v>
      </c>
      <c r="AA143" s="330">
        <f>VLOOKUP($A143,Prevs!$C:$AJ,COLUMN() - COLUMN($D143)+2,FALSE)*VLOOKUP($A143,Usinas!$C:$D,2,FALSE)</f>
        <v>0</v>
      </c>
      <c r="AE143" s="329">
        <f>VLOOKUP($A143,Prevs!$C:$AJ,COLUMN() - COLUMN($D143)+2,FALSE)*VLOOKUP($A143,Usinas!$C:$D,2,FALSE)</f>
        <v>0</v>
      </c>
      <c r="AF143" s="309">
        <f>VLOOKUP($A143,Prevs!$C:$AJ,COLUMN() - COLUMN($D143)+2,FALSE)*VLOOKUP($A143,Usinas!$C:$D,2,FALSE)</f>
        <v>0</v>
      </c>
      <c r="AG143" s="309">
        <f>VLOOKUP($A143,Prevs!$C:$AJ,COLUMN() - COLUMN($D143)+2,FALSE)*VLOOKUP($A143,Usinas!$C:$D,2,FALSE)</f>
        <v>0</v>
      </c>
      <c r="AH143" s="309">
        <f>VLOOKUP($A143,Prevs!$C:$AJ,COLUMN() - COLUMN($D143)+2,FALSE)*VLOOKUP($A143,Usinas!$C:$D,2,FALSE)</f>
        <v>0</v>
      </c>
      <c r="AI143" s="309">
        <f>VLOOKUP($A143,Prevs!$C:$AJ,COLUMN() - COLUMN($D143)+2,FALSE)*VLOOKUP($A143,Usinas!$C:$D,2,FALSE)</f>
        <v>0</v>
      </c>
      <c r="AJ143" s="330">
        <f>VLOOKUP($A143,Prevs!$C:$AJ,COLUMN() - COLUMN($D143)+2,FALSE)*VLOOKUP($A143,Usinas!$C:$D,2,FALSE)</f>
        <v>0</v>
      </c>
    </row>
    <row r="144" spans="1:37" hidden="1" outlineLevel="2" x14ac:dyDescent="0.25">
      <c r="A144" s="198">
        <v>287</v>
      </c>
      <c r="B144" s="199" t="s">
        <v>187</v>
      </c>
      <c r="D144" s="329">
        <f>VLOOKUP($A144,Prevs!$C:$AJ,COLUMN() - COLUMN($D144)+2,FALSE)*VLOOKUP($A144,Usinas!$C:$D,2,FALSE)</f>
        <v>0</v>
      </c>
      <c r="E144" s="309">
        <f>VLOOKUP($A144,Prevs!$C:$AJ,COLUMN() - COLUMN($D144)+2,FALSE)*VLOOKUP($A144,Usinas!$C:$D,2,FALSE)</f>
        <v>0</v>
      </c>
      <c r="F144" s="309">
        <f>VLOOKUP($A144,Prevs!$C:$AJ,COLUMN() - COLUMN($D144)+2,FALSE)*VLOOKUP($A144,Usinas!$C:$D,2,FALSE)</f>
        <v>0</v>
      </c>
      <c r="G144" s="309">
        <f>VLOOKUP($A144,Prevs!$C:$AJ,COLUMN() - COLUMN($D144)+2,FALSE)*VLOOKUP($A144,Usinas!$C:$D,2,FALSE)</f>
        <v>0</v>
      </c>
      <c r="H144" s="309">
        <f>VLOOKUP($A144,Prevs!$C:$AJ,COLUMN() - COLUMN($D144)+2,FALSE)*VLOOKUP($A144,Usinas!$C:$D,2,FALSE)</f>
        <v>0</v>
      </c>
      <c r="I144" s="330">
        <f>VLOOKUP($A144,Prevs!$C:$AJ,COLUMN() - COLUMN($D144)+2,FALSE)*VLOOKUP($A144,Usinas!$C:$D,2,FALSE)</f>
        <v>0</v>
      </c>
      <c r="J144" s="477">
        <f ca="1">VLOOKUP($A144,Prevs_MLT!$C:$AJ,1+Entrada!$C$4,FALSE)*VLOOKUP($A144,Usinas!$C:$D,2,FALSE)</f>
        <v>0</v>
      </c>
      <c r="M144" s="329">
        <f>VLOOKUP($A144,Prevs!$C:$AJ,COLUMN() - COLUMN($D144)+2,FALSE)*VLOOKUP($A144,Usinas!$C:$D,2,FALSE)</f>
        <v>0</v>
      </c>
      <c r="N144" s="309">
        <f>VLOOKUP($A144,Prevs!$C:$AJ,COLUMN() - COLUMN($D144)+2,FALSE)*VLOOKUP($A144,Usinas!$C:$D,2,FALSE)</f>
        <v>0</v>
      </c>
      <c r="O144" s="309">
        <f>VLOOKUP($A144,Prevs!$C:$AJ,COLUMN() - COLUMN($D144)+2,FALSE)*VLOOKUP($A144,Usinas!$C:$D,2,FALSE)</f>
        <v>0</v>
      </c>
      <c r="P144" s="309">
        <f>VLOOKUP($A144,Prevs!$C:$AJ,COLUMN() - COLUMN($D144)+2,FALSE)*VLOOKUP($A144,Usinas!$C:$D,2,FALSE)</f>
        <v>0</v>
      </c>
      <c r="Q144" s="309">
        <f>VLOOKUP($A144,Prevs!$C:$AJ,COLUMN() - COLUMN($D144)+2,FALSE)*VLOOKUP($A144,Usinas!$C:$D,2,FALSE)</f>
        <v>0</v>
      </c>
      <c r="R144" s="330">
        <f>VLOOKUP($A144,Prevs!$C:$AJ,COLUMN() - COLUMN($D144)+2,FALSE)*VLOOKUP($A144,Usinas!$C:$D,2,FALSE)</f>
        <v>0</v>
      </c>
      <c r="V144" s="329">
        <f>VLOOKUP($A144,Prevs!$C:$AJ,COLUMN() - COLUMN($D144)+2,FALSE)*VLOOKUP($A144,Usinas!$C:$D,2,FALSE)</f>
        <v>0</v>
      </c>
      <c r="W144" s="309">
        <f>VLOOKUP($A144,Prevs!$C:$AJ,COLUMN() - COLUMN($D144)+2,FALSE)*VLOOKUP($A144,Usinas!$C:$D,2,FALSE)</f>
        <v>0</v>
      </c>
      <c r="X144" s="309">
        <f>VLOOKUP($A144,Prevs!$C:$AJ,COLUMN() - COLUMN($D144)+2,FALSE)*VLOOKUP($A144,Usinas!$C:$D,2,FALSE)</f>
        <v>0</v>
      </c>
      <c r="Y144" s="309">
        <f>VLOOKUP($A144,Prevs!$C:$AJ,COLUMN() - COLUMN($D144)+2,FALSE)*VLOOKUP($A144,Usinas!$C:$D,2,FALSE)</f>
        <v>0</v>
      </c>
      <c r="Z144" s="309">
        <f>VLOOKUP($A144,Prevs!$C:$AJ,COLUMN() - COLUMN($D144)+2,FALSE)*VLOOKUP($A144,Usinas!$C:$D,2,FALSE)</f>
        <v>0</v>
      </c>
      <c r="AA144" s="330">
        <f>VLOOKUP($A144,Prevs!$C:$AJ,COLUMN() - COLUMN($D144)+2,FALSE)*VLOOKUP($A144,Usinas!$C:$D,2,FALSE)</f>
        <v>0</v>
      </c>
      <c r="AE144" s="329">
        <f>VLOOKUP($A144,Prevs!$C:$AJ,COLUMN() - COLUMN($D144)+2,FALSE)*VLOOKUP($A144,Usinas!$C:$D,2,FALSE)</f>
        <v>0</v>
      </c>
      <c r="AF144" s="309">
        <f>VLOOKUP($A144,Prevs!$C:$AJ,COLUMN() - COLUMN($D144)+2,FALSE)*VLOOKUP($A144,Usinas!$C:$D,2,FALSE)</f>
        <v>0</v>
      </c>
      <c r="AG144" s="309">
        <f>VLOOKUP($A144,Prevs!$C:$AJ,COLUMN() - COLUMN($D144)+2,FALSE)*VLOOKUP($A144,Usinas!$C:$D,2,FALSE)</f>
        <v>0</v>
      </c>
      <c r="AH144" s="309">
        <f>VLOOKUP($A144,Prevs!$C:$AJ,COLUMN() - COLUMN($D144)+2,FALSE)*VLOOKUP($A144,Usinas!$C:$D,2,FALSE)</f>
        <v>0</v>
      </c>
      <c r="AI144" s="309">
        <f>VLOOKUP($A144,Prevs!$C:$AJ,COLUMN() - COLUMN($D144)+2,FALSE)*VLOOKUP($A144,Usinas!$C:$D,2,FALSE)</f>
        <v>0</v>
      </c>
      <c r="AJ144" s="330">
        <f>VLOOKUP($A144,Prevs!$C:$AJ,COLUMN() - COLUMN($D144)+2,FALSE)*VLOOKUP($A144,Usinas!$C:$D,2,FALSE)</f>
        <v>0</v>
      </c>
    </row>
    <row r="145" spans="1:37" hidden="1" outlineLevel="2" x14ac:dyDescent="0.25">
      <c r="A145" s="198">
        <v>291</v>
      </c>
      <c r="B145" s="199" t="s">
        <v>188</v>
      </c>
      <c r="D145" s="329">
        <f>VLOOKUP($A145,Prevs!$C:$AJ,COLUMN() - COLUMN($D145)+2,FALSE)*VLOOKUP($A145,Usinas!$C:$D,2,FALSE)</f>
        <v>178.99340000000001</v>
      </c>
      <c r="E145" s="309">
        <f>VLOOKUP($A145,Prevs!$C:$AJ,COLUMN() - COLUMN($D145)+2,FALSE)*VLOOKUP($A145,Usinas!$C:$D,2,FALSE)</f>
        <v>152.0575</v>
      </c>
      <c r="F145" s="309">
        <f>VLOOKUP($A145,Prevs!$C:$AJ,COLUMN() - COLUMN($D145)+2,FALSE)*VLOOKUP($A145,Usinas!$C:$D,2,FALSE)</f>
        <v>125.9905</v>
      </c>
      <c r="G145" s="309">
        <f>VLOOKUP($A145,Prevs!$C:$AJ,COLUMN() - COLUMN($D145)+2,FALSE)*VLOOKUP($A145,Usinas!$C:$D,2,FALSE)</f>
        <v>106.8747</v>
      </c>
      <c r="H145" s="309">
        <f>VLOOKUP($A145,Prevs!$C:$AJ,COLUMN() - COLUMN($D145)+2,FALSE)*VLOOKUP($A145,Usinas!$C:$D,2,FALSE)</f>
        <v>92.103399999999993</v>
      </c>
      <c r="I145" s="330">
        <f>VLOOKUP($A145,Prevs!$C:$AJ,COLUMN() - COLUMN($D145)+2,FALSE)*VLOOKUP($A145,Usinas!$C:$D,2,FALSE)</f>
        <v>76.463200000000001</v>
      </c>
      <c r="J145" s="477">
        <f ca="1">VLOOKUP($A145,Prevs_MLT!$C:$AJ,1+Entrada!$C$4,FALSE)*VLOOKUP($A145,Usinas!$C:$D,2,FALSE)</f>
        <v>402.30070000000001</v>
      </c>
      <c r="M145" s="329">
        <f>VLOOKUP($A145,Prevs!$C:$AJ,COLUMN() - COLUMN($D145)+2,FALSE)*VLOOKUP($A145,Usinas!$C:$D,2,FALSE)</f>
        <v>278.048</v>
      </c>
      <c r="N145" s="309">
        <f>VLOOKUP($A145,Prevs!$C:$AJ,COLUMN() - COLUMN($D145)+2,FALSE)*VLOOKUP($A145,Usinas!$C:$D,2,FALSE)</f>
        <v>236.3408</v>
      </c>
      <c r="O145" s="309">
        <f>VLOOKUP($A145,Prevs!$C:$AJ,COLUMN() - COLUMN($D145)+2,FALSE)*VLOOKUP($A145,Usinas!$C:$D,2,FALSE)</f>
        <v>195.5025</v>
      </c>
      <c r="P145" s="309">
        <f>VLOOKUP($A145,Prevs!$C:$AJ,COLUMN() - COLUMN($D145)+2,FALSE)*VLOOKUP($A145,Usinas!$C:$D,2,FALSE)</f>
        <v>165.9599</v>
      </c>
      <c r="Q145" s="309">
        <f>VLOOKUP($A145,Prevs!$C:$AJ,COLUMN() - COLUMN($D145)+2,FALSE)*VLOOKUP($A145,Usinas!$C:$D,2,FALSE)</f>
        <v>143.36850000000001</v>
      </c>
      <c r="R145" s="330">
        <f>VLOOKUP($A145,Prevs!$C:$AJ,COLUMN() - COLUMN($D145)+2,FALSE)*VLOOKUP($A145,Usinas!$C:$D,2,FALSE)</f>
        <v>119.0393</v>
      </c>
      <c r="V145" s="329">
        <f>VLOOKUP($A145,Prevs!$C:$AJ,COLUMN() - COLUMN($D145)+2,FALSE)*VLOOKUP($A145,Usinas!$C:$D,2,FALSE)</f>
        <v>236.3408</v>
      </c>
      <c r="W145" s="309">
        <f>VLOOKUP($A145,Prevs!$C:$AJ,COLUMN() - COLUMN($D145)+2,FALSE)*VLOOKUP($A145,Usinas!$C:$D,2,FALSE)</f>
        <v>200.7159</v>
      </c>
      <c r="X145" s="309">
        <f>VLOOKUP($A145,Prevs!$C:$AJ,COLUMN() - COLUMN($D145)+2,FALSE)*VLOOKUP($A145,Usinas!$C:$D,2,FALSE)</f>
        <v>165.9599</v>
      </c>
      <c r="Y145" s="309">
        <f>VLOOKUP($A145,Prevs!$C:$AJ,COLUMN() - COLUMN($D145)+2,FALSE)*VLOOKUP($A145,Usinas!$C:$D,2,FALSE)</f>
        <v>140.76179999999999</v>
      </c>
      <c r="Z145" s="309">
        <f>VLOOKUP($A145,Prevs!$C:$AJ,COLUMN() - COLUMN($D145)+2,FALSE)*VLOOKUP($A145,Usinas!$C:$D,2,FALSE)</f>
        <v>121.646</v>
      </c>
      <c r="AA145" s="330">
        <f>VLOOKUP($A145,Prevs!$C:$AJ,COLUMN() - COLUMN($D145)+2,FALSE)*VLOOKUP($A145,Usinas!$C:$D,2,FALSE)</f>
        <v>100.7924</v>
      </c>
      <c r="AE145" s="329">
        <f>VLOOKUP($A145,Prevs!$C:$AJ,COLUMN() - COLUMN($D145)+2,FALSE)*VLOOKUP($A145,Usinas!$C:$D,2,FALSE)</f>
        <v>178.99340000000001</v>
      </c>
      <c r="AF145" s="309">
        <f>VLOOKUP($A145,Prevs!$C:$AJ,COLUMN() - COLUMN($D145)+2,FALSE)*VLOOKUP($A145,Usinas!$C:$D,2,FALSE)</f>
        <v>152.0575</v>
      </c>
      <c r="AG145" s="309">
        <f>VLOOKUP($A145,Prevs!$C:$AJ,COLUMN() - COLUMN($D145)+2,FALSE)*VLOOKUP($A145,Usinas!$C:$D,2,FALSE)</f>
        <v>125.9905</v>
      </c>
      <c r="AH145" s="309">
        <f>VLOOKUP($A145,Prevs!$C:$AJ,COLUMN() - COLUMN($D145)+2,FALSE)*VLOOKUP($A145,Usinas!$C:$D,2,FALSE)</f>
        <v>106.8747</v>
      </c>
      <c r="AI145" s="309">
        <f>VLOOKUP($A145,Prevs!$C:$AJ,COLUMN() - COLUMN($D145)+2,FALSE)*VLOOKUP($A145,Usinas!$C:$D,2,FALSE)</f>
        <v>92.103399999999993</v>
      </c>
      <c r="AJ145" s="330">
        <f>VLOOKUP($A145,Prevs!$C:$AJ,COLUMN() - COLUMN($D145)+2,FALSE)*VLOOKUP($A145,Usinas!$C:$D,2,FALSE)</f>
        <v>76.463200000000001</v>
      </c>
    </row>
    <row r="146" spans="1:37" hidden="1" outlineLevel="2" x14ac:dyDescent="0.25">
      <c r="A146" s="198">
        <v>296</v>
      </c>
      <c r="B146" s="199" t="s">
        <v>189</v>
      </c>
      <c r="D146" s="329">
        <f>VLOOKUP($A146,Prevs!$C:$AJ,COLUMN() - COLUMN($D146)+2,FALSE)*VLOOKUP($A146,Usinas!$C:$D,2,FALSE)</f>
        <v>50.788800000000002</v>
      </c>
      <c r="E146" s="309">
        <f>VLOOKUP($A146,Prevs!$C:$AJ,COLUMN() - COLUMN($D146)+2,FALSE)*VLOOKUP($A146,Usinas!$C:$D,2,FALSE)</f>
        <v>50.788800000000002</v>
      </c>
      <c r="F146" s="309">
        <f>VLOOKUP($A146,Prevs!$C:$AJ,COLUMN() - COLUMN($D146)+2,FALSE)*VLOOKUP($A146,Usinas!$C:$D,2,FALSE)</f>
        <v>49.378</v>
      </c>
      <c r="G146" s="309">
        <f>VLOOKUP($A146,Prevs!$C:$AJ,COLUMN() - COLUMN($D146)+2,FALSE)*VLOOKUP($A146,Usinas!$C:$D,2,FALSE)</f>
        <v>49.378</v>
      </c>
      <c r="H146" s="309">
        <f>VLOOKUP($A146,Prevs!$C:$AJ,COLUMN() - COLUMN($D146)+2,FALSE)*VLOOKUP($A146,Usinas!$C:$D,2,FALSE)</f>
        <v>49.378</v>
      </c>
      <c r="I146" s="330">
        <f>VLOOKUP($A146,Prevs!$C:$AJ,COLUMN() - COLUMN($D146)+2,FALSE)*VLOOKUP($A146,Usinas!$C:$D,2,FALSE)</f>
        <v>47.967200000000005</v>
      </c>
      <c r="J146" s="477">
        <f ca="1">VLOOKUP($A146,Prevs_MLT!$C:$AJ,1+Entrada!$C$4,FALSE)*VLOOKUP($A146,Usinas!$C:$D,2,FALSE)</f>
        <v>47.967200000000005</v>
      </c>
      <c r="M146" s="329">
        <f>VLOOKUP($A146,Prevs!$C:$AJ,COLUMN() - COLUMN($D146)+2,FALSE)*VLOOKUP($A146,Usinas!$C:$D,2,FALSE)</f>
        <v>79.004800000000003</v>
      </c>
      <c r="N146" s="309">
        <f>VLOOKUP($A146,Prevs!$C:$AJ,COLUMN() - COLUMN($D146)+2,FALSE)*VLOOKUP($A146,Usinas!$C:$D,2,FALSE)</f>
        <v>79.004800000000003</v>
      </c>
      <c r="O146" s="309">
        <f>VLOOKUP($A146,Prevs!$C:$AJ,COLUMN() - COLUMN($D146)+2,FALSE)*VLOOKUP($A146,Usinas!$C:$D,2,FALSE)</f>
        <v>76.183199999999999</v>
      </c>
      <c r="P146" s="309">
        <f>VLOOKUP($A146,Prevs!$C:$AJ,COLUMN() - COLUMN($D146)+2,FALSE)*VLOOKUP($A146,Usinas!$C:$D,2,FALSE)</f>
        <v>76.183199999999999</v>
      </c>
      <c r="Q146" s="309">
        <f>VLOOKUP($A146,Prevs!$C:$AJ,COLUMN() - COLUMN($D146)+2,FALSE)*VLOOKUP($A146,Usinas!$C:$D,2,FALSE)</f>
        <v>76.183199999999999</v>
      </c>
      <c r="R146" s="330">
        <f>VLOOKUP($A146,Prevs!$C:$AJ,COLUMN() - COLUMN($D146)+2,FALSE)*VLOOKUP($A146,Usinas!$C:$D,2,FALSE)</f>
        <v>74.772400000000005</v>
      </c>
      <c r="V146" s="329">
        <f>VLOOKUP($A146,Prevs!$C:$AJ,COLUMN() - COLUMN($D146)+2,FALSE)*VLOOKUP($A146,Usinas!$C:$D,2,FALSE)</f>
        <v>66.307600000000008</v>
      </c>
      <c r="W146" s="309">
        <f>VLOOKUP($A146,Prevs!$C:$AJ,COLUMN() - COLUMN($D146)+2,FALSE)*VLOOKUP($A146,Usinas!$C:$D,2,FALSE)</f>
        <v>66.307600000000008</v>
      </c>
      <c r="X146" s="309">
        <f>VLOOKUP($A146,Prevs!$C:$AJ,COLUMN() - COLUMN($D146)+2,FALSE)*VLOOKUP($A146,Usinas!$C:$D,2,FALSE)</f>
        <v>64.896799999999999</v>
      </c>
      <c r="Y146" s="309">
        <f>VLOOKUP($A146,Prevs!$C:$AJ,COLUMN() - COLUMN($D146)+2,FALSE)*VLOOKUP($A146,Usinas!$C:$D,2,FALSE)</f>
        <v>64.896799999999999</v>
      </c>
      <c r="Z146" s="309">
        <f>VLOOKUP($A146,Prevs!$C:$AJ,COLUMN() - COLUMN($D146)+2,FALSE)*VLOOKUP($A146,Usinas!$C:$D,2,FALSE)</f>
        <v>64.896799999999999</v>
      </c>
      <c r="AA146" s="330">
        <f>VLOOKUP($A146,Prevs!$C:$AJ,COLUMN() - COLUMN($D146)+2,FALSE)*VLOOKUP($A146,Usinas!$C:$D,2,FALSE)</f>
        <v>63.486000000000004</v>
      </c>
      <c r="AE146" s="329">
        <f>VLOOKUP($A146,Prevs!$C:$AJ,COLUMN() - COLUMN($D146)+2,FALSE)*VLOOKUP($A146,Usinas!$C:$D,2,FALSE)</f>
        <v>50.788800000000002</v>
      </c>
      <c r="AF146" s="309">
        <f>VLOOKUP($A146,Prevs!$C:$AJ,COLUMN() - COLUMN($D146)+2,FALSE)*VLOOKUP($A146,Usinas!$C:$D,2,FALSE)</f>
        <v>50.788800000000002</v>
      </c>
      <c r="AG146" s="309">
        <f>VLOOKUP($A146,Prevs!$C:$AJ,COLUMN() - COLUMN($D146)+2,FALSE)*VLOOKUP($A146,Usinas!$C:$D,2,FALSE)</f>
        <v>49.378</v>
      </c>
      <c r="AH146" s="309">
        <f>VLOOKUP($A146,Prevs!$C:$AJ,COLUMN() - COLUMN($D146)+2,FALSE)*VLOOKUP($A146,Usinas!$C:$D,2,FALSE)</f>
        <v>49.378</v>
      </c>
      <c r="AI146" s="309">
        <f>VLOOKUP($A146,Prevs!$C:$AJ,COLUMN() - COLUMN($D146)+2,FALSE)*VLOOKUP($A146,Usinas!$C:$D,2,FALSE)</f>
        <v>49.378</v>
      </c>
      <c r="AJ146" s="330">
        <f>VLOOKUP($A146,Prevs!$C:$AJ,COLUMN() - COLUMN($D146)+2,FALSE)*VLOOKUP($A146,Usinas!$C:$D,2,FALSE)</f>
        <v>47.967200000000005</v>
      </c>
    </row>
    <row r="147" spans="1:37" outlineLevel="1" collapsed="1" x14ac:dyDescent="0.25">
      <c r="A147" s="221"/>
      <c r="B147" s="222" t="s">
        <v>92</v>
      </c>
      <c r="D147" s="225">
        <f t="shared" ref="D147:I147" si="66">SUM(D141:D146)</f>
        <v>305.54140000000001</v>
      </c>
      <c r="E147" s="59">
        <f t="shared" si="66"/>
        <v>273.20190000000002</v>
      </c>
      <c r="F147" s="59">
        <f t="shared" si="66"/>
        <v>238.88900000000001</v>
      </c>
      <c r="G147" s="59">
        <f t="shared" si="66"/>
        <v>215.44310000000002</v>
      </c>
      <c r="H147" s="59">
        <f t="shared" si="66"/>
        <v>192.69150000000002</v>
      </c>
      <c r="I147" s="226">
        <f t="shared" si="66"/>
        <v>171.63249999999999</v>
      </c>
      <c r="J147" s="423">
        <f ca="1">SUMPRODUCT(D147:I147,Saida!$B$7:$G$7)/SUM(Saida!$B$7:$G$7)</f>
        <v>230.62508</v>
      </c>
      <c r="M147" s="355">
        <f t="shared" ref="M147:R147" si="67">SUM(M141:M146)</f>
        <v>474.82490000000001</v>
      </c>
      <c r="N147" s="310">
        <f t="shared" si="67"/>
        <v>424.49340000000001</v>
      </c>
      <c r="O147" s="310">
        <f t="shared" si="67"/>
        <v>370.20510000000002</v>
      </c>
      <c r="P147" s="310">
        <f t="shared" si="67"/>
        <v>334.0421</v>
      </c>
      <c r="Q147" s="310">
        <f t="shared" si="67"/>
        <v>299.10450000000003</v>
      </c>
      <c r="R147" s="356">
        <f t="shared" si="67"/>
        <v>267.35250000000002</v>
      </c>
      <c r="S147" s="423">
        <f ca="1">SUMPRODUCT(M147:R147,Saida!$B$7:$G$7)/SUM(Saida!$B$7:$G$7)</f>
        <v>357.90310333333338</v>
      </c>
      <c r="V147" s="355">
        <f t="shared" ref="V147:AA147" si="68">SUM(V141:V146)</f>
        <v>402.63480000000004</v>
      </c>
      <c r="W147" s="310">
        <f t="shared" si="68"/>
        <v>359.8886</v>
      </c>
      <c r="X147" s="310">
        <f t="shared" si="68"/>
        <v>314.59640000000002</v>
      </c>
      <c r="Y147" s="310">
        <f t="shared" si="68"/>
        <v>283.52940000000001</v>
      </c>
      <c r="Z147" s="310">
        <f t="shared" si="68"/>
        <v>254.39350000000002</v>
      </c>
      <c r="AA147" s="356">
        <f t="shared" si="68"/>
        <v>226.86860000000001</v>
      </c>
      <c r="AB147" s="423">
        <f ca="1">SUMPRODUCT(V147:AA147,Saida!$B$7:$G$7)/SUM(Saida!$B$7:$G$7)</f>
        <v>303.87862333333328</v>
      </c>
      <c r="AE147" s="355">
        <f t="shared" ref="AE147:AJ147" si="69">SUM(AE141:AE146)</f>
        <v>305.54140000000001</v>
      </c>
      <c r="AF147" s="310">
        <f t="shared" si="69"/>
        <v>273.20190000000002</v>
      </c>
      <c r="AG147" s="310">
        <f t="shared" si="69"/>
        <v>238.88900000000001</v>
      </c>
      <c r="AH147" s="310">
        <f t="shared" si="69"/>
        <v>215.44310000000002</v>
      </c>
      <c r="AI147" s="310">
        <f t="shared" si="69"/>
        <v>192.69150000000002</v>
      </c>
      <c r="AJ147" s="356">
        <f t="shared" si="69"/>
        <v>171.63249999999999</v>
      </c>
      <c r="AK147" s="423">
        <f ca="1">SUMPRODUCT(AE147:AJ147,Saida!$B$7:$G$7)/SUM(Saida!$B$7:$G$7)</f>
        <v>230.62508</v>
      </c>
    </row>
    <row r="148" spans="1:37" outlineLevel="1" x14ac:dyDescent="0.25">
      <c r="A148" s="223"/>
      <c r="B148" s="224" t="s">
        <v>13</v>
      </c>
      <c r="D148" s="216"/>
      <c r="E148" s="217"/>
      <c r="F148" s="217"/>
      <c r="G148" s="217"/>
      <c r="H148" s="217"/>
      <c r="I148" s="218"/>
      <c r="J148" s="478">
        <f ca="1">SUM(J141:J146)</f>
        <v>607.86930000000007</v>
      </c>
      <c r="M148" s="352"/>
      <c r="N148" s="353"/>
      <c r="O148" s="353"/>
      <c r="P148" s="353"/>
      <c r="Q148" s="353"/>
      <c r="R148" s="354"/>
      <c r="V148" s="352"/>
      <c r="W148" s="353"/>
      <c r="X148" s="353"/>
      <c r="Y148" s="353"/>
      <c r="Z148" s="353"/>
      <c r="AA148" s="354"/>
      <c r="AE148" s="352"/>
      <c r="AF148" s="353"/>
      <c r="AG148" s="353"/>
      <c r="AH148" s="353"/>
      <c r="AI148" s="353"/>
      <c r="AJ148" s="354"/>
    </row>
    <row r="149" spans="1:37" outlineLevel="1" x14ac:dyDescent="0.25">
      <c r="A149" s="60"/>
      <c r="B149" s="61"/>
      <c r="D149" s="62"/>
      <c r="E149" s="63"/>
      <c r="F149" s="63"/>
      <c r="G149" s="63"/>
      <c r="H149" s="63"/>
      <c r="I149" s="63"/>
      <c r="M149" s="311"/>
      <c r="N149" s="312"/>
      <c r="O149" s="312"/>
      <c r="P149" s="312"/>
      <c r="Q149" s="312"/>
      <c r="R149" s="312"/>
      <c r="V149" s="311"/>
      <c r="W149" s="312"/>
      <c r="X149" s="312"/>
      <c r="Y149" s="312"/>
      <c r="Z149" s="312"/>
      <c r="AA149" s="312"/>
      <c r="AE149" s="311"/>
      <c r="AF149" s="312"/>
      <c r="AG149" s="312"/>
      <c r="AH149" s="312"/>
      <c r="AI149" s="312"/>
      <c r="AJ149" s="312"/>
    </row>
    <row r="150" spans="1:37" outlineLevel="1" x14ac:dyDescent="0.25">
      <c r="A150" s="219"/>
      <c r="B150" s="220"/>
      <c r="D150" s="509" t="s">
        <v>190</v>
      </c>
      <c r="E150" s="510" t="s">
        <v>94</v>
      </c>
      <c r="F150" s="510" t="s">
        <v>191</v>
      </c>
      <c r="G150" s="510"/>
      <c r="H150" s="510"/>
      <c r="I150" s="511"/>
      <c r="M150" s="509" t="s">
        <v>190</v>
      </c>
      <c r="N150" s="510" t="s">
        <v>94</v>
      </c>
      <c r="O150" s="510" t="s">
        <v>191</v>
      </c>
      <c r="P150" s="510"/>
      <c r="Q150" s="510"/>
      <c r="R150" s="511"/>
      <c r="V150" s="509" t="s">
        <v>190</v>
      </c>
      <c r="W150" s="510" t="s">
        <v>94</v>
      </c>
      <c r="X150" s="510" t="s">
        <v>191</v>
      </c>
      <c r="Y150" s="510"/>
      <c r="Z150" s="510"/>
      <c r="AA150" s="511"/>
      <c r="AE150" s="509" t="s">
        <v>190</v>
      </c>
      <c r="AF150" s="510" t="s">
        <v>94</v>
      </c>
      <c r="AG150" s="510" t="s">
        <v>191</v>
      </c>
      <c r="AH150" s="510"/>
      <c r="AI150" s="510"/>
      <c r="AJ150" s="511"/>
    </row>
    <row r="151" spans="1:37" hidden="1" outlineLevel="2" x14ac:dyDescent="0.25">
      <c r="A151" s="198">
        <v>155</v>
      </c>
      <c r="B151" s="199" t="s">
        <v>192</v>
      </c>
      <c r="D151" s="329">
        <f>VLOOKUP($A151,Prevs!$C:$AJ,COLUMN() - COLUMN($D151)+2,FALSE)*VLOOKUP($A151,Usinas!$C:$D,2,FALSE)</f>
        <v>8.8047000000000004</v>
      </c>
      <c r="E151" s="309">
        <f>VLOOKUP($A151,Prevs!$C:$AJ,COLUMN() - COLUMN($D151)+2,FALSE)*VLOOKUP($A151,Usinas!$C:$D,2,FALSE)</f>
        <v>9.1308000000000007</v>
      </c>
      <c r="F151" s="309">
        <f>VLOOKUP($A151,Prevs!$C:$AJ,COLUMN() - COLUMN($D151)+2,FALSE)*VLOOKUP($A151,Usinas!$C:$D,2,FALSE)</f>
        <v>8.8047000000000004</v>
      </c>
      <c r="G151" s="309">
        <f>VLOOKUP($A151,Prevs!$C:$AJ,COLUMN() - COLUMN($D151)+2,FALSE)*VLOOKUP($A151,Usinas!$C:$D,2,FALSE)</f>
        <v>8.4786000000000001</v>
      </c>
      <c r="H151" s="309">
        <f>VLOOKUP($A151,Prevs!$C:$AJ,COLUMN() - COLUMN($D151)+2,FALSE)*VLOOKUP($A151,Usinas!$C:$D,2,FALSE)</f>
        <v>8.4786000000000001</v>
      </c>
      <c r="I151" s="330">
        <f>VLOOKUP($A151,Prevs!$C:$AJ,COLUMN() - COLUMN($D151)+2,FALSE)*VLOOKUP($A151,Usinas!$C:$D,2,FALSE)</f>
        <v>8.4786000000000001</v>
      </c>
      <c r="J151" s="477">
        <f ca="1">VLOOKUP($A151,Prevs_MLT!$C:$AJ,1+Entrada!$C$4,FALSE)*VLOOKUP($A151,Usinas!$C:$D,2,FALSE)</f>
        <v>36.197099999999999</v>
      </c>
      <c r="M151" s="329">
        <f>VLOOKUP($A151,Prevs!$C:$AJ,COLUMN() - COLUMN($D151)+2,FALSE)*VLOOKUP($A151,Usinas!$C:$D,2,FALSE)</f>
        <v>13.696199999999999</v>
      </c>
      <c r="N151" s="309">
        <f>VLOOKUP($A151,Prevs!$C:$AJ,COLUMN() - COLUMN($D151)+2,FALSE)*VLOOKUP($A151,Usinas!$C:$D,2,FALSE)</f>
        <v>14.0223</v>
      </c>
      <c r="O151" s="309">
        <f>VLOOKUP($A151,Prevs!$C:$AJ,COLUMN() - COLUMN($D151)+2,FALSE)*VLOOKUP($A151,Usinas!$C:$D,2,FALSE)</f>
        <v>13.696199999999999</v>
      </c>
      <c r="P151" s="309">
        <f>VLOOKUP($A151,Prevs!$C:$AJ,COLUMN() - COLUMN($D151)+2,FALSE)*VLOOKUP($A151,Usinas!$C:$D,2,FALSE)</f>
        <v>13.044</v>
      </c>
      <c r="Q151" s="309">
        <f>VLOOKUP($A151,Prevs!$C:$AJ,COLUMN() - COLUMN($D151)+2,FALSE)*VLOOKUP($A151,Usinas!$C:$D,2,FALSE)</f>
        <v>13.044</v>
      </c>
      <c r="R151" s="330">
        <f>VLOOKUP($A151,Prevs!$C:$AJ,COLUMN() - COLUMN($D151)+2,FALSE)*VLOOKUP($A151,Usinas!$C:$D,2,FALSE)</f>
        <v>13.044</v>
      </c>
      <c r="V151" s="329">
        <f>VLOOKUP($A151,Prevs!$C:$AJ,COLUMN() - COLUMN($D151)+2,FALSE)*VLOOKUP($A151,Usinas!$C:$D,2,FALSE)</f>
        <v>11.739599999999999</v>
      </c>
      <c r="W151" s="309">
        <f>VLOOKUP($A151,Prevs!$C:$AJ,COLUMN() - COLUMN($D151)+2,FALSE)*VLOOKUP($A151,Usinas!$C:$D,2,FALSE)</f>
        <v>12.0657</v>
      </c>
      <c r="X151" s="309">
        <f>VLOOKUP($A151,Prevs!$C:$AJ,COLUMN() - COLUMN($D151)+2,FALSE)*VLOOKUP($A151,Usinas!$C:$D,2,FALSE)</f>
        <v>11.739599999999999</v>
      </c>
      <c r="Y151" s="309">
        <f>VLOOKUP($A151,Prevs!$C:$AJ,COLUMN() - COLUMN($D151)+2,FALSE)*VLOOKUP($A151,Usinas!$C:$D,2,FALSE)</f>
        <v>11.087400000000001</v>
      </c>
      <c r="Z151" s="309">
        <f>VLOOKUP($A151,Prevs!$C:$AJ,COLUMN() - COLUMN($D151)+2,FALSE)*VLOOKUP($A151,Usinas!$C:$D,2,FALSE)</f>
        <v>11.087400000000001</v>
      </c>
      <c r="AA151" s="330">
        <f>VLOOKUP($A151,Prevs!$C:$AJ,COLUMN() - COLUMN($D151)+2,FALSE)*VLOOKUP($A151,Usinas!$C:$D,2,FALSE)</f>
        <v>11.087400000000001</v>
      </c>
      <c r="AE151" s="329">
        <f>VLOOKUP($A151,Prevs!$C:$AJ,COLUMN() - COLUMN($D151)+2,FALSE)*VLOOKUP($A151,Usinas!$C:$D,2,FALSE)</f>
        <v>8.8047000000000004</v>
      </c>
      <c r="AF151" s="309">
        <f>VLOOKUP($A151,Prevs!$C:$AJ,COLUMN() - COLUMN($D151)+2,FALSE)*VLOOKUP($A151,Usinas!$C:$D,2,FALSE)</f>
        <v>9.1308000000000007</v>
      </c>
      <c r="AG151" s="309">
        <f>VLOOKUP($A151,Prevs!$C:$AJ,COLUMN() - COLUMN($D151)+2,FALSE)*VLOOKUP($A151,Usinas!$C:$D,2,FALSE)</f>
        <v>8.8047000000000004</v>
      </c>
      <c r="AH151" s="309">
        <f>VLOOKUP($A151,Prevs!$C:$AJ,COLUMN() - COLUMN($D151)+2,FALSE)*VLOOKUP($A151,Usinas!$C:$D,2,FALSE)</f>
        <v>8.4786000000000001</v>
      </c>
      <c r="AI151" s="309">
        <f>VLOOKUP($A151,Prevs!$C:$AJ,COLUMN() - COLUMN($D151)+2,FALSE)*VLOOKUP($A151,Usinas!$C:$D,2,FALSE)</f>
        <v>8.4786000000000001</v>
      </c>
      <c r="AJ151" s="330">
        <f>VLOOKUP($A151,Prevs!$C:$AJ,COLUMN() - COLUMN($D151)+2,FALSE)*VLOOKUP($A151,Usinas!$C:$D,2,FALSE)</f>
        <v>8.4786000000000001</v>
      </c>
    </row>
    <row r="152" spans="1:37" hidden="1" outlineLevel="2" x14ac:dyDescent="0.25">
      <c r="A152" s="198">
        <v>156</v>
      </c>
      <c r="B152" s="199" t="s">
        <v>193</v>
      </c>
      <c r="D152" s="329">
        <f>VLOOKUP($A152,Prevs!$C:$AJ,COLUMN() - COLUMN($D152)+2,FALSE)*VLOOKUP($A152,Usinas!$C:$D,2,FALSE)</f>
        <v>41.719699999999996</v>
      </c>
      <c r="E152" s="309">
        <f>VLOOKUP($A152,Prevs!$C:$AJ,COLUMN() - COLUMN($D152)+2,FALSE)*VLOOKUP($A152,Usinas!$C:$D,2,FALSE)</f>
        <v>41.719699999999996</v>
      </c>
      <c r="F152" s="309">
        <f>VLOOKUP($A152,Prevs!$C:$AJ,COLUMN() - COLUMN($D152)+2,FALSE)*VLOOKUP($A152,Usinas!$C:$D,2,FALSE)</f>
        <v>38.708999999999996</v>
      </c>
      <c r="G152" s="309">
        <f>VLOOKUP($A152,Prevs!$C:$AJ,COLUMN() - COLUMN($D152)+2,FALSE)*VLOOKUP($A152,Usinas!$C:$D,2,FALSE)</f>
        <v>40.429400000000001</v>
      </c>
      <c r="H152" s="309">
        <f>VLOOKUP($A152,Prevs!$C:$AJ,COLUMN() - COLUMN($D152)+2,FALSE)*VLOOKUP($A152,Usinas!$C:$D,2,FALSE)</f>
        <v>40.429400000000001</v>
      </c>
      <c r="I152" s="330">
        <f>VLOOKUP($A152,Prevs!$C:$AJ,COLUMN() - COLUMN($D152)+2,FALSE)*VLOOKUP($A152,Usinas!$C:$D,2,FALSE)</f>
        <v>40.859499999999997</v>
      </c>
      <c r="J152" s="477">
        <f ca="1">VLOOKUP($A152,Prevs_MLT!$C:$AJ,1+Entrada!$C$4,FALSE)*VLOOKUP($A152,Usinas!$C:$D,2,FALSE)</f>
        <v>194.40519999999998</v>
      </c>
      <c r="M152" s="329">
        <f>VLOOKUP($A152,Prevs!$C:$AJ,COLUMN() - COLUMN($D152)+2,FALSE)*VLOOKUP($A152,Usinas!$C:$D,2,FALSE)</f>
        <v>64.945099999999996</v>
      </c>
      <c r="N152" s="309">
        <f>VLOOKUP($A152,Prevs!$C:$AJ,COLUMN() - COLUMN($D152)+2,FALSE)*VLOOKUP($A152,Usinas!$C:$D,2,FALSE)</f>
        <v>64.945099999999996</v>
      </c>
      <c r="O152" s="309">
        <f>VLOOKUP($A152,Prevs!$C:$AJ,COLUMN() - COLUMN($D152)+2,FALSE)*VLOOKUP($A152,Usinas!$C:$D,2,FALSE)</f>
        <v>60.213999999999999</v>
      </c>
      <c r="P152" s="309">
        <f>VLOOKUP($A152,Prevs!$C:$AJ,COLUMN() - COLUMN($D152)+2,FALSE)*VLOOKUP($A152,Usinas!$C:$D,2,FALSE)</f>
        <v>62.794599999999996</v>
      </c>
      <c r="Q152" s="309">
        <f>VLOOKUP($A152,Prevs!$C:$AJ,COLUMN() - COLUMN($D152)+2,FALSE)*VLOOKUP($A152,Usinas!$C:$D,2,FALSE)</f>
        <v>62.794599999999996</v>
      </c>
      <c r="R152" s="330">
        <f>VLOOKUP($A152,Prevs!$C:$AJ,COLUMN() - COLUMN($D152)+2,FALSE)*VLOOKUP($A152,Usinas!$C:$D,2,FALSE)</f>
        <v>63.654799999999994</v>
      </c>
      <c r="V152" s="329">
        <f>VLOOKUP($A152,Prevs!$C:$AJ,COLUMN() - COLUMN($D152)+2,FALSE)*VLOOKUP($A152,Usinas!$C:$D,2,FALSE)</f>
        <v>55.052799999999998</v>
      </c>
      <c r="W152" s="309">
        <f>VLOOKUP($A152,Prevs!$C:$AJ,COLUMN() - COLUMN($D152)+2,FALSE)*VLOOKUP($A152,Usinas!$C:$D,2,FALSE)</f>
        <v>55.052799999999998</v>
      </c>
      <c r="X152" s="309">
        <f>VLOOKUP($A152,Prevs!$C:$AJ,COLUMN() - COLUMN($D152)+2,FALSE)*VLOOKUP($A152,Usinas!$C:$D,2,FALSE)</f>
        <v>51.181899999999999</v>
      </c>
      <c r="Y152" s="309">
        <f>VLOOKUP($A152,Prevs!$C:$AJ,COLUMN() - COLUMN($D152)+2,FALSE)*VLOOKUP($A152,Usinas!$C:$D,2,FALSE)</f>
        <v>53.3324</v>
      </c>
      <c r="Z152" s="309">
        <f>VLOOKUP($A152,Prevs!$C:$AJ,COLUMN() - COLUMN($D152)+2,FALSE)*VLOOKUP($A152,Usinas!$C:$D,2,FALSE)</f>
        <v>53.3324</v>
      </c>
      <c r="AA152" s="330">
        <f>VLOOKUP($A152,Prevs!$C:$AJ,COLUMN() - COLUMN($D152)+2,FALSE)*VLOOKUP($A152,Usinas!$C:$D,2,FALSE)</f>
        <v>53.762499999999996</v>
      </c>
      <c r="AE152" s="329">
        <f>VLOOKUP($A152,Prevs!$C:$AJ,COLUMN() - COLUMN($D152)+2,FALSE)*VLOOKUP($A152,Usinas!$C:$D,2,FALSE)</f>
        <v>41.719699999999996</v>
      </c>
      <c r="AF152" s="309">
        <f>VLOOKUP($A152,Prevs!$C:$AJ,COLUMN() - COLUMN($D152)+2,FALSE)*VLOOKUP($A152,Usinas!$C:$D,2,FALSE)</f>
        <v>41.719699999999996</v>
      </c>
      <c r="AG152" s="309">
        <f>VLOOKUP($A152,Prevs!$C:$AJ,COLUMN() - COLUMN($D152)+2,FALSE)*VLOOKUP($A152,Usinas!$C:$D,2,FALSE)</f>
        <v>38.708999999999996</v>
      </c>
      <c r="AH152" s="309">
        <f>VLOOKUP($A152,Prevs!$C:$AJ,COLUMN() - COLUMN($D152)+2,FALSE)*VLOOKUP($A152,Usinas!$C:$D,2,FALSE)</f>
        <v>40.429400000000001</v>
      </c>
      <c r="AI152" s="309">
        <f>VLOOKUP($A152,Prevs!$C:$AJ,COLUMN() - COLUMN($D152)+2,FALSE)*VLOOKUP($A152,Usinas!$C:$D,2,FALSE)</f>
        <v>40.429400000000001</v>
      </c>
      <c r="AJ152" s="330">
        <f>VLOOKUP($A152,Prevs!$C:$AJ,COLUMN() - COLUMN($D152)+2,FALSE)*VLOOKUP($A152,Usinas!$C:$D,2,FALSE)</f>
        <v>40.859499999999997</v>
      </c>
    </row>
    <row r="153" spans="1:37" hidden="1" outlineLevel="2" x14ac:dyDescent="0.25">
      <c r="A153" s="198">
        <v>158</v>
      </c>
      <c r="B153" s="199" t="s">
        <v>194</v>
      </c>
      <c r="D153" s="329">
        <f>VLOOKUP($A153,Prevs!$C:$AJ,COLUMN() - COLUMN($D153)+2,FALSE)*VLOOKUP($A153,Usinas!$C:$D,2,FALSE)</f>
        <v>48.117000000000004</v>
      </c>
      <c r="E153" s="309">
        <f>VLOOKUP($A153,Prevs!$C:$AJ,COLUMN() - COLUMN($D153)+2,FALSE)*VLOOKUP($A153,Usinas!$C:$D,2,FALSE)</f>
        <v>46.513100000000001</v>
      </c>
      <c r="F153" s="309">
        <f>VLOOKUP($A153,Prevs!$C:$AJ,COLUMN() - COLUMN($D153)+2,FALSE)*VLOOKUP($A153,Usinas!$C:$D,2,FALSE)</f>
        <v>44.909200000000006</v>
      </c>
      <c r="G153" s="309">
        <f>VLOOKUP($A153,Prevs!$C:$AJ,COLUMN() - COLUMN($D153)+2,FALSE)*VLOOKUP($A153,Usinas!$C:$D,2,FALSE)</f>
        <v>43.305300000000003</v>
      </c>
      <c r="H153" s="309">
        <f>VLOOKUP($A153,Prevs!$C:$AJ,COLUMN() - COLUMN($D153)+2,FALSE)*VLOOKUP($A153,Usinas!$C:$D,2,FALSE)</f>
        <v>40.097500000000004</v>
      </c>
      <c r="I153" s="330">
        <f>VLOOKUP($A153,Prevs!$C:$AJ,COLUMN() - COLUMN($D153)+2,FALSE)*VLOOKUP($A153,Usinas!$C:$D,2,FALSE)</f>
        <v>40.097500000000004</v>
      </c>
      <c r="J153" s="477">
        <f ca="1">VLOOKUP($A153,Prevs_MLT!$C:$AJ,1+Entrada!$C$4,FALSE)*VLOOKUP($A153,Usinas!$C:$D,2,FALSE)</f>
        <v>75.383300000000006</v>
      </c>
      <c r="M153" s="329">
        <f>VLOOKUP($A153,Prevs!$C:$AJ,COLUMN() - COLUMN($D153)+2,FALSE)*VLOOKUP($A153,Usinas!$C:$D,2,FALSE)</f>
        <v>75.383300000000006</v>
      </c>
      <c r="N153" s="309">
        <f>VLOOKUP($A153,Prevs!$C:$AJ,COLUMN() - COLUMN($D153)+2,FALSE)*VLOOKUP($A153,Usinas!$C:$D,2,FALSE)</f>
        <v>72.1755</v>
      </c>
      <c r="O153" s="309">
        <f>VLOOKUP($A153,Prevs!$C:$AJ,COLUMN() - COLUMN($D153)+2,FALSE)*VLOOKUP($A153,Usinas!$C:$D,2,FALSE)</f>
        <v>68.967700000000008</v>
      </c>
      <c r="P153" s="309">
        <f>VLOOKUP($A153,Prevs!$C:$AJ,COLUMN() - COLUMN($D153)+2,FALSE)*VLOOKUP($A153,Usinas!$C:$D,2,FALSE)</f>
        <v>67.363799999999998</v>
      </c>
      <c r="Q153" s="309">
        <f>VLOOKUP($A153,Prevs!$C:$AJ,COLUMN() - COLUMN($D153)+2,FALSE)*VLOOKUP($A153,Usinas!$C:$D,2,FALSE)</f>
        <v>62.552100000000003</v>
      </c>
      <c r="R153" s="330">
        <f>VLOOKUP($A153,Prevs!$C:$AJ,COLUMN() - COLUMN($D153)+2,FALSE)*VLOOKUP($A153,Usinas!$C:$D,2,FALSE)</f>
        <v>62.552100000000003</v>
      </c>
      <c r="V153" s="329">
        <f>VLOOKUP($A153,Prevs!$C:$AJ,COLUMN() - COLUMN($D153)+2,FALSE)*VLOOKUP($A153,Usinas!$C:$D,2,FALSE)</f>
        <v>64.156000000000006</v>
      </c>
      <c r="W153" s="309">
        <f>VLOOKUP($A153,Prevs!$C:$AJ,COLUMN() - COLUMN($D153)+2,FALSE)*VLOOKUP($A153,Usinas!$C:$D,2,FALSE)</f>
        <v>60.948200000000007</v>
      </c>
      <c r="X153" s="309">
        <f>VLOOKUP($A153,Prevs!$C:$AJ,COLUMN() - COLUMN($D153)+2,FALSE)*VLOOKUP($A153,Usinas!$C:$D,2,FALSE)</f>
        <v>59.344300000000004</v>
      </c>
      <c r="Y153" s="309">
        <f>VLOOKUP($A153,Prevs!$C:$AJ,COLUMN() - COLUMN($D153)+2,FALSE)*VLOOKUP($A153,Usinas!$C:$D,2,FALSE)</f>
        <v>57.740400000000001</v>
      </c>
      <c r="Z153" s="309">
        <f>VLOOKUP($A153,Prevs!$C:$AJ,COLUMN() - COLUMN($D153)+2,FALSE)*VLOOKUP($A153,Usinas!$C:$D,2,FALSE)</f>
        <v>52.928700000000006</v>
      </c>
      <c r="AA153" s="330">
        <f>VLOOKUP($A153,Prevs!$C:$AJ,COLUMN() - COLUMN($D153)+2,FALSE)*VLOOKUP($A153,Usinas!$C:$D,2,FALSE)</f>
        <v>52.928700000000006</v>
      </c>
      <c r="AE153" s="329">
        <f>VLOOKUP($A153,Prevs!$C:$AJ,COLUMN() - COLUMN($D153)+2,FALSE)*VLOOKUP($A153,Usinas!$C:$D,2,FALSE)</f>
        <v>48.117000000000004</v>
      </c>
      <c r="AF153" s="309">
        <f>VLOOKUP($A153,Prevs!$C:$AJ,COLUMN() - COLUMN($D153)+2,FALSE)*VLOOKUP($A153,Usinas!$C:$D,2,FALSE)</f>
        <v>46.513100000000001</v>
      </c>
      <c r="AG153" s="309">
        <f>VLOOKUP($A153,Prevs!$C:$AJ,COLUMN() - COLUMN($D153)+2,FALSE)*VLOOKUP($A153,Usinas!$C:$D,2,FALSE)</f>
        <v>44.909200000000006</v>
      </c>
      <c r="AH153" s="309">
        <f>VLOOKUP($A153,Prevs!$C:$AJ,COLUMN() - COLUMN($D153)+2,FALSE)*VLOOKUP($A153,Usinas!$C:$D,2,FALSE)</f>
        <v>43.305300000000003</v>
      </c>
      <c r="AI153" s="309">
        <f>VLOOKUP($A153,Prevs!$C:$AJ,COLUMN() - COLUMN($D153)+2,FALSE)*VLOOKUP($A153,Usinas!$C:$D,2,FALSE)</f>
        <v>40.097500000000004</v>
      </c>
      <c r="AJ153" s="330">
        <f>VLOOKUP($A153,Prevs!$C:$AJ,COLUMN() - COLUMN($D153)+2,FALSE)*VLOOKUP($A153,Usinas!$C:$D,2,FALSE)</f>
        <v>40.097500000000004</v>
      </c>
    </row>
    <row r="154" spans="1:37" outlineLevel="1" collapsed="1" x14ac:dyDescent="0.25">
      <c r="A154" s="221"/>
      <c r="B154" s="222" t="s">
        <v>92</v>
      </c>
      <c r="D154" s="225">
        <f t="shared" ref="D154:I154" si="70">SUM(D151:D153)</f>
        <v>98.641400000000004</v>
      </c>
      <c r="E154" s="59">
        <f t="shared" si="70"/>
        <v>97.363599999999991</v>
      </c>
      <c r="F154" s="59">
        <f t="shared" si="70"/>
        <v>92.422899999999998</v>
      </c>
      <c r="G154" s="59">
        <f t="shared" si="70"/>
        <v>92.213300000000004</v>
      </c>
      <c r="H154" s="59">
        <f t="shared" si="70"/>
        <v>89.005500000000012</v>
      </c>
      <c r="I154" s="226">
        <f t="shared" si="70"/>
        <v>89.435599999999994</v>
      </c>
      <c r="J154" s="423">
        <f ca="1">SUMPRODUCT(D154:I154,Saida!$B$7:$G$7)/SUM(Saida!$B$7:$G$7)</f>
        <v>92.837136666666666</v>
      </c>
      <c r="M154" s="355">
        <f t="shared" ref="M154:R154" si="71">SUM(M151:M153)</f>
        <v>154.02460000000002</v>
      </c>
      <c r="N154" s="310">
        <f t="shared" si="71"/>
        <v>151.1429</v>
      </c>
      <c r="O154" s="310">
        <f t="shared" si="71"/>
        <v>142.87790000000001</v>
      </c>
      <c r="P154" s="310">
        <f t="shared" si="71"/>
        <v>143.20240000000001</v>
      </c>
      <c r="Q154" s="310">
        <f t="shared" si="71"/>
        <v>138.39070000000001</v>
      </c>
      <c r="R154" s="356">
        <f t="shared" si="71"/>
        <v>139.2509</v>
      </c>
      <c r="S154" s="423">
        <f ca="1">SUMPRODUCT(M154:R154,Saida!$B$7:$G$7)/SUM(Saida!$B$7:$G$7)</f>
        <v>144.08575999999999</v>
      </c>
      <c r="V154" s="355">
        <f t="shared" ref="V154:AA154" si="72">SUM(V151:V153)</f>
        <v>130.94839999999999</v>
      </c>
      <c r="W154" s="310">
        <f t="shared" si="72"/>
        <v>128.0667</v>
      </c>
      <c r="X154" s="310">
        <f t="shared" si="72"/>
        <v>122.2658</v>
      </c>
      <c r="Y154" s="310">
        <f t="shared" si="72"/>
        <v>122.1602</v>
      </c>
      <c r="Z154" s="310">
        <f t="shared" si="72"/>
        <v>117.3485</v>
      </c>
      <c r="AA154" s="356">
        <f t="shared" si="72"/>
        <v>117.7786</v>
      </c>
      <c r="AB154" s="423">
        <f ca="1">SUMPRODUCT(V154:AA154,Saida!$B$7:$G$7)/SUM(Saida!$B$7:$G$7)</f>
        <v>122.58718</v>
      </c>
      <c r="AE154" s="355">
        <f t="shared" ref="AE154:AJ154" si="73">SUM(AE151:AE153)</f>
        <v>98.641400000000004</v>
      </c>
      <c r="AF154" s="310">
        <f t="shared" si="73"/>
        <v>97.363599999999991</v>
      </c>
      <c r="AG154" s="310">
        <f t="shared" si="73"/>
        <v>92.422899999999998</v>
      </c>
      <c r="AH154" s="310">
        <f t="shared" si="73"/>
        <v>92.213300000000004</v>
      </c>
      <c r="AI154" s="310">
        <f t="shared" si="73"/>
        <v>89.005500000000012</v>
      </c>
      <c r="AJ154" s="356">
        <f t="shared" si="73"/>
        <v>89.435599999999994</v>
      </c>
      <c r="AK154" s="423">
        <f ca="1">SUMPRODUCT(AE154:AJ154,Saida!$B$7:$G$7)/SUM(Saida!$B$7:$G$7)</f>
        <v>92.837136666666666</v>
      </c>
    </row>
    <row r="155" spans="1:37" outlineLevel="1" x14ac:dyDescent="0.25">
      <c r="A155" s="223"/>
      <c r="B155" s="224" t="s">
        <v>13</v>
      </c>
      <c r="D155" s="216"/>
      <c r="E155" s="217"/>
      <c r="F155" s="217"/>
      <c r="G155" s="217"/>
      <c r="H155" s="217"/>
      <c r="I155" s="218"/>
      <c r="J155" s="478">
        <f ca="1">SUM(J151:J153)</f>
        <v>305.98559999999998</v>
      </c>
      <c r="M155" s="352"/>
      <c r="N155" s="353"/>
      <c r="O155" s="353"/>
      <c r="P155" s="353"/>
      <c r="Q155" s="353"/>
      <c r="R155" s="354"/>
      <c r="V155" s="352"/>
      <c r="W155" s="353"/>
      <c r="X155" s="353"/>
      <c r="Y155" s="353"/>
      <c r="Z155" s="353"/>
      <c r="AA155" s="354"/>
      <c r="AE155" s="352"/>
      <c r="AF155" s="353"/>
      <c r="AG155" s="353"/>
      <c r="AH155" s="353"/>
      <c r="AI155" s="353"/>
      <c r="AJ155" s="354"/>
    </row>
    <row r="156" spans="1:37" outlineLevel="1" x14ac:dyDescent="0.25">
      <c r="A156" s="60"/>
      <c r="B156" s="61"/>
      <c r="D156" s="62"/>
      <c r="E156" s="63"/>
      <c r="F156" s="63"/>
      <c r="G156" s="63"/>
      <c r="H156" s="63"/>
      <c r="I156" s="63"/>
      <c r="M156" s="311"/>
      <c r="N156" s="312"/>
      <c r="O156" s="312"/>
      <c r="P156" s="312"/>
      <c r="Q156" s="312"/>
      <c r="R156" s="312"/>
      <c r="V156" s="311"/>
      <c r="W156" s="312"/>
      <c r="X156" s="312"/>
      <c r="Y156" s="312"/>
      <c r="Z156" s="312"/>
      <c r="AA156" s="312"/>
      <c r="AE156" s="311"/>
      <c r="AF156" s="312"/>
      <c r="AG156" s="312"/>
      <c r="AH156" s="312"/>
      <c r="AI156" s="312"/>
      <c r="AJ156" s="312"/>
    </row>
    <row r="157" spans="1:37" outlineLevel="1" x14ac:dyDescent="0.25">
      <c r="A157" s="219"/>
      <c r="B157" s="220"/>
      <c r="D157" s="509" t="s">
        <v>195</v>
      </c>
      <c r="E157" s="510" t="s">
        <v>94</v>
      </c>
      <c r="F157" s="510" t="s">
        <v>196</v>
      </c>
      <c r="G157" s="510"/>
      <c r="H157" s="510"/>
      <c r="I157" s="511"/>
      <c r="M157" s="509" t="s">
        <v>195</v>
      </c>
      <c r="N157" s="510" t="s">
        <v>94</v>
      </c>
      <c r="O157" s="510" t="s">
        <v>196</v>
      </c>
      <c r="P157" s="510"/>
      <c r="Q157" s="510"/>
      <c r="R157" s="511"/>
      <c r="V157" s="509" t="s">
        <v>195</v>
      </c>
      <c r="W157" s="510" t="s">
        <v>94</v>
      </c>
      <c r="X157" s="510" t="s">
        <v>196</v>
      </c>
      <c r="Y157" s="510"/>
      <c r="Z157" s="510"/>
      <c r="AA157" s="511"/>
      <c r="AE157" s="509" t="s">
        <v>195</v>
      </c>
      <c r="AF157" s="510" t="s">
        <v>94</v>
      </c>
      <c r="AG157" s="510" t="s">
        <v>196</v>
      </c>
      <c r="AH157" s="510"/>
      <c r="AI157" s="510"/>
      <c r="AJ157" s="511"/>
    </row>
    <row r="158" spans="1:37" hidden="1" outlineLevel="2" x14ac:dyDescent="0.25">
      <c r="A158" s="198">
        <v>270</v>
      </c>
      <c r="B158" s="199" t="s">
        <v>197</v>
      </c>
      <c r="D158" s="329">
        <f>VLOOKUP($A158,Prevs!$C:$AJ,COLUMN() - COLUMN($D158)+2,FALSE)*VLOOKUP($A158,Usinas!$C:$D,2,FALSE)</f>
        <v>296.04050000000001</v>
      </c>
      <c r="E158" s="309">
        <f>VLOOKUP($A158,Prevs!$C:$AJ,COLUMN() - COLUMN($D158)+2,FALSE)*VLOOKUP($A158,Usinas!$C:$D,2,FALSE)</f>
        <v>279.53650000000005</v>
      </c>
      <c r="F158" s="309">
        <f>VLOOKUP($A158,Prevs!$C:$AJ,COLUMN() - COLUMN($D158)+2,FALSE)*VLOOKUP($A158,Usinas!$C:$D,2,FALSE)</f>
        <v>240.33950000000002</v>
      </c>
      <c r="G158" s="309">
        <f>VLOOKUP($A158,Prevs!$C:$AJ,COLUMN() - COLUMN($D158)+2,FALSE)*VLOOKUP($A158,Usinas!$C:$D,2,FALSE)</f>
        <v>233.11900000000003</v>
      </c>
      <c r="H158" s="309">
        <f>VLOOKUP($A158,Prevs!$C:$AJ,COLUMN() - COLUMN($D158)+2,FALSE)*VLOOKUP($A158,Usinas!$C:$D,2,FALSE)</f>
        <v>217.64650000000003</v>
      </c>
      <c r="I158" s="330">
        <f>VLOOKUP($A158,Prevs!$C:$AJ,COLUMN() - COLUMN($D158)+2,FALSE)*VLOOKUP($A158,Usinas!$C:$D,2,FALSE)</f>
        <v>217.64650000000003</v>
      </c>
      <c r="J158" s="477">
        <f ca="1">VLOOKUP($A158,Prevs_MLT!$C:$AJ,1+Entrada!$C$4,FALSE)*VLOOKUP($A158,Usinas!$C:$D,2,FALSE)</f>
        <v>579.70300000000009</v>
      </c>
      <c r="M158" s="329">
        <f>VLOOKUP($A158,Prevs!$C:$AJ,COLUMN() - COLUMN($D158)+2,FALSE)*VLOOKUP($A158,Usinas!$C:$D,2,FALSE)</f>
        <v>460.04900000000004</v>
      </c>
      <c r="N158" s="309">
        <f>VLOOKUP($A158,Prevs!$C:$AJ,COLUMN() - COLUMN($D158)+2,FALSE)*VLOOKUP($A158,Usinas!$C:$D,2,FALSE)</f>
        <v>434.26150000000001</v>
      </c>
      <c r="O158" s="309">
        <f>VLOOKUP($A158,Prevs!$C:$AJ,COLUMN() - COLUMN($D158)+2,FALSE)*VLOOKUP($A158,Usinas!$C:$D,2,FALSE)</f>
        <v>373.40300000000002</v>
      </c>
      <c r="P158" s="309">
        <f>VLOOKUP($A158,Prevs!$C:$AJ,COLUMN() - COLUMN($D158)+2,FALSE)*VLOOKUP($A158,Usinas!$C:$D,2,FALSE)</f>
        <v>362.05650000000003</v>
      </c>
      <c r="Q158" s="309">
        <f>VLOOKUP($A158,Prevs!$C:$AJ,COLUMN() - COLUMN($D158)+2,FALSE)*VLOOKUP($A158,Usinas!$C:$D,2,FALSE)</f>
        <v>338.33200000000005</v>
      </c>
      <c r="R158" s="330">
        <f>VLOOKUP($A158,Prevs!$C:$AJ,COLUMN() - COLUMN($D158)+2,FALSE)*VLOOKUP($A158,Usinas!$C:$D,2,FALSE)</f>
        <v>338.33200000000005</v>
      </c>
      <c r="V158" s="329">
        <f>VLOOKUP($A158,Prevs!$C:$AJ,COLUMN() - COLUMN($D158)+2,FALSE)*VLOOKUP($A158,Usinas!$C:$D,2,FALSE)</f>
        <v>389.90700000000004</v>
      </c>
      <c r="W158" s="309">
        <f>VLOOKUP($A158,Prevs!$C:$AJ,COLUMN() - COLUMN($D158)+2,FALSE)*VLOOKUP($A158,Usinas!$C:$D,2,FALSE)</f>
        <v>368.24550000000005</v>
      </c>
      <c r="X158" s="309">
        <f>VLOOKUP($A158,Prevs!$C:$AJ,COLUMN() - COLUMN($D158)+2,FALSE)*VLOOKUP($A158,Usinas!$C:$D,2,FALSE)</f>
        <v>316.6705</v>
      </c>
      <c r="Y158" s="309">
        <f>VLOOKUP($A158,Prevs!$C:$AJ,COLUMN() - COLUMN($D158)+2,FALSE)*VLOOKUP($A158,Usinas!$C:$D,2,FALSE)</f>
        <v>307.387</v>
      </c>
      <c r="Z158" s="309">
        <f>VLOOKUP($A158,Prevs!$C:$AJ,COLUMN() - COLUMN($D158)+2,FALSE)*VLOOKUP($A158,Usinas!$C:$D,2,FALSE)</f>
        <v>286.75700000000001</v>
      </c>
      <c r="AA158" s="330">
        <f>VLOOKUP($A158,Prevs!$C:$AJ,COLUMN() - COLUMN($D158)+2,FALSE)*VLOOKUP($A158,Usinas!$C:$D,2,FALSE)</f>
        <v>286.75700000000001</v>
      </c>
      <c r="AE158" s="329">
        <f>VLOOKUP($A158,Prevs!$C:$AJ,COLUMN() - COLUMN($D158)+2,FALSE)*VLOOKUP($A158,Usinas!$C:$D,2,FALSE)</f>
        <v>296.04050000000001</v>
      </c>
      <c r="AF158" s="309">
        <f>VLOOKUP($A158,Prevs!$C:$AJ,COLUMN() - COLUMN($D158)+2,FALSE)*VLOOKUP($A158,Usinas!$C:$D,2,FALSE)</f>
        <v>279.53650000000005</v>
      </c>
      <c r="AG158" s="309">
        <f>VLOOKUP($A158,Prevs!$C:$AJ,COLUMN() - COLUMN($D158)+2,FALSE)*VLOOKUP($A158,Usinas!$C:$D,2,FALSE)</f>
        <v>240.33950000000002</v>
      </c>
      <c r="AH158" s="309">
        <f>VLOOKUP($A158,Prevs!$C:$AJ,COLUMN() - COLUMN($D158)+2,FALSE)*VLOOKUP($A158,Usinas!$C:$D,2,FALSE)</f>
        <v>233.11900000000003</v>
      </c>
      <c r="AI158" s="309">
        <f>VLOOKUP($A158,Prevs!$C:$AJ,COLUMN() - COLUMN($D158)+2,FALSE)*VLOOKUP($A158,Usinas!$C:$D,2,FALSE)</f>
        <v>217.64650000000003</v>
      </c>
      <c r="AJ158" s="330">
        <f>VLOOKUP($A158,Prevs!$C:$AJ,COLUMN() - COLUMN($D158)+2,FALSE)*VLOOKUP($A158,Usinas!$C:$D,2,FALSE)</f>
        <v>217.64650000000003</v>
      </c>
    </row>
    <row r="159" spans="1:37" hidden="1" outlineLevel="2" x14ac:dyDescent="0.25">
      <c r="A159" s="198">
        <v>191</v>
      </c>
      <c r="B159" s="199" t="s">
        <v>198</v>
      </c>
      <c r="D159" s="329">
        <f>VLOOKUP($A159,Prevs!$C:$AJ,COLUMN() - COLUMN($D159)+2,FALSE)*VLOOKUP($A159,Usinas!$C:$D,2,FALSE)</f>
        <v>129.27600000000001</v>
      </c>
      <c r="E159" s="309">
        <f>VLOOKUP($A159,Prevs!$C:$AJ,COLUMN() - COLUMN($D159)+2,FALSE)*VLOOKUP($A159,Usinas!$C:$D,2,FALSE)</f>
        <v>122.09400000000001</v>
      </c>
      <c r="F159" s="309">
        <f>VLOOKUP($A159,Prevs!$C:$AJ,COLUMN() - COLUMN($D159)+2,FALSE)*VLOOKUP($A159,Usinas!$C:$D,2,FALSE)</f>
        <v>105.33600000000001</v>
      </c>
      <c r="G159" s="309">
        <f>VLOOKUP($A159,Prevs!$C:$AJ,COLUMN() - COLUMN($D159)+2,FALSE)*VLOOKUP($A159,Usinas!$C:$D,2,FALSE)</f>
        <v>102.14400000000001</v>
      </c>
      <c r="H159" s="309">
        <f>VLOOKUP($A159,Prevs!$C:$AJ,COLUMN() - COLUMN($D159)+2,FALSE)*VLOOKUP($A159,Usinas!$C:$D,2,FALSE)</f>
        <v>95.76</v>
      </c>
      <c r="I159" s="330">
        <f>VLOOKUP($A159,Prevs!$C:$AJ,COLUMN() - COLUMN($D159)+2,FALSE)*VLOOKUP($A159,Usinas!$C:$D,2,FALSE)</f>
        <v>96.159000000000006</v>
      </c>
      <c r="J159" s="477">
        <f ca="1">VLOOKUP($A159,Prevs_MLT!$C:$AJ,1+Entrada!$C$4,FALSE)*VLOOKUP($A159,Usinas!$C:$D,2,FALSE)</f>
        <v>252.16800000000001</v>
      </c>
      <c r="M159" s="329">
        <f>VLOOKUP($A159,Prevs!$C:$AJ,COLUMN() - COLUMN($D159)+2,FALSE)*VLOOKUP($A159,Usinas!$C:$D,2,FALSE)</f>
        <v>200.697</v>
      </c>
      <c r="N159" s="309">
        <f>VLOOKUP($A159,Prevs!$C:$AJ,COLUMN() - COLUMN($D159)+2,FALSE)*VLOOKUP($A159,Usinas!$C:$D,2,FALSE)</f>
        <v>189.52500000000001</v>
      </c>
      <c r="O159" s="309">
        <f>VLOOKUP($A159,Prevs!$C:$AJ,COLUMN() - COLUMN($D159)+2,FALSE)*VLOOKUP($A159,Usinas!$C:$D,2,FALSE)</f>
        <v>163.59</v>
      </c>
      <c r="P159" s="309">
        <f>VLOOKUP($A159,Prevs!$C:$AJ,COLUMN() - COLUMN($D159)+2,FALSE)*VLOOKUP($A159,Usinas!$C:$D,2,FALSE)</f>
        <v>158.80200000000002</v>
      </c>
      <c r="Q159" s="309">
        <f>VLOOKUP($A159,Prevs!$C:$AJ,COLUMN() - COLUMN($D159)+2,FALSE)*VLOOKUP($A159,Usinas!$C:$D,2,FALSE)</f>
        <v>148.827</v>
      </c>
      <c r="R159" s="330">
        <f>VLOOKUP($A159,Prevs!$C:$AJ,COLUMN() - COLUMN($D159)+2,FALSE)*VLOOKUP($A159,Usinas!$C:$D,2,FALSE)</f>
        <v>149.226</v>
      </c>
      <c r="V159" s="329">
        <f>VLOOKUP($A159,Prevs!$C:$AJ,COLUMN() - COLUMN($D159)+2,FALSE)*VLOOKUP($A159,Usinas!$C:$D,2,FALSE)</f>
        <v>170.37300000000002</v>
      </c>
      <c r="W159" s="309">
        <f>VLOOKUP($A159,Prevs!$C:$AJ,COLUMN() - COLUMN($D159)+2,FALSE)*VLOOKUP($A159,Usinas!$C:$D,2,FALSE)</f>
        <v>161.196</v>
      </c>
      <c r="X159" s="309">
        <f>VLOOKUP($A159,Prevs!$C:$AJ,COLUMN() - COLUMN($D159)+2,FALSE)*VLOOKUP($A159,Usinas!$C:$D,2,FALSE)</f>
        <v>138.852</v>
      </c>
      <c r="Y159" s="309">
        <f>VLOOKUP($A159,Prevs!$C:$AJ,COLUMN() - COLUMN($D159)+2,FALSE)*VLOOKUP($A159,Usinas!$C:$D,2,FALSE)</f>
        <v>134.86199999999999</v>
      </c>
      <c r="Z159" s="309">
        <f>VLOOKUP($A159,Prevs!$C:$AJ,COLUMN() - COLUMN($D159)+2,FALSE)*VLOOKUP($A159,Usinas!$C:$D,2,FALSE)</f>
        <v>126.084</v>
      </c>
      <c r="AA159" s="330">
        <f>VLOOKUP($A159,Prevs!$C:$AJ,COLUMN() - COLUMN($D159)+2,FALSE)*VLOOKUP($A159,Usinas!$C:$D,2,FALSE)</f>
        <v>126.88200000000001</v>
      </c>
      <c r="AE159" s="329">
        <f>VLOOKUP($A159,Prevs!$C:$AJ,COLUMN() - COLUMN($D159)+2,FALSE)*VLOOKUP($A159,Usinas!$C:$D,2,FALSE)</f>
        <v>129.27600000000001</v>
      </c>
      <c r="AF159" s="309">
        <f>VLOOKUP($A159,Prevs!$C:$AJ,COLUMN() - COLUMN($D159)+2,FALSE)*VLOOKUP($A159,Usinas!$C:$D,2,FALSE)</f>
        <v>122.09400000000001</v>
      </c>
      <c r="AG159" s="309">
        <f>VLOOKUP($A159,Prevs!$C:$AJ,COLUMN() - COLUMN($D159)+2,FALSE)*VLOOKUP($A159,Usinas!$C:$D,2,FALSE)</f>
        <v>105.33600000000001</v>
      </c>
      <c r="AH159" s="309">
        <f>VLOOKUP($A159,Prevs!$C:$AJ,COLUMN() - COLUMN($D159)+2,FALSE)*VLOOKUP($A159,Usinas!$C:$D,2,FALSE)</f>
        <v>102.14400000000001</v>
      </c>
      <c r="AI159" s="309">
        <f>VLOOKUP($A159,Prevs!$C:$AJ,COLUMN() - COLUMN($D159)+2,FALSE)*VLOOKUP($A159,Usinas!$C:$D,2,FALSE)</f>
        <v>95.76</v>
      </c>
      <c r="AJ159" s="330">
        <f>VLOOKUP($A159,Prevs!$C:$AJ,COLUMN() - COLUMN($D159)+2,FALSE)*VLOOKUP($A159,Usinas!$C:$D,2,FALSE)</f>
        <v>96.159000000000006</v>
      </c>
    </row>
    <row r="160" spans="1:37" hidden="1" outlineLevel="2" x14ac:dyDescent="0.25">
      <c r="A160" s="198">
        <v>253</v>
      </c>
      <c r="B160" s="199" t="s">
        <v>199</v>
      </c>
      <c r="D160" s="329">
        <f>VLOOKUP($A160,Prevs!$C:$AJ,COLUMN() - COLUMN($D160)+2,FALSE)*VLOOKUP($A160,Usinas!$C:$D,2,FALSE)</f>
        <v>72.649499999999989</v>
      </c>
      <c r="E160" s="309">
        <f>VLOOKUP($A160,Prevs!$C:$AJ,COLUMN() - COLUMN($D160)+2,FALSE)*VLOOKUP($A160,Usinas!$C:$D,2,FALSE)</f>
        <v>68.579499999999996</v>
      </c>
      <c r="F160" s="309">
        <f>VLOOKUP($A160,Prevs!$C:$AJ,COLUMN() - COLUMN($D160)+2,FALSE)*VLOOKUP($A160,Usinas!$C:$D,2,FALSE)</f>
        <v>59.421999999999997</v>
      </c>
      <c r="G160" s="309">
        <f>VLOOKUP($A160,Prevs!$C:$AJ,COLUMN() - COLUMN($D160)+2,FALSE)*VLOOKUP($A160,Usinas!$C:$D,2,FALSE)</f>
        <v>57.793999999999997</v>
      </c>
      <c r="H160" s="309">
        <f>VLOOKUP($A160,Prevs!$C:$AJ,COLUMN() - COLUMN($D160)+2,FALSE)*VLOOKUP($A160,Usinas!$C:$D,2,FALSE)</f>
        <v>54.130999999999993</v>
      </c>
      <c r="I160" s="330">
        <f>VLOOKUP($A160,Prevs!$C:$AJ,COLUMN() - COLUMN($D160)+2,FALSE)*VLOOKUP($A160,Usinas!$C:$D,2,FALSE)</f>
        <v>54.130999999999993</v>
      </c>
      <c r="J160" s="477">
        <f ca="1">VLOOKUP($A160,Prevs_MLT!$C:$AJ,1+Entrada!$C$4,FALSE)*VLOOKUP($A160,Usinas!$C:$D,2,FALSE)</f>
        <v>144.48499999999999</v>
      </c>
      <c r="M160" s="329">
        <f>VLOOKUP($A160,Prevs!$C:$AJ,COLUMN() - COLUMN($D160)+2,FALSE)*VLOOKUP($A160,Usinas!$C:$D,2,FALSE)</f>
        <v>112.73899999999999</v>
      </c>
      <c r="N160" s="309">
        <f>VLOOKUP($A160,Prevs!$C:$AJ,COLUMN() - COLUMN($D160)+2,FALSE)*VLOOKUP($A160,Usinas!$C:$D,2,FALSE)</f>
        <v>106.43049999999999</v>
      </c>
      <c r="O160" s="309">
        <f>VLOOKUP($A160,Prevs!$C:$AJ,COLUMN() - COLUMN($D160)+2,FALSE)*VLOOKUP($A160,Usinas!$C:$D,2,FALSE)</f>
        <v>92.388999999999996</v>
      </c>
      <c r="P160" s="309">
        <f>VLOOKUP($A160,Prevs!$C:$AJ,COLUMN() - COLUMN($D160)+2,FALSE)*VLOOKUP($A160,Usinas!$C:$D,2,FALSE)</f>
        <v>89.743499999999997</v>
      </c>
      <c r="Q160" s="309">
        <f>VLOOKUP($A160,Prevs!$C:$AJ,COLUMN() - COLUMN($D160)+2,FALSE)*VLOOKUP($A160,Usinas!$C:$D,2,FALSE)</f>
        <v>84.04549999999999</v>
      </c>
      <c r="R160" s="330">
        <f>VLOOKUP($A160,Prevs!$C:$AJ,COLUMN() - COLUMN($D160)+2,FALSE)*VLOOKUP($A160,Usinas!$C:$D,2,FALSE)</f>
        <v>84.04549999999999</v>
      </c>
      <c r="V160" s="329">
        <f>VLOOKUP($A160,Prevs!$C:$AJ,COLUMN() - COLUMN($D160)+2,FALSE)*VLOOKUP($A160,Usinas!$C:$D,2,FALSE)</f>
        <v>95.848499999999987</v>
      </c>
      <c r="W160" s="309">
        <f>VLOOKUP($A160,Prevs!$C:$AJ,COLUMN() - COLUMN($D160)+2,FALSE)*VLOOKUP($A160,Usinas!$C:$D,2,FALSE)</f>
        <v>90.353999999999999</v>
      </c>
      <c r="X160" s="309">
        <f>VLOOKUP($A160,Prevs!$C:$AJ,COLUMN() - COLUMN($D160)+2,FALSE)*VLOOKUP($A160,Usinas!$C:$D,2,FALSE)</f>
        <v>78.347499999999997</v>
      </c>
      <c r="Y160" s="309">
        <f>VLOOKUP($A160,Prevs!$C:$AJ,COLUMN() - COLUMN($D160)+2,FALSE)*VLOOKUP($A160,Usinas!$C:$D,2,FALSE)</f>
        <v>76.108999999999995</v>
      </c>
      <c r="Z160" s="309">
        <f>VLOOKUP($A160,Prevs!$C:$AJ,COLUMN() - COLUMN($D160)+2,FALSE)*VLOOKUP($A160,Usinas!$C:$D,2,FALSE)</f>
        <v>71.4285</v>
      </c>
      <c r="AA160" s="330">
        <f>VLOOKUP($A160,Prevs!$C:$AJ,COLUMN() - COLUMN($D160)+2,FALSE)*VLOOKUP($A160,Usinas!$C:$D,2,FALSE)</f>
        <v>71.4285</v>
      </c>
      <c r="AE160" s="329">
        <f>VLOOKUP($A160,Prevs!$C:$AJ,COLUMN() - COLUMN($D160)+2,FALSE)*VLOOKUP($A160,Usinas!$C:$D,2,FALSE)</f>
        <v>72.649499999999989</v>
      </c>
      <c r="AF160" s="309">
        <f>VLOOKUP($A160,Prevs!$C:$AJ,COLUMN() - COLUMN($D160)+2,FALSE)*VLOOKUP($A160,Usinas!$C:$D,2,FALSE)</f>
        <v>68.579499999999996</v>
      </c>
      <c r="AG160" s="309">
        <f>VLOOKUP($A160,Prevs!$C:$AJ,COLUMN() - COLUMN($D160)+2,FALSE)*VLOOKUP($A160,Usinas!$C:$D,2,FALSE)</f>
        <v>59.421999999999997</v>
      </c>
      <c r="AH160" s="309">
        <f>VLOOKUP($A160,Prevs!$C:$AJ,COLUMN() - COLUMN($D160)+2,FALSE)*VLOOKUP($A160,Usinas!$C:$D,2,FALSE)</f>
        <v>57.793999999999997</v>
      </c>
      <c r="AI160" s="309">
        <f>VLOOKUP($A160,Prevs!$C:$AJ,COLUMN() - COLUMN($D160)+2,FALSE)*VLOOKUP($A160,Usinas!$C:$D,2,FALSE)</f>
        <v>54.130999999999993</v>
      </c>
      <c r="AJ160" s="330">
        <f>VLOOKUP($A160,Prevs!$C:$AJ,COLUMN() - COLUMN($D160)+2,FALSE)*VLOOKUP($A160,Usinas!$C:$D,2,FALSE)</f>
        <v>54.130999999999993</v>
      </c>
    </row>
    <row r="161" spans="1:37" hidden="1" outlineLevel="2" x14ac:dyDescent="0.25">
      <c r="A161" s="198">
        <v>257</v>
      </c>
      <c r="B161" s="199" t="s">
        <v>200</v>
      </c>
      <c r="D161" s="329">
        <f>VLOOKUP($A161,Prevs!$C:$AJ,COLUMN() - COLUMN($D161)+2,FALSE)*VLOOKUP($A161,Usinas!$C:$D,2,FALSE)</f>
        <v>137.35660000000001</v>
      </c>
      <c r="E161" s="309">
        <f>VLOOKUP($A161,Prevs!$C:$AJ,COLUMN() - COLUMN($D161)+2,FALSE)*VLOOKUP($A161,Usinas!$C:$D,2,FALSE)</f>
        <v>127.70060000000001</v>
      </c>
      <c r="F161" s="309">
        <f>VLOOKUP($A161,Prevs!$C:$AJ,COLUMN() - COLUMN($D161)+2,FALSE)*VLOOKUP($A161,Usinas!$C:$D,2,FALSE)</f>
        <v>121.1828</v>
      </c>
      <c r="G161" s="309">
        <f>VLOOKUP($A161,Prevs!$C:$AJ,COLUMN() - COLUMN($D161)+2,FALSE)*VLOOKUP($A161,Usinas!$C:$D,2,FALSE)</f>
        <v>113.9408</v>
      </c>
      <c r="H161" s="309">
        <f>VLOOKUP($A161,Prevs!$C:$AJ,COLUMN() - COLUMN($D161)+2,FALSE)*VLOOKUP($A161,Usinas!$C:$D,2,FALSE)</f>
        <v>105.9746</v>
      </c>
      <c r="I161" s="330">
        <f>VLOOKUP($A161,Prevs!$C:$AJ,COLUMN() - COLUMN($D161)+2,FALSE)*VLOOKUP($A161,Usinas!$C:$D,2,FALSE)</f>
        <v>103.56060000000001</v>
      </c>
      <c r="J161" s="477">
        <f ca="1">VLOOKUP($A161,Prevs_MLT!$C:$AJ,1+Entrada!$C$4,FALSE)*VLOOKUP($A161,Usinas!$C:$D,2,FALSE)</f>
        <v>287.02460000000002</v>
      </c>
      <c r="M161" s="329">
        <f>VLOOKUP($A161,Prevs!$C:$AJ,COLUMN() - COLUMN($D161)+2,FALSE)*VLOOKUP($A161,Usinas!$C:$D,2,FALSE)</f>
        <v>213.39760000000001</v>
      </c>
      <c r="N161" s="309">
        <f>VLOOKUP($A161,Prevs!$C:$AJ,COLUMN() - COLUMN($D161)+2,FALSE)*VLOOKUP($A161,Usinas!$C:$D,2,FALSE)</f>
        <v>198.4308</v>
      </c>
      <c r="O161" s="309">
        <f>VLOOKUP($A161,Prevs!$C:$AJ,COLUMN() - COLUMN($D161)+2,FALSE)*VLOOKUP($A161,Usinas!$C:$D,2,FALSE)</f>
        <v>188.292</v>
      </c>
      <c r="P161" s="309">
        <f>VLOOKUP($A161,Prevs!$C:$AJ,COLUMN() - COLUMN($D161)+2,FALSE)*VLOOKUP($A161,Usinas!$C:$D,2,FALSE)</f>
        <v>176.9462</v>
      </c>
      <c r="Q161" s="309">
        <f>VLOOKUP($A161,Prevs!$C:$AJ,COLUMN() - COLUMN($D161)+2,FALSE)*VLOOKUP($A161,Usinas!$C:$D,2,FALSE)</f>
        <v>164.63480000000001</v>
      </c>
      <c r="R161" s="330">
        <f>VLOOKUP($A161,Prevs!$C:$AJ,COLUMN() - COLUMN($D161)+2,FALSE)*VLOOKUP($A161,Usinas!$C:$D,2,FALSE)</f>
        <v>160.7724</v>
      </c>
      <c r="V161" s="329">
        <f>VLOOKUP($A161,Prevs!$C:$AJ,COLUMN() - COLUMN($D161)+2,FALSE)*VLOOKUP($A161,Usinas!$C:$D,2,FALSE)</f>
        <v>181.05</v>
      </c>
      <c r="W161" s="309">
        <f>VLOOKUP($A161,Prevs!$C:$AJ,COLUMN() - COLUMN($D161)+2,FALSE)*VLOOKUP($A161,Usinas!$C:$D,2,FALSE)</f>
        <v>168.49719999999999</v>
      </c>
      <c r="X161" s="309">
        <f>VLOOKUP($A161,Prevs!$C:$AJ,COLUMN() - COLUMN($D161)+2,FALSE)*VLOOKUP($A161,Usinas!$C:$D,2,FALSE)</f>
        <v>159.80680000000001</v>
      </c>
      <c r="Y161" s="309">
        <f>VLOOKUP($A161,Prevs!$C:$AJ,COLUMN() - COLUMN($D161)+2,FALSE)*VLOOKUP($A161,Usinas!$C:$D,2,FALSE)</f>
        <v>150.1508</v>
      </c>
      <c r="Z161" s="309">
        <f>VLOOKUP($A161,Prevs!$C:$AJ,COLUMN() - COLUMN($D161)+2,FALSE)*VLOOKUP($A161,Usinas!$C:$D,2,FALSE)</f>
        <v>139.7706</v>
      </c>
      <c r="AA161" s="330">
        <f>VLOOKUP($A161,Prevs!$C:$AJ,COLUMN() - COLUMN($D161)+2,FALSE)*VLOOKUP($A161,Usinas!$C:$D,2,FALSE)</f>
        <v>136.63239999999999</v>
      </c>
      <c r="AE161" s="329">
        <f>VLOOKUP($A161,Prevs!$C:$AJ,COLUMN() - COLUMN($D161)+2,FALSE)*VLOOKUP($A161,Usinas!$C:$D,2,FALSE)</f>
        <v>137.35660000000001</v>
      </c>
      <c r="AF161" s="309">
        <f>VLOOKUP($A161,Prevs!$C:$AJ,COLUMN() - COLUMN($D161)+2,FALSE)*VLOOKUP($A161,Usinas!$C:$D,2,FALSE)</f>
        <v>127.70060000000001</v>
      </c>
      <c r="AG161" s="309">
        <f>VLOOKUP($A161,Prevs!$C:$AJ,COLUMN() - COLUMN($D161)+2,FALSE)*VLOOKUP($A161,Usinas!$C:$D,2,FALSE)</f>
        <v>121.1828</v>
      </c>
      <c r="AH161" s="309">
        <f>VLOOKUP($A161,Prevs!$C:$AJ,COLUMN() - COLUMN($D161)+2,FALSE)*VLOOKUP($A161,Usinas!$C:$D,2,FALSE)</f>
        <v>113.9408</v>
      </c>
      <c r="AI161" s="309">
        <f>VLOOKUP($A161,Prevs!$C:$AJ,COLUMN() - COLUMN($D161)+2,FALSE)*VLOOKUP($A161,Usinas!$C:$D,2,FALSE)</f>
        <v>105.9746</v>
      </c>
      <c r="AJ161" s="330">
        <f>VLOOKUP($A161,Prevs!$C:$AJ,COLUMN() - COLUMN($D161)+2,FALSE)*VLOOKUP($A161,Usinas!$C:$D,2,FALSE)</f>
        <v>103.56060000000001</v>
      </c>
    </row>
    <row r="162" spans="1:37" hidden="1" outlineLevel="2" x14ac:dyDescent="0.25">
      <c r="A162" s="198">
        <v>273</v>
      </c>
      <c r="B162" s="199" t="s">
        <v>201</v>
      </c>
      <c r="D162" s="329">
        <f>VLOOKUP($A162,Prevs!$C:$AJ,COLUMN() - COLUMN($D162)+2,FALSE)*VLOOKUP($A162,Usinas!$C:$D,2,FALSE)</f>
        <v>251.07039999999998</v>
      </c>
      <c r="E162" s="309">
        <f>VLOOKUP($A162,Prevs!$C:$AJ,COLUMN() - COLUMN($D162)+2,FALSE)*VLOOKUP($A162,Usinas!$C:$D,2,FALSE)</f>
        <v>234.8304</v>
      </c>
      <c r="F162" s="309">
        <f>VLOOKUP($A162,Prevs!$C:$AJ,COLUMN() - COLUMN($D162)+2,FALSE)*VLOOKUP($A162,Usinas!$C:$D,2,FALSE)</f>
        <v>223.46239999999997</v>
      </c>
      <c r="G162" s="309">
        <f>VLOOKUP($A162,Prevs!$C:$AJ,COLUMN() - COLUMN($D162)+2,FALSE)*VLOOKUP($A162,Usinas!$C:$D,2,FALSE)</f>
        <v>211.44479999999999</v>
      </c>
      <c r="H162" s="309">
        <f>VLOOKUP($A162,Prevs!$C:$AJ,COLUMN() - COLUMN($D162)+2,FALSE)*VLOOKUP($A162,Usinas!$C:$D,2,FALSE)</f>
        <v>197.47839999999999</v>
      </c>
      <c r="I162" s="330">
        <f>VLOOKUP($A162,Prevs!$C:$AJ,COLUMN() - COLUMN($D162)+2,FALSE)*VLOOKUP($A162,Usinas!$C:$D,2,FALSE)</f>
        <v>182.21279999999999</v>
      </c>
      <c r="J162" s="477">
        <f ca="1">VLOOKUP($A162,Prevs_MLT!$C:$AJ,1+Entrada!$C$4,FALSE)*VLOOKUP($A162,Usinas!$C:$D,2,FALSE)</f>
        <v>614.8463999999999</v>
      </c>
      <c r="M162" s="329">
        <f>VLOOKUP($A162,Prevs!$C:$AJ,COLUMN() - COLUMN($D162)+2,FALSE)*VLOOKUP($A162,Usinas!$C:$D,2,FALSE)</f>
        <v>390.08479999999997</v>
      </c>
      <c r="N162" s="309">
        <f>VLOOKUP($A162,Prevs!$C:$AJ,COLUMN() - COLUMN($D162)+2,FALSE)*VLOOKUP($A162,Usinas!$C:$D,2,FALSE)</f>
        <v>364.75039999999996</v>
      </c>
      <c r="O162" s="309">
        <f>VLOOKUP($A162,Prevs!$C:$AJ,COLUMN() - COLUMN($D162)+2,FALSE)*VLOOKUP($A162,Usinas!$C:$D,2,FALSE)</f>
        <v>347.21119999999996</v>
      </c>
      <c r="P162" s="309">
        <f>VLOOKUP($A162,Prevs!$C:$AJ,COLUMN() - COLUMN($D162)+2,FALSE)*VLOOKUP($A162,Usinas!$C:$D,2,FALSE)</f>
        <v>328.37279999999998</v>
      </c>
      <c r="Q162" s="309">
        <f>VLOOKUP($A162,Prevs!$C:$AJ,COLUMN() - COLUMN($D162)+2,FALSE)*VLOOKUP($A162,Usinas!$C:$D,2,FALSE)</f>
        <v>306.6112</v>
      </c>
      <c r="R162" s="330">
        <f>VLOOKUP($A162,Prevs!$C:$AJ,COLUMN() - COLUMN($D162)+2,FALSE)*VLOOKUP($A162,Usinas!$C:$D,2,FALSE)</f>
        <v>282.9008</v>
      </c>
      <c r="V162" s="329">
        <f>VLOOKUP($A162,Prevs!$C:$AJ,COLUMN() - COLUMN($D162)+2,FALSE)*VLOOKUP($A162,Usinas!$C:$D,2,FALSE)</f>
        <v>330.97119999999995</v>
      </c>
      <c r="W162" s="309">
        <f>VLOOKUP($A162,Prevs!$C:$AJ,COLUMN() - COLUMN($D162)+2,FALSE)*VLOOKUP($A162,Usinas!$C:$D,2,FALSE)</f>
        <v>309.53440000000001</v>
      </c>
      <c r="X162" s="309">
        <f>VLOOKUP($A162,Prevs!$C:$AJ,COLUMN() - COLUMN($D162)+2,FALSE)*VLOOKUP($A162,Usinas!$C:$D,2,FALSE)</f>
        <v>294.59359999999998</v>
      </c>
      <c r="Y162" s="309">
        <f>VLOOKUP($A162,Prevs!$C:$AJ,COLUMN() - COLUMN($D162)+2,FALSE)*VLOOKUP($A162,Usinas!$C:$D,2,FALSE)</f>
        <v>278.67839999999995</v>
      </c>
      <c r="Z162" s="309">
        <f>VLOOKUP($A162,Prevs!$C:$AJ,COLUMN() - COLUMN($D162)+2,FALSE)*VLOOKUP($A162,Usinas!$C:$D,2,FALSE)</f>
        <v>260.4896</v>
      </c>
      <c r="AA162" s="330">
        <f>VLOOKUP($A162,Prevs!$C:$AJ,COLUMN() - COLUMN($D162)+2,FALSE)*VLOOKUP($A162,Usinas!$C:$D,2,FALSE)</f>
        <v>240.35199999999998</v>
      </c>
      <c r="AE162" s="329">
        <f>VLOOKUP($A162,Prevs!$C:$AJ,COLUMN() - COLUMN($D162)+2,FALSE)*VLOOKUP($A162,Usinas!$C:$D,2,FALSE)</f>
        <v>251.07039999999998</v>
      </c>
      <c r="AF162" s="309">
        <f>VLOOKUP($A162,Prevs!$C:$AJ,COLUMN() - COLUMN($D162)+2,FALSE)*VLOOKUP($A162,Usinas!$C:$D,2,FALSE)</f>
        <v>234.8304</v>
      </c>
      <c r="AG162" s="309">
        <f>VLOOKUP($A162,Prevs!$C:$AJ,COLUMN() - COLUMN($D162)+2,FALSE)*VLOOKUP($A162,Usinas!$C:$D,2,FALSE)</f>
        <v>223.46239999999997</v>
      </c>
      <c r="AH162" s="309">
        <f>VLOOKUP($A162,Prevs!$C:$AJ,COLUMN() - COLUMN($D162)+2,FALSE)*VLOOKUP($A162,Usinas!$C:$D,2,FALSE)</f>
        <v>211.44479999999999</v>
      </c>
      <c r="AI162" s="309">
        <f>VLOOKUP($A162,Prevs!$C:$AJ,COLUMN() - COLUMN($D162)+2,FALSE)*VLOOKUP($A162,Usinas!$C:$D,2,FALSE)</f>
        <v>197.47839999999999</v>
      </c>
      <c r="AJ162" s="330">
        <f>VLOOKUP($A162,Prevs!$C:$AJ,COLUMN() - COLUMN($D162)+2,FALSE)*VLOOKUP($A162,Usinas!$C:$D,2,FALSE)</f>
        <v>182.21279999999999</v>
      </c>
    </row>
    <row r="163" spans="1:37" outlineLevel="1" collapsed="1" x14ac:dyDescent="0.25">
      <c r="A163" s="221"/>
      <c r="B163" s="222" t="s">
        <v>92</v>
      </c>
      <c r="D163" s="225">
        <f t="shared" ref="D163:I163" si="74">SUM(D158:D162)</f>
        <v>886.39299999999992</v>
      </c>
      <c r="E163" s="59">
        <f t="shared" si="74"/>
        <v>832.74099999999999</v>
      </c>
      <c r="F163" s="59">
        <f t="shared" si="74"/>
        <v>749.74270000000013</v>
      </c>
      <c r="G163" s="59">
        <f t="shared" si="74"/>
        <v>718.44259999999997</v>
      </c>
      <c r="H163" s="59">
        <f t="shared" si="74"/>
        <v>670.9905</v>
      </c>
      <c r="I163" s="226">
        <f t="shared" si="74"/>
        <v>653.70990000000006</v>
      </c>
      <c r="J163" s="423">
        <f ca="1">SUMPRODUCT(D163:I163,Saida!$B$7:$G$7)/SUM(Saida!$B$7:$G$7)</f>
        <v>744.78401666666673</v>
      </c>
      <c r="M163" s="355">
        <f t="shared" ref="M163:R163" si="75">SUM(M158:M162)</f>
        <v>1376.9674</v>
      </c>
      <c r="N163" s="310">
        <f t="shared" si="75"/>
        <v>1293.3982000000001</v>
      </c>
      <c r="O163" s="310">
        <f t="shared" si="75"/>
        <v>1164.8852000000002</v>
      </c>
      <c r="P163" s="310">
        <f t="shared" si="75"/>
        <v>1115.921</v>
      </c>
      <c r="Q163" s="310">
        <f t="shared" si="75"/>
        <v>1042.4505000000001</v>
      </c>
      <c r="R163" s="356">
        <f t="shared" si="75"/>
        <v>1015.2767</v>
      </c>
      <c r="S163" s="423">
        <f ca="1">SUMPRODUCT(M163:R163,Saida!$B$7:$G$7)/SUM(Saida!$B$7:$G$7)</f>
        <v>1156.9609466666668</v>
      </c>
      <c r="V163" s="355">
        <f t="shared" ref="V163:AA163" si="76">SUM(V158:V162)</f>
        <v>1168.1496999999999</v>
      </c>
      <c r="W163" s="310">
        <f t="shared" si="76"/>
        <v>1097.8271</v>
      </c>
      <c r="X163" s="310">
        <f t="shared" si="76"/>
        <v>988.27039999999988</v>
      </c>
      <c r="Y163" s="310">
        <f t="shared" si="76"/>
        <v>947.18720000000008</v>
      </c>
      <c r="Z163" s="310">
        <f t="shared" si="76"/>
        <v>884.52969999999993</v>
      </c>
      <c r="AA163" s="356">
        <f t="shared" si="76"/>
        <v>862.05189999999993</v>
      </c>
      <c r="AB163" s="423">
        <f ca="1">SUMPRODUCT(V163:AA163,Saida!$B$7:$G$7)/SUM(Saida!$B$7:$G$7)</f>
        <v>981.83007999999995</v>
      </c>
      <c r="AE163" s="355">
        <f t="shared" ref="AE163:AJ163" si="77">SUM(AE158:AE162)</f>
        <v>886.39299999999992</v>
      </c>
      <c r="AF163" s="310">
        <f t="shared" si="77"/>
        <v>832.74099999999999</v>
      </c>
      <c r="AG163" s="310">
        <f t="shared" si="77"/>
        <v>749.74270000000013</v>
      </c>
      <c r="AH163" s="310">
        <f t="shared" si="77"/>
        <v>718.44259999999997</v>
      </c>
      <c r="AI163" s="310">
        <f t="shared" si="77"/>
        <v>670.9905</v>
      </c>
      <c r="AJ163" s="356">
        <f t="shared" si="77"/>
        <v>653.70990000000006</v>
      </c>
      <c r="AK163" s="423">
        <f ca="1">SUMPRODUCT(AE163:AJ163,Saida!$B$7:$G$7)/SUM(Saida!$B$7:$G$7)</f>
        <v>744.78401666666673</v>
      </c>
    </row>
    <row r="164" spans="1:37" outlineLevel="1" x14ac:dyDescent="0.25">
      <c r="A164" s="223"/>
      <c r="B164" s="224" t="s">
        <v>13</v>
      </c>
      <c r="D164" s="216"/>
      <c r="E164" s="217"/>
      <c r="F164" s="217"/>
      <c r="G164" s="217"/>
      <c r="H164" s="217"/>
      <c r="I164" s="218"/>
      <c r="J164" s="478">
        <f ca="1">SUM(J158:J162)</f>
        <v>1878.2270000000001</v>
      </c>
      <c r="M164" s="352"/>
      <c r="N164" s="353"/>
      <c r="O164" s="353"/>
      <c r="P164" s="353"/>
      <c r="Q164" s="353"/>
      <c r="R164" s="354"/>
      <c r="V164" s="352"/>
      <c r="W164" s="353"/>
      <c r="X164" s="353"/>
      <c r="Y164" s="353"/>
      <c r="Z164" s="353"/>
      <c r="AA164" s="354"/>
      <c r="AE164" s="352"/>
      <c r="AF164" s="353"/>
      <c r="AG164" s="353"/>
      <c r="AH164" s="353"/>
      <c r="AI164" s="353"/>
      <c r="AJ164" s="354"/>
    </row>
    <row r="165" spans="1:37" outlineLevel="1" x14ac:dyDescent="0.25">
      <c r="A165" s="60"/>
      <c r="B165" s="61"/>
      <c r="D165" s="62"/>
      <c r="E165" s="63"/>
      <c r="F165" s="63"/>
      <c r="G165" s="63"/>
      <c r="H165" s="63"/>
      <c r="I165" s="63"/>
      <c r="M165" s="311"/>
      <c r="N165" s="312"/>
      <c r="O165" s="312"/>
      <c r="P165" s="312"/>
      <c r="Q165" s="312"/>
      <c r="R165" s="312"/>
      <c r="V165" s="311"/>
      <c r="W165" s="312"/>
      <c r="X165" s="312"/>
      <c r="Y165" s="312"/>
      <c r="Z165" s="312"/>
      <c r="AA165" s="312"/>
      <c r="AE165" s="311"/>
      <c r="AF165" s="312"/>
      <c r="AG165" s="312"/>
      <c r="AH165" s="312"/>
      <c r="AI165" s="312"/>
      <c r="AJ165" s="312"/>
    </row>
    <row r="166" spans="1:37" ht="15.75" x14ac:dyDescent="0.25">
      <c r="A166" s="368"/>
      <c r="B166" s="369"/>
      <c r="C166" s="391"/>
      <c r="D166" s="506" t="s">
        <v>202</v>
      </c>
      <c r="E166" s="507" t="s">
        <v>203</v>
      </c>
      <c r="F166" s="507" t="s">
        <v>15</v>
      </c>
      <c r="G166" s="507"/>
      <c r="H166" s="507"/>
      <c r="I166" s="508"/>
      <c r="M166" s="506" t="s">
        <v>202</v>
      </c>
      <c r="N166" s="507" t="s">
        <v>203</v>
      </c>
      <c r="O166" s="507" t="s">
        <v>15</v>
      </c>
      <c r="P166" s="507"/>
      <c r="Q166" s="507"/>
      <c r="R166" s="508"/>
      <c r="V166" s="506" t="s">
        <v>202</v>
      </c>
      <c r="W166" s="507" t="s">
        <v>203</v>
      </c>
      <c r="X166" s="507" t="s">
        <v>15</v>
      </c>
      <c r="Y166" s="507"/>
      <c r="Z166" s="507"/>
      <c r="AA166" s="508"/>
      <c r="AE166" s="506" t="s">
        <v>202</v>
      </c>
      <c r="AF166" s="507" t="s">
        <v>203</v>
      </c>
      <c r="AG166" s="507" t="s">
        <v>15</v>
      </c>
      <c r="AH166" s="507"/>
      <c r="AI166" s="507"/>
      <c r="AJ166" s="508"/>
    </row>
    <row r="167" spans="1:37" ht="15.75" x14ac:dyDescent="0.25">
      <c r="A167" s="370"/>
      <c r="B167" s="372" t="s">
        <v>92</v>
      </c>
      <c r="C167" s="391"/>
      <c r="D167" s="372">
        <f t="shared" ref="D167:J168" si="78">D22+D45+D60+D74+D80+D86+D101+D106+D111+D123+D132+D137+D147+D154+D163+D50</f>
        <v>21042.374576315786</v>
      </c>
      <c r="E167" s="373">
        <f t="shared" si="78"/>
        <v>20277.91653052632</v>
      </c>
      <c r="F167" s="373">
        <f t="shared" si="78"/>
        <v>19869.549884736833</v>
      </c>
      <c r="G167" s="373">
        <f t="shared" si="78"/>
        <v>19789.439787368421</v>
      </c>
      <c r="H167" s="373">
        <f t="shared" si="78"/>
        <v>18369.295526842106</v>
      </c>
      <c r="I167" s="374">
        <f t="shared" si="78"/>
        <v>17500.043726842108</v>
      </c>
      <c r="J167" s="423">
        <f ca="1">SUMPRODUCT(D167:I167,Saida!$B$7:$G$7)/SUM(Saida!$B$7:$G$7)</f>
        <v>19556.194346982458</v>
      </c>
      <c r="M167" s="372">
        <f>M22+M45+M60+M74+M80+M86+M101+M106+M111+M123+M132+M137+M147+M154+M163+M50</f>
        <v>32474.359700000001</v>
      </c>
      <c r="N167" s="373">
        <f t="shared" ref="N167:R167" si="79">N22+N45+N60+N74+N80+N86+N101+N106+N111+N123+N132+N137+N147+N154+N163+N50</f>
        <v>31300.367899999994</v>
      </c>
      <c r="O167" s="373">
        <f t="shared" si="79"/>
        <v>30694.763500000001</v>
      </c>
      <c r="P167" s="373">
        <f t="shared" si="79"/>
        <v>30585.28045210526</v>
      </c>
      <c r="Q167" s="373">
        <f t="shared" si="79"/>
        <v>28333.237200000003</v>
      </c>
      <c r="R167" s="374">
        <f t="shared" si="79"/>
        <v>27043.510500000004</v>
      </c>
      <c r="S167" s="423">
        <f ca="1">SUMPRODUCT(M167:R167,Saida!$B$7:$G$7)/SUM(Saida!$B$7:$G$7)</f>
        <v>30197.113785491223</v>
      </c>
      <c r="V167" s="372">
        <f>V22+V45+V60+V74+V80+V86+V101+V106+V111+V123+V132+V137+V147+V154+V163+V50</f>
        <v>27606.694344736839</v>
      </c>
      <c r="W167" s="373">
        <f t="shared" ref="W167:AA167" si="80">W22+W45+W60+W74+W80+W86+W101+W106+W111+W123+W132+W137+W147+W154+W163+W50</f>
        <v>26601.508398947361</v>
      </c>
      <c r="X167" s="373">
        <f t="shared" si="80"/>
        <v>26090.706353157893</v>
      </c>
      <c r="Y167" s="373">
        <f t="shared" si="80"/>
        <v>25985.336959473683</v>
      </c>
      <c r="Z167" s="373">
        <f t="shared" si="80"/>
        <v>24095.543812105265</v>
      </c>
      <c r="AA167" s="374">
        <f t="shared" si="80"/>
        <v>22991.415912105265</v>
      </c>
      <c r="AB167" s="423">
        <f ca="1">SUMPRODUCT(V167:AA167,Saida!$B$7:$G$7)/SUM(Saida!$B$7:$G$7)</f>
        <v>25666.992630754383</v>
      </c>
      <c r="AE167" s="372">
        <f>AE22+AE45+AE60+AE74+AE80+AE86+AE101+AE106+AE111+AE123+AE132+AE137+AE147+AE154+AE163+AE50</f>
        <v>21042.374576315786</v>
      </c>
      <c r="AF167" s="373">
        <f t="shared" ref="AF167:AJ167" si="81">AF22+AF45+AF60+AF74+AF80+AF86+AF101+AF106+AF111+AF123+AF132+AF137+AF147+AF154+AF163+AF50</f>
        <v>20277.91653052632</v>
      </c>
      <c r="AG167" s="373">
        <f t="shared" si="81"/>
        <v>19869.549884736833</v>
      </c>
      <c r="AH167" s="373">
        <f t="shared" si="81"/>
        <v>19789.439787368421</v>
      </c>
      <c r="AI167" s="373">
        <f t="shared" si="81"/>
        <v>18369.295526842106</v>
      </c>
      <c r="AJ167" s="374">
        <f t="shared" si="81"/>
        <v>17500.043726842108</v>
      </c>
      <c r="AK167" s="423">
        <f ca="1">SUMPRODUCT(AE167:AJ167,Saida!$B$7:$G$7)/SUM(Saida!$B$7:$G$7)</f>
        <v>19556.194346982458</v>
      </c>
    </row>
    <row r="168" spans="1:37" ht="15.75" x14ac:dyDescent="0.25">
      <c r="A168" s="371"/>
      <c r="B168" s="375" t="s">
        <v>13</v>
      </c>
      <c r="C168" s="391"/>
      <c r="D168" s="375"/>
      <c r="E168" s="376"/>
      <c r="F168" s="376"/>
      <c r="G168" s="376"/>
      <c r="H168" s="376"/>
      <c r="I168" s="377"/>
      <c r="J168" s="479">
        <f t="shared" ca="1" si="78"/>
        <v>30196.576999999997</v>
      </c>
      <c r="M168" s="375"/>
      <c r="N168" s="376"/>
      <c r="O168" s="376"/>
      <c r="P168" s="376"/>
      <c r="Q168" s="376"/>
      <c r="R168" s="377"/>
      <c r="V168" s="375"/>
      <c r="W168" s="376"/>
      <c r="X168" s="376"/>
      <c r="Y168" s="376"/>
      <c r="Z168" s="376"/>
      <c r="AA168" s="377"/>
      <c r="AE168" s="375"/>
      <c r="AF168" s="376"/>
      <c r="AG168" s="376"/>
      <c r="AH168" s="376"/>
      <c r="AI168" s="376"/>
      <c r="AJ168" s="377"/>
    </row>
    <row r="170" spans="1:37" x14ac:dyDescent="0.25">
      <c r="D170" s="228"/>
      <c r="E170" s="228"/>
      <c r="F170" s="228"/>
      <c r="G170" s="228"/>
      <c r="H170" s="228"/>
      <c r="I170" s="228"/>
    </row>
  </sheetData>
  <mergeCells count="70">
    <mergeCell ref="D150:I150"/>
    <mergeCell ref="M150:R150"/>
    <mergeCell ref="D157:I157"/>
    <mergeCell ref="M157:R157"/>
    <mergeCell ref="D166:I166"/>
    <mergeCell ref="M166:R166"/>
    <mergeCell ref="D126:I126"/>
    <mergeCell ref="M126:R126"/>
    <mergeCell ref="D135:I135"/>
    <mergeCell ref="M135:R135"/>
    <mergeCell ref="D140:I140"/>
    <mergeCell ref="M140:R140"/>
    <mergeCell ref="D104:I104"/>
    <mergeCell ref="M104:R104"/>
    <mergeCell ref="D109:I109"/>
    <mergeCell ref="M109:R109"/>
    <mergeCell ref="D114:I114"/>
    <mergeCell ref="M114:R114"/>
    <mergeCell ref="D77:I77"/>
    <mergeCell ref="M77:R77"/>
    <mergeCell ref="D83:I83"/>
    <mergeCell ref="M83:R83"/>
    <mergeCell ref="D89:I89"/>
    <mergeCell ref="M89:R89"/>
    <mergeCell ref="D48:I48"/>
    <mergeCell ref="M48:R48"/>
    <mergeCell ref="D53:I53"/>
    <mergeCell ref="M53:R53"/>
    <mergeCell ref="D63:I63"/>
    <mergeCell ref="M63:R63"/>
    <mergeCell ref="A1:A4"/>
    <mergeCell ref="B1:B4"/>
    <mergeCell ref="D6:I6"/>
    <mergeCell ref="M6:R6"/>
    <mergeCell ref="D25:I25"/>
    <mergeCell ref="M25:R25"/>
    <mergeCell ref="V166:AA166"/>
    <mergeCell ref="V157:AA157"/>
    <mergeCell ref="V150:AA150"/>
    <mergeCell ref="V140:AA140"/>
    <mergeCell ref="V135:AA135"/>
    <mergeCell ref="V126:AA126"/>
    <mergeCell ref="V114:AA114"/>
    <mergeCell ref="V109:AA109"/>
    <mergeCell ref="V104:AA104"/>
    <mergeCell ref="V89:AA89"/>
    <mergeCell ref="AE83:AJ83"/>
    <mergeCell ref="AE77:AJ77"/>
    <mergeCell ref="AE63:AJ63"/>
    <mergeCell ref="AE53:AJ53"/>
    <mergeCell ref="V83:AA83"/>
    <mergeCell ref="V77:AA77"/>
    <mergeCell ref="V63:AA63"/>
    <mergeCell ref="V53:AA53"/>
    <mergeCell ref="AE126:AJ126"/>
    <mergeCell ref="AE114:AJ114"/>
    <mergeCell ref="AE109:AJ109"/>
    <mergeCell ref="AE104:AJ104"/>
    <mergeCell ref="AE89:AJ89"/>
    <mergeCell ref="AE166:AJ166"/>
    <mergeCell ref="AE157:AJ157"/>
    <mergeCell ref="AE150:AJ150"/>
    <mergeCell ref="AE140:AJ140"/>
    <mergeCell ref="AE135:AJ135"/>
    <mergeCell ref="AE48:AJ48"/>
    <mergeCell ref="AE25:AJ25"/>
    <mergeCell ref="AE6:AJ6"/>
    <mergeCell ref="V25:AA25"/>
    <mergeCell ref="V6:AA6"/>
    <mergeCell ref="V48:AA48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5" tint="-0.249977111117893"/>
  </sheetPr>
  <dimension ref="A1:AK64"/>
  <sheetViews>
    <sheetView workbookViewId="0">
      <selection sqref="A1:A4"/>
    </sheetView>
  </sheetViews>
  <sheetFormatPr defaultRowHeight="15" outlineLevelRow="2" x14ac:dyDescent="0.25"/>
  <cols>
    <col min="1" max="1" width="5.28515625" style="69" bestFit="1" customWidth="1"/>
    <col min="2" max="2" width="35.42578125" style="69" bestFit="1" customWidth="1"/>
    <col min="3" max="3" width="1.7109375" style="387" customWidth="1"/>
    <col min="4" max="5" width="10.5703125" style="69" bestFit="1" customWidth="1"/>
    <col min="6" max="6" width="10.28515625" style="69" bestFit="1" customWidth="1"/>
    <col min="7" max="9" width="10.5703125" style="69" bestFit="1" customWidth="1"/>
    <col min="10" max="10" width="7" bestFit="1" customWidth="1"/>
    <col min="11" max="12" width="1.7109375" style="302" customWidth="1"/>
    <col min="13" max="14" width="10.5703125" style="316" bestFit="1" customWidth="1"/>
    <col min="15" max="15" width="10.28515625" style="316" bestFit="1" customWidth="1"/>
    <col min="16" max="18" width="10.5703125" style="316" bestFit="1" customWidth="1"/>
    <col min="19" max="19" width="7" style="419" bestFit="1" customWidth="1"/>
    <col min="20" max="21" width="2.42578125" customWidth="1"/>
    <col min="22" max="23" width="10.5703125" style="316" bestFit="1" customWidth="1"/>
    <col min="24" max="24" width="10.28515625" style="316" bestFit="1" customWidth="1"/>
    <col min="25" max="27" width="10.5703125" style="316" bestFit="1" customWidth="1"/>
    <col min="28" max="28" width="7" style="419" bestFit="1" customWidth="1"/>
    <col min="29" max="30" width="2.7109375" customWidth="1"/>
    <col min="31" max="32" width="10.5703125" style="316" bestFit="1" customWidth="1"/>
    <col min="33" max="33" width="10.28515625" style="316" bestFit="1" customWidth="1"/>
    <col min="34" max="36" width="10.5703125" style="316" bestFit="1" customWidth="1"/>
    <col min="37" max="37" width="7" style="419" bestFit="1" customWidth="1"/>
  </cols>
  <sheetData>
    <row r="1" spans="1:37" ht="16.5" customHeight="1" x14ac:dyDescent="0.25">
      <c r="A1" s="512" t="s">
        <v>75</v>
      </c>
      <c r="B1" s="514" t="s">
        <v>204</v>
      </c>
      <c r="D1" s="347" t="s">
        <v>69</v>
      </c>
      <c r="E1" s="348" t="s">
        <v>70</v>
      </c>
      <c r="F1" s="348" t="s">
        <v>71</v>
      </c>
      <c r="G1" s="348" t="s">
        <v>72</v>
      </c>
      <c r="H1" s="348" t="s">
        <v>73</v>
      </c>
      <c r="I1" s="349" t="s">
        <v>74</v>
      </c>
      <c r="J1" s="303"/>
      <c r="K1" s="303"/>
      <c r="L1" s="303"/>
      <c r="M1" s="378" t="str">
        <f t="shared" ref="M1:R4" si="0">D1</f>
        <v>Semana-1</v>
      </c>
      <c r="N1" s="379" t="str">
        <f t="shared" si="0"/>
        <v>Semana-2</v>
      </c>
      <c r="O1" s="379" t="str">
        <f t="shared" si="0"/>
        <v>Semana-3</v>
      </c>
      <c r="P1" s="379" t="str">
        <f t="shared" si="0"/>
        <v>Semana-4</v>
      </c>
      <c r="Q1" s="379" t="str">
        <f t="shared" si="0"/>
        <v>Semana-5</v>
      </c>
      <c r="R1" s="380" t="str">
        <f t="shared" si="0"/>
        <v>Semana-6</v>
      </c>
      <c r="S1" s="303"/>
      <c r="V1" s="378" t="str">
        <f t="shared" ref="V1:V4" si="1">M1</f>
        <v>Semana-1</v>
      </c>
      <c r="W1" s="379" t="str">
        <f t="shared" ref="W1:W4" si="2">N1</f>
        <v>Semana-2</v>
      </c>
      <c r="X1" s="379" t="str">
        <f t="shared" ref="X1:X4" si="3">O1</f>
        <v>Semana-3</v>
      </c>
      <c r="Y1" s="379" t="str">
        <f t="shared" ref="Y1:Y4" si="4">P1</f>
        <v>Semana-4</v>
      </c>
      <c r="Z1" s="379" t="str">
        <f t="shared" ref="Z1:Z4" si="5">Q1</f>
        <v>Semana-5</v>
      </c>
      <c r="AA1" s="380" t="str">
        <f t="shared" ref="AA1:AA4" si="6">R1</f>
        <v>Semana-6</v>
      </c>
      <c r="AB1" s="303"/>
      <c r="AE1" s="378" t="str">
        <f t="shared" ref="AE1:AE4" si="7">V1</f>
        <v>Semana-1</v>
      </c>
      <c r="AF1" s="379" t="str">
        <f t="shared" ref="AF1:AF4" si="8">W1</f>
        <v>Semana-2</v>
      </c>
      <c r="AG1" s="379" t="str">
        <f t="shared" ref="AG1:AG4" si="9">X1</f>
        <v>Semana-3</v>
      </c>
      <c r="AH1" s="379" t="str">
        <f t="shared" ref="AH1:AH4" si="10">Y1</f>
        <v>Semana-4</v>
      </c>
      <c r="AI1" s="379" t="str">
        <f t="shared" ref="AI1:AI4" si="11">Z1</f>
        <v>Semana-5</v>
      </c>
      <c r="AJ1" s="380" t="str">
        <f t="shared" ref="AJ1:AJ4" si="12">AA1</f>
        <v>Semana-6</v>
      </c>
      <c r="AK1" s="303"/>
    </row>
    <row r="2" spans="1:37" x14ac:dyDescent="0.25">
      <c r="A2" s="513"/>
      <c r="B2" s="515"/>
      <c r="D2" s="350">
        <f ca="1">Saida!B4</f>
        <v>42119</v>
      </c>
      <c r="E2" s="326">
        <f ca="1">Saida!C4</f>
        <v>42126</v>
      </c>
      <c r="F2" s="326">
        <f ca="1">Saida!D4</f>
        <v>42133</v>
      </c>
      <c r="G2" s="326">
        <f ca="1">Saida!E4</f>
        <v>42140</v>
      </c>
      <c r="H2" s="326">
        <f ca="1">Saida!F4</f>
        <v>42147</v>
      </c>
      <c r="I2" s="351">
        <f ca="1">Saida!G4</f>
        <v>42154</v>
      </c>
      <c r="J2" s="303"/>
      <c r="K2" s="303"/>
      <c r="L2" s="303"/>
      <c r="M2" s="381">
        <f t="shared" ca="1" si="0"/>
        <v>42119</v>
      </c>
      <c r="N2" s="382">
        <f t="shared" ca="1" si="0"/>
        <v>42126</v>
      </c>
      <c r="O2" s="382">
        <f t="shared" ca="1" si="0"/>
        <v>42133</v>
      </c>
      <c r="P2" s="382">
        <f t="shared" ca="1" si="0"/>
        <v>42140</v>
      </c>
      <c r="Q2" s="382">
        <f t="shared" ca="1" si="0"/>
        <v>42147</v>
      </c>
      <c r="R2" s="383">
        <f t="shared" ca="1" si="0"/>
        <v>42154</v>
      </c>
      <c r="S2" s="303"/>
      <c r="V2" s="381">
        <f t="shared" ca="1" si="1"/>
        <v>42119</v>
      </c>
      <c r="W2" s="382">
        <f t="shared" ca="1" si="2"/>
        <v>42126</v>
      </c>
      <c r="X2" s="382">
        <f t="shared" ca="1" si="3"/>
        <v>42133</v>
      </c>
      <c r="Y2" s="382">
        <f t="shared" ca="1" si="4"/>
        <v>42140</v>
      </c>
      <c r="Z2" s="382">
        <f t="shared" ca="1" si="5"/>
        <v>42147</v>
      </c>
      <c r="AA2" s="383">
        <f t="shared" ca="1" si="6"/>
        <v>42154</v>
      </c>
      <c r="AB2" s="303"/>
      <c r="AE2" s="381">
        <f t="shared" ca="1" si="7"/>
        <v>42119</v>
      </c>
      <c r="AF2" s="382">
        <f t="shared" ca="1" si="8"/>
        <v>42126</v>
      </c>
      <c r="AG2" s="382">
        <f t="shared" ca="1" si="9"/>
        <v>42133</v>
      </c>
      <c r="AH2" s="382">
        <f t="shared" ca="1" si="10"/>
        <v>42140</v>
      </c>
      <c r="AI2" s="382">
        <f t="shared" ca="1" si="11"/>
        <v>42147</v>
      </c>
      <c r="AJ2" s="383">
        <f t="shared" ca="1" si="12"/>
        <v>42154</v>
      </c>
      <c r="AK2" s="303"/>
    </row>
    <row r="3" spans="1:37" x14ac:dyDescent="0.25">
      <c r="A3" s="513"/>
      <c r="B3" s="515"/>
      <c r="D3" s="350" t="str">
        <f>Saida!B5</f>
        <v>a</v>
      </c>
      <c r="E3" s="326" t="str">
        <f>Saida!C5</f>
        <v>a</v>
      </c>
      <c r="F3" s="326" t="str">
        <f>Saida!D5</f>
        <v>a</v>
      </c>
      <c r="G3" s="326" t="str">
        <f>Saida!E5</f>
        <v>a</v>
      </c>
      <c r="H3" s="326" t="str">
        <f>Saida!F5</f>
        <v>a</v>
      </c>
      <c r="I3" s="351" t="str">
        <f>Saida!G5</f>
        <v>a</v>
      </c>
      <c r="J3" s="303"/>
      <c r="K3" s="303"/>
      <c r="L3" s="303"/>
      <c r="M3" s="381" t="str">
        <f t="shared" si="0"/>
        <v>a</v>
      </c>
      <c r="N3" s="382" t="str">
        <f t="shared" si="0"/>
        <v>a</v>
      </c>
      <c r="O3" s="382" t="str">
        <f t="shared" si="0"/>
        <v>a</v>
      </c>
      <c r="P3" s="382" t="str">
        <f t="shared" si="0"/>
        <v>a</v>
      </c>
      <c r="Q3" s="382" t="str">
        <f t="shared" si="0"/>
        <v>a</v>
      </c>
      <c r="R3" s="383" t="str">
        <f t="shared" si="0"/>
        <v>a</v>
      </c>
      <c r="S3" s="303"/>
      <c r="V3" s="381" t="str">
        <f t="shared" si="1"/>
        <v>a</v>
      </c>
      <c r="W3" s="382" t="str">
        <f t="shared" si="2"/>
        <v>a</v>
      </c>
      <c r="X3" s="382" t="str">
        <f t="shared" si="3"/>
        <v>a</v>
      </c>
      <c r="Y3" s="382" t="str">
        <f t="shared" si="4"/>
        <v>a</v>
      </c>
      <c r="Z3" s="382" t="str">
        <f t="shared" si="5"/>
        <v>a</v>
      </c>
      <c r="AA3" s="383" t="str">
        <f t="shared" si="6"/>
        <v>a</v>
      </c>
      <c r="AB3" s="303"/>
      <c r="AE3" s="381" t="str">
        <f t="shared" si="7"/>
        <v>a</v>
      </c>
      <c r="AF3" s="382" t="str">
        <f t="shared" si="8"/>
        <v>a</v>
      </c>
      <c r="AG3" s="382" t="str">
        <f t="shared" si="9"/>
        <v>a</v>
      </c>
      <c r="AH3" s="382" t="str">
        <f t="shared" si="10"/>
        <v>a</v>
      </c>
      <c r="AI3" s="382" t="str">
        <f t="shared" si="11"/>
        <v>a</v>
      </c>
      <c r="AJ3" s="383" t="str">
        <f t="shared" si="12"/>
        <v>a</v>
      </c>
      <c r="AK3" s="303"/>
    </row>
    <row r="4" spans="1:37" x14ac:dyDescent="0.25">
      <c r="A4" s="513"/>
      <c r="B4" s="515"/>
      <c r="D4" s="350">
        <f ca="1">Saida!B6</f>
        <v>42125</v>
      </c>
      <c r="E4" s="326">
        <f ca="1">Saida!C6</f>
        <v>42132</v>
      </c>
      <c r="F4" s="326">
        <f ca="1">Saida!D6</f>
        <v>42139</v>
      </c>
      <c r="G4" s="326">
        <f ca="1">Saida!E6</f>
        <v>42146</v>
      </c>
      <c r="H4" s="326">
        <f ca="1">Saida!F6</f>
        <v>42153</v>
      </c>
      <c r="I4" s="351">
        <f ca="1">Saida!G6</f>
        <v>42160</v>
      </c>
      <c r="J4" s="303"/>
      <c r="K4" s="303"/>
      <c r="L4" s="303"/>
      <c r="M4" s="381">
        <f t="shared" ca="1" si="0"/>
        <v>42125</v>
      </c>
      <c r="N4" s="382">
        <f t="shared" ca="1" si="0"/>
        <v>42132</v>
      </c>
      <c r="O4" s="382">
        <f t="shared" ca="1" si="0"/>
        <v>42139</v>
      </c>
      <c r="P4" s="382">
        <f t="shared" ca="1" si="0"/>
        <v>42146</v>
      </c>
      <c r="Q4" s="382">
        <f t="shared" ca="1" si="0"/>
        <v>42153</v>
      </c>
      <c r="R4" s="383">
        <f t="shared" ca="1" si="0"/>
        <v>42160</v>
      </c>
      <c r="S4" s="303"/>
      <c r="V4" s="381">
        <f t="shared" ca="1" si="1"/>
        <v>42125</v>
      </c>
      <c r="W4" s="382">
        <f t="shared" ca="1" si="2"/>
        <v>42132</v>
      </c>
      <c r="X4" s="382">
        <f t="shared" ca="1" si="3"/>
        <v>42139</v>
      </c>
      <c r="Y4" s="382">
        <f t="shared" ca="1" si="4"/>
        <v>42146</v>
      </c>
      <c r="Z4" s="382">
        <f t="shared" ca="1" si="5"/>
        <v>42153</v>
      </c>
      <c r="AA4" s="383">
        <f t="shared" ca="1" si="6"/>
        <v>42160</v>
      </c>
      <c r="AB4" s="303"/>
      <c r="AE4" s="381">
        <f t="shared" ca="1" si="7"/>
        <v>42125</v>
      </c>
      <c r="AF4" s="382">
        <f t="shared" ca="1" si="8"/>
        <v>42132</v>
      </c>
      <c r="AG4" s="382">
        <f t="shared" ca="1" si="9"/>
        <v>42139</v>
      </c>
      <c r="AH4" s="382">
        <f t="shared" ca="1" si="10"/>
        <v>42146</v>
      </c>
      <c r="AI4" s="382">
        <f t="shared" ca="1" si="11"/>
        <v>42153</v>
      </c>
      <c r="AJ4" s="383">
        <f t="shared" ca="1" si="12"/>
        <v>42160</v>
      </c>
      <c r="AK4" s="303"/>
    </row>
    <row r="5" spans="1:37" s="302" customFormat="1" x14ac:dyDescent="0.25">
      <c r="A5" s="385"/>
      <c r="B5" s="386"/>
      <c r="C5" s="387"/>
      <c r="D5" s="388"/>
      <c r="E5" s="389"/>
      <c r="F5" s="389"/>
      <c r="G5" s="389"/>
      <c r="H5" s="389"/>
      <c r="I5" s="390"/>
      <c r="J5" s="387"/>
      <c r="K5" s="387"/>
      <c r="L5" s="387"/>
      <c r="M5" s="388"/>
      <c r="N5" s="389"/>
      <c r="O5" s="389"/>
      <c r="P5" s="389"/>
      <c r="Q5" s="389"/>
      <c r="R5" s="390"/>
      <c r="S5" s="387"/>
      <c r="T5"/>
      <c r="V5" s="388"/>
      <c r="W5" s="389"/>
      <c r="X5" s="389"/>
      <c r="Y5" s="389"/>
      <c r="Z5" s="389"/>
      <c r="AA5" s="390"/>
      <c r="AB5" s="387"/>
      <c r="AE5" s="388"/>
      <c r="AF5" s="389"/>
      <c r="AG5" s="389"/>
      <c r="AH5" s="389"/>
      <c r="AI5" s="389"/>
      <c r="AJ5" s="390"/>
      <c r="AK5" s="387"/>
    </row>
    <row r="6" spans="1:37" ht="12.75" customHeight="1" outlineLevel="1" x14ac:dyDescent="0.25">
      <c r="A6" s="327"/>
      <c r="B6" s="328"/>
      <c r="D6" s="503" t="s">
        <v>205</v>
      </c>
      <c r="E6" s="504" t="s">
        <v>94</v>
      </c>
      <c r="F6" s="504" t="s">
        <v>206</v>
      </c>
      <c r="G6" s="504"/>
      <c r="H6" s="504"/>
      <c r="I6" s="505"/>
      <c r="J6" s="419" t="s">
        <v>319</v>
      </c>
      <c r="K6" s="303"/>
      <c r="L6" s="303"/>
      <c r="M6" s="503" t="s">
        <v>205</v>
      </c>
      <c r="N6" s="504" t="s">
        <v>94</v>
      </c>
      <c r="O6" s="504" t="s">
        <v>206</v>
      </c>
      <c r="P6" s="504"/>
      <c r="Q6" s="504"/>
      <c r="R6" s="505"/>
      <c r="S6" s="303"/>
      <c r="V6" s="503" t="s">
        <v>205</v>
      </c>
      <c r="W6" s="504" t="s">
        <v>94</v>
      </c>
      <c r="X6" s="504" t="s">
        <v>206</v>
      </c>
      <c r="Y6" s="504"/>
      <c r="Z6" s="504"/>
      <c r="AA6" s="505"/>
      <c r="AB6" s="303"/>
      <c r="AE6" s="503" t="s">
        <v>205</v>
      </c>
      <c r="AF6" s="504" t="s">
        <v>94</v>
      </c>
      <c r="AG6" s="504" t="s">
        <v>206</v>
      </c>
      <c r="AH6" s="504"/>
      <c r="AI6" s="504"/>
      <c r="AJ6" s="505"/>
      <c r="AK6" s="303"/>
    </row>
    <row r="7" spans="1:37" ht="12.75" hidden="1" customHeight="1" outlineLevel="2" x14ac:dyDescent="0.25">
      <c r="A7" s="324">
        <v>71</v>
      </c>
      <c r="B7" s="325" t="s">
        <v>207</v>
      </c>
      <c r="D7" s="329">
        <f>VLOOKUP($A7,Prevs!$C:$AJ,COLUMN() - COLUMN($D7)+2,FALSE)*VLOOKUP($A7,Usinas!$C:$D,2,FALSE)</f>
        <v>102.47580000000001</v>
      </c>
      <c r="E7" s="309">
        <f>VLOOKUP($A7,Prevs!$C:$AJ,COLUMN() - COLUMN($D7)+2,FALSE)*VLOOKUP($A7,Usinas!$C:$D,2,FALSE)</f>
        <v>111.4221</v>
      </c>
      <c r="F7" s="309">
        <f>VLOOKUP($A7,Prevs!$C:$AJ,COLUMN() - COLUMN($D7)+2,FALSE)*VLOOKUP($A7,Usinas!$C:$D,2,FALSE)</f>
        <v>77.263500000000008</v>
      </c>
      <c r="G7" s="309">
        <f>VLOOKUP($A7,Prevs!$C:$AJ,COLUMN() - COLUMN($D7)+2,FALSE)*VLOOKUP($A7,Usinas!$C:$D,2,FALSE)</f>
        <v>52.8645</v>
      </c>
      <c r="H7" s="309">
        <f>VLOOKUP($A7,Prevs!$C:$AJ,COLUMN() - COLUMN($D7)+2,FALSE)*VLOOKUP($A7,Usinas!$C:$D,2,FALSE)</f>
        <v>47.171399999999998</v>
      </c>
      <c r="I7" s="330">
        <f>VLOOKUP($A7,Prevs!$C:$AJ,COLUMN() - COLUMN($D7)+2,FALSE)*VLOOKUP($A7,Usinas!$C:$D,2,FALSE)</f>
        <v>40.664999999999999</v>
      </c>
      <c r="J7" s="477">
        <f ca="1">VLOOKUP($A7,Prevs_MLT!$C:$AJ,1+Entrada!$C$4,FALSE)*VLOOKUP($A7,Usinas!$C:$D,2,FALSE)</f>
        <v>87.023099999999999</v>
      </c>
      <c r="K7" s="303"/>
      <c r="L7" s="303"/>
      <c r="M7" s="329">
        <f>VLOOKUP($A7,Prevs!$C:$AJ,COLUMN() - COLUMN($D7)+2,FALSE)*VLOOKUP($A7,Usinas!$C:$D,2,FALSE)</f>
        <v>82.143299999999996</v>
      </c>
      <c r="N7" s="309">
        <f>VLOOKUP($A7,Prevs!$C:$AJ,COLUMN() - COLUMN($D7)+2,FALSE)*VLOOKUP($A7,Usinas!$C:$D,2,FALSE)</f>
        <v>89.463000000000008</v>
      </c>
      <c r="O7" s="309">
        <f>VLOOKUP($A7,Prevs!$C:$AJ,COLUMN() - COLUMN($D7)+2,FALSE)*VLOOKUP($A7,Usinas!$C:$D,2,FALSE)</f>
        <v>61.8108</v>
      </c>
      <c r="P7" s="309">
        <f>VLOOKUP($A7,Prevs!$C:$AJ,COLUMN() - COLUMN($D7)+2,FALSE)*VLOOKUP($A7,Usinas!$C:$D,2,FALSE)</f>
        <v>42.291600000000003</v>
      </c>
      <c r="Q7" s="309">
        <f>VLOOKUP($A7,Prevs!$C:$AJ,COLUMN() - COLUMN($D7)+2,FALSE)*VLOOKUP($A7,Usinas!$C:$D,2,FALSE)</f>
        <v>37.411799999999999</v>
      </c>
      <c r="R7" s="330">
        <f>VLOOKUP($A7,Prevs!$C:$AJ,COLUMN() - COLUMN($D7)+2,FALSE)*VLOOKUP($A7,Usinas!$C:$D,2,FALSE)</f>
        <v>32.532000000000004</v>
      </c>
      <c r="S7" s="303"/>
      <c r="V7" s="329">
        <f>VLOOKUP($A7,Prevs!$C:$AJ,COLUMN() - COLUMN($D7)+2,FALSE)*VLOOKUP($A7,Usinas!$C:$D,2,FALSE)</f>
        <v>82.143299999999996</v>
      </c>
      <c r="W7" s="309">
        <f>VLOOKUP($A7,Prevs!$C:$AJ,COLUMN() - COLUMN($D7)+2,FALSE)*VLOOKUP($A7,Usinas!$C:$D,2,FALSE)</f>
        <v>89.463000000000008</v>
      </c>
      <c r="X7" s="309">
        <f>VLOOKUP($A7,Prevs!$C:$AJ,COLUMN() - COLUMN($D7)+2,FALSE)*VLOOKUP($A7,Usinas!$C:$D,2,FALSE)</f>
        <v>61.8108</v>
      </c>
      <c r="Y7" s="309">
        <f>VLOOKUP($A7,Prevs!$C:$AJ,COLUMN() - COLUMN($D7)+2,FALSE)*VLOOKUP($A7,Usinas!$C:$D,2,FALSE)</f>
        <v>42.291600000000003</v>
      </c>
      <c r="Z7" s="309">
        <f>VLOOKUP($A7,Prevs!$C:$AJ,COLUMN() - COLUMN($D7)+2,FALSE)*VLOOKUP($A7,Usinas!$C:$D,2,FALSE)</f>
        <v>37.411799999999999</v>
      </c>
      <c r="AA7" s="330">
        <f>VLOOKUP($A7,Prevs!$C:$AJ,COLUMN() - COLUMN($D7)+2,FALSE)*VLOOKUP($A7,Usinas!$C:$D,2,FALSE)</f>
        <v>32.532000000000004</v>
      </c>
      <c r="AB7" s="303"/>
      <c r="AE7" s="329">
        <f>VLOOKUP($A7,Prevs!$C:$AJ,COLUMN() - COLUMN($D7)+2,FALSE)*VLOOKUP($A7,Usinas!$C:$D,2,FALSE)</f>
        <v>102.47580000000001</v>
      </c>
      <c r="AF7" s="309">
        <f>VLOOKUP($A7,Prevs!$C:$AJ,COLUMN() - COLUMN($D7)+2,FALSE)*VLOOKUP($A7,Usinas!$C:$D,2,FALSE)</f>
        <v>111.4221</v>
      </c>
      <c r="AG7" s="309">
        <f>VLOOKUP($A7,Prevs!$C:$AJ,COLUMN() - COLUMN($D7)+2,FALSE)*VLOOKUP($A7,Usinas!$C:$D,2,FALSE)</f>
        <v>77.263500000000008</v>
      </c>
      <c r="AH7" s="309">
        <f>VLOOKUP($A7,Prevs!$C:$AJ,COLUMN() - COLUMN($D7)+2,FALSE)*VLOOKUP($A7,Usinas!$C:$D,2,FALSE)</f>
        <v>52.8645</v>
      </c>
      <c r="AI7" s="309">
        <f>VLOOKUP($A7,Prevs!$C:$AJ,COLUMN() - COLUMN($D7)+2,FALSE)*VLOOKUP($A7,Usinas!$C:$D,2,FALSE)</f>
        <v>47.171399999999998</v>
      </c>
      <c r="AJ7" s="330">
        <f>VLOOKUP($A7,Prevs!$C:$AJ,COLUMN() - COLUMN($D7)+2,FALSE)*VLOOKUP($A7,Usinas!$C:$D,2,FALSE)</f>
        <v>40.664999999999999</v>
      </c>
      <c r="AK7" s="303"/>
    </row>
    <row r="8" spans="1:37" ht="12.75" hidden="1" customHeight="1" outlineLevel="2" x14ac:dyDescent="0.25">
      <c r="A8" s="324">
        <v>72</v>
      </c>
      <c r="B8" s="325" t="s">
        <v>208</v>
      </c>
      <c r="D8" s="329">
        <f>VLOOKUP($A8,Prevs!$C:$AJ,COLUMN() - COLUMN($D8)+2,FALSE)*VLOOKUP($A8,Usinas!$C:$D,2,FALSE)</f>
        <v>109.54679999999999</v>
      </c>
      <c r="E8" s="309">
        <f>VLOOKUP($A8,Prevs!$C:$AJ,COLUMN() - COLUMN($D8)+2,FALSE)*VLOOKUP($A8,Usinas!$C:$D,2,FALSE)</f>
        <v>118.67569999999999</v>
      </c>
      <c r="F8" s="309">
        <f>VLOOKUP($A8,Prevs!$C:$AJ,COLUMN() - COLUMN($D8)+2,FALSE)*VLOOKUP($A8,Usinas!$C:$D,2,FALSE)</f>
        <v>82.1601</v>
      </c>
      <c r="G8" s="309">
        <f>VLOOKUP($A8,Prevs!$C:$AJ,COLUMN() - COLUMN($D8)+2,FALSE)*VLOOKUP($A8,Usinas!$C:$D,2,FALSE)</f>
        <v>56.433199999999999</v>
      </c>
      <c r="H8" s="309">
        <f>VLOOKUP($A8,Prevs!$C:$AJ,COLUMN() - COLUMN($D8)+2,FALSE)*VLOOKUP($A8,Usinas!$C:$D,2,FALSE)</f>
        <v>49.793999999999997</v>
      </c>
      <c r="I8" s="330">
        <f>VLOOKUP($A8,Prevs!$C:$AJ,COLUMN() - COLUMN($D8)+2,FALSE)*VLOOKUP($A8,Usinas!$C:$D,2,FALSE)</f>
        <v>43.154800000000002</v>
      </c>
      <c r="J8" s="477">
        <f ca="1">VLOOKUP($A8,Prevs_MLT!$C:$AJ,1+Entrada!$C$4,FALSE)*VLOOKUP($A8,Usinas!$C:$D,2,FALSE)</f>
        <v>92.948799999999991</v>
      </c>
      <c r="K8" s="303"/>
      <c r="L8" s="303"/>
      <c r="M8" s="329">
        <f>VLOOKUP($A8,Prevs!$C:$AJ,COLUMN() - COLUMN($D8)+2,FALSE)*VLOOKUP($A8,Usinas!$C:$D,2,FALSE)</f>
        <v>87.969399999999993</v>
      </c>
      <c r="N8" s="309">
        <f>VLOOKUP($A8,Prevs!$C:$AJ,COLUMN() - COLUMN($D8)+2,FALSE)*VLOOKUP($A8,Usinas!$C:$D,2,FALSE)</f>
        <v>95.438499999999991</v>
      </c>
      <c r="O8" s="309">
        <f>VLOOKUP($A8,Prevs!$C:$AJ,COLUMN() - COLUMN($D8)+2,FALSE)*VLOOKUP($A8,Usinas!$C:$D,2,FALSE)</f>
        <v>65.562100000000001</v>
      </c>
      <c r="P8" s="309">
        <f>VLOOKUP($A8,Prevs!$C:$AJ,COLUMN() - COLUMN($D8)+2,FALSE)*VLOOKUP($A8,Usinas!$C:$D,2,FALSE)</f>
        <v>45.644500000000001</v>
      </c>
      <c r="Q8" s="309">
        <f>VLOOKUP($A8,Prevs!$C:$AJ,COLUMN() - COLUMN($D8)+2,FALSE)*VLOOKUP($A8,Usinas!$C:$D,2,FALSE)</f>
        <v>39.8352</v>
      </c>
      <c r="R8" s="330">
        <f>VLOOKUP($A8,Prevs!$C:$AJ,COLUMN() - COLUMN($D8)+2,FALSE)*VLOOKUP($A8,Usinas!$C:$D,2,FALSE)</f>
        <v>34.855800000000002</v>
      </c>
      <c r="S8" s="303"/>
      <c r="V8" s="329">
        <f>VLOOKUP($A8,Prevs!$C:$AJ,COLUMN() - COLUMN($D8)+2,FALSE)*VLOOKUP($A8,Usinas!$C:$D,2,FALSE)</f>
        <v>87.969399999999993</v>
      </c>
      <c r="W8" s="309">
        <f>VLOOKUP($A8,Prevs!$C:$AJ,COLUMN() - COLUMN($D8)+2,FALSE)*VLOOKUP($A8,Usinas!$C:$D,2,FALSE)</f>
        <v>95.438499999999991</v>
      </c>
      <c r="X8" s="309">
        <f>VLOOKUP($A8,Prevs!$C:$AJ,COLUMN() - COLUMN($D8)+2,FALSE)*VLOOKUP($A8,Usinas!$C:$D,2,FALSE)</f>
        <v>65.562100000000001</v>
      </c>
      <c r="Y8" s="309">
        <f>VLOOKUP($A8,Prevs!$C:$AJ,COLUMN() - COLUMN($D8)+2,FALSE)*VLOOKUP($A8,Usinas!$C:$D,2,FALSE)</f>
        <v>45.644500000000001</v>
      </c>
      <c r="Z8" s="309">
        <f>VLOOKUP($A8,Prevs!$C:$AJ,COLUMN() - COLUMN($D8)+2,FALSE)*VLOOKUP($A8,Usinas!$C:$D,2,FALSE)</f>
        <v>39.8352</v>
      </c>
      <c r="AA8" s="330">
        <f>VLOOKUP($A8,Prevs!$C:$AJ,COLUMN() - COLUMN($D8)+2,FALSE)*VLOOKUP($A8,Usinas!$C:$D,2,FALSE)</f>
        <v>34.855800000000002</v>
      </c>
      <c r="AB8" s="303"/>
      <c r="AE8" s="329">
        <f>VLOOKUP($A8,Prevs!$C:$AJ,COLUMN() - COLUMN($D8)+2,FALSE)*VLOOKUP($A8,Usinas!$C:$D,2,FALSE)</f>
        <v>109.54679999999999</v>
      </c>
      <c r="AF8" s="309">
        <f>VLOOKUP($A8,Prevs!$C:$AJ,COLUMN() - COLUMN($D8)+2,FALSE)*VLOOKUP($A8,Usinas!$C:$D,2,FALSE)</f>
        <v>118.67569999999999</v>
      </c>
      <c r="AG8" s="309">
        <f>VLOOKUP($A8,Prevs!$C:$AJ,COLUMN() - COLUMN($D8)+2,FALSE)*VLOOKUP($A8,Usinas!$C:$D,2,FALSE)</f>
        <v>82.1601</v>
      </c>
      <c r="AH8" s="309">
        <f>VLOOKUP($A8,Prevs!$C:$AJ,COLUMN() - COLUMN($D8)+2,FALSE)*VLOOKUP($A8,Usinas!$C:$D,2,FALSE)</f>
        <v>56.433199999999999</v>
      </c>
      <c r="AI8" s="309">
        <f>VLOOKUP($A8,Prevs!$C:$AJ,COLUMN() - COLUMN($D8)+2,FALSE)*VLOOKUP($A8,Usinas!$C:$D,2,FALSE)</f>
        <v>49.793999999999997</v>
      </c>
      <c r="AJ8" s="330">
        <f>VLOOKUP($A8,Prevs!$C:$AJ,COLUMN() - COLUMN($D8)+2,FALSE)*VLOOKUP($A8,Usinas!$C:$D,2,FALSE)</f>
        <v>43.154800000000002</v>
      </c>
      <c r="AK8" s="303"/>
    </row>
    <row r="9" spans="1:37" ht="12.75" hidden="1" customHeight="1" outlineLevel="2" x14ac:dyDescent="0.25">
      <c r="A9" s="324">
        <v>74</v>
      </c>
      <c r="B9" s="325" t="s">
        <v>61</v>
      </c>
      <c r="D9" s="329">
        <f>VLOOKUP($A9,Prevs!$C:$AJ,COLUMN() - COLUMN($D9)+2,FALSE)*VLOOKUP($A9,Usinas!$C:$D,2,FALSE)</f>
        <v>1222.3004999999998</v>
      </c>
      <c r="E9" s="309">
        <f>VLOOKUP($A9,Prevs!$C:$AJ,COLUMN() - COLUMN($D9)+2,FALSE)*VLOOKUP($A9,Usinas!$C:$D,2,FALSE)</f>
        <v>1215.4142999999999</v>
      </c>
      <c r="F9" s="309">
        <f>VLOOKUP($A9,Prevs!$C:$AJ,COLUMN() - COLUMN($D9)+2,FALSE)*VLOOKUP($A9,Usinas!$C:$D,2,FALSE)</f>
        <v>910.12609999999995</v>
      </c>
      <c r="G9" s="309">
        <f>VLOOKUP($A9,Prevs!$C:$AJ,COLUMN() - COLUMN($D9)+2,FALSE)*VLOOKUP($A9,Usinas!$C:$D,2,FALSE)</f>
        <v>732.23259999999993</v>
      </c>
      <c r="H9" s="309">
        <f>VLOOKUP($A9,Prevs!$C:$AJ,COLUMN() - COLUMN($D9)+2,FALSE)*VLOOKUP($A9,Usinas!$C:$D,2,FALSE)</f>
        <v>564.66840000000002</v>
      </c>
      <c r="I9" s="330">
        <f>VLOOKUP($A9,Prevs!$C:$AJ,COLUMN() - COLUMN($D9)+2,FALSE)*VLOOKUP($A9,Usinas!$C:$D,2,FALSE)</f>
        <v>494.65869999999995</v>
      </c>
      <c r="J9" s="477">
        <f ca="1">VLOOKUP($A9,Prevs_MLT!$C:$AJ,1+Entrada!$C$4,FALSE)*VLOOKUP($A9,Usinas!$C:$D,2,FALSE)</f>
        <v>671.40449999999998</v>
      </c>
      <c r="K9" s="303"/>
      <c r="L9" s="303"/>
      <c r="M9" s="329">
        <f>VLOOKUP($A9,Prevs!$C:$AJ,COLUMN() - COLUMN($D9)+2,FALSE)*VLOOKUP($A9,Usinas!$C:$D,2,FALSE)</f>
        <v>980.1357999999999</v>
      </c>
      <c r="N9" s="309">
        <f>VLOOKUP($A9,Prevs!$C:$AJ,COLUMN() - COLUMN($D9)+2,FALSE)*VLOOKUP($A9,Usinas!$C:$D,2,FALSE)</f>
        <v>974.39729999999997</v>
      </c>
      <c r="O9" s="309">
        <f>VLOOKUP($A9,Prevs!$C:$AJ,COLUMN() - COLUMN($D9)+2,FALSE)*VLOOKUP($A9,Usinas!$C:$D,2,FALSE)</f>
        <v>729.93719999999996</v>
      </c>
      <c r="P9" s="309">
        <f>VLOOKUP($A9,Prevs!$C:$AJ,COLUMN() - COLUMN($D9)+2,FALSE)*VLOOKUP($A9,Usinas!$C:$D,2,FALSE)</f>
        <v>586.47469999999998</v>
      </c>
      <c r="Q9" s="309">
        <f>VLOOKUP($A9,Prevs!$C:$AJ,COLUMN() - COLUMN($D9)+2,FALSE)*VLOOKUP($A9,Usinas!$C:$D,2,FALSE)</f>
        <v>452.19379999999995</v>
      </c>
      <c r="R9" s="330">
        <f>VLOOKUP($A9,Prevs!$C:$AJ,COLUMN() - COLUMN($D9)+2,FALSE)*VLOOKUP($A9,Usinas!$C:$D,2,FALSE)</f>
        <v>395.95650000000001</v>
      </c>
      <c r="S9" s="303"/>
      <c r="V9" s="329">
        <f>VLOOKUP($A9,Prevs!$C:$AJ,COLUMN() - COLUMN($D9)+2,FALSE)*VLOOKUP($A9,Usinas!$C:$D,2,FALSE)</f>
        <v>980.1357999999999</v>
      </c>
      <c r="W9" s="309">
        <f>VLOOKUP($A9,Prevs!$C:$AJ,COLUMN() - COLUMN($D9)+2,FALSE)*VLOOKUP($A9,Usinas!$C:$D,2,FALSE)</f>
        <v>974.39729999999997</v>
      </c>
      <c r="X9" s="309">
        <f>VLOOKUP($A9,Prevs!$C:$AJ,COLUMN() - COLUMN($D9)+2,FALSE)*VLOOKUP($A9,Usinas!$C:$D,2,FALSE)</f>
        <v>729.93719999999996</v>
      </c>
      <c r="Y9" s="309">
        <f>VLOOKUP($A9,Prevs!$C:$AJ,COLUMN() - COLUMN($D9)+2,FALSE)*VLOOKUP($A9,Usinas!$C:$D,2,FALSE)</f>
        <v>586.47469999999998</v>
      </c>
      <c r="Z9" s="309">
        <f>VLOOKUP($A9,Prevs!$C:$AJ,COLUMN() - COLUMN($D9)+2,FALSE)*VLOOKUP($A9,Usinas!$C:$D,2,FALSE)</f>
        <v>452.19379999999995</v>
      </c>
      <c r="AA9" s="330">
        <f>VLOOKUP($A9,Prevs!$C:$AJ,COLUMN() - COLUMN($D9)+2,FALSE)*VLOOKUP($A9,Usinas!$C:$D,2,FALSE)</f>
        <v>395.95650000000001</v>
      </c>
      <c r="AB9" s="303"/>
      <c r="AE9" s="329">
        <f>VLOOKUP($A9,Prevs!$C:$AJ,COLUMN() - COLUMN($D9)+2,FALSE)*VLOOKUP($A9,Usinas!$C:$D,2,FALSE)</f>
        <v>1222.3004999999998</v>
      </c>
      <c r="AF9" s="309">
        <f>VLOOKUP($A9,Prevs!$C:$AJ,COLUMN() - COLUMN($D9)+2,FALSE)*VLOOKUP($A9,Usinas!$C:$D,2,FALSE)</f>
        <v>1215.4142999999999</v>
      </c>
      <c r="AG9" s="309">
        <f>VLOOKUP($A9,Prevs!$C:$AJ,COLUMN() - COLUMN($D9)+2,FALSE)*VLOOKUP($A9,Usinas!$C:$D,2,FALSE)</f>
        <v>910.12609999999995</v>
      </c>
      <c r="AH9" s="309">
        <f>VLOOKUP($A9,Prevs!$C:$AJ,COLUMN() - COLUMN($D9)+2,FALSE)*VLOOKUP($A9,Usinas!$C:$D,2,FALSE)</f>
        <v>732.23259999999993</v>
      </c>
      <c r="AI9" s="309">
        <f>VLOOKUP($A9,Prevs!$C:$AJ,COLUMN() - COLUMN($D9)+2,FALSE)*VLOOKUP($A9,Usinas!$C:$D,2,FALSE)</f>
        <v>564.66840000000002</v>
      </c>
      <c r="AJ9" s="330">
        <f>VLOOKUP($A9,Prevs!$C:$AJ,COLUMN() - COLUMN($D9)+2,FALSE)*VLOOKUP($A9,Usinas!$C:$D,2,FALSE)</f>
        <v>494.65869999999995</v>
      </c>
      <c r="AK9" s="303"/>
    </row>
    <row r="10" spans="1:37" ht="12.75" hidden="1" customHeight="1" outlineLevel="2" x14ac:dyDescent="0.25">
      <c r="A10" s="324">
        <v>75</v>
      </c>
      <c r="B10" s="325" t="s">
        <v>209</v>
      </c>
      <c r="D10" s="329">
        <f>VLOOKUP($A10,Prevs!$C:$AJ,COLUMN() - COLUMN($D10)+2,FALSE)*VLOOKUP($A10,Usinas!$C:$D,2,FALSE)</f>
        <v>1345.7988</v>
      </c>
      <c r="E10" s="309">
        <f>VLOOKUP($A10,Prevs!$C:$AJ,COLUMN() - COLUMN($D10)+2,FALSE)*VLOOKUP($A10,Usinas!$C:$D,2,FALSE)</f>
        <v>1420.0533</v>
      </c>
      <c r="F10" s="309">
        <f>VLOOKUP($A10,Prevs!$C:$AJ,COLUMN() - COLUMN($D10)+2,FALSE)*VLOOKUP($A10,Usinas!$C:$D,2,FALSE)</f>
        <v>1103.0634</v>
      </c>
      <c r="G10" s="309">
        <f>VLOOKUP($A10,Prevs!$C:$AJ,COLUMN() - COLUMN($D10)+2,FALSE)*VLOOKUP($A10,Usinas!$C:$D,2,FALSE)</f>
        <v>825.50519999999995</v>
      </c>
      <c r="H10" s="309">
        <f>VLOOKUP($A10,Prevs!$C:$AJ,COLUMN() - COLUMN($D10)+2,FALSE)*VLOOKUP($A10,Usinas!$C:$D,2,FALSE)</f>
        <v>644.22180000000003</v>
      </c>
      <c r="I10" s="330">
        <f>VLOOKUP($A10,Prevs!$C:$AJ,COLUMN() - COLUMN($D10)+2,FALSE)*VLOOKUP($A10,Usinas!$C:$D,2,FALSE)</f>
        <v>555.1164</v>
      </c>
      <c r="J10" s="477">
        <f ca="1">VLOOKUP($A10,Prevs_MLT!$C:$AJ,1+Entrada!$C$4,FALSE)*VLOOKUP($A10,Usinas!$C:$D,2,FALSE)</f>
        <v>800.92439999999999</v>
      </c>
      <c r="K10" s="303"/>
      <c r="L10" s="303"/>
      <c r="M10" s="329">
        <f>VLOOKUP($A10,Prevs!$C:$AJ,COLUMN() - COLUMN($D10)+2,FALSE)*VLOOKUP($A10,Usinas!$C:$D,2,FALSE)</f>
        <v>1076.4341999999999</v>
      </c>
      <c r="N10" s="309">
        <f>VLOOKUP($A10,Prevs!$C:$AJ,COLUMN() - COLUMN($D10)+2,FALSE)*VLOOKUP($A10,Usinas!$C:$D,2,FALSE)</f>
        <v>1173.2211</v>
      </c>
      <c r="O10" s="309">
        <f>VLOOKUP($A10,Prevs!$C:$AJ,COLUMN() - COLUMN($D10)+2,FALSE)*VLOOKUP($A10,Usinas!$C:$D,2,FALSE)</f>
        <v>882.86040000000003</v>
      </c>
      <c r="P10" s="309">
        <f>VLOOKUP($A10,Prevs!$C:$AJ,COLUMN() - COLUMN($D10)+2,FALSE)*VLOOKUP($A10,Usinas!$C:$D,2,FALSE)</f>
        <v>660.60900000000004</v>
      </c>
      <c r="Q10" s="309">
        <f>VLOOKUP($A10,Prevs!$C:$AJ,COLUMN() - COLUMN($D10)+2,FALSE)*VLOOKUP($A10,Usinas!$C:$D,2,FALSE)</f>
        <v>515.17259999999999</v>
      </c>
      <c r="R10" s="330">
        <f>VLOOKUP($A10,Prevs!$C:$AJ,COLUMN() - COLUMN($D10)+2,FALSE)*VLOOKUP($A10,Usinas!$C:$D,2,FALSE)</f>
        <v>442.45440000000002</v>
      </c>
      <c r="S10" s="303"/>
      <c r="V10" s="329">
        <f>VLOOKUP($A10,Prevs!$C:$AJ,COLUMN() - COLUMN($D10)+2,FALSE)*VLOOKUP($A10,Usinas!$C:$D,2,FALSE)</f>
        <v>1076.4341999999999</v>
      </c>
      <c r="W10" s="309">
        <f>VLOOKUP($A10,Prevs!$C:$AJ,COLUMN() - COLUMN($D10)+2,FALSE)*VLOOKUP($A10,Usinas!$C:$D,2,FALSE)</f>
        <v>1173.2211</v>
      </c>
      <c r="X10" s="309">
        <f>VLOOKUP($A10,Prevs!$C:$AJ,COLUMN() - COLUMN($D10)+2,FALSE)*VLOOKUP($A10,Usinas!$C:$D,2,FALSE)</f>
        <v>882.86040000000003</v>
      </c>
      <c r="Y10" s="309">
        <f>VLOOKUP($A10,Prevs!$C:$AJ,COLUMN() - COLUMN($D10)+2,FALSE)*VLOOKUP($A10,Usinas!$C:$D,2,FALSE)</f>
        <v>660.60900000000004</v>
      </c>
      <c r="Z10" s="309">
        <f>VLOOKUP($A10,Prevs!$C:$AJ,COLUMN() - COLUMN($D10)+2,FALSE)*VLOOKUP($A10,Usinas!$C:$D,2,FALSE)</f>
        <v>515.17259999999999</v>
      </c>
      <c r="AA10" s="330">
        <f>VLOOKUP($A10,Prevs!$C:$AJ,COLUMN() - COLUMN($D10)+2,FALSE)*VLOOKUP($A10,Usinas!$C:$D,2,FALSE)</f>
        <v>442.45440000000002</v>
      </c>
      <c r="AB10" s="303"/>
      <c r="AE10" s="329">
        <f>VLOOKUP($A10,Prevs!$C:$AJ,COLUMN() - COLUMN($D10)+2,FALSE)*VLOOKUP($A10,Usinas!$C:$D,2,FALSE)</f>
        <v>1345.7988</v>
      </c>
      <c r="AF10" s="309">
        <f>VLOOKUP($A10,Prevs!$C:$AJ,COLUMN() - COLUMN($D10)+2,FALSE)*VLOOKUP($A10,Usinas!$C:$D,2,FALSE)</f>
        <v>1420.0533</v>
      </c>
      <c r="AG10" s="309">
        <f>VLOOKUP($A10,Prevs!$C:$AJ,COLUMN() - COLUMN($D10)+2,FALSE)*VLOOKUP($A10,Usinas!$C:$D,2,FALSE)</f>
        <v>1103.0634</v>
      </c>
      <c r="AH10" s="309">
        <f>VLOOKUP($A10,Prevs!$C:$AJ,COLUMN() - COLUMN($D10)+2,FALSE)*VLOOKUP($A10,Usinas!$C:$D,2,FALSE)</f>
        <v>825.50519999999995</v>
      </c>
      <c r="AI10" s="309">
        <f>VLOOKUP($A10,Prevs!$C:$AJ,COLUMN() - COLUMN($D10)+2,FALSE)*VLOOKUP($A10,Usinas!$C:$D,2,FALSE)</f>
        <v>644.22180000000003</v>
      </c>
      <c r="AJ10" s="330">
        <f>VLOOKUP($A10,Prevs!$C:$AJ,COLUMN() - COLUMN($D10)+2,FALSE)*VLOOKUP($A10,Usinas!$C:$D,2,FALSE)</f>
        <v>555.1164</v>
      </c>
      <c r="AK10" s="303"/>
    </row>
    <row r="11" spans="1:37" ht="12.75" hidden="1" customHeight="1" outlineLevel="2" x14ac:dyDescent="0.25">
      <c r="A11" s="198">
        <v>77</v>
      </c>
      <c r="B11" s="199" t="s">
        <v>210</v>
      </c>
      <c r="D11" s="329">
        <f>VLOOKUP($A11,Prevs!$C:$AJ,COLUMN() - COLUMN($D11)+2,FALSE)*VLOOKUP($A11,Usinas!$C:$D,2,FALSE)</f>
        <v>1324.0240000000001</v>
      </c>
      <c r="E11" s="309">
        <f>VLOOKUP($A11,Prevs!$C:$AJ,COLUMN() - COLUMN($D11)+2,FALSE)*VLOOKUP($A11,Usinas!$C:$D,2,FALSE)</f>
        <v>2195.8780000000002</v>
      </c>
      <c r="F11" s="309">
        <f>VLOOKUP($A11,Prevs!$C:$AJ,COLUMN() - COLUMN($D11)+2,FALSE)*VLOOKUP($A11,Usinas!$C:$D,2,FALSE)</f>
        <v>2044.8620000000001</v>
      </c>
      <c r="G11" s="309">
        <f>VLOOKUP($A11,Prevs!$C:$AJ,COLUMN() - COLUMN($D11)+2,FALSE)*VLOOKUP($A11,Usinas!$C:$D,2,FALSE)</f>
        <v>1058.8679999999999</v>
      </c>
      <c r="H11" s="309">
        <f>VLOOKUP($A11,Prevs!$C:$AJ,COLUMN() - COLUMN($D11)+2,FALSE)*VLOOKUP($A11,Usinas!$C:$D,2,FALSE)</f>
        <v>621.62400000000002</v>
      </c>
      <c r="I11" s="330">
        <f>VLOOKUP($A11,Prevs!$C:$AJ,COLUMN() - COLUMN($D11)+2,FALSE)*VLOOKUP($A11,Usinas!$C:$D,2,FALSE)</f>
        <v>756.83600000000001</v>
      </c>
      <c r="J11" s="477">
        <f ca="1">VLOOKUP($A11,Prevs_MLT!$C:$AJ,1+Entrada!$C$4,FALSE)*VLOOKUP($A11,Usinas!$C:$D,2,FALSE)</f>
        <v>832.34400000000005</v>
      </c>
      <c r="M11" s="329">
        <f>VLOOKUP($A11,Prevs!$C:$AJ,COLUMN() - COLUMN($D11)+2,FALSE)*VLOOKUP($A11,Usinas!$C:$D,2,FALSE)</f>
        <v>1061.502</v>
      </c>
      <c r="N11" s="309">
        <f>VLOOKUP($A11,Prevs!$C:$AJ,COLUMN() - COLUMN($D11)+2,FALSE)*VLOOKUP($A11,Usinas!$C:$D,2,FALSE)</f>
        <v>1760.39</v>
      </c>
      <c r="O11" s="309">
        <f>VLOOKUP($A11,Prevs!$C:$AJ,COLUMN() - COLUMN($D11)+2,FALSE)*VLOOKUP($A11,Usinas!$C:$D,2,FALSE)</f>
        <v>1639.2260000000001</v>
      </c>
      <c r="P11" s="309">
        <f>VLOOKUP($A11,Prevs!$C:$AJ,COLUMN() - COLUMN($D11)+2,FALSE)*VLOOKUP($A11,Usinas!$C:$D,2,FALSE)</f>
        <v>849.02599999999995</v>
      </c>
      <c r="Q11" s="309">
        <f>VLOOKUP($A11,Prevs!$C:$AJ,COLUMN() - COLUMN($D11)+2,FALSE)*VLOOKUP($A11,Usinas!$C:$D,2,FALSE)</f>
        <v>498.70400000000001</v>
      </c>
      <c r="R11" s="330">
        <f>VLOOKUP($A11,Prevs!$C:$AJ,COLUMN() - COLUMN($D11)+2,FALSE)*VLOOKUP($A11,Usinas!$C:$D,2,FALSE)</f>
        <v>606.69799999999998</v>
      </c>
      <c r="V11" s="329">
        <f>VLOOKUP($A11,Prevs!$C:$AJ,COLUMN() - COLUMN($D11)+2,FALSE)*VLOOKUP($A11,Usinas!$C:$D,2,FALSE)</f>
        <v>1061.502</v>
      </c>
      <c r="W11" s="309">
        <f>VLOOKUP($A11,Prevs!$C:$AJ,COLUMN() - COLUMN($D11)+2,FALSE)*VLOOKUP($A11,Usinas!$C:$D,2,FALSE)</f>
        <v>1760.39</v>
      </c>
      <c r="X11" s="309">
        <f>VLOOKUP($A11,Prevs!$C:$AJ,COLUMN() - COLUMN($D11)+2,FALSE)*VLOOKUP($A11,Usinas!$C:$D,2,FALSE)</f>
        <v>1639.2260000000001</v>
      </c>
      <c r="Y11" s="309">
        <f>VLOOKUP($A11,Prevs!$C:$AJ,COLUMN() - COLUMN($D11)+2,FALSE)*VLOOKUP($A11,Usinas!$C:$D,2,FALSE)</f>
        <v>849.02599999999995</v>
      </c>
      <c r="Z11" s="309">
        <f>VLOOKUP($A11,Prevs!$C:$AJ,COLUMN() - COLUMN($D11)+2,FALSE)*VLOOKUP($A11,Usinas!$C:$D,2,FALSE)</f>
        <v>498.70400000000001</v>
      </c>
      <c r="AA11" s="330">
        <f>VLOOKUP($A11,Prevs!$C:$AJ,COLUMN() - COLUMN($D11)+2,FALSE)*VLOOKUP($A11,Usinas!$C:$D,2,FALSE)</f>
        <v>606.69799999999998</v>
      </c>
      <c r="AE11" s="329">
        <f>VLOOKUP($A11,Prevs!$C:$AJ,COLUMN() - COLUMN($D11)+2,FALSE)*VLOOKUP($A11,Usinas!$C:$D,2,FALSE)</f>
        <v>1324.0240000000001</v>
      </c>
      <c r="AF11" s="309">
        <f>VLOOKUP($A11,Prevs!$C:$AJ,COLUMN() - COLUMN($D11)+2,FALSE)*VLOOKUP($A11,Usinas!$C:$D,2,FALSE)</f>
        <v>2195.8780000000002</v>
      </c>
      <c r="AG11" s="309">
        <f>VLOOKUP($A11,Prevs!$C:$AJ,COLUMN() - COLUMN($D11)+2,FALSE)*VLOOKUP($A11,Usinas!$C:$D,2,FALSE)</f>
        <v>2044.8620000000001</v>
      </c>
      <c r="AH11" s="309">
        <f>VLOOKUP($A11,Prevs!$C:$AJ,COLUMN() - COLUMN($D11)+2,FALSE)*VLOOKUP($A11,Usinas!$C:$D,2,FALSE)</f>
        <v>1058.8679999999999</v>
      </c>
      <c r="AI11" s="309">
        <f>VLOOKUP($A11,Prevs!$C:$AJ,COLUMN() - COLUMN($D11)+2,FALSE)*VLOOKUP($A11,Usinas!$C:$D,2,FALSE)</f>
        <v>621.62400000000002</v>
      </c>
      <c r="AJ11" s="330">
        <f>VLOOKUP($A11,Prevs!$C:$AJ,COLUMN() - COLUMN($D11)+2,FALSE)*VLOOKUP($A11,Usinas!$C:$D,2,FALSE)</f>
        <v>756.83600000000001</v>
      </c>
    </row>
    <row r="12" spans="1:37" ht="12.75" hidden="1" customHeight="1" outlineLevel="2" x14ac:dyDescent="0.25">
      <c r="A12" s="198">
        <v>78</v>
      </c>
      <c r="B12" s="199" t="s">
        <v>211</v>
      </c>
      <c r="D12" s="329">
        <f>VLOOKUP($A12,Prevs!$C:$AJ,COLUMN() - COLUMN($D12)+2,FALSE)*VLOOKUP($A12,Usinas!$C:$D,2,FALSE)</f>
        <v>987.04550000000006</v>
      </c>
      <c r="E12" s="309">
        <f>VLOOKUP($A12,Prevs!$C:$AJ,COLUMN() - COLUMN($D12)+2,FALSE)*VLOOKUP($A12,Usinas!$C:$D,2,FALSE)</f>
        <v>1630.3595</v>
      </c>
      <c r="F12" s="309">
        <f>VLOOKUP($A12,Prevs!$C:$AJ,COLUMN() - COLUMN($D12)+2,FALSE)*VLOOKUP($A12,Usinas!$C:$D,2,FALSE)</f>
        <v>1518.7256</v>
      </c>
      <c r="G12" s="309">
        <f>VLOOKUP($A12,Prevs!$C:$AJ,COLUMN() - COLUMN($D12)+2,FALSE)*VLOOKUP($A12,Usinas!$C:$D,2,FALSE)</f>
        <v>787.74430000000007</v>
      </c>
      <c r="H12" s="309">
        <f>VLOOKUP($A12,Prevs!$C:$AJ,COLUMN() - COLUMN($D12)+2,FALSE)*VLOOKUP($A12,Usinas!$C:$D,2,FALSE)</f>
        <v>464.1952</v>
      </c>
      <c r="I12" s="330">
        <f>VLOOKUP($A12,Prevs!$C:$AJ,COLUMN() - COLUMN($D12)+2,FALSE)*VLOOKUP($A12,Usinas!$C:$D,2,FALSE)</f>
        <v>566.36860000000001</v>
      </c>
      <c r="J12" s="477">
        <f ca="1">VLOOKUP($A12,Prevs_MLT!$C:$AJ,1+Entrada!$C$4,FALSE)*VLOOKUP($A12,Usinas!$C:$D,2,FALSE)</f>
        <v>628.17720000000008</v>
      </c>
      <c r="M12" s="329">
        <f>VLOOKUP($A12,Prevs!$C:$AJ,COLUMN() - COLUMN($D12)+2,FALSE)*VLOOKUP($A12,Usinas!$C:$D,2,FALSE)</f>
        <v>791.52850000000001</v>
      </c>
      <c r="N12" s="309">
        <f>VLOOKUP($A12,Prevs!$C:$AJ,COLUMN() - COLUMN($D12)+2,FALSE)*VLOOKUP($A12,Usinas!$C:$D,2,FALSE)</f>
        <v>1306.8104000000001</v>
      </c>
      <c r="O12" s="309">
        <f>VLOOKUP($A12,Prevs!$C:$AJ,COLUMN() - COLUMN($D12)+2,FALSE)*VLOOKUP($A12,Usinas!$C:$D,2,FALSE)</f>
        <v>1217.251</v>
      </c>
      <c r="P12" s="309">
        <f>VLOOKUP($A12,Prevs!$C:$AJ,COLUMN() - COLUMN($D12)+2,FALSE)*VLOOKUP($A12,Usinas!$C:$D,2,FALSE)</f>
        <v>631.33070000000009</v>
      </c>
      <c r="Q12" s="309">
        <f>VLOOKUP($A12,Prevs!$C:$AJ,COLUMN() - COLUMN($D12)+2,FALSE)*VLOOKUP($A12,Usinas!$C:$D,2,FALSE)</f>
        <v>372.113</v>
      </c>
      <c r="R12" s="330">
        <f>VLOOKUP($A12,Prevs!$C:$AJ,COLUMN() - COLUMN($D12)+2,FALSE)*VLOOKUP($A12,Usinas!$C:$D,2,FALSE)</f>
        <v>454.10400000000004</v>
      </c>
      <c r="V12" s="329">
        <f>VLOOKUP($A12,Prevs!$C:$AJ,COLUMN() - COLUMN($D12)+2,FALSE)*VLOOKUP($A12,Usinas!$C:$D,2,FALSE)</f>
        <v>791.52850000000001</v>
      </c>
      <c r="W12" s="309">
        <f>VLOOKUP($A12,Prevs!$C:$AJ,COLUMN() - COLUMN($D12)+2,FALSE)*VLOOKUP($A12,Usinas!$C:$D,2,FALSE)</f>
        <v>1306.8104000000001</v>
      </c>
      <c r="X12" s="309">
        <f>VLOOKUP($A12,Prevs!$C:$AJ,COLUMN() - COLUMN($D12)+2,FALSE)*VLOOKUP($A12,Usinas!$C:$D,2,FALSE)</f>
        <v>1217.251</v>
      </c>
      <c r="Y12" s="309">
        <f>VLOOKUP($A12,Prevs!$C:$AJ,COLUMN() - COLUMN($D12)+2,FALSE)*VLOOKUP($A12,Usinas!$C:$D,2,FALSE)</f>
        <v>631.33070000000009</v>
      </c>
      <c r="Z12" s="309">
        <f>VLOOKUP($A12,Prevs!$C:$AJ,COLUMN() - COLUMN($D12)+2,FALSE)*VLOOKUP($A12,Usinas!$C:$D,2,FALSE)</f>
        <v>372.113</v>
      </c>
      <c r="AA12" s="330">
        <f>VLOOKUP($A12,Prevs!$C:$AJ,COLUMN() - COLUMN($D12)+2,FALSE)*VLOOKUP($A12,Usinas!$C:$D,2,FALSE)</f>
        <v>454.10400000000004</v>
      </c>
      <c r="AE12" s="329">
        <f>VLOOKUP($A12,Prevs!$C:$AJ,COLUMN() - COLUMN($D12)+2,FALSE)*VLOOKUP($A12,Usinas!$C:$D,2,FALSE)</f>
        <v>987.04550000000006</v>
      </c>
      <c r="AF12" s="309">
        <f>VLOOKUP($A12,Prevs!$C:$AJ,COLUMN() - COLUMN($D12)+2,FALSE)*VLOOKUP($A12,Usinas!$C:$D,2,FALSE)</f>
        <v>1630.3595</v>
      </c>
      <c r="AG12" s="309">
        <f>VLOOKUP($A12,Prevs!$C:$AJ,COLUMN() - COLUMN($D12)+2,FALSE)*VLOOKUP($A12,Usinas!$C:$D,2,FALSE)</f>
        <v>1518.7256</v>
      </c>
      <c r="AH12" s="309">
        <f>VLOOKUP($A12,Prevs!$C:$AJ,COLUMN() - COLUMN($D12)+2,FALSE)*VLOOKUP($A12,Usinas!$C:$D,2,FALSE)</f>
        <v>787.74430000000007</v>
      </c>
      <c r="AI12" s="309">
        <f>VLOOKUP($A12,Prevs!$C:$AJ,COLUMN() - COLUMN($D12)+2,FALSE)*VLOOKUP($A12,Usinas!$C:$D,2,FALSE)</f>
        <v>464.1952</v>
      </c>
      <c r="AJ12" s="330">
        <f>VLOOKUP($A12,Prevs!$C:$AJ,COLUMN() - COLUMN($D12)+2,FALSE)*VLOOKUP($A12,Usinas!$C:$D,2,FALSE)</f>
        <v>566.36860000000001</v>
      </c>
    </row>
    <row r="13" spans="1:37" ht="12.75" hidden="1" customHeight="1" outlineLevel="2" x14ac:dyDescent="0.25">
      <c r="A13" s="198">
        <v>222</v>
      </c>
      <c r="B13" s="199" t="s">
        <v>212</v>
      </c>
      <c r="D13" s="329">
        <f>VLOOKUP($A13,Prevs!$C:$AJ,COLUMN() - COLUMN($D13)+2,FALSE)*VLOOKUP($A13,Usinas!$C:$D,2,FALSE)</f>
        <v>1171.768</v>
      </c>
      <c r="E13" s="309">
        <f>VLOOKUP($A13,Prevs!$C:$AJ,COLUMN() - COLUMN($D13)+2,FALSE)*VLOOKUP($A13,Usinas!$C:$D,2,FALSE)</f>
        <v>1937.3309999999999</v>
      </c>
      <c r="F13" s="309">
        <f>VLOOKUP($A13,Prevs!$C:$AJ,COLUMN() - COLUMN($D13)+2,FALSE)*VLOOKUP($A13,Usinas!$C:$D,2,FALSE)</f>
        <v>1804.499</v>
      </c>
      <c r="G13" s="309">
        <f>VLOOKUP($A13,Prevs!$C:$AJ,COLUMN() - COLUMN($D13)+2,FALSE)*VLOOKUP($A13,Usinas!$C:$D,2,FALSE)</f>
        <v>939.3119999999999</v>
      </c>
      <c r="H13" s="309">
        <f>VLOOKUP($A13,Prevs!$C:$AJ,COLUMN() - COLUMN($D13)+2,FALSE)*VLOOKUP($A13,Usinas!$C:$D,2,FALSE)</f>
        <v>555.64099999999996</v>
      </c>
      <c r="I13" s="330">
        <f>VLOOKUP($A13,Prevs!$C:$AJ,COLUMN() - COLUMN($D13)+2,FALSE)*VLOOKUP($A13,Usinas!$C:$D,2,FALSE)</f>
        <v>688.47299999999996</v>
      </c>
      <c r="J13" s="477">
        <f ca="1">VLOOKUP($A13,Prevs_MLT!$C:$AJ,1+Entrada!$C$4,FALSE)*VLOOKUP($A13,Usinas!$C:$D,2,FALSE)</f>
        <v>785.72499999999991</v>
      </c>
      <c r="M13" s="329">
        <f>VLOOKUP($A13,Prevs!$C:$AJ,COLUMN() - COLUMN($D13)+2,FALSE)*VLOOKUP($A13,Usinas!$C:$D,2,FALSE)</f>
        <v>939.3119999999999</v>
      </c>
      <c r="N13" s="309">
        <f>VLOOKUP($A13,Prevs!$C:$AJ,COLUMN() - COLUMN($D13)+2,FALSE)*VLOOKUP($A13,Usinas!$C:$D,2,FALSE)</f>
        <v>1553.067</v>
      </c>
      <c r="O13" s="309">
        <f>VLOOKUP($A13,Prevs!$C:$AJ,COLUMN() - COLUMN($D13)+2,FALSE)*VLOOKUP($A13,Usinas!$C:$D,2,FALSE)</f>
        <v>1446.327</v>
      </c>
      <c r="P13" s="309">
        <f>VLOOKUP($A13,Prevs!$C:$AJ,COLUMN() - COLUMN($D13)+2,FALSE)*VLOOKUP($A13,Usinas!$C:$D,2,FALSE)</f>
        <v>753.11</v>
      </c>
      <c r="Q13" s="309">
        <f>VLOOKUP($A13,Prevs!$C:$AJ,COLUMN() - COLUMN($D13)+2,FALSE)*VLOOKUP($A13,Usinas!$C:$D,2,FALSE)</f>
        <v>445.34299999999996</v>
      </c>
      <c r="R13" s="330">
        <f>VLOOKUP($A13,Prevs!$C:$AJ,COLUMN() - COLUMN($D13)+2,FALSE)*VLOOKUP($A13,Usinas!$C:$D,2,FALSE)</f>
        <v>552.08299999999997</v>
      </c>
      <c r="V13" s="329">
        <f>VLOOKUP($A13,Prevs!$C:$AJ,COLUMN() - COLUMN($D13)+2,FALSE)*VLOOKUP($A13,Usinas!$C:$D,2,FALSE)</f>
        <v>939.3119999999999</v>
      </c>
      <c r="W13" s="309">
        <f>VLOOKUP($A13,Prevs!$C:$AJ,COLUMN() - COLUMN($D13)+2,FALSE)*VLOOKUP($A13,Usinas!$C:$D,2,FALSE)</f>
        <v>1553.067</v>
      </c>
      <c r="X13" s="309">
        <f>VLOOKUP($A13,Prevs!$C:$AJ,COLUMN() - COLUMN($D13)+2,FALSE)*VLOOKUP($A13,Usinas!$C:$D,2,FALSE)</f>
        <v>1446.327</v>
      </c>
      <c r="Y13" s="309">
        <f>VLOOKUP($A13,Prevs!$C:$AJ,COLUMN() - COLUMN($D13)+2,FALSE)*VLOOKUP($A13,Usinas!$C:$D,2,FALSE)</f>
        <v>753.11</v>
      </c>
      <c r="Z13" s="309">
        <f>VLOOKUP($A13,Prevs!$C:$AJ,COLUMN() - COLUMN($D13)+2,FALSE)*VLOOKUP($A13,Usinas!$C:$D,2,FALSE)</f>
        <v>445.34299999999996</v>
      </c>
      <c r="AA13" s="330">
        <f>VLOOKUP($A13,Prevs!$C:$AJ,COLUMN() - COLUMN($D13)+2,FALSE)*VLOOKUP($A13,Usinas!$C:$D,2,FALSE)</f>
        <v>552.08299999999997</v>
      </c>
      <c r="AE13" s="329">
        <f>VLOOKUP($A13,Prevs!$C:$AJ,COLUMN() - COLUMN($D13)+2,FALSE)*VLOOKUP($A13,Usinas!$C:$D,2,FALSE)</f>
        <v>1171.768</v>
      </c>
      <c r="AF13" s="309">
        <f>VLOOKUP($A13,Prevs!$C:$AJ,COLUMN() - COLUMN($D13)+2,FALSE)*VLOOKUP($A13,Usinas!$C:$D,2,FALSE)</f>
        <v>1937.3309999999999</v>
      </c>
      <c r="AG13" s="309">
        <f>VLOOKUP($A13,Prevs!$C:$AJ,COLUMN() - COLUMN($D13)+2,FALSE)*VLOOKUP($A13,Usinas!$C:$D,2,FALSE)</f>
        <v>1804.499</v>
      </c>
      <c r="AH13" s="309">
        <f>VLOOKUP($A13,Prevs!$C:$AJ,COLUMN() - COLUMN($D13)+2,FALSE)*VLOOKUP($A13,Usinas!$C:$D,2,FALSE)</f>
        <v>939.3119999999999</v>
      </c>
      <c r="AI13" s="309">
        <f>VLOOKUP($A13,Prevs!$C:$AJ,COLUMN() - COLUMN($D13)+2,FALSE)*VLOOKUP($A13,Usinas!$C:$D,2,FALSE)</f>
        <v>555.64099999999996</v>
      </c>
      <c r="AJ13" s="330">
        <f>VLOOKUP($A13,Prevs!$C:$AJ,COLUMN() - COLUMN($D13)+2,FALSE)*VLOOKUP($A13,Usinas!$C:$D,2,FALSE)</f>
        <v>688.47299999999996</v>
      </c>
    </row>
    <row r="14" spans="1:37" ht="12.75" customHeight="1" outlineLevel="1" collapsed="1" x14ac:dyDescent="0.25">
      <c r="A14" s="200"/>
      <c r="B14" s="201" t="s">
        <v>92</v>
      </c>
      <c r="D14" s="204">
        <f t="shared" ref="D14:I14" si="13">SUM(D7:D13)</f>
        <v>6262.9594000000006</v>
      </c>
      <c r="E14" s="58">
        <f t="shared" si="13"/>
        <v>8629.1339000000007</v>
      </c>
      <c r="F14" s="58">
        <f t="shared" si="13"/>
        <v>7540.6996999999992</v>
      </c>
      <c r="G14" s="58">
        <f t="shared" si="13"/>
        <v>4452.9597999999996</v>
      </c>
      <c r="H14" s="58">
        <f t="shared" si="13"/>
        <v>2947.3158000000003</v>
      </c>
      <c r="I14" s="205">
        <f t="shared" si="13"/>
        <v>3145.2725</v>
      </c>
      <c r="J14" s="423">
        <f ca="1">SUMPRODUCT(D14:I14,Saida!$B$7:$G$7)/SUM(Saida!$B$7:$G$7)</f>
        <v>5813.2998766666669</v>
      </c>
      <c r="M14" s="342">
        <f t="shared" ref="M14:R14" si="14">SUM(M7:M13)</f>
        <v>5019.0252</v>
      </c>
      <c r="N14" s="308">
        <f t="shared" si="14"/>
        <v>6952.7873000000009</v>
      </c>
      <c r="O14" s="308">
        <f t="shared" si="14"/>
        <v>6042.9745000000003</v>
      </c>
      <c r="P14" s="308">
        <f t="shared" si="14"/>
        <v>3568.4865</v>
      </c>
      <c r="Q14" s="308">
        <f t="shared" si="14"/>
        <v>2360.7734</v>
      </c>
      <c r="R14" s="343">
        <f t="shared" si="14"/>
        <v>2518.6837</v>
      </c>
      <c r="S14" s="423">
        <f ca="1">SUMPRODUCT(M14:R14,Saida!$B$7:$G$7)/SUM(Saida!$B$7:$G$7)</f>
        <v>4667.0953600000012</v>
      </c>
      <c r="V14" s="342">
        <f t="shared" ref="V14:AA14" si="15">SUM(V7:V13)</f>
        <v>5019.0252</v>
      </c>
      <c r="W14" s="308">
        <f t="shared" si="15"/>
        <v>6952.7873000000009</v>
      </c>
      <c r="X14" s="308">
        <f t="shared" si="15"/>
        <v>6042.9745000000003</v>
      </c>
      <c r="Y14" s="308">
        <f t="shared" si="15"/>
        <v>3568.4865</v>
      </c>
      <c r="Z14" s="308">
        <f t="shared" si="15"/>
        <v>2360.7734</v>
      </c>
      <c r="AA14" s="343">
        <f t="shared" si="15"/>
        <v>2518.6837</v>
      </c>
      <c r="AB14" s="423">
        <f ca="1">SUMPRODUCT(V14:AA14,Saida!$B$7:$G$7)/SUM(Saida!$B$7:$G$7)</f>
        <v>4667.0953600000012</v>
      </c>
      <c r="AE14" s="342">
        <f t="shared" ref="AE14:AJ14" si="16">SUM(AE7:AE13)</f>
        <v>6262.9594000000006</v>
      </c>
      <c r="AF14" s="308">
        <f t="shared" si="16"/>
        <v>8629.1339000000007</v>
      </c>
      <c r="AG14" s="308">
        <f t="shared" si="16"/>
        <v>7540.6996999999992</v>
      </c>
      <c r="AH14" s="308">
        <f t="shared" si="16"/>
        <v>4452.9597999999996</v>
      </c>
      <c r="AI14" s="308">
        <f t="shared" si="16"/>
        <v>2947.3158000000003</v>
      </c>
      <c r="AJ14" s="343">
        <f t="shared" si="16"/>
        <v>3145.2725</v>
      </c>
      <c r="AK14" s="423">
        <f ca="1">SUMPRODUCT(AE14:AJ14,Saida!$B$7:$G$7)/SUM(Saida!$B$7:$G$7)</f>
        <v>5813.2998766666669</v>
      </c>
    </row>
    <row r="15" spans="1:37" ht="12.75" customHeight="1" outlineLevel="1" x14ac:dyDescent="0.25">
      <c r="A15" s="202"/>
      <c r="B15" s="203" t="s">
        <v>13</v>
      </c>
      <c r="D15" s="206"/>
      <c r="E15" s="207"/>
      <c r="F15" s="207"/>
      <c r="G15" s="207"/>
      <c r="H15" s="207"/>
      <c r="I15" s="208"/>
      <c r="J15" s="478">
        <f ca="1">SUM(J7:J13)</f>
        <v>3898.547</v>
      </c>
      <c r="M15" s="344"/>
      <c r="N15" s="345"/>
      <c r="O15" s="345"/>
      <c r="P15" s="345"/>
      <c r="Q15" s="345"/>
      <c r="R15" s="346"/>
      <c r="V15" s="344"/>
      <c r="W15" s="345"/>
      <c r="X15" s="345"/>
      <c r="Y15" s="345"/>
      <c r="Z15" s="345"/>
      <c r="AA15" s="346"/>
      <c r="AE15" s="344"/>
      <c r="AF15" s="345"/>
      <c r="AG15" s="345"/>
      <c r="AH15" s="345"/>
      <c r="AI15" s="345"/>
      <c r="AJ15" s="346"/>
    </row>
    <row r="16" spans="1:37" ht="12.75" customHeight="1" outlineLevel="1" x14ac:dyDescent="0.25">
      <c r="A16" s="65"/>
      <c r="B16" s="66"/>
      <c r="D16" s="67"/>
      <c r="E16" s="68"/>
      <c r="F16" s="68"/>
      <c r="G16" s="68"/>
      <c r="H16" s="68"/>
      <c r="I16" s="68"/>
      <c r="M16" s="314"/>
      <c r="N16" s="315"/>
      <c r="O16" s="315"/>
      <c r="P16" s="315"/>
      <c r="Q16" s="315"/>
      <c r="R16" s="315"/>
      <c r="V16" s="314"/>
      <c r="W16" s="315"/>
      <c r="X16" s="315"/>
      <c r="Y16" s="315"/>
      <c r="Z16" s="315"/>
      <c r="AA16" s="315"/>
      <c r="AE16" s="314"/>
      <c r="AF16" s="315"/>
      <c r="AG16" s="315"/>
      <c r="AH16" s="315"/>
      <c r="AI16" s="315"/>
      <c r="AJ16" s="315"/>
    </row>
    <row r="17" spans="1:37" ht="12.75" customHeight="1" outlineLevel="1" x14ac:dyDescent="0.25">
      <c r="A17" s="209"/>
      <c r="B17" s="210"/>
      <c r="D17" s="509" t="s">
        <v>213</v>
      </c>
      <c r="E17" s="510" t="s">
        <v>94</v>
      </c>
      <c r="F17" s="510" t="s">
        <v>214</v>
      </c>
      <c r="G17" s="510"/>
      <c r="H17" s="510"/>
      <c r="I17" s="511"/>
      <c r="M17" s="509" t="s">
        <v>213</v>
      </c>
      <c r="N17" s="510" t="s">
        <v>94</v>
      </c>
      <c r="O17" s="510" t="s">
        <v>214</v>
      </c>
      <c r="P17" s="510"/>
      <c r="Q17" s="510"/>
      <c r="R17" s="511"/>
      <c r="V17" s="509" t="s">
        <v>213</v>
      </c>
      <c r="W17" s="510" t="s">
        <v>94</v>
      </c>
      <c r="X17" s="510" t="s">
        <v>214</v>
      </c>
      <c r="Y17" s="510"/>
      <c r="Z17" s="510"/>
      <c r="AA17" s="511"/>
      <c r="AE17" s="509" t="s">
        <v>213</v>
      </c>
      <c r="AF17" s="510" t="s">
        <v>94</v>
      </c>
      <c r="AG17" s="510" t="s">
        <v>214</v>
      </c>
      <c r="AH17" s="510"/>
      <c r="AI17" s="510"/>
      <c r="AJ17" s="511"/>
    </row>
    <row r="18" spans="1:37" ht="12.75" hidden="1" customHeight="1" outlineLevel="2" x14ac:dyDescent="0.25">
      <c r="A18" s="198">
        <v>110</v>
      </c>
      <c r="B18" s="199" t="s">
        <v>215</v>
      </c>
      <c r="D18" s="329">
        <f>VLOOKUP($A18,Prevs!$C:$AJ,COLUMN() - COLUMN($D18)+2,FALSE)*VLOOKUP($A18,Usinas!$C:$D,2,FALSE)</f>
        <v>0</v>
      </c>
      <c r="E18" s="309">
        <f>VLOOKUP($A18,Prevs!$C:$AJ,COLUMN() - COLUMN($D18)+2,FALSE)*VLOOKUP($A18,Usinas!$C:$D,2,FALSE)</f>
        <v>0</v>
      </c>
      <c r="F18" s="309">
        <f>VLOOKUP($A18,Prevs!$C:$AJ,COLUMN() - COLUMN($D18)+2,FALSE)*VLOOKUP($A18,Usinas!$C:$D,2,FALSE)</f>
        <v>0</v>
      </c>
      <c r="G18" s="309">
        <f>VLOOKUP($A18,Prevs!$C:$AJ,COLUMN() - COLUMN($D18)+2,FALSE)*VLOOKUP($A18,Usinas!$C:$D,2,FALSE)</f>
        <v>0</v>
      </c>
      <c r="H18" s="309">
        <f>VLOOKUP($A18,Prevs!$C:$AJ,COLUMN() - COLUMN($D18)+2,FALSE)*VLOOKUP($A18,Usinas!$C:$D,2,FALSE)</f>
        <v>0</v>
      </c>
      <c r="I18" s="330">
        <f>VLOOKUP($A18,Prevs!$C:$AJ,COLUMN() - COLUMN($D18)+2,FALSE)*VLOOKUP($A18,Usinas!$C:$D,2,FALSE)</f>
        <v>0</v>
      </c>
      <c r="J18" s="477">
        <f ca="1">VLOOKUP($A18,Prevs_MLT!$C:$AJ,1+Entrada!$C$4,FALSE)*VLOOKUP($A18,Usinas!$C:$D,2,FALSE)</f>
        <v>0</v>
      </c>
      <c r="M18" s="329">
        <f>VLOOKUP($A18,Prevs!$C:$AJ,COLUMN() - COLUMN($D18)+2,FALSE)*VLOOKUP($A18,Usinas!$C:$D,2,FALSE)</f>
        <v>0</v>
      </c>
      <c r="N18" s="309">
        <f>VLOOKUP($A18,Prevs!$C:$AJ,COLUMN() - COLUMN($D18)+2,FALSE)*VLOOKUP($A18,Usinas!$C:$D,2,FALSE)</f>
        <v>0</v>
      </c>
      <c r="O18" s="309">
        <f>VLOOKUP($A18,Prevs!$C:$AJ,COLUMN() - COLUMN($D18)+2,FALSE)*VLOOKUP($A18,Usinas!$C:$D,2,FALSE)</f>
        <v>0</v>
      </c>
      <c r="P18" s="309">
        <f>VLOOKUP($A18,Prevs!$C:$AJ,COLUMN() - COLUMN($D18)+2,FALSE)*VLOOKUP($A18,Usinas!$C:$D,2,FALSE)</f>
        <v>0</v>
      </c>
      <c r="Q18" s="309">
        <f>VLOOKUP($A18,Prevs!$C:$AJ,COLUMN() - COLUMN($D18)+2,FALSE)*VLOOKUP($A18,Usinas!$C:$D,2,FALSE)</f>
        <v>0</v>
      </c>
      <c r="R18" s="330">
        <f>VLOOKUP($A18,Prevs!$C:$AJ,COLUMN() - COLUMN($D18)+2,FALSE)*VLOOKUP($A18,Usinas!$C:$D,2,FALSE)</f>
        <v>0</v>
      </c>
      <c r="V18" s="329">
        <f>VLOOKUP($A18,Prevs!$C:$AJ,COLUMN() - COLUMN($D18)+2,FALSE)*VLOOKUP($A18,Usinas!$C:$D,2,FALSE)</f>
        <v>0</v>
      </c>
      <c r="W18" s="309">
        <f>VLOOKUP($A18,Prevs!$C:$AJ,COLUMN() - COLUMN($D18)+2,FALSE)*VLOOKUP($A18,Usinas!$C:$D,2,FALSE)</f>
        <v>0</v>
      </c>
      <c r="X18" s="309">
        <f>VLOOKUP($A18,Prevs!$C:$AJ,COLUMN() - COLUMN($D18)+2,FALSE)*VLOOKUP($A18,Usinas!$C:$D,2,FALSE)</f>
        <v>0</v>
      </c>
      <c r="Y18" s="309">
        <f>VLOOKUP($A18,Prevs!$C:$AJ,COLUMN() - COLUMN($D18)+2,FALSE)*VLOOKUP($A18,Usinas!$C:$D,2,FALSE)</f>
        <v>0</v>
      </c>
      <c r="Z18" s="309">
        <f>VLOOKUP($A18,Prevs!$C:$AJ,COLUMN() - COLUMN($D18)+2,FALSE)*VLOOKUP($A18,Usinas!$C:$D,2,FALSE)</f>
        <v>0</v>
      </c>
      <c r="AA18" s="330">
        <f>VLOOKUP($A18,Prevs!$C:$AJ,COLUMN() - COLUMN($D18)+2,FALSE)*VLOOKUP($A18,Usinas!$C:$D,2,FALSE)</f>
        <v>0</v>
      </c>
      <c r="AE18" s="329">
        <f>VLOOKUP($A18,Prevs!$C:$AJ,COLUMN() - COLUMN($D18)+2,FALSE)*VLOOKUP($A18,Usinas!$C:$D,2,FALSE)</f>
        <v>0</v>
      </c>
      <c r="AF18" s="309">
        <f>VLOOKUP($A18,Prevs!$C:$AJ,COLUMN() - COLUMN($D18)+2,FALSE)*VLOOKUP($A18,Usinas!$C:$D,2,FALSE)</f>
        <v>0</v>
      </c>
      <c r="AG18" s="309">
        <f>VLOOKUP($A18,Prevs!$C:$AJ,COLUMN() - COLUMN($D18)+2,FALSE)*VLOOKUP($A18,Usinas!$C:$D,2,FALSE)</f>
        <v>0</v>
      </c>
      <c r="AH18" s="309">
        <f>VLOOKUP($A18,Prevs!$C:$AJ,COLUMN() - COLUMN($D18)+2,FALSE)*VLOOKUP($A18,Usinas!$C:$D,2,FALSE)</f>
        <v>0</v>
      </c>
      <c r="AI18" s="309">
        <f>VLOOKUP($A18,Prevs!$C:$AJ,COLUMN() - COLUMN($D18)+2,FALSE)*VLOOKUP($A18,Usinas!$C:$D,2,FALSE)</f>
        <v>0</v>
      </c>
      <c r="AJ18" s="330">
        <f>VLOOKUP($A18,Prevs!$C:$AJ,COLUMN() - COLUMN($D18)+2,FALSE)*VLOOKUP($A18,Usinas!$C:$D,2,FALSE)</f>
        <v>0</v>
      </c>
    </row>
    <row r="19" spans="1:37" ht="12.75" hidden="1" customHeight="1" outlineLevel="2" x14ac:dyDescent="0.25">
      <c r="A19" s="198">
        <v>111</v>
      </c>
      <c r="B19" s="199" t="s">
        <v>62</v>
      </c>
      <c r="D19" s="329">
        <f>VLOOKUP($A19,Prevs!$C:$AJ,COLUMN() - COLUMN($D19)+2,FALSE)*VLOOKUP($A19,Usinas!$C:$D,2,FALSE)</f>
        <v>66.827199999999991</v>
      </c>
      <c r="E19" s="309">
        <f>VLOOKUP($A19,Prevs!$C:$AJ,COLUMN() - COLUMN($D19)+2,FALSE)*VLOOKUP($A19,Usinas!$C:$D,2,FALSE)</f>
        <v>69.105400000000003</v>
      </c>
      <c r="F19" s="309">
        <f>VLOOKUP($A19,Prevs!$C:$AJ,COLUMN() - COLUMN($D19)+2,FALSE)*VLOOKUP($A19,Usinas!$C:$D,2,FALSE)</f>
        <v>89.988900000000001</v>
      </c>
      <c r="G19" s="309">
        <f>VLOOKUP($A19,Prevs!$C:$AJ,COLUMN() - COLUMN($D19)+2,FALSE)*VLOOKUP($A19,Usinas!$C:$D,2,FALSE)</f>
        <v>92.267099999999999</v>
      </c>
      <c r="H19" s="309">
        <f>VLOOKUP($A19,Prevs!$C:$AJ,COLUMN() - COLUMN($D19)+2,FALSE)*VLOOKUP($A19,Usinas!$C:$D,2,FALSE)</f>
        <v>45.9437</v>
      </c>
      <c r="I19" s="330">
        <f>VLOOKUP($A19,Prevs!$C:$AJ,COLUMN() - COLUMN($D19)+2,FALSE)*VLOOKUP($A19,Usinas!$C:$D,2,FALSE)</f>
        <v>44.045200000000001</v>
      </c>
      <c r="J19" s="477">
        <f ca="1">VLOOKUP($A19,Prevs_MLT!$C:$AJ,1+Entrada!$C$4,FALSE)*VLOOKUP($A19,Usinas!$C:$D,2,FALSE)</f>
        <v>72.9024</v>
      </c>
      <c r="M19" s="329">
        <f>VLOOKUP($A19,Prevs!$C:$AJ,COLUMN() - COLUMN($D19)+2,FALSE)*VLOOKUP($A19,Usinas!$C:$D,2,FALSE)</f>
        <v>53.537700000000001</v>
      </c>
      <c r="N19" s="309">
        <f>VLOOKUP($A19,Prevs!$C:$AJ,COLUMN() - COLUMN($D19)+2,FALSE)*VLOOKUP($A19,Usinas!$C:$D,2,FALSE)</f>
        <v>55.436199999999999</v>
      </c>
      <c r="O19" s="309">
        <f>VLOOKUP($A19,Prevs!$C:$AJ,COLUMN() - COLUMN($D19)+2,FALSE)*VLOOKUP($A19,Usinas!$C:$D,2,FALSE)</f>
        <v>72.143000000000001</v>
      </c>
      <c r="P19" s="309">
        <f>VLOOKUP($A19,Prevs!$C:$AJ,COLUMN() - COLUMN($D19)+2,FALSE)*VLOOKUP($A19,Usinas!$C:$D,2,FALSE)</f>
        <v>74.041499999999999</v>
      </c>
      <c r="Q19" s="309">
        <f>VLOOKUP($A19,Prevs!$C:$AJ,COLUMN() - COLUMN($D19)+2,FALSE)*VLOOKUP($A19,Usinas!$C:$D,2,FALSE)</f>
        <v>36.8309</v>
      </c>
      <c r="R19" s="330">
        <f>VLOOKUP($A19,Prevs!$C:$AJ,COLUMN() - COLUMN($D19)+2,FALSE)*VLOOKUP($A19,Usinas!$C:$D,2,FALSE)</f>
        <v>35.312100000000001</v>
      </c>
      <c r="V19" s="329">
        <f>VLOOKUP($A19,Prevs!$C:$AJ,COLUMN() - COLUMN($D19)+2,FALSE)*VLOOKUP($A19,Usinas!$C:$D,2,FALSE)</f>
        <v>53.537700000000001</v>
      </c>
      <c r="W19" s="309">
        <f>VLOOKUP($A19,Prevs!$C:$AJ,COLUMN() - COLUMN($D19)+2,FALSE)*VLOOKUP($A19,Usinas!$C:$D,2,FALSE)</f>
        <v>55.436199999999999</v>
      </c>
      <c r="X19" s="309">
        <f>VLOOKUP($A19,Prevs!$C:$AJ,COLUMN() - COLUMN($D19)+2,FALSE)*VLOOKUP($A19,Usinas!$C:$D,2,FALSE)</f>
        <v>72.143000000000001</v>
      </c>
      <c r="Y19" s="309">
        <f>VLOOKUP($A19,Prevs!$C:$AJ,COLUMN() - COLUMN($D19)+2,FALSE)*VLOOKUP($A19,Usinas!$C:$D,2,FALSE)</f>
        <v>74.041499999999999</v>
      </c>
      <c r="Z19" s="309">
        <f>VLOOKUP($A19,Prevs!$C:$AJ,COLUMN() - COLUMN($D19)+2,FALSE)*VLOOKUP($A19,Usinas!$C:$D,2,FALSE)</f>
        <v>36.8309</v>
      </c>
      <c r="AA19" s="330">
        <f>VLOOKUP($A19,Prevs!$C:$AJ,COLUMN() - COLUMN($D19)+2,FALSE)*VLOOKUP($A19,Usinas!$C:$D,2,FALSE)</f>
        <v>35.312100000000001</v>
      </c>
      <c r="AE19" s="329">
        <f>VLOOKUP($A19,Prevs!$C:$AJ,COLUMN() - COLUMN($D19)+2,FALSE)*VLOOKUP($A19,Usinas!$C:$D,2,FALSE)</f>
        <v>66.827199999999991</v>
      </c>
      <c r="AF19" s="309">
        <f>VLOOKUP($A19,Prevs!$C:$AJ,COLUMN() - COLUMN($D19)+2,FALSE)*VLOOKUP($A19,Usinas!$C:$D,2,FALSE)</f>
        <v>69.105400000000003</v>
      </c>
      <c r="AG19" s="309">
        <f>VLOOKUP($A19,Prevs!$C:$AJ,COLUMN() - COLUMN($D19)+2,FALSE)*VLOOKUP($A19,Usinas!$C:$D,2,FALSE)</f>
        <v>89.988900000000001</v>
      </c>
      <c r="AH19" s="309">
        <f>VLOOKUP($A19,Prevs!$C:$AJ,COLUMN() - COLUMN($D19)+2,FALSE)*VLOOKUP($A19,Usinas!$C:$D,2,FALSE)</f>
        <v>92.267099999999999</v>
      </c>
      <c r="AI19" s="309">
        <f>VLOOKUP($A19,Prevs!$C:$AJ,COLUMN() - COLUMN($D19)+2,FALSE)*VLOOKUP($A19,Usinas!$C:$D,2,FALSE)</f>
        <v>45.9437</v>
      </c>
      <c r="AJ19" s="330">
        <f>VLOOKUP($A19,Prevs!$C:$AJ,COLUMN() - COLUMN($D19)+2,FALSE)*VLOOKUP($A19,Usinas!$C:$D,2,FALSE)</f>
        <v>44.045200000000001</v>
      </c>
    </row>
    <row r="20" spans="1:37" ht="12.75" hidden="1" customHeight="1" outlineLevel="2" x14ac:dyDescent="0.25">
      <c r="A20" s="198">
        <v>112</v>
      </c>
      <c r="B20" s="199" t="s">
        <v>216</v>
      </c>
      <c r="D20" s="329">
        <f>VLOOKUP($A20,Prevs!$C:$AJ,COLUMN() - COLUMN($D20)+2,FALSE)*VLOOKUP($A20,Usinas!$C:$D,2,FALSE)</f>
        <v>147.4196</v>
      </c>
      <c r="E20" s="309">
        <f>VLOOKUP($A20,Prevs!$C:$AJ,COLUMN() - COLUMN($D20)+2,FALSE)*VLOOKUP($A20,Usinas!$C:$D,2,FALSE)</f>
        <v>151.56060000000002</v>
      </c>
      <c r="F20" s="309">
        <f>VLOOKUP($A20,Prevs!$C:$AJ,COLUMN() - COLUMN($D20)+2,FALSE)*VLOOKUP($A20,Usinas!$C:$D,2,FALSE)</f>
        <v>197.93980000000002</v>
      </c>
      <c r="G20" s="309">
        <f>VLOOKUP($A20,Prevs!$C:$AJ,COLUMN() - COLUMN($D20)+2,FALSE)*VLOOKUP($A20,Usinas!$C:$D,2,FALSE)</f>
        <v>202.90900000000002</v>
      </c>
      <c r="H20" s="309">
        <f>VLOOKUP($A20,Prevs!$C:$AJ,COLUMN() - COLUMN($D20)+2,FALSE)*VLOOKUP($A20,Usinas!$C:$D,2,FALSE)</f>
        <v>101.04040000000001</v>
      </c>
      <c r="I20" s="330">
        <f>VLOOKUP($A20,Prevs!$C:$AJ,COLUMN() - COLUMN($D20)+2,FALSE)*VLOOKUP($A20,Usinas!$C:$D,2,FALSE)</f>
        <v>96.8994</v>
      </c>
      <c r="J20" s="477">
        <f ca="1">VLOOKUP($A20,Prevs_MLT!$C:$AJ,1+Entrada!$C$4,FALSE)*VLOOKUP($A20,Usinas!$C:$D,2,FALSE)</f>
        <v>160.67080000000001</v>
      </c>
      <c r="M20" s="329">
        <f>VLOOKUP($A20,Prevs!$C:$AJ,COLUMN() - COLUMN($D20)+2,FALSE)*VLOOKUP($A20,Usinas!$C:$D,2,FALSE)</f>
        <v>118.43260000000001</v>
      </c>
      <c r="N20" s="309">
        <f>VLOOKUP($A20,Prevs!$C:$AJ,COLUMN() - COLUMN($D20)+2,FALSE)*VLOOKUP($A20,Usinas!$C:$D,2,FALSE)</f>
        <v>121.7454</v>
      </c>
      <c r="O20" s="309">
        <f>VLOOKUP($A20,Prevs!$C:$AJ,COLUMN() - COLUMN($D20)+2,FALSE)*VLOOKUP($A20,Usinas!$C:$D,2,FALSE)</f>
        <v>159.01440000000002</v>
      </c>
      <c r="P20" s="309">
        <f>VLOOKUP($A20,Prevs!$C:$AJ,COLUMN() - COLUMN($D20)+2,FALSE)*VLOOKUP($A20,Usinas!$C:$D,2,FALSE)</f>
        <v>162.3272</v>
      </c>
      <c r="Q20" s="309">
        <f>VLOOKUP($A20,Prevs!$C:$AJ,COLUMN() - COLUMN($D20)+2,FALSE)*VLOOKUP($A20,Usinas!$C:$D,2,FALSE)</f>
        <v>81.163600000000002</v>
      </c>
      <c r="R20" s="330">
        <f>VLOOKUP($A20,Prevs!$C:$AJ,COLUMN() - COLUMN($D20)+2,FALSE)*VLOOKUP($A20,Usinas!$C:$D,2,FALSE)</f>
        <v>77.850800000000007</v>
      </c>
      <c r="V20" s="329">
        <f>VLOOKUP($A20,Prevs!$C:$AJ,COLUMN() - COLUMN($D20)+2,FALSE)*VLOOKUP($A20,Usinas!$C:$D,2,FALSE)</f>
        <v>118.43260000000001</v>
      </c>
      <c r="W20" s="309">
        <f>VLOOKUP($A20,Prevs!$C:$AJ,COLUMN() - COLUMN($D20)+2,FALSE)*VLOOKUP($A20,Usinas!$C:$D,2,FALSE)</f>
        <v>121.7454</v>
      </c>
      <c r="X20" s="309">
        <f>VLOOKUP($A20,Prevs!$C:$AJ,COLUMN() - COLUMN($D20)+2,FALSE)*VLOOKUP($A20,Usinas!$C:$D,2,FALSE)</f>
        <v>159.01440000000002</v>
      </c>
      <c r="Y20" s="309">
        <f>VLOOKUP($A20,Prevs!$C:$AJ,COLUMN() - COLUMN($D20)+2,FALSE)*VLOOKUP($A20,Usinas!$C:$D,2,FALSE)</f>
        <v>162.3272</v>
      </c>
      <c r="Z20" s="309">
        <f>VLOOKUP($A20,Prevs!$C:$AJ,COLUMN() - COLUMN($D20)+2,FALSE)*VLOOKUP($A20,Usinas!$C:$D,2,FALSE)</f>
        <v>81.163600000000002</v>
      </c>
      <c r="AA20" s="330">
        <f>VLOOKUP($A20,Prevs!$C:$AJ,COLUMN() - COLUMN($D20)+2,FALSE)*VLOOKUP($A20,Usinas!$C:$D,2,FALSE)</f>
        <v>77.850800000000007</v>
      </c>
      <c r="AE20" s="329">
        <f>VLOOKUP($A20,Prevs!$C:$AJ,COLUMN() - COLUMN($D20)+2,FALSE)*VLOOKUP($A20,Usinas!$C:$D,2,FALSE)</f>
        <v>147.4196</v>
      </c>
      <c r="AF20" s="309">
        <f>VLOOKUP($A20,Prevs!$C:$AJ,COLUMN() - COLUMN($D20)+2,FALSE)*VLOOKUP($A20,Usinas!$C:$D,2,FALSE)</f>
        <v>151.56060000000002</v>
      </c>
      <c r="AG20" s="309">
        <f>VLOOKUP($A20,Prevs!$C:$AJ,COLUMN() - COLUMN($D20)+2,FALSE)*VLOOKUP($A20,Usinas!$C:$D,2,FALSE)</f>
        <v>197.93980000000002</v>
      </c>
      <c r="AH20" s="309">
        <f>VLOOKUP($A20,Prevs!$C:$AJ,COLUMN() - COLUMN($D20)+2,FALSE)*VLOOKUP($A20,Usinas!$C:$D,2,FALSE)</f>
        <v>202.90900000000002</v>
      </c>
      <c r="AI20" s="309">
        <f>VLOOKUP($A20,Prevs!$C:$AJ,COLUMN() - COLUMN($D20)+2,FALSE)*VLOOKUP($A20,Usinas!$C:$D,2,FALSE)</f>
        <v>101.04040000000001</v>
      </c>
      <c r="AJ20" s="330">
        <f>VLOOKUP($A20,Prevs!$C:$AJ,COLUMN() - COLUMN($D20)+2,FALSE)*VLOOKUP($A20,Usinas!$C:$D,2,FALSE)</f>
        <v>96.8994</v>
      </c>
    </row>
    <row r="21" spans="1:37" ht="12.75" hidden="1" customHeight="1" outlineLevel="2" x14ac:dyDescent="0.25">
      <c r="A21" s="198">
        <v>113</v>
      </c>
      <c r="B21" s="199" t="s">
        <v>217</v>
      </c>
      <c r="D21" s="329">
        <f>VLOOKUP($A21,Prevs!$C:$AJ,COLUMN() - COLUMN($D21)+2,FALSE)*VLOOKUP($A21,Usinas!$C:$D,2,FALSE)</f>
        <v>192.43469999999999</v>
      </c>
      <c r="E21" s="309">
        <f>VLOOKUP($A21,Prevs!$C:$AJ,COLUMN() - COLUMN($D21)+2,FALSE)*VLOOKUP($A21,Usinas!$C:$D,2,FALSE)</f>
        <v>198.21599999999998</v>
      </c>
      <c r="F21" s="309">
        <f>VLOOKUP($A21,Prevs!$C:$AJ,COLUMN() - COLUMN($D21)+2,FALSE)*VLOOKUP($A21,Usinas!$C:$D,2,FALSE)</f>
        <v>259.33260000000001</v>
      </c>
      <c r="G21" s="309">
        <f>VLOOKUP($A21,Prevs!$C:$AJ,COLUMN() - COLUMN($D21)+2,FALSE)*VLOOKUP($A21,Usinas!$C:$D,2,FALSE)</f>
        <v>265.93979999999999</v>
      </c>
      <c r="H21" s="309">
        <f>VLOOKUP($A21,Prevs!$C:$AJ,COLUMN() - COLUMN($D21)+2,FALSE)*VLOOKUP($A21,Usinas!$C:$D,2,FALSE)</f>
        <v>131.31809999999999</v>
      </c>
      <c r="I21" s="330">
        <f>VLOOKUP($A21,Prevs!$C:$AJ,COLUMN() - COLUMN($D21)+2,FALSE)*VLOOKUP($A21,Usinas!$C:$D,2,FALSE)</f>
        <v>122.2332</v>
      </c>
      <c r="J21" s="477">
        <f ca="1">VLOOKUP($A21,Prevs_MLT!$C:$AJ,1+Entrada!$C$4,FALSE)*VLOOKUP($A21,Usinas!$C:$D,2,FALSE)</f>
        <v>203.9973</v>
      </c>
      <c r="M21" s="329">
        <f>VLOOKUP($A21,Prevs!$C:$AJ,COLUMN() - COLUMN($D21)+2,FALSE)*VLOOKUP($A21,Usinas!$C:$D,2,FALSE)</f>
        <v>154.44329999999999</v>
      </c>
      <c r="N21" s="309">
        <f>VLOOKUP($A21,Prevs!$C:$AJ,COLUMN() - COLUMN($D21)+2,FALSE)*VLOOKUP($A21,Usinas!$C:$D,2,FALSE)</f>
        <v>158.5728</v>
      </c>
      <c r="O21" s="309">
        <f>VLOOKUP($A21,Prevs!$C:$AJ,COLUMN() - COLUMN($D21)+2,FALSE)*VLOOKUP($A21,Usinas!$C:$D,2,FALSE)</f>
        <v>208.1268</v>
      </c>
      <c r="P21" s="309">
        <f>VLOOKUP($A21,Prevs!$C:$AJ,COLUMN() - COLUMN($D21)+2,FALSE)*VLOOKUP($A21,Usinas!$C:$D,2,FALSE)</f>
        <v>213.0822</v>
      </c>
      <c r="Q21" s="309">
        <f>VLOOKUP($A21,Prevs!$C:$AJ,COLUMN() - COLUMN($D21)+2,FALSE)*VLOOKUP($A21,Usinas!$C:$D,2,FALSE)</f>
        <v>104.88929999999999</v>
      </c>
      <c r="R21" s="330">
        <f>VLOOKUP($A21,Prevs!$C:$AJ,COLUMN() - COLUMN($D21)+2,FALSE)*VLOOKUP($A21,Usinas!$C:$D,2,FALSE)</f>
        <v>98.2821</v>
      </c>
      <c r="V21" s="329">
        <f>VLOOKUP($A21,Prevs!$C:$AJ,COLUMN() - COLUMN($D21)+2,FALSE)*VLOOKUP($A21,Usinas!$C:$D,2,FALSE)</f>
        <v>154.44329999999999</v>
      </c>
      <c r="W21" s="309">
        <f>VLOOKUP($A21,Prevs!$C:$AJ,COLUMN() - COLUMN($D21)+2,FALSE)*VLOOKUP($A21,Usinas!$C:$D,2,FALSE)</f>
        <v>158.5728</v>
      </c>
      <c r="X21" s="309">
        <f>VLOOKUP($A21,Prevs!$C:$AJ,COLUMN() - COLUMN($D21)+2,FALSE)*VLOOKUP($A21,Usinas!$C:$D,2,FALSE)</f>
        <v>208.1268</v>
      </c>
      <c r="Y21" s="309">
        <f>VLOOKUP($A21,Prevs!$C:$AJ,COLUMN() - COLUMN($D21)+2,FALSE)*VLOOKUP($A21,Usinas!$C:$D,2,FALSE)</f>
        <v>213.0822</v>
      </c>
      <c r="Z21" s="309">
        <f>VLOOKUP($A21,Prevs!$C:$AJ,COLUMN() - COLUMN($D21)+2,FALSE)*VLOOKUP($A21,Usinas!$C:$D,2,FALSE)</f>
        <v>104.88929999999999</v>
      </c>
      <c r="AA21" s="330">
        <f>VLOOKUP($A21,Prevs!$C:$AJ,COLUMN() - COLUMN($D21)+2,FALSE)*VLOOKUP($A21,Usinas!$C:$D,2,FALSE)</f>
        <v>98.2821</v>
      </c>
      <c r="AE21" s="329">
        <f>VLOOKUP($A21,Prevs!$C:$AJ,COLUMN() - COLUMN($D21)+2,FALSE)*VLOOKUP($A21,Usinas!$C:$D,2,FALSE)</f>
        <v>192.43469999999999</v>
      </c>
      <c r="AF21" s="309">
        <f>VLOOKUP($A21,Prevs!$C:$AJ,COLUMN() - COLUMN($D21)+2,FALSE)*VLOOKUP($A21,Usinas!$C:$D,2,FALSE)</f>
        <v>198.21599999999998</v>
      </c>
      <c r="AG21" s="309">
        <f>VLOOKUP($A21,Prevs!$C:$AJ,COLUMN() - COLUMN($D21)+2,FALSE)*VLOOKUP($A21,Usinas!$C:$D,2,FALSE)</f>
        <v>259.33260000000001</v>
      </c>
      <c r="AH21" s="309">
        <f>VLOOKUP($A21,Prevs!$C:$AJ,COLUMN() - COLUMN($D21)+2,FALSE)*VLOOKUP($A21,Usinas!$C:$D,2,FALSE)</f>
        <v>265.93979999999999</v>
      </c>
      <c r="AI21" s="309">
        <f>VLOOKUP($A21,Prevs!$C:$AJ,COLUMN() - COLUMN($D21)+2,FALSE)*VLOOKUP($A21,Usinas!$C:$D,2,FALSE)</f>
        <v>131.31809999999999</v>
      </c>
      <c r="AJ21" s="330">
        <f>VLOOKUP($A21,Prevs!$C:$AJ,COLUMN() - COLUMN($D21)+2,FALSE)*VLOOKUP($A21,Usinas!$C:$D,2,FALSE)</f>
        <v>122.2332</v>
      </c>
    </row>
    <row r="22" spans="1:37" ht="12.75" hidden="1" customHeight="1" outlineLevel="2" x14ac:dyDescent="0.25">
      <c r="A22" s="198">
        <v>114</v>
      </c>
      <c r="B22" s="199" t="s">
        <v>218</v>
      </c>
      <c r="D22" s="329">
        <f>VLOOKUP($A22,Prevs!$C:$AJ,COLUMN() - COLUMN($D22)+2,FALSE)*VLOOKUP($A22,Usinas!$C:$D,2,FALSE)</f>
        <v>98.155200000000008</v>
      </c>
      <c r="E22" s="309">
        <f>VLOOKUP($A22,Prevs!$C:$AJ,COLUMN() - COLUMN($D22)+2,FALSE)*VLOOKUP($A22,Usinas!$C:$D,2,FALSE)</f>
        <v>100.9008</v>
      </c>
      <c r="F22" s="309">
        <f>VLOOKUP($A22,Prevs!$C:$AJ,COLUMN() - COLUMN($D22)+2,FALSE)*VLOOKUP($A22,Usinas!$C:$D,2,FALSE)</f>
        <v>131.44560000000001</v>
      </c>
      <c r="G22" s="309">
        <f>VLOOKUP($A22,Prevs!$C:$AJ,COLUMN() - COLUMN($D22)+2,FALSE)*VLOOKUP($A22,Usinas!$C:$D,2,FALSE)</f>
        <v>134.8776</v>
      </c>
      <c r="H22" s="309">
        <f>VLOOKUP($A22,Prevs!$C:$AJ,COLUMN() - COLUMN($D22)+2,FALSE)*VLOOKUP($A22,Usinas!$C:$D,2,FALSE)</f>
        <v>67.610399999999998</v>
      </c>
      <c r="I22" s="330">
        <f>VLOOKUP($A22,Prevs!$C:$AJ,COLUMN() - COLUMN($D22)+2,FALSE)*VLOOKUP($A22,Usinas!$C:$D,2,FALSE)</f>
        <v>61.4328</v>
      </c>
      <c r="J22" s="477">
        <f ca="1">VLOOKUP($A22,Prevs_MLT!$C:$AJ,1+Entrada!$C$4,FALSE)*VLOOKUP($A22,Usinas!$C:$D,2,FALSE)</f>
        <v>103.6464</v>
      </c>
      <c r="M22" s="329">
        <f>VLOOKUP($A22,Prevs!$C:$AJ,COLUMN() - COLUMN($D22)+2,FALSE)*VLOOKUP($A22,Usinas!$C:$D,2,FALSE)</f>
        <v>78.592799999999997</v>
      </c>
      <c r="N22" s="309">
        <f>VLOOKUP($A22,Prevs!$C:$AJ,COLUMN() - COLUMN($D22)+2,FALSE)*VLOOKUP($A22,Usinas!$C:$D,2,FALSE)</f>
        <v>80.995199999999997</v>
      </c>
      <c r="O22" s="309">
        <f>VLOOKUP($A22,Prevs!$C:$AJ,COLUMN() - COLUMN($D22)+2,FALSE)*VLOOKUP($A22,Usinas!$C:$D,2,FALSE)</f>
        <v>105.36240000000001</v>
      </c>
      <c r="P22" s="309">
        <f>VLOOKUP($A22,Prevs!$C:$AJ,COLUMN() - COLUMN($D22)+2,FALSE)*VLOOKUP($A22,Usinas!$C:$D,2,FALSE)</f>
        <v>108.108</v>
      </c>
      <c r="Q22" s="309">
        <f>VLOOKUP($A22,Prevs!$C:$AJ,COLUMN() - COLUMN($D22)+2,FALSE)*VLOOKUP($A22,Usinas!$C:$D,2,FALSE)</f>
        <v>54.2256</v>
      </c>
      <c r="R22" s="330">
        <f>VLOOKUP($A22,Prevs!$C:$AJ,COLUMN() - COLUMN($D22)+2,FALSE)*VLOOKUP($A22,Usinas!$C:$D,2,FALSE)</f>
        <v>49.077600000000004</v>
      </c>
      <c r="V22" s="329">
        <f>VLOOKUP($A22,Prevs!$C:$AJ,COLUMN() - COLUMN($D22)+2,FALSE)*VLOOKUP($A22,Usinas!$C:$D,2,FALSE)</f>
        <v>78.592799999999997</v>
      </c>
      <c r="W22" s="309">
        <f>VLOOKUP($A22,Prevs!$C:$AJ,COLUMN() - COLUMN($D22)+2,FALSE)*VLOOKUP($A22,Usinas!$C:$D,2,FALSE)</f>
        <v>80.995199999999997</v>
      </c>
      <c r="X22" s="309">
        <f>VLOOKUP($A22,Prevs!$C:$AJ,COLUMN() - COLUMN($D22)+2,FALSE)*VLOOKUP($A22,Usinas!$C:$D,2,FALSE)</f>
        <v>105.36240000000001</v>
      </c>
      <c r="Y22" s="309">
        <f>VLOOKUP($A22,Prevs!$C:$AJ,COLUMN() - COLUMN($D22)+2,FALSE)*VLOOKUP($A22,Usinas!$C:$D,2,FALSE)</f>
        <v>108.108</v>
      </c>
      <c r="Z22" s="309">
        <f>VLOOKUP($A22,Prevs!$C:$AJ,COLUMN() - COLUMN($D22)+2,FALSE)*VLOOKUP($A22,Usinas!$C:$D,2,FALSE)</f>
        <v>54.2256</v>
      </c>
      <c r="AA22" s="330">
        <f>VLOOKUP($A22,Prevs!$C:$AJ,COLUMN() - COLUMN($D22)+2,FALSE)*VLOOKUP($A22,Usinas!$C:$D,2,FALSE)</f>
        <v>49.077600000000004</v>
      </c>
      <c r="AE22" s="329">
        <f>VLOOKUP($A22,Prevs!$C:$AJ,COLUMN() - COLUMN($D22)+2,FALSE)*VLOOKUP($A22,Usinas!$C:$D,2,FALSE)</f>
        <v>98.155200000000008</v>
      </c>
      <c r="AF22" s="309">
        <f>VLOOKUP($A22,Prevs!$C:$AJ,COLUMN() - COLUMN($D22)+2,FALSE)*VLOOKUP($A22,Usinas!$C:$D,2,FALSE)</f>
        <v>100.9008</v>
      </c>
      <c r="AG22" s="309">
        <f>VLOOKUP($A22,Prevs!$C:$AJ,COLUMN() - COLUMN($D22)+2,FALSE)*VLOOKUP($A22,Usinas!$C:$D,2,FALSE)</f>
        <v>131.44560000000001</v>
      </c>
      <c r="AH22" s="309">
        <f>VLOOKUP($A22,Prevs!$C:$AJ,COLUMN() - COLUMN($D22)+2,FALSE)*VLOOKUP($A22,Usinas!$C:$D,2,FALSE)</f>
        <v>134.8776</v>
      </c>
      <c r="AI22" s="309">
        <f>VLOOKUP($A22,Prevs!$C:$AJ,COLUMN() - COLUMN($D22)+2,FALSE)*VLOOKUP($A22,Usinas!$C:$D,2,FALSE)</f>
        <v>67.610399999999998</v>
      </c>
      <c r="AJ22" s="330">
        <f>VLOOKUP($A22,Prevs!$C:$AJ,COLUMN() - COLUMN($D22)+2,FALSE)*VLOOKUP($A22,Usinas!$C:$D,2,FALSE)</f>
        <v>61.4328</v>
      </c>
    </row>
    <row r="23" spans="1:37" ht="12.75" hidden="1" customHeight="1" outlineLevel="2" x14ac:dyDescent="0.25">
      <c r="A23" s="198">
        <v>97</v>
      </c>
      <c r="B23" s="199" t="s">
        <v>219</v>
      </c>
      <c r="D23" s="329">
        <f>VLOOKUP($A23,Prevs!$C:$AJ,COLUMN() - COLUMN($D23)+2,FALSE)*VLOOKUP($A23,Usinas!$C:$D,2,FALSE)</f>
        <v>93.986099999999993</v>
      </c>
      <c r="E23" s="309">
        <f>VLOOKUP($A23,Prevs!$C:$AJ,COLUMN() - COLUMN($D23)+2,FALSE)*VLOOKUP($A23,Usinas!$C:$D,2,FALSE)</f>
        <v>36.01</v>
      </c>
      <c r="F23" s="309">
        <f>VLOOKUP($A23,Prevs!$C:$AJ,COLUMN() - COLUMN($D23)+2,FALSE)*VLOOKUP($A23,Usinas!$C:$D,2,FALSE)</f>
        <v>60.496799999999993</v>
      </c>
      <c r="G23" s="309">
        <f>VLOOKUP($A23,Prevs!$C:$AJ,COLUMN() - COLUMN($D23)+2,FALSE)*VLOOKUP($A23,Usinas!$C:$D,2,FALSE)</f>
        <v>99.387599999999992</v>
      </c>
      <c r="H23" s="309">
        <f>VLOOKUP($A23,Prevs!$C:$AJ,COLUMN() - COLUMN($D23)+2,FALSE)*VLOOKUP($A23,Usinas!$C:$D,2,FALSE)</f>
        <v>44.292299999999997</v>
      </c>
      <c r="I23" s="330">
        <f>VLOOKUP($A23,Prevs!$C:$AJ,COLUMN() - COLUMN($D23)+2,FALSE)*VLOOKUP($A23,Usinas!$C:$D,2,FALSE)</f>
        <v>51.854399999999998</v>
      </c>
      <c r="J23" s="477">
        <f ca="1">VLOOKUP($A23,Prevs_MLT!$C:$AJ,1+Entrada!$C$4,FALSE)*VLOOKUP($A23,Usinas!$C:$D,2,FALSE)</f>
        <v>86.784099999999995</v>
      </c>
      <c r="M23" s="329">
        <f>VLOOKUP($A23,Prevs!$C:$AJ,COLUMN() - COLUMN($D23)+2,FALSE)*VLOOKUP($A23,Usinas!$C:$D,2,FALSE)</f>
        <v>75.260899999999992</v>
      </c>
      <c r="N23" s="309">
        <f>VLOOKUP($A23,Prevs!$C:$AJ,COLUMN() - COLUMN($D23)+2,FALSE)*VLOOKUP($A23,Usinas!$C:$D,2,FALSE)</f>
        <v>28.808</v>
      </c>
      <c r="O23" s="309">
        <f>VLOOKUP($A23,Prevs!$C:$AJ,COLUMN() - COLUMN($D23)+2,FALSE)*VLOOKUP($A23,Usinas!$C:$D,2,FALSE)</f>
        <v>48.613499999999995</v>
      </c>
      <c r="P23" s="309">
        <f>VLOOKUP($A23,Prevs!$C:$AJ,COLUMN() - COLUMN($D23)+2,FALSE)*VLOOKUP($A23,Usinas!$C:$D,2,FALSE)</f>
        <v>79.582099999999997</v>
      </c>
      <c r="Q23" s="309">
        <f>VLOOKUP($A23,Prevs!$C:$AJ,COLUMN() - COLUMN($D23)+2,FALSE)*VLOOKUP($A23,Usinas!$C:$D,2,FALSE)</f>
        <v>35.649899999999995</v>
      </c>
      <c r="R23" s="330">
        <f>VLOOKUP($A23,Prevs!$C:$AJ,COLUMN() - COLUMN($D23)+2,FALSE)*VLOOKUP($A23,Usinas!$C:$D,2,FALSE)</f>
        <v>41.411499999999997</v>
      </c>
      <c r="V23" s="329">
        <f>VLOOKUP($A23,Prevs!$C:$AJ,COLUMN() - COLUMN($D23)+2,FALSE)*VLOOKUP($A23,Usinas!$C:$D,2,FALSE)</f>
        <v>75.260899999999992</v>
      </c>
      <c r="W23" s="309">
        <f>VLOOKUP($A23,Prevs!$C:$AJ,COLUMN() - COLUMN($D23)+2,FALSE)*VLOOKUP($A23,Usinas!$C:$D,2,FALSE)</f>
        <v>28.808</v>
      </c>
      <c r="X23" s="309">
        <f>VLOOKUP($A23,Prevs!$C:$AJ,COLUMN() - COLUMN($D23)+2,FALSE)*VLOOKUP($A23,Usinas!$C:$D,2,FALSE)</f>
        <v>48.613499999999995</v>
      </c>
      <c r="Y23" s="309">
        <f>VLOOKUP($A23,Prevs!$C:$AJ,COLUMN() - COLUMN($D23)+2,FALSE)*VLOOKUP($A23,Usinas!$C:$D,2,FALSE)</f>
        <v>79.582099999999997</v>
      </c>
      <c r="Z23" s="309">
        <f>VLOOKUP($A23,Prevs!$C:$AJ,COLUMN() - COLUMN($D23)+2,FALSE)*VLOOKUP($A23,Usinas!$C:$D,2,FALSE)</f>
        <v>35.649899999999995</v>
      </c>
      <c r="AA23" s="330">
        <f>VLOOKUP($A23,Prevs!$C:$AJ,COLUMN() - COLUMN($D23)+2,FALSE)*VLOOKUP($A23,Usinas!$C:$D,2,FALSE)</f>
        <v>41.411499999999997</v>
      </c>
      <c r="AE23" s="329">
        <f>VLOOKUP($A23,Prevs!$C:$AJ,COLUMN() - COLUMN($D23)+2,FALSE)*VLOOKUP($A23,Usinas!$C:$D,2,FALSE)</f>
        <v>93.986099999999993</v>
      </c>
      <c r="AF23" s="309">
        <f>VLOOKUP($A23,Prevs!$C:$AJ,COLUMN() - COLUMN($D23)+2,FALSE)*VLOOKUP($A23,Usinas!$C:$D,2,FALSE)</f>
        <v>36.01</v>
      </c>
      <c r="AG23" s="309">
        <f>VLOOKUP($A23,Prevs!$C:$AJ,COLUMN() - COLUMN($D23)+2,FALSE)*VLOOKUP($A23,Usinas!$C:$D,2,FALSE)</f>
        <v>60.496799999999993</v>
      </c>
      <c r="AH23" s="309">
        <f>VLOOKUP($A23,Prevs!$C:$AJ,COLUMN() - COLUMN($D23)+2,FALSE)*VLOOKUP($A23,Usinas!$C:$D,2,FALSE)</f>
        <v>99.387599999999992</v>
      </c>
      <c r="AI23" s="309">
        <f>VLOOKUP($A23,Prevs!$C:$AJ,COLUMN() - COLUMN($D23)+2,FALSE)*VLOOKUP($A23,Usinas!$C:$D,2,FALSE)</f>
        <v>44.292299999999997</v>
      </c>
      <c r="AJ23" s="330">
        <f>VLOOKUP($A23,Prevs!$C:$AJ,COLUMN() - COLUMN($D23)+2,FALSE)*VLOOKUP($A23,Usinas!$C:$D,2,FALSE)</f>
        <v>51.854399999999998</v>
      </c>
    </row>
    <row r="24" spans="1:37" ht="12.75" hidden="1" customHeight="1" outlineLevel="2" x14ac:dyDescent="0.25">
      <c r="A24" s="198">
        <v>98</v>
      </c>
      <c r="B24" s="199" t="s">
        <v>220</v>
      </c>
      <c r="D24" s="329">
        <f>VLOOKUP($A24,Prevs!$C:$AJ,COLUMN() - COLUMN($D24)+2,FALSE)*VLOOKUP($A24,Usinas!$C:$D,2,FALSE)</f>
        <v>106.9485</v>
      </c>
      <c r="E24" s="309">
        <f>VLOOKUP($A24,Prevs!$C:$AJ,COLUMN() - COLUMN($D24)+2,FALSE)*VLOOKUP($A24,Usinas!$C:$D,2,FALSE)</f>
        <v>40.958999999999996</v>
      </c>
      <c r="F24" s="309">
        <f>VLOOKUP($A24,Prevs!$C:$AJ,COLUMN() - COLUMN($D24)+2,FALSE)*VLOOKUP($A24,Usinas!$C:$D,2,FALSE)</f>
        <v>69.023499999999999</v>
      </c>
      <c r="G24" s="309">
        <f>VLOOKUP($A24,Prevs!$C:$AJ,COLUMN() - COLUMN($D24)+2,FALSE)*VLOOKUP($A24,Usinas!$C:$D,2,FALSE)</f>
        <v>113.01649999999999</v>
      </c>
      <c r="H24" s="309">
        <f>VLOOKUP($A24,Prevs!$C:$AJ,COLUMN() - COLUMN($D24)+2,FALSE)*VLOOKUP($A24,Usinas!$C:$D,2,FALSE)</f>
        <v>50.061</v>
      </c>
      <c r="I24" s="330">
        <f>VLOOKUP($A24,Prevs!$C:$AJ,COLUMN() - COLUMN($D24)+2,FALSE)*VLOOKUP($A24,Usinas!$C:$D,2,FALSE)</f>
        <v>59.921499999999995</v>
      </c>
      <c r="J24" s="477">
        <f ca="1">VLOOKUP($A24,Prevs_MLT!$C:$AJ,1+Entrada!$C$4,FALSE)*VLOOKUP($A24,Usinas!$C:$D,2,FALSE)</f>
        <v>97.087999999999994</v>
      </c>
      <c r="M24" s="329">
        <f>VLOOKUP($A24,Prevs!$C:$AJ,COLUMN() - COLUMN($D24)+2,FALSE)*VLOOKUP($A24,Usinas!$C:$D,2,FALSE)</f>
        <v>85.710499999999996</v>
      </c>
      <c r="N24" s="309">
        <f>VLOOKUP($A24,Prevs!$C:$AJ,COLUMN() - COLUMN($D24)+2,FALSE)*VLOOKUP($A24,Usinas!$C:$D,2,FALSE)</f>
        <v>32.615499999999997</v>
      </c>
      <c r="O24" s="309">
        <f>VLOOKUP($A24,Prevs!$C:$AJ,COLUMN() - COLUMN($D24)+2,FALSE)*VLOOKUP($A24,Usinas!$C:$D,2,FALSE)</f>
        <v>55.3705</v>
      </c>
      <c r="P24" s="309">
        <f>VLOOKUP($A24,Prevs!$C:$AJ,COLUMN() - COLUMN($D24)+2,FALSE)*VLOOKUP($A24,Usinas!$C:$D,2,FALSE)</f>
        <v>90.261499999999998</v>
      </c>
      <c r="Q24" s="309">
        <f>VLOOKUP($A24,Prevs!$C:$AJ,COLUMN() - COLUMN($D24)+2,FALSE)*VLOOKUP($A24,Usinas!$C:$D,2,FALSE)</f>
        <v>40.200499999999998</v>
      </c>
      <c r="R24" s="330">
        <f>VLOOKUP($A24,Prevs!$C:$AJ,COLUMN() - COLUMN($D24)+2,FALSE)*VLOOKUP($A24,Usinas!$C:$D,2,FALSE)</f>
        <v>47.785499999999999</v>
      </c>
      <c r="V24" s="329">
        <f>VLOOKUP($A24,Prevs!$C:$AJ,COLUMN() - COLUMN($D24)+2,FALSE)*VLOOKUP($A24,Usinas!$C:$D,2,FALSE)</f>
        <v>85.710499999999996</v>
      </c>
      <c r="W24" s="309">
        <f>VLOOKUP($A24,Prevs!$C:$AJ,COLUMN() - COLUMN($D24)+2,FALSE)*VLOOKUP($A24,Usinas!$C:$D,2,FALSE)</f>
        <v>32.615499999999997</v>
      </c>
      <c r="X24" s="309">
        <f>VLOOKUP($A24,Prevs!$C:$AJ,COLUMN() - COLUMN($D24)+2,FALSE)*VLOOKUP($A24,Usinas!$C:$D,2,FALSE)</f>
        <v>55.3705</v>
      </c>
      <c r="Y24" s="309">
        <f>VLOOKUP($A24,Prevs!$C:$AJ,COLUMN() - COLUMN($D24)+2,FALSE)*VLOOKUP($A24,Usinas!$C:$D,2,FALSE)</f>
        <v>90.261499999999998</v>
      </c>
      <c r="Z24" s="309">
        <f>VLOOKUP($A24,Prevs!$C:$AJ,COLUMN() - COLUMN($D24)+2,FALSE)*VLOOKUP($A24,Usinas!$C:$D,2,FALSE)</f>
        <v>40.200499999999998</v>
      </c>
      <c r="AA24" s="330">
        <f>VLOOKUP($A24,Prevs!$C:$AJ,COLUMN() - COLUMN($D24)+2,FALSE)*VLOOKUP($A24,Usinas!$C:$D,2,FALSE)</f>
        <v>47.785499999999999</v>
      </c>
      <c r="AE24" s="329">
        <f>VLOOKUP($A24,Prevs!$C:$AJ,COLUMN() - COLUMN($D24)+2,FALSE)*VLOOKUP($A24,Usinas!$C:$D,2,FALSE)</f>
        <v>106.9485</v>
      </c>
      <c r="AF24" s="309">
        <f>VLOOKUP($A24,Prevs!$C:$AJ,COLUMN() - COLUMN($D24)+2,FALSE)*VLOOKUP($A24,Usinas!$C:$D,2,FALSE)</f>
        <v>40.958999999999996</v>
      </c>
      <c r="AG24" s="309">
        <f>VLOOKUP($A24,Prevs!$C:$AJ,COLUMN() - COLUMN($D24)+2,FALSE)*VLOOKUP($A24,Usinas!$C:$D,2,FALSE)</f>
        <v>69.023499999999999</v>
      </c>
      <c r="AH24" s="309">
        <f>VLOOKUP($A24,Prevs!$C:$AJ,COLUMN() - COLUMN($D24)+2,FALSE)*VLOOKUP($A24,Usinas!$C:$D,2,FALSE)</f>
        <v>113.01649999999999</v>
      </c>
      <c r="AI24" s="309">
        <f>VLOOKUP($A24,Prevs!$C:$AJ,COLUMN() - COLUMN($D24)+2,FALSE)*VLOOKUP($A24,Usinas!$C:$D,2,FALSE)</f>
        <v>50.061</v>
      </c>
      <c r="AJ24" s="330">
        <f>VLOOKUP($A24,Prevs!$C:$AJ,COLUMN() - COLUMN($D24)+2,FALSE)*VLOOKUP($A24,Usinas!$C:$D,2,FALSE)</f>
        <v>59.921499999999995</v>
      </c>
    </row>
    <row r="25" spans="1:37" ht="12.75" hidden="1" customHeight="1" outlineLevel="2" x14ac:dyDescent="0.25">
      <c r="A25" s="198">
        <v>284</v>
      </c>
      <c r="B25" s="199" t="s">
        <v>221</v>
      </c>
      <c r="D25" s="329">
        <f>VLOOKUP($A25,Prevs!$C:$AJ,COLUMN() - COLUMN($D25)+2,FALSE)*VLOOKUP($A25,Usinas!$C:$D,2,FALSE)</f>
        <v>82.646999999999991</v>
      </c>
      <c r="E25" s="309">
        <f>VLOOKUP($A25,Prevs!$C:$AJ,COLUMN() - COLUMN($D25)+2,FALSE)*VLOOKUP($A25,Usinas!$C:$D,2,FALSE)</f>
        <v>31.834399999999999</v>
      </c>
      <c r="F25" s="309">
        <f>VLOOKUP($A25,Prevs!$C:$AJ,COLUMN() - COLUMN($D25)+2,FALSE)*VLOOKUP($A25,Usinas!$C:$D,2,FALSE)</f>
        <v>53.261399999999995</v>
      </c>
      <c r="G25" s="309">
        <f>VLOOKUP($A25,Prevs!$C:$AJ,COLUMN() - COLUMN($D25)+2,FALSE)*VLOOKUP($A25,Usinas!$C:$D,2,FALSE)</f>
        <v>87.544599999999988</v>
      </c>
      <c r="H25" s="309">
        <f>VLOOKUP($A25,Prevs!$C:$AJ,COLUMN() - COLUMN($D25)+2,FALSE)*VLOOKUP($A25,Usinas!$C:$D,2,FALSE)</f>
        <v>38.874699999999997</v>
      </c>
      <c r="I25" s="330">
        <f>VLOOKUP($A25,Prevs!$C:$AJ,COLUMN() - COLUMN($D25)+2,FALSE)*VLOOKUP($A25,Usinas!$C:$D,2,FALSE)</f>
        <v>45.608899999999998</v>
      </c>
      <c r="J25" s="477">
        <f ca="1">VLOOKUP($A25,Prevs_MLT!$C:$AJ,1+Entrada!$C$4,FALSE)*VLOOKUP($A25,Usinas!$C:$D,2,FALSE)</f>
        <v>76.218899999999991</v>
      </c>
      <c r="M25" s="329">
        <f>VLOOKUP($A25,Prevs!$C:$AJ,COLUMN() - COLUMN($D25)+2,FALSE)*VLOOKUP($A25,Usinas!$C:$D,2,FALSE)</f>
        <v>66.117599999999996</v>
      </c>
      <c r="N25" s="309">
        <f>VLOOKUP($A25,Prevs!$C:$AJ,COLUMN() - COLUMN($D25)+2,FALSE)*VLOOKUP($A25,Usinas!$C:$D,2,FALSE)</f>
        <v>25.406299999999998</v>
      </c>
      <c r="O25" s="309">
        <f>VLOOKUP($A25,Prevs!$C:$AJ,COLUMN() - COLUMN($D25)+2,FALSE)*VLOOKUP($A25,Usinas!$C:$D,2,FALSE)</f>
        <v>42.547899999999998</v>
      </c>
      <c r="P25" s="309">
        <f>VLOOKUP($A25,Prevs!$C:$AJ,COLUMN() - COLUMN($D25)+2,FALSE)*VLOOKUP($A25,Usinas!$C:$D,2,FALSE)</f>
        <v>70.096899999999991</v>
      </c>
      <c r="Q25" s="309">
        <f>VLOOKUP($A25,Prevs!$C:$AJ,COLUMN() - COLUMN($D25)+2,FALSE)*VLOOKUP($A25,Usinas!$C:$D,2,FALSE)</f>
        <v>31.222199999999997</v>
      </c>
      <c r="R25" s="330">
        <f>VLOOKUP($A25,Prevs!$C:$AJ,COLUMN() - COLUMN($D25)+2,FALSE)*VLOOKUP($A25,Usinas!$C:$D,2,FALSE)</f>
        <v>36.425899999999999</v>
      </c>
      <c r="V25" s="329">
        <f>VLOOKUP($A25,Prevs!$C:$AJ,COLUMN() - COLUMN($D25)+2,FALSE)*VLOOKUP($A25,Usinas!$C:$D,2,FALSE)</f>
        <v>66.117599999999996</v>
      </c>
      <c r="W25" s="309">
        <f>VLOOKUP($A25,Prevs!$C:$AJ,COLUMN() - COLUMN($D25)+2,FALSE)*VLOOKUP($A25,Usinas!$C:$D,2,FALSE)</f>
        <v>25.406299999999998</v>
      </c>
      <c r="X25" s="309">
        <f>VLOOKUP($A25,Prevs!$C:$AJ,COLUMN() - COLUMN($D25)+2,FALSE)*VLOOKUP($A25,Usinas!$C:$D,2,FALSE)</f>
        <v>42.547899999999998</v>
      </c>
      <c r="Y25" s="309">
        <f>VLOOKUP($A25,Prevs!$C:$AJ,COLUMN() - COLUMN($D25)+2,FALSE)*VLOOKUP($A25,Usinas!$C:$D,2,FALSE)</f>
        <v>70.096899999999991</v>
      </c>
      <c r="Z25" s="309">
        <f>VLOOKUP($A25,Prevs!$C:$AJ,COLUMN() - COLUMN($D25)+2,FALSE)*VLOOKUP($A25,Usinas!$C:$D,2,FALSE)</f>
        <v>31.222199999999997</v>
      </c>
      <c r="AA25" s="330">
        <f>VLOOKUP($A25,Prevs!$C:$AJ,COLUMN() - COLUMN($D25)+2,FALSE)*VLOOKUP($A25,Usinas!$C:$D,2,FALSE)</f>
        <v>36.425899999999999</v>
      </c>
      <c r="AE25" s="329">
        <f>VLOOKUP($A25,Prevs!$C:$AJ,COLUMN() - COLUMN($D25)+2,FALSE)*VLOOKUP($A25,Usinas!$C:$D,2,FALSE)</f>
        <v>82.646999999999991</v>
      </c>
      <c r="AF25" s="309">
        <f>VLOOKUP($A25,Prevs!$C:$AJ,COLUMN() - COLUMN($D25)+2,FALSE)*VLOOKUP($A25,Usinas!$C:$D,2,FALSE)</f>
        <v>31.834399999999999</v>
      </c>
      <c r="AG25" s="309">
        <f>VLOOKUP($A25,Prevs!$C:$AJ,COLUMN() - COLUMN($D25)+2,FALSE)*VLOOKUP($A25,Usinas!$C:$D,2,FALSE)</f>
        <v>53.261399999999995</v>
      </c>
      <c r="AH25" s="309">
        <f>VLOOKUP($A25,Prevs!$C:$AJ,COLUMN() - COLUMN($D25)+2,FALSE)*VLOOKUP($A25,Usinas!$C:$D,2,FALSE)</f>
        <v>87.544599999999988</v>
      </c>
      <c r="AI25" s="309">
        <f>VLOOKUP($A25,Prevs!$C:$AJ,COLUMN() - COLUMN($D25)+2,FALSE)*VLOOKUP($A25,Usinas!$C:$D,2,FALSE)</f>
        <v>38.874699999999997</v>
      </c>
      <c r="AJ25" s="330">
        <f>VLOOKUP($A25,Prevs!$C:$AJ,COLUMN() - COLUMN($D25)+2,FALSE)*VLOOKUP($A25,Usinas!$C:$D,2,FALSE)</f>
        <v>45.608899999999998</v>
      </c>
    </row>
    <row r="26" spans="1:37" ht="12.75" customHeight="1" outlineLevel="1" collapsed="1" x14ac:dyDescent="0.25">
      <c r="A26" s="200"/>
      <c r="B26" s="201" t="s">
        <v>92</v>
      </c>
      <c r="D26" s="204">
        <f t="shared" ref="D26:I26" si="17">SUM(D18:D25)</f>
        <v>788.41830000000004</v>
      </c>
      <c r="E26" s="58">
        <f t="shared" si="17"/>
        <v>628.58619999999985</v>
      </c>
      <c r="F26" s="58">
        <f t="shared" si="17"/>
        <v>861.48860000000013</v>
      </c>
      <c r="G26" s="58">
        <f t="shared" si="17"/>
        <v>995.94219999999996</v>
      </c>
      <c r="H26" s="58">
        <f t="shared" si="17"/>
        <v>479.14060000000001</v>
      </c>
      <c r="I26" s="205">
        <f t="shared" si="17"/>
        <v>481.99539999999996</v>
      </c>
      <c r="J26" s="423">
        <f ca="1">SUMPRODUCT(D26:I26,Saida!$B$7:$G$7)/SUM(Saida!$B$7:$G$7)</f>
        <v>734.21722999999997</v>
      </c>
      <c r="M26" s="342">
        <f t="shared" ref="M26:R26" si="18">SUM(M18:M25)</f>
        <v>632.09540000000004</v>
      </c>
      <c r="N26" s="308">
        <f t="shared" si="18"/>
        <v>503.57940000000002</v>
      </c>
      <c r="O26" s="308">
        <f t="shared" si="18"/>
        <v>691.1785000000001</v>
      </c>
      <c r="P26" s="308">
        <f t="shared" si="18"/>
        <v>797.49939999999992</v>
      </c>
      <c r="Q26" s="308">
        <f t="shared" si="18"/>
        <v>384.18199999999996</v>
      </c>
      <c r="R26" s="343">
        <f t="shared" si="18"/>
        <v>386.14550000000003</v>
      </c>
      <c r="S26" s="423">
        <f ca="1">SUMPRODUCT(M26:R26,Saida!$B$7:$G$7)/SUM(Saida!$B$7:$G$7)</f>
        <v>588.44386666666674</v>
      </c>
      <c r="V26" s="342">
        <f t="shared" ref="V26:AA26" si="19">SUM(V18:V25)</f>
        <v>632.09540000000004</v>
      </c>
      <c r="W26" s="308">
        <f t="shared" si="19"/>
        <v>503.57940000000002</v>
      </c>
      <c r="X26" s="308">
        <f t="shared" si="19"/>
        <v>691.1785000000001</v>
      </c>
      <c r="Y26" s="308">
        <f t="shared" si="19"/>
        <v>797.49939999999992</v>
      </c>
      <c r="Z26" s="308">
        <f t="shared" si="19"/>
        <v>384.18199999999996</v>
      </c>
      <c r="AA26" s="343">
        <f t="shared" si="19"/>
        <v>386.14550000000003</v>
      </c>
      <c r="AB26" s="423">
        <f ca="1">SUMPRODUCT(V26:AA26,Saida!$B$7:$G$7)/SUM(Saida!$B$7:$G$7)</f>
        <v>588.44386666666674</v>
      </c>
      <c r="AE26" s="342">
        <f t="shared" ref="AE26:AJ26" si="20">SUM(AE18:AE25)</f>
        <v>788.41830000000004</v>
      </c>
      <c r="AF26" s="308">
        <f t="shared" si="20"/>
        <v>628.58619999999985</v>
      </c>
      <c r="AG26" s="308">
        <f t="shared" si="20"/>
        <v>861.48860000000013</v>
      </c>
      <c r="AH26" s="308">
        <f t="shared" si="20"/>
        <v>995.94219999999996</v>
      </c>
      <c r="AI26" s="308">
        <f t="shared" si="20"/>
        <v>479.14060000000001</v>
      </c>
      <c r="AJ26" s="343">
        <f t="shared" si="20"/>
        <v>481.99539999999996</v>
      </c>
      <c r="AK26" s="423">
        <f ca="1">SUMPRODUCT(AE26:AJ26,Saida!$B$7:$G$7)/SUM(Saida!$B$7:$G$7)</f>
        <v>734.21722999999997</v>
      </c>
    </row>
    <row r="27" spans="1:37" ht="12.75" customHeight="1" outlineLevel="1" x14ac:dyDescent="0.25">
      <c r="A27" s="202"/>
      <c r="B27" s="203" t="s">
        <v>13</v>
      </c>
      <c r="D27" s="206"/>
      <c r="E27" s="207"/>
      <c r="F27" s="207"/>
      <c r="G27" s="207"/>
      <c r="H27" s="207"/>
      <c r="I27" s="208"/>
      <c r="J27" s="478">
        <f ca="1">SUM(J18:J25)</f>
        <v>801.3078999999999</v>
      </c>
      <c r="M27" s="344"/>
      <c r="N27" s="345"/>
      <c r="O27" s="345"/>
      <c r="P27" s="345"/>
      <c r="Q27" s="345"/>
      <c r="R27" s="346"/>
      <c r="V27" s="344"/>
      <c r="W27" s="345"/>
      <c r="X27" s="345"/>
      <c r="Y27" s="345"/>
      <c r="Z27" s="345"/>
      <c r="AA27" s="346"/>
      <c r="AE27" s="344"/>
      <c r="AF27" s="345"/>
      <c r="AG27" s="345"/>
      <c r="AH27" s="345"/>
      <c r="AI27" s="345"/>
      <c r="AJ27" s="346"/>
    </row>
    <row r="28" spans="1:37" ht="12.75" customHeight="1" outlineLevel="1" x14ac:dyDescent="0.25">
      <c r="A28" s="65"/>
      <c r="B28" s="66"/>
      <c r="D28" s="67"/>
      <c r="E28" s="68"/>
      <c r="F28" s="68"/>
      <c r="G28" s="68"/>
      <c r="H28" s="68"/>
      <c r="I28" s="68"/>
      <c r="M28" s="314"/>
      <c r="N28" s="315"/>
      <c r="O28" s="315"/>
      <c r="P28" s="315"/>
      <c r="Q28" s="315"/>
      <c r="R28" s="315"/>
      <c r="V28" s="314"/>
      <c r="W28" s="315"/>
      <c r="X28" s="315"/>
      <c r="Y28" s="315"/>
      <c r="Z28" s="315"/>
      <c r="AA28" s="315"/>
      <c r="AE28" s="314"/>
      <c r="AF28" s="315"/>
      <c r="AG28" s="315"/>
      <c r="AH28" s="315"/>
      <c r="AI28" s="315"/>
      <c r="AJ28" s="315"/>
    </row>
    <row r="29" spans="1:37" ht="12.75" customHeight="1" outlineLevel="1" x14ac:dyDescent="0.25">
      <c r="A29" s="209"/>
      <c r="B29" s="210"/>
      <c r="D29" s="509" t="s">
        <v>222</v>
      </c>
      <c r="E29" s="510" t="s">
        <v>94</v>
      </c>
      <c r="F29" s="510" t="s">
        <v>223</v>
      </c>
      <c r="G29" s="510"/>
      <c r="H29" s="510"/>
      <c r="I29" s="511"/>
      <c r="M29" s="509" t="s">
        <v>222</v>
      </c>
      <c r="N29" s="510" t="s">
        <v>94</v>
      </c>
      <c r="O29" s="510" t="s">
        <v>223</v>
      </c>
      <c r="P29" s="510"/>
      <c r="Q29" s="510"/>
      <c r="R29" s="511"/>
      <c r="V29" s="509" t="s">
        <v>222</v>
      </c>
      <c r="W29" s="510" t="s">
        <v>94</v>
      </c>
      <c r="X29" s="510" t="s">
        <v>223</v>
      </c>
      <c r="Y29" s="510"/>
      <c r="Z29" s="510"/>
      <c r="AA29" s="511"/>
      <c r="AE29" s="509" t="s">
        <v>222</v>
      </c>
      <c r="AF29" s="510" t="s">
        <v>94</v>
      </c>
      <c r="AG29" s="510" t="s">
        <v>223</v>
      </c>
      <c r="AH29" s="510"/>
      <c r="AI29" s="510"/>
      <c r="AJ29" s="511"/>
    </row>
    <row r="30" spans="1:37" ht="12.75" hidden="1" customHeight="1" outlineLevel="2" x14ac:dyDescent="0.25">
      <c r="A30" s="198">
        <v>215</v>
      </c>
      <c r="B30" s="199" t="s">
        <v>224</v>
      </c>
      <c r="D30" s="329">
        <f>VLOOKUP($A30,Prevs!$C:$AJ,COLUMN() - COLUMN($D30)+2,FALSE)*VLOOKUP($A30,Usinas!$C:$D,2,FALSE)</f>
        <v>343.2312</v>
      </c>
      <c r="E30" s="309">
        <f>VLOOKUP($A30,Prevs!$C:$AJ,COLUMN() - COLUMN($D30)+2,FALSE)*VLOOKUP($A30,Usinas!$C:$D,2,FALSE)</f>
        <v>622.54079999999999</v>
      </c>
      <c r="F30" s="309">
        <f>VLOOKUP($A30,Prevs!$C:$AJ,COLUMN() - COLUMN($D30)+2,FALSE)*VLOOKUP($A30,Usinas!$C:$D,2,FALSE)</f>
        <v>218.16719999999998</v>
      </c>
      <c r="G30" s="309">
        <f>VLOOKUP($A30,Prevs!$C:$AJ,COLUMN() - COLUMN($D30)+2,FALSE)*VLOOKUP($A30,Usinas!$C:$D,2,FALSE)</f>
        <v>446.0616</v>
      </c>
      <c r="H30" s="309">
        <f>VLOOKUP($A30,Prevs!$C:$AJ,COLUMN() - COLUMN($D30)+2,FALSE)*VLOOKUP($A30,Usinas!$C:$D,2,FALSE)</f>
        <v>195.93359999999998</v>
      </c>
      <c r="I30" s="330">
        <f>VLOOKUP($A30,Prevs!$C:$AJ,COLUMN() - COLUMN($D30)+2,FALSE)*VLOOKUP($A30,Usinas!$C:$D,2,FALSE)</f>
        <v>187.596</v>
      </c>
      <c r="J30" s="477">
        <f ca="1">VLOOKUP($A30,Prevs_MLT!$C:$AJ,1+Entrada!$C$4,FALSE)*VLOOKUP($A30,Usinas!$C:$D,2,FALSE)</f>
        <v>348.78960000000001</v>
      </c>
      <c r="M30" s="329">
        <f>VLOOKUP($A30,Prevs!$C:$AJ,COLUMN() - COLUMN($D30)+2,FALSE)*VLOOKUP($A30,Usinas!$C:$D,2,FALSE)</f>
        <v>275.14080000000001</v>
      </c>
      <c r="N30" s="309">
        <f>VLOOKUP($A30,Prevs!$C:$AJ,COLUMN() - COLUMN($D30)+2,FALSE)*VLOOKUP($A30,Usinas!$C:$D,2,FALSE)</f>
        <v>498.8664</v>
      </c>
      <c r="O30" s="309">
        <f>VLOOKUP($A30,Prevs!$C:$AJ,COLUMN() - COLUMN($D30)+2,FALSE)*VLOOKUP($A30,Usinas!$C:$D,2,FALSE)</f>
        <v>175.08959999999999</v>
      </c>
      <c r="P30" s="309">
        <f>VLOOKUP($A30,Prevs!$C:$AJ,COLUMN() - COLUMN($D30)+2,FALSE)*VLOOKUP($A30,Usinas!$C:$D,2,FALSE)</f>
        <v>357.12719999999996</v>
      </c>
      <c r="Q30" s="309">
        <f>VLOOKUP($A30,Prevs!$C:$AJ,COLUMN() - COLUMN($D30)+2,FALSE)*VLOOKUP($A30,Usinas!$C:$D,2,FALSE)</f>
        <v>157.0248</v>
      </c>
      <c r="R30" s="330">
        <f>VLOOKUP($A30,Prevs!$C:$AJ,COLUMN() - COLUMN($D30)+2,FALSE)*VLOOKUP($A30,Usinas!$C:$D,2,FALSE)</f>
        <v>150.07679999999999</v>
      </c>
      <c r="V30" s="329">
        <f>VLOOKUP($A30,Prevs!$C:$AJ,COLUMN() - COLUMN($D30)+2,FALSE)*VLOOKUP($A30,Usinas!$C:$D,2,FALSE)</f>
        <v>275.14080000000001</v>
      </c>
      <c r="W30" s="309">
        <f>VLOOKUP($A30,Prevs!$C:$AJ,COLUMN() - COLUMN($D30)+2,FALSE)*VLOOKUP($A30,Usinas!$C:$D,2,FALSE)</f>
        <v>498.8664</v>
      </c>
      <c r="X30" s="309">
        <f>VLOOKUP($A30,Prevs!$C:$AJ,COLUMN() - COLUMN($D30)+2,FALSE)*VLOOKUP($A30,Usinas!$C:$D,2,FALSE)</f>
        <v>175.08959999999999</v>
      </c>
      <c r="Y30" s="309">
        <f>VLOOKUP($A30,Prevs!$C:$AJ,COLUMN() - COLUMN($D30)+2,FALSE)*VLOOKUP($A30,Usinas!$C:$D,2,FALSE)</f>
        <v>357.12719999999996</v>
      </c>
      <c r="Z30" s="309">
        <f>VLOOKUP($A30,Prevs!$C:$AJ,COLUMN() - COLUMN($D30)+2,FALSE)*VLOOKUP($A30,Usinas!$C:$D,2,FALSE)</f>
        <v>157.0248</v>
      </c>
      <c r="AA30" s="330">
        <f>VLOOKUP($A30,Prevs!$C:$AJ,COLUMN() - COLUMN($D30)+2,FALSE)*VLOOKUP($A30,Usinas!$C:$D,2,FALSE)</f>
        <v>150.07679999999999</v>
      </c>
      <c r="AE30" s="329">
        <f>VLOOKUP($A30,Prevs!$C:$AJ,COLUMN() - COLUMN($D30)+2,FALSE)*VLOOKUP($A30,Usinas!$C:$D,2,FALSE)</f>
        <v>343.2312</v>
      </c>
      <c r="AF30" s="309">
        <f>VLOOKUP($A30,Prevs!$C:$AJ,COLUMN() - COLUMN($D30)+2,FALSE)*VLOOKUP($A30,Usinas!$C:$D,2,FALSE)</f>
        <v>622.54079999999999</v>
      </c>
      <c r="AG30" s="309">
        <f>VLOOKUP($A30,Prevs!$C:$AJ,COLUMN() - COLUMN($D30)+2,FALSE)*VLOOKUP($A30,Usinas!$C:$D,2,FALSE)</f>
        <v>218.16719999999998</v>
      </c>
      <c r="AH30" s="309">
        <f>VLOOKUP($A30,Prevs!$C:$AJ,COLUMN() - COLUMN($D30)+2,FALSE)*VLOOKUP($A30,Usinas!$C:$D,2,FALSE)</f>
        <v>446.0616</v>
      </c>
      <c r="AI30" s="309">
        <f>VLOOKUP($A30,Prevs!$C:$AJ,COLUMN() - COLUMN($D30)+2,FALSE)*VLOOKUP($A30,Usinas!$C:$D,2,FALSE)</f>
        <v>195.93359999999998</v>
      </c>
      <c r="AJ30" s="330">
        <f>VLOOKUP($A30,Prevs!$C:$AJ,COLUMN() - COLUMN($D30)+2,FALSE)*VLOOKUP($A30,Usinas!$C:$D,2,FALSE)</f>
        <v>187.596</v>
      </c>
    </row>
    <row r="31" spans="1:37" ht="12.75" hidden="1" customHeight="1" outlineLevel="2" x14ac:dyDescent="0.25">
      <c r="A31" s="198">
        <v>89</v>
      </c>
      <c r="B31" s="199" t="s">
        <v>225</v>
      </c>
      <c r="D31" s="329">
        <f>VLOOKUP($A31,Prevs!$C:$AJ,COLUMN() - COLUMN($D31)+2,FALSE)*VLOOKUP($A31,Usinas!$C:$D,2,FALSE)</f>
        <v>208.3391</v>
      </c>
      <c r="E31" s="309">
        <f>VLOOKUP($A31,Prevs!$C:$AJ,COLUMN() - COLUMN($D31)+2,FALSE)*VLOOKUP($A31,Usinas!$C:$D,2,FALSE)</f>
        <v>99.355800000000002</v>
      </c>
      <c r="F31" s="309">
        <f>VLOOKUP($A31,Prevs!$C:$AJ,COLUMN() - COLUMN($D31)+2,FALSE)*VLOOKUP($A31,Usinas!$C:$D,2,FALSE)</f>
        <v>112.8343</v>
      </c>
      <c r="G31" s="309">
        <f>VLOOKUP($A31,Prevs!$C:$AJ,COLUMN() - COLUMN($D31)+2,FALSE)*VLOOKUP($A31,Usinas!$C:$D,2,FALSE)</f>
        <v>122.4618</v>
      </c>
      <c r="H31" s="309">
        <f>VLOOKUP($A31,Prevs!$C:$AJ,COLUMN() - COLUMN($D31)+2,FALSE)*VLOOKUP($A31,Usinas!$C:$D,2,FALSE)</f>
        <v>76.634900000000002</v>
      </c>
      <c r="I31" s="330">
        <f>VLOOKUP($A31,Prevs!$C:$AJ,COLUMN() - COLUMN($D31)+2,FALSE)*VLOOKUP($A31,Usinas!$C:$D,2,FALSE)</f>
        <v>78.175299999999993</v>
      </c>
      <c r="J31" s="477">
        <f ca="1">VLOOKUP($A31,Prevs_MLT!$C:$AJ,1+Entrada!$C$4,FALSE)*VLOOKUP($A31,Usinas!$C:$D,2,FALSE)</f>
        <v>96.6601</v>
      </c>
      <c r="M31" s="329">
        <f>VLOOKUP($A31,Prevs!$C:$AJ,COLUMN() - COLUMN($D31)+2,FALSE)*VLOOKUP($A31,Usinas!$C:$D,2,FALSE)</f>
        <v>167.13339999999999</v>
      </c>
      <c r="N31" s="309">
        <f>VLOOKUP($A31,Prevs!$C:$AJ,COLUMN() - COLUMN($D31)+2,FALSE)*VLOOKUP($A31,Usinas!$C:$D,2,FALSE)</f>
        <v>79.715699999999998</v>
      </c>
      <c r="O31" s="309">
        <f>VLOOKUP($A31,Prevs!$C:$AJ,COLUMN() - COLUMN($D31)+2,FALSE)*VLOOKUP($A31,Usinas!$C:$D,2,FALSE)</f>
        <v>90.498499999999993</v>
      </c>
      <c r="P31" s="309">
        <f>VLOOKUP($A31,Prevs!$C:$AJ,COLUMN() - COLUMN($D31)+2,FALSE)*VLOOKUP($A31,Usinas!$C:$D,2,FALSE)</f>
        <v>98.200500000000005</v>
      </c>
      <c r="Q31" s="309">
        <f>VLOOKUP($A31,Prevs!$C:$AJ,COLUMN() - COLUMN($D31)+2,FALSE)*VLOOKUP($A31,Usinas!$C:$D,2,FALSE)</f>
        <v>61.616</v>
      </c>
      <c r="R31" s="330">
        <f>VLOOKUP($A31,Prevs!$C:$AJ,COLUMN() - COLUMN($D31)+2,FALSE)*VLOOKUP($A31,Usinas!$C:$D,2,FALSE)</f>
        <v>62.771299999999997</v>
      </c>
      <c r="V31" s="329">
        <f>VLOOKUP($A31,Prevs!$C:$AJ,COLUMN() - COLUMN($D31)+2,FALSE)*VLOOKUP($A31,Usinas!$C:$D,2,FALSE)</f>
        <v>167.13339999999999</v>
      </c>
      <c r="W31" s="309">
        <f>VLOOKUP($A31,Prevs!$C:$AJ,COLUMN() - COLUMN($D31)+2,FALSE)*VLOOKUP($A31,Usinas!$C:$D,2,FALSE)</f>
        <v>79.715699999999998</v>
      </c>
      <c r="X31" s="309">
        <f>VLOOKUP($A31,Prevs!$C:$AJ,COLUMN() - COLUMN($D31)+2,FALSE)*VLOOKUP($A31,Usinas!$C:$D,2,FALSE)</f>
        <v>90.498499999999993</v>
      </c>
      <c r="Y31" s="309">
        <f>VLOOKUP($A31,Prevs!$C:$AJ,COLUMN() - COLUMN($D31)+2,FALSE)*VLOOKUP($A31,Usinas!$C:$D,2,FALSE)</f>
        <v>98.200500000000005</v>
      </c>
      <c r="Z31" s="309">
        <f>VLOOKUP($A31,Prevs!$C:$AJ,COLUMN() - COLUMN($D31)+2,FALSE)*VLOOKUP($A31,Usinas!$C:$D,2,FALSE)</f>
        <v>61.616</v>
      </c>
      <c r="AA31" s="330">
        <f>VLOOKUP($A31,Prevs!$C:$AJ,COLUMN() - COLUMN($D31)+2,FALSE)*VLOOKUP($A31,Usinas!$C:$D,2,FALSE)</f>
        <v>62.771299999999997</v>
      </c>
      <c r="AE31" s="329">
        <f>VLOOKUP($A31,Prevs!$C:$AJ,COLUMN() - COLUMN($D31)+2,FALSE)*VLOOKUP($A31,Usinas!$C:$D,2,FALSE)</f>
        <v>208.3391</v>
      </c>
      <c r="AF31" s="309">
        <f>VLOOKUP($A31,Prevs!$C:$AJ,COLUMN() - COLUMN($D31)+2,FALSE)*VLOOKUP($A31,Usinas!$C:$D,2,FALSE)</f>
        <v>99.355800000000002</v>
      </c>
      <c r="AG31" s="309">
        <f>VLOOKUP($A31,Prevs!$C:$AJ,COLUMN() - COLUMN($D31)+2,FALSE)*VLOOKUP($A31,Usinas!$C:$D,2,FALSE)</f>
        <v>112.8343</v>
      </c>
      <c r="AH31" s="309">
        <f>VLOOKUP($A31,Prevs!$C:$AJ,COLUMN() - COLUMN($D31)+2,FALSE)*VLOOKUP($A31,Usinas!$C:$D,2,FALSE)</f>
        <v>122.4618</v>
      </c>
      <c r="AI31" s="309">
        <f>VLOOKUP($A31,Prevs!$C:$AJ,COLUMN() - COLUMN($D31)+2,FALSE)*VLOOKUP($A31,Usinas!$C:$D,2,FALSE)</f>
        <v>76.634900000000002</v>
      </c>
      <c r="AJ31" s="330">
        <f>VLOOKUP($A31,Prevs!$C:$AJ,COLUMN() - COLUMN($D31)+2,FALSE)*VLOOKUP($A31,Usinas!$C:$D,2,FALSE)</f>
        <v>78.175299999999993</v>
      </c>
    </row>
    <row r="32" spans="1:37" ht="12.75" hidden="1" customHeight="1" outlineLevel="2" x14ac:dyDescent="0.25">
      <c r="A32" s="198">
        <v>216</v>
      </c>
      <c r="B32" s="199" t="s">
        <v>226</v>
      </c>
      <c r="D32" s="329">
        <f>VLOOKUP($A32,Prevs!$C:$AJ,COLUMN() - COLUMN($D32)+2,FALSE)*VLOOKUP($A32,Usinas!$C:$D,2,FALSE)</f>
        <v>956.83050000000003</v>
      </c>
      <c r="E32" s="309">
        <f>VLOOKUP($A32,Prevs!$C:$AJ,COLUMN() - COLUMN($D32)+2,FALSE)*VLOOKUP($A32,Usinas!$C:$D,2,FALSE)</f>
        <v>459.73349999999999</v>
      </c>
      <c r="F32" s="309">
        <f>VLOOKUP($A32,Prevs!$C:$AJ,COLUMN() - COLUMN($D32)+2,FALSE)*VLOOKUP($A32,Usinas!$C:$D,2,FALSE)</f>
        <v>545.83199999999999</v>
      </c>
      <c r="G32" s="309">
        <f>VLOOKUP($A32,Prevs!$C:$AJ,COLUMN() - COLUMN($D32)+2,FALSE)*VLOOKUP($A32,Usinas!$C:$D,2,FALSE)</f>
        <v>565.32600000000002</v>
      </c>
      <c r="H32" s="309">
        <f>VLOOKUP($A32,Prevs!$C:$AJ,COLUMN() - COLUMN($D32)+2,FALSE)*VLOOKUP($A32,Usinas!$C:$D,2,FALSE)</f>
        <v>355.76550000000003</v>
      </c>
      <c r="I32" s="330">
        <f>VLOOKUP($A32,Prevs!$C:$AJ,COLUMN() - COLUMN($D32)+2,FALSE)*VLOOKUP($A32,Usinas!$C:$D,2,FALSE)</f>
        <v>365.51249999999999</v>
      </c>
      <c r="J32" s="477">
        <f ca="1">VLOOKUP($A32,Prevs_MLT!$C:$AJ,1+Entrada!$C$4,FALSE)*VLOOKUP($A32,Usinas!$C:$D,2,FALSE)</f>
        <v>453.2355</v>
      </c>
      <c r="M32" s="329">
        <f>VLOOKUP($A32,Prevs!$C:$AJ,COLUMN() - COLUMN($D32)+2,FALSE)*VLOOKUP($A32,Usinas!$C:$D,2,FALSE)</f>
        <v>766.76400000000001</v>
      </c>
      <c r="N32" s="309">
        <f>VLOOKUP($A32,Prevs!$C:$AJ,COLUMN() - COLUMN($D32)+2,FALSE)*VLOOKUP($A32,Usinas!$C:$D,2,FALSE)</f>
        <v>368.76150000000001</v>
      </c>
      <c r="O32" s="309">
        <f>VLOOKUP($A32,Prevs!$C:$AJ,COLUMN() - COLUMN($D32)+2,FALSE)*VLOOKUP($A32,Usinas!$C:$D,2,FALSE)</f>
        <v>436.9905</v>
      </c>
      <c r="P32" s="309">
        <f>VLOOKUP($A32,Prevs!$C:$AJ,COLUMN() - COLUMN($D32)+2,FALSE)*VLOOKUP($A32,Usinas!$C:$D,2,FALSE)</f>
        <v>453.2355</v>
      </c>
      <c r="Q32" s="309">
        <f>VLOOKUP($A32,Prevs!$C:$AJ,COLUMN() - COLUMN($D32)+2,FALSE)*VLOOKUP($A32,Usinas!$C:$D,2,FALSE)</f>
        <v>285.91200000000003</v>
      </c>
      <c r="R32" s="330">
        <f>VLOOKUP($A32,Prevs!$C:$AJ,COLUMN() - COLUMN($D32)+2,FALSE)*VLOOKUP($A32,Usinas!$C:$D,2,FALSE)</f>
        <v>292.41000000000003</v>
      </c>
      <c r="V32" s="329">
        <f>VLOOKUP($A32,Prevs!$C:$AJ,COLUMN() - COLUMN($D32)+2,FALSE)*VLOOKUP($A32,Usinas!$C:$D,2,FALSE)</f>
        <v>766.76400000000001</v>
      </c>
      <c r="W32" s="309">
        <f>VLOOKUP($A32,Prevs!$C:$AJ,COLUMN() - COLUMN($D32)+2,FALSE)*VLOOKUP($A32,Usinas!$C:$D,2,FALSE)</f>
        <v>368.76150000000001</v>
      </c>
      <c r="X32" s="309">
        <f>VLOOKUP($A32,Prevs!$C:$AJ,COLUMN() - COLUMN($D32)+2,FALSE)*VLOOKUP($A32,Usinas!$C:$D,2,FALSE)</f>
        <v>436.9905</v>
      </c>
      <c r="Y32" s="309">
        <f>VLOOKUP($A32,Prevs!$C:$AJ,COLUMN() - COLUMN($D32)+2,FALSE)*VLOOKUP($A32,Usinas!$C:$D,2,FALSE)</f>
        <v>453.2355</v>
      </c>
      <c r="Z32" s="309">
        <f>VLOOKUP($A32,Prevs!$C:$AJ,COLUMN() - COLUMN($D32)+2,FALSE)*VLOOKUP($A32,Usinas!$C:$D,2,FALSE)</f>
        <v>285.91200000000003</v>
      </c>
      <c r="AA32" s="330">
        <f>VLOOKUP($A32,Prevs!$C:$AJ,COLUMN() - COLUMN($D32)+2,FALSE)*VLOOKUP($A32,Usinas!$C:$D,2,FALSE)</f>
        <v>292.41000000000003</v>
      </c>
      <c r="AE32" s="329">
        <f>VLOOKUP($A32,Prevs!$C:$AJ,COLUMN() - COLUMN($D32)+2,FALSE)*VLOOKUP($A32,Usinas!$C:$D,2,FALSE)</f>
        <v>956.83050000000003</v>
      </c>
      <c r="AF32" s="309">
        <f>VLOOKUP($A32,Prevs!$C:$AJ,COLUMN() - COLUMN($D32)+2,FALSE)*VLOOKUP($A32,Usinas!$C:$D,2,FALSE)</f>
        <v>459.73349999999999</v>
      </c>
      <c r="AG32" s="309">
        <f>VLOOKUP($A32,Prevs!$C:$AJ,COLUMN() - COLUMN($D32)+2,FALSE)*VLOOKUP($A32,Usinas!$C:$D,2,FALSE)</f>
        <v>545.83199999999999</v>
      </c>
      <c r="AH32" s="309">
        <f>VLOOKUP($A32,Prevs!$C:$AJ,COLUMN() - COLUMN($D32)+2,FALSE)*VLOOKUP($A32,Usinas!$C:$D,2,FALSE)</f>
        <v>565.32600000000002</v>
      </c>
      <c r="AI32" s="309">
        <f>VLOOKUP($A32,Prevs!$C:$AJ,COLUMN() - COLUMN($D32)+2,FALSE)*VLOOKUP($A32,Usinas!$C:$D,2,FALSE)</f>
        <v>355.76550000000003</v>
      </c>
      <c r="AJ32" s="330">
        <f>VLOOKUP($A32,Prevs!$C:$AJ,COLUMN() - COLUMN($D32)+2,FALSE)*VLOOKUP($A32,Usinas!$C:$D,2,FALSE)</f>
        <v>365.51249999999999</v>
      </c>
    </row>
    <row r="33" spans="1:37" ht="12.75" hidden="1" customHeight="1" outlineLevel="2" x14ac:dyDescent="0.25">
      <c r="A33" s="198">
        <v>217</v>
      </c>
      <c r="B33" s="199" t="s">
        <v>227</v>
      </c>
      <c r="D33" s="329">
        <f>VLOOKUP($A33,Prevs!$C:$AJ,COLUMN() - COLUMN($D33)+2,FALSE)*VLOOKUP($A33,Usinas!$C:$D,2,FALSE)</f>
        <v>824.99259999999992</v>
      </c>
      <c r="E33" s="309">
        <f>VLOOKUP($A33,Prevs!$C:$AJ,COLUMN() - COLUMN($D33)+2,FALSE)*VLOOKUP($A33,Usinas!$C:$D,2,FALSE)</f>
        <v>1436.8468</v>
      </c>
      <c r="F33" s="309">
        <f>VLOOKUP($A33,Prevs!$C:$AJ,COLUMN() - COLUMN($D33)+2,FALSE)*VLOOKUP($A33,Usinas!$C:$D,2,FALSE)</f>
        <v>498.85409999999996</v>
      </c>
      <c r="G33" s="309">
        <f>VLOOKUP($A33,Prevs!$C:$AJ,COLUMN() - COLUMN($D33)+2,FALSE)*VLOOKUP($A33,Usinas!$C:$D,2,FALSE)</f>
        <v>892.97640000000001</v>
      </c>
      <c r="H33" s="309">
        <f>VLOOKUP($A33,Prevs!$C:$AJ,COLUMN() - COLUMN($D33)+2,FALSE)*VLOOKUP($A33,Usinas!$C:$D,2,FALSE)</f>
        <v>350.9434</v>
      </c>
      <c r="I33" s="330">
        <f>VLOOKUP($A33,Prevs!$C:$AJ,COLUMN() - COLUMN($D33)+2,FALSE)*VLOOKUP($A33,Usinas!$C:$D,2,FALSE)</f>
        <v>412.49629999999996</v>
      </c>
      <c r="J33" s="477">
        <f ca="1">VLOOKUP($A33,Prevs_MLT!$C:$AJ,1+Entrada!$C$4,FALSE)*VLOOKUP($A33,Usinas!$C:$D,2,FALSE)</f>
        <v>621.0412</v>
      </c>
      <c r="M33" s="329">
        <f>VLOOKUP($A33,Prevs!$C:$AJ,COLUMN() - COLUMN($D33)+2,FALSE)*VLOOKUP($A33,Usinas!$C:$D,2,FALSE)</f>
        <v>661.46399999999994</v>
      </c>
      <c r="N33" s="309">
        <f>VLOOKUP($A33,Prevs!$C:$AJ,COLUMN() - COLUMN($D33)+2,FALSE)*VLOOKUP($A33,Usinas!$C:$D,2,FALSE)</f>
        <v>1152.0498</v>
      </c>
      <c r="O33" s="309">
        <f>VLOOKUP($A33,Prevs!$C:$AJ,COLUMN() - COLUMN($D33)+2,FALSE)*VLOOKUP($A33,Usinas!$C:$D,2,FALSE)</f>
        <v>399.6345</v>
      </c>
      <c r="P33" s="309">
        <f>VLOOKUP($A33,Prevs!$C:$AJ,COLUMN() - COLUMN($D33)+2,FALSE)*VLOOKUP($A33,Usinas!$C:$D,2,FALSE)</f>
        <v>715.66729999999995</v>
      </c>
      <c r="Q33" s="309">
        <f>VLOOKUP($A33,Prevs!$C:$AJ,COLUMN() - COLUMN($D33)+2,FALSE)*VLOOKUP($A33,Usinas!$C:$D,2,FALSE)</f>
        <v>281.12219999999996</v>
      </c>
      <c r="R33" s="330">
        <f>VLOOKUP($A33,Prevs!$C:$AJ,COLUMN() - COLUMN($D33)+2,FALSE)*VLOOKUP($A33,Usinas!$C:$D,2,FALSE)</f>
        <v>330.73199999999997</v>
      </c>
      <c r="V33" s="329">
        <f>VLOOKUP($A33,Prevs!$C:$AJ,COLUMN() - COLUMN($D33)+2,FALSE)*VLOOKUP($A33,Usinas!$C:$D,2,FALSE)</f>
        <v>661.46399999999994</v>
      </c>
      <c r="W33" s="309">
        <f>VLOOKUP($A33,Prevs!$C:$AJ,COLUMN() - COLUMN($D33)+2,FALSE)*VLOOKUP($A33,Usinas!$C:$D,2,FALSE)</f>
        <v>1152.0498</v>
      </c>
      <c r="X33" s="309">
        <f>VLOOKUP($A33,Prevs!$C:$AJ,COLUMN() - COLUMN($D33)+2,FALSE)*VLOOKUP($A33,Usinas!$C:$D,2,FALSE)</f>
        <v>399.6345</v>
      </c>
      <c r="Y33" s="309">
        <f>VLOOKUP($A33,Prevs!$C:$AJ,COLUMN() - COLUMN($D33)+2,FALSE)*VLOOKUP($A33,Usinas!$C:$D,2,FALSE)</f>
        <v>715.66729999999995</v>
      </c>
      <c r="Z33" s="309">
        <f>VLOOKUP($A33,Prevs!$C:$AJ,COLUMN() - COLUMN($D33)+2,FALSE)*VLOOKUP($A33,Usinas!$C:$D,2,FALSE)</f>
        <v>281.12219999999996</v>
      </c>
      <c r="AA33" s="330">
        <f>VLOOKUP($A33,Prevs!$C:$AJ,COLUMN() - COLUMN($D33)+2,FALSE)*VLOOKUP($A33,Usinas!$C:$D,2,FALSE)</f>
        <v>330.73199999999997</v>
      </c>
      <c r="AE33" s="329">
        <f>VLOOKUP($A33,Prevs!$C:$AJ,COLUMN() - COLUMN($D33)+2,FALSE)*VLOOKUP($A33,Usinas!$C:$D,2,FALSE)</f>
        <v>824.99259999999992</v>
      </c>
      <c r="AF33" s="309">
        <f>VLOOKUP($A33,Prevs!$C:$AJ,COLUMN() - COLUMN($D33)+2,FALSE)*VLOOKUP($A33,Usinas!$C:$D,2,FALSE)</f>
        <v>1436.8468</v>
      </c>
      <c r="AG33" s="309">
        <f>VLOOKUP($A33,Prevs!$C:$AJ,COLUMN() - COLUMN($D33)+2,FALSE)*VLOOKUP($A33,Usinas!$C:$D,2,FALSE)</f>
        <v>498.85409999999996</v>
      </c>
      <c r="AH33" s="309">
        <f>VLOOKUP($A33,Prevs!$C:$AJ,COLUMN() - COLUMN($D33)+2,FALSE)*VLOOKUP($A33,Usinas!$C:$D,2,FALSE)</f>
        <v>892.97640000000001</v>
      </c>
      <c r="AI33" s="309">
        <f>VLOOKUP($A33,Prevs!$C:$AJ,COLUMN() - COLUMN($D33)+2,FALSE)*VLOOKUP($A33,Usinas!$C:$D,2,FALSE)</f>
        <v>350.9434</v>
      </c>
      <c r="AJ33" s="330">
        <f>VLOOKUP($A33,Prevs!$C:$AJ,COLUMN() - COLUMN($D33)+2,FALSE)*VLOOKUP($A33,Usinas!$C:$D,2,FALSE)</f>
        <v>412.49629999999996</v>
      </c>
    </row>
    <row r="34" spans="1:37" ht="12.75" hidden="1" customHeight="1" outlineLevel="2" x14ac:dyDescent="0.25">
      <c r="A34" s="198">
        <v>92</v>
      </c>
      <c r="B34" s="199" t="s">
        <v>63</v>
      </c>
      <c r="D34" s="329">
        <f>VLOOKUP($A34,Prevs!$C:$AJ,COLUMN() - COLUMN($D34)+2,FALSE)*VLOOKUP($A34,Usinas!$C:$D,2,FALSE)</f>
        <v>949.83240000000001</v>
      </c>
      <c r="E34" s="309">
        <f>VLOOKUP($A34,Prevs!$C:$AJ,COLUMN() - COLUMN($D34)+2,FALSE)*VLOOKUP($A34,Usinas!$C:$D,2,FALSE)</f>
        <v>2040.2105999999999</v>
      </c>
      <c r="F34" s="309">
        <f>VLOOKUP($A34,Prevs!$C:$AJ,COLUMN() - COLUMN($D34)+2,FALSE)*VLOOKUP($A34,Usinas!$C:$D,2,FALSE)</f>
        <v>708.24059999999997</v>
      </c>
      <c r="G34" s="309">
        <f>VLOOKUP($A34,Prevs!$C:$AJ,COLUMN() - COLUMN($D34)+2,FALSE)*VLOOKUP($A34,Usinas!$C:$D,2,FALSE)</f>
        <v>1266.7493999999999</v>
      </c>
      <c r="H34" s="309">
        <f>VLOOKUP($A34,Prevs!$C:$AJ,COLUMN() - COLUMN($D34)+2,FALSE)*VLOOKUP($A34,Usinas!$C:$D,2,FALSE)</f>
        <v>497.88119999999998</v>
      </c>
      <c r="I34" s="330">
        <f>VLOOKUP($A34,Prevs!$C:$AJ,COLUMN() - COLUMN($D34)+2,FALSE)*VLOOKUP($A34,Usinas!$C:$D,2,FALSE)</f>
        <v>592.49699999999996</v>
      </c>
      <c r="J34" s="477">
        <f ca="1">VLOOKUP($A34,Prevs_MLT!$C:$AJ,1+Entrada!$C$4,FALSE)*VLOOKUP($A34,Usinas!$C:$D,2,FALSE)</f>
        <v>892.87919999999997</v>
      </c>
      <c r="M34" s="329">
        <f>VLOOKUP($A34,Prevs!$C:$AJ,COLUMN() - COLUMN($D34)+2,FALSE)*VLOOKUP($A34,Usinas!$C:$D,2,FALSE)</f>
        <v>761.51940000000002</v>
      </c>
      <c r="N34" s="309">
        <f>VLOOKUP($A34,Prevs!$C:$AJ,COLUMN() - COLUMN($D34)+2,FALSE)*VLOOKUP($A34,Usinas!$C:$D,2,FALSE)</f>
        <v>1635.1079999999999</v>
      </c>
      <c r="O34" s="309">
        <f>VLOOKUP($A34,Prevs!$C:$AJ,COLUMN() - COLUMN($D34)+2,FALSE)*VLOOKUP($A34,Usinas!$C:$D,2,FALSE)</f>
        <v>567.69479999999999</v>
      </c>
      <c r="P34" s="309">
        <f>VLOOKUP($A34,Prevs!$C:$AJ,COLUMN() - COLUMN($D34)+2,FALSE)*VLOOKUP($A34,Usinas!$C:$D,2,FALSE)</f>
        <v>1015.053</v>
      </c>
      <c r="Q34" s="309">
        <f>VLOOKUP($A34,Prevs!$C:$AJ,COLUMN() - COLUMN($D34)+2,FALSE)*VLOOKUP($A34,Usinas!$C:$D,2,FALSE)</f>
        <v>398.67239999999998</v>
      </c>
      <c r="R34" s="330">
        <f>VLOOKUP($A34,Prevs!$C:$AJ,COLUMN() - COLUMN($D34)+2,FALSE)*VLOOKUP($A34,Usinas!$C:$D,2,FALSE)</f>
        <v>474.9162</v>
      </c>
      <c r="V34" s="329">
        <f>VLOOKUP($A34,Prevs!$C:$AJ,COLUMN() - COLUMN($D34)+2,FALSE)*VLOOKUP($A34,Usinas!$C:$D,2,FALSE)</f>
        <v>761.51940000000002</v>
      </c>
      <c r="W34" s="309">
        <f>VLOOKUP($A34,Prevs!$C:$AJ,COLUMN() - COLUMN($D34)+2,FALSE)*VLOOKUP($A34,Usinas!$C:$D,2,FALSE)</f>
        <v>1635.1079999999999</v>
      </c>
      <c r="X34" s="309">
        <f>VLOOKUP($A34,Prevs!$C:$AJ,COLUMN() - COLUMN($D34)+2,FALSE)*VLOOKUP($A34,Usinas!$C:$D,2,FALSE)</f>
        <v>567.69479999999999</v>
      </c>
      <c r="Y34" s="309">
        <f>VLOOKUP($A34,Prevs!$C:$AJ,COLUMN() - COLUMN($D34)+2,FALSE)*VLOOKUP($A34,Usinas!$C:$D,2,FALSE)</f>
        <v>1015.053</v>
      </c>
      <c r="Z34" s="309">
        <f>VLOOKUP($A34,Prevs!$C:$AJ,COLUMN() - COLUMN($D34)+2,FALSE)*VLOOKUP($A34,Usinas!$C:$D,2,FALSE)</f>
        <v>398.67239999999998</v>
      </c>
      <c r="AA34" s="330">
        <f>VLOOKUP($A34,Prevs!$C:$AJ,COLUMN() - COLUMN($D34)+2,FALSE)*VLOOKUP($A34,Usinas!$C:$D,2,FALSE)</f>
        <v>474.9162</v>
      </c>
      <c r="AE34" s="329">
        <f>VLOOKUP($A34,Prevs!$C:$AJ,COLUMN() - COLUMN($D34)+2,FALSE)*VLOOKUP($A34,Usinas!$C:$D,2,FALSE)</f>
        <v>949.83240000000001</v>
      </c>
      <c r="AF34" s="309">
        <f>VLOOKUP($A34,Prevs!$C:$AJ,COLUMN() - COLUMN($D34)+2,FALSE)*VLOOKUP($A34,Usinas!$C:$D,2,FALSE)</f>
        <v>2040.2105999999999</v>
      </c>
      <c r="AG34" s="309">
        <f>VLOOKUP($A34,Prevs!$C:$AJ,COLUMN() - COLUMN($D34)+2,FALSE)*VLOOKUP($A34,Usinas!$C:$D,2,FALSE)</f>
        <v>708.24059999999997</v>
      </c>
      <c r="AH34" s="309">
        <f>VLOOKUP($A34,Prevs!$C:$AJ,COLUMN() - COLUMN($D34)+2,FALSE)*VLOOKUP($A34,Usinas!$C:$D,2,FALSE)</f>
        <v>1266.7493999999999</v>
      </c>
      <c r="AI34" s="309">
        <f>VLOOKUP($A34,Prevs!$C:$AJ,COLUMN() - COLUMN($D34)+2,FALSE)*VLOOKUP($A34,Usinas!$C:$D,2,FALSE)</f>
        <v>497.88119999999998</v>
      </c>
      <c r="AJ34" s="330">
        <f>VLOOKUP($A34,Prevs!$C:$AJ,COLUMN() - COLUMN($D34)+2,FALSE)*VLOOKUP($A34,Usinas!$C:$D,2,FALSE)</f>
        <v>592.49699999999996</v>
      </c>
    </row>
    <row r="35" spans="1:37" ht="12.75" hidden="1" customHeight="1" outlineLevel="2" x14ac:dyDescent="0.25">
      <c r="A35" s="198">
        <v>93</v>
      </c>
      <c r="B35" s="199" t="s">
        <v>228</v>
      </c>
      <c r="D35" s="329">
        <f>VLOOKUP($A35,Prevs!$C:$AJ,COLUMN() - COLUMN($D35)+2,FALSE)*VLOOKUP($A35,Usinas!$C:$D,2,FALSE)</f>
        <v>376.77360000000004</v>
      </c>
      <c r="E35" s="309">
        <f>VLOOKUP($A35,Prevs!$C:$AJ,COLUMN() - COLUMN($D35)+2,FALSE)*VLOOKUP($A35,Usinas!$C:$D,2,FALSE)</f>
        <v>109.89230000000001</v>
      </c>
      <c r="F35" s="309">
        <f>VLOOKUP($A35,Prevs!$C:$AJ,COLUMN() - COLUMN($D35)+2,FALSE)*VLOOKUP($A35,Usinas!$C:$D,2,FALSE)</f>
        <v>78.494500000000002</v>
      </c>
      <c r="G35" s="309">
        <f>VLOOKUP($A35,Prevs!$C:$AJ,COLUMN() - COLUMN($D35)+2,FALSE)*VLOOKUP($A35,Usinas!$C:$D,2,FALSE)</f>
        <v>109.89230000000001</v>
      </c>
      <c r="H35" s="309">
        <f>VLOOKUP($A35,Prevs!$C:$AJ,COLUMN() - COLUMN($D35)+2,FALSE)*VLOOKUP($A35,Usinas!$C:$D,2,FALSE)</f>
        <v>65.038300000000007</v>
      </c>
      <c r="I35" s="330">
        <f>VLOOKUP($A35,Prevs!$C:$AJ,COLUMN() - COLUMN($D35)+2,FALSE)*VLOOKUP($A35,Usinas!$C:$D,2,FALSE)</f>
        <v>65.038300000000007</v>
      </c>
      <c r="J35" s="477">
        <f ca="1">VLOOKUP($A35,Prevs_MLT!$C:$AJ,1+Entrada!$C$4,FALSE)*VLOOKUP($A35,Usinas!$C:$D,2,FALSE)</f>
        <v>123.3485</v>
      </c>
      <c r="M35" s="329">
        <f>VLOOKUP($A35,Prevs!$C:$AJ,COLUMN() - COLUMN($D35)+2,FALSE)*VLOOKUP($A35,Usinas!$C:$D,2,FALSE)</f>
        <v>302.7645</v>
      </c>
      <c r="N35" s="309">
        <f>VLOOKUP($A35,Prevs!$C:$AJ,COLUMN() - COLUMN($D35)+2,FALSE)*VLOOKUP($A35,Usinas!$C:$D,2,FALSE)</f>
        <v>87.465299999999999</v>
      </c>
      <c r="O35" s="309">
        <f>VLOOKUP($A35,Prevs!$C:$AJ,COLUMN() - COLUMN($D35)+2,FALSE)*VLOOKUP($A35,Usinas!$C:$D,2,FALSE)</f>
        <v>62.795600000000007</v>
      </c>
      <c r="P35" s="309">
        <f>VLOOKUP($A35,Prevs!$C:$AJ,COLUMN() - COLUMN($D35)+2,FALSE)*VLOOKUP($A35,Usinas!$C:$D,2,FALSE)</f>
        <v>87.465299999999999</v>
      </c>
      <c r="Q35" s="309">
        <f>VLOOKUP($A35,Prevs!$C:$AJ,COLUMN() - COLUMN($D35)+2,FALSE)*VLOOKUP($A35,Usinas!$C:$D,2,FALSE)</f>
        <v>51.582100000000004</v>
      </c>
      <c r="R35" s="330">
        <f>VLOOKUP($A35,Prevs!$C:$AJ,COLUMN() - COLUMN($D35)+2,FALSE)*VLOOKUP($A35,Usinas!$C:$D,2,FALSE)</f>
        <v>51.582100000000004</v>
      </c>
      <c r="V35" s="329">
        <f>VLOOKUP($A35,Prevs!$C:$AJ,COLUMN() - COLUMN($D35)+2,FALSE)*VLOOKUP($A35,Usinas!$C:$D,2,FALSE)</f>
        <v>302.7645</v>
      </c>
      <c r="W35" s="309">
        <f>VLOOKUP($A35,Prevs!$C:$AJ,COLUMN() - COLUMN($D35)+2,FALSE)*VLOOKUP($A35,Usinas!$C:$D,2,FALSE)</f>
        <v>87.465299999999999</v>
      </c>
      <c r="X35" s="309">
        <f>VLOOKUP($A35,Prevs!$C:$AJ,COLUMN() - COLUMN($D35)+2,FALSE)*VLOOKUP($A35,Usinas!$C:$D,2,FALSE)</f>
        <v>62.795600000000007</v>
      </c>
      <c r="Y35" s="309">
        <f>VLOOKUP($A35,Prevs!$C:$AJ,COLUMN() - COLUMN($D35)+2,FALSE)*VLOOKUP($A35,Usinas!$C:$D,2,FALSE)</f>
        <v>87.465299999999999</v>
      </c>
      <c r="Z35" s="309">
        <f>VLOOKUP($A35,Prevs!$C:$AJ,COLUMN() - COLUMN($D35)+2,FALSE)*VLOOKUP($A35,Usinas!$C:$D,2,FALSE)</f>
        <v>51.582100000000004</v>
      </c>
      <c r="AA35" s="330">
        <f>VLOOKUP($A35,Prevs!$C:$AJ,COLUMN() - COLUMN($D35)+2,FALSE)*VLOOKUP($A35,Usinas!$C:$D,2,FALSE)</f>
        <v>51.582100000000004</v>
      </c>
      <c r="AE35" s="329">
        <f>VLOOKUP($A35,Prevs!$C:$AJ,COLUMN() - COLUMN($D35)+2,FALSE)*VLOOKUP($A35,Usinas!$C:$D,2,FALSE)</f>
        <v>376.77360000000004</v>
      </c>
      <c r="AF35" s="309">
        <f>VLOOKUP($A35,Prevs!$C:$AJ,COLUMN() - COLUMN($D35)+2,FALSE)*VLOOKUP($A35,Usinas!$C:$D,2,FALSE)</f>
        <v>109.89230000000001</v>
      </c>
      <c r="AG35" s="309">
        <f>VLOOKUP($A35,Prevs!$C:$AJ,COLUMN() - COLUMN($D35)+2,FALSE)*VLOOKUP($A35,Usinas!$C:$D,2,FALSE)</f>
        <v>78.494500000000002</v>
      </c>
      <c r="AH35" s="309">
        <f>VLOOKUP($A35,Prevs!$C:$AJ,COLUMN() - COLUMN($D35)+2,FALSE)*VLOOKUP($A35,Usinas!$C:$D,2,FALSE)</f>
        <v>109.89230000000001</v>
      </c>
      <c r="AI35" s="309">
        <f>VLOOKUP($A35,Prevs!$C:$AJ,COLUMN() - COLUMN($D35)+2,FALSE)*VLOOKUP($A35,Usinas!$C:$D,2,FALSE)</f>
        <v>65.038300000000007</v>
      </c>
      <c r="AJ35" s="330">
        <f>VLOOKUP($A35,Prevs!$C:$AJ,COLUMN() - COLUMN($D35)+2,FALSE)*VLOOKUP($A35,Usinas!$C:$D,2,FALSE)</f>
        <v>65.038300000000007</v>
      </c>
    </row>
    <row r="36" spans="1:37" ht="12.75" hidden="1" customHeight="1" outlineLevel="2" x14ac:dyDescent="0.25">
      <c r="A36" s="198">
        <v>220</v>
      </c>
      <c r="B36" s="199" t="s">
        <v>229</v>
      </c>
      <c r="D36" s="329">
        <f>VLOOKUP($A36,Prevs!$C:$AJ,COLUMN() - COLUMN($D36)+2,FALSE)*VLOOKUP($A36,Usinas!$C:$D,2,FALSE)</f>
        <v>123.87649999999999</v>
      </c>
      <c r="E36" s="309">
        <f>VLOOKUP($A36,Prevs!$C:$AJ,COLUMN() - COLUMN($D36)+2,FALSE)*VLOOKUP($A36,Usinas!$C:$D,2,FALSE)</f>
        <v>212.75649999999999</v>
      </c>
      <c r="F36" s="309">
        <f>VLOOKUP($A36,Prevs!$C:$AJ,COLUMN() - COLUMN($D36)+2,FALSE)*VLOOKUP($A36,Usinas!$C:$D,2,FALSE)</f>
        <v>79.436499999999995</v>
      </c>
      <c r="G36" s="309">
        <f>VLOOKUP($A36,Prevs!$C:$AJ,COLUMN() - COLUMN($D36)+2,FALSE)*VLOOKUP($A36,Usinas!$C:$D,2,FALSE)</f>
        <v>63.326999999999998</v>
      </c>
      <c r="H36" s="309">
        <f>VLOOKUP($A36,Prevs!$C:$AJ,COLUMN() - COLUMN($D36)+2,FALSE)*VLOOKUP($A36,Usinas!$C:$D,2,FALSE)</f>
        <v>24.442</v>
      </c>
      <c r="I36" s="330">
        <f>VLOOKUP($A36,Prevs!$C:$AJ,COLUMN() - COLUMN($D36)+2,FALSE)*VLOOKUP($A36,Usinas!$C:$D,2,FALSE)</f>
        <v>34.996499999999997</v>
      </c>
      <c r="J36" s="477">
        <f ca="1">VLOOKUP($A36,Prevs_MLT!$C:$AJ,1+Entrada!$C$4,FALSE)*VLOOKUP($A36,Usinas!$C:$D,2,FALSE)</f>
        <v>53.328000000000003</v>
      </c>
      <c r="M36" s="329">
        <f>VLOOKUP($A36,Prevs!$C:$AJ,COLUMN() - COLUMN($D36)+2,FALSE)*VLOOKUP($A36,Usinas!$C:$D,2,FALSE)</f>
        <v>99.4345</v>
      </c>
      <c r="N36" s="309">
        <f>VLOOKUP($A36,Prevs!$C:$AJ,COLUMN() - COLUMN($D36)+2,FALSE)*VLOOKUP($A36,Usinas!$C:$D,2,FALSE)</f>
        <v>170.5385</v>
      </c>
      <c r="O36" s="309">
        <f>VLOOKUP($A36,Prevs!$C:$AJ,COLUMN() - COLUMN($D36)+2,FALSE)*VLOOKUP($A36,Usinas!$C:$D,2,FALSE)</f>
        <v>63.8825</v>
      </c>
      <c r="P36" s="309">
        <f>VLOOKUP($A36,Prevs!$C:$AJ,COLUMN() - COLUMN($D36)+2,FALSE)*VLOOKUP($A36,Usinas!$C:$D,2,FALSE)</f>
        <v>50.5505</v>
      </c>
      <c r="Q36" s="309">
        <f>VLOOKUP($A36,Prevs!$C:$AJ,COLUMN() - COLUMN($D36)+2,FALSE)*VLOOKUP($A36,Usinas!$C:$D,2,FALSE)</f>
        <v>19.442499999999999</v>
      </c>
      <c r="R36" s="330">
        <f>VLOOKUP($A36,Prevs!$C:$AJ,COLUMN() - COLUMN($D36)+2,FALSE)*VLOOKUP($A36,Usinas!$C:$D,2,FALSE)</f>
        <v>28.330500000000001</v>
      </c>
      <c r="V36" s="329">
        <f>VLOOKUP($A36,Prevs!$C:$AJ,COLUMN() - COLUMN($D36)+2,FALSE)*VLOOKUP($A36,Usinas!$C:$D,2,FALSE)</f>
        <v>99.4345</v>
      </c>
      <c r="W36" s="309">
        <f>VLOOKUP($A36,Prevs!$C:$AJ,COLUMN() - COLUMN($D36)+2,FALSE)*VLOOKUP($A36,Usinas!$C:$D,2,FALSE)</f>
        <v>170.5385</v>
      </c>
      <c r="X36" s="309">
        <f>VLOOKUP($A36,Prevs!$C:$AJ,COLUMN() - COLUMN($D36)+2,FALSE)*VLOOKUP($A36,Usinas!$C:$D,2,FALSE)</f>
        <v>63.8825</v>
      </c>
      <c r="Y36" s="309">
        <f>VLOOKUP($A36,Prevs!$C:$AJ,COLUMN() - COLUMN($D36)+2,FALSE)*VLOOKUP($A36,Usinas!$C:$D,2,FALSE)</f>
        <v>50.5505</v>
      </c>
      <c r="Z36" s="309">
        <f>VLOOKUP($A36,Prevs!$C:$AJ,COLUMN() - COLUMN($D36)+2,FALSE)*VLOOKUP($A36,Usinas!$C:$D,2,FALSE)</f>
        <v>19.442499999999999</v>
      </c>
      <c r="AA36" s="330">
        <f>VLOOKUP($A36,Prevs!$C:$AJ,COLUMN() - COLUMN($D36)+2,FALSE)*VLOOKUP($A36,Usinas!$C:$D,2,FALSE)</f>
        <v>28.330500000000001</v>
      </c>
      <c r="AE36" s="329">
        <f>VLOOKUP($A36,Prevs!$C:$AJ,COLUMN() - COLUMN($D36)+2,FALSE)*VLOOKUP($A36,Usinas!$C:$D,2,FALSE)</f>
        <v>123.87649999999999</v>
      </c>
      <c r="AF36" s="309">
        <f>VLOOKUP($A36,Prevs!$C:$AJ,COLUMN() - COLUMN($D36)+2,FALSE)*VLOOKUP($A36,Usinas!$C:$D,2,FALSE)</f>
        <v>212.75649999999999</v>
      </c>
      <c r="AG36" s="309">
        <f>VLOOKUP($A36,Prevs!$C:$AJ,COLUMN() - COLUMN($D36)+2,FALSE)*VLOOKUP($A36,Usinas!$C:$D,2,FALSE)</f>
        <v>79.436499999999995</v>
      </c>
      <c r="AH36" s="309">
        <f>VLOOKUP($A36,Prevs!$C:$AJ,COLUMN() - COLUMN($D36)+2,FALSE)*VLOOKUP($A36,Usinas!$C:$D,2,FALSE)</f>
        <v>63.326999999999998</v>
      </c>
      <c r="AI36" s="309">
        <f>VLOOKUP($A36,Prevs!$C:$AJ,COLUMN() - COLUMN($D36)+2,FALSE)*VLOOKUP($A36,Usinas!$C:$D,2,FALSE)</f>
        <v>24.442</v>
      </c>
      <c r="AJ36" s="330">
        <f>VLOOKUP($A36,Prevs!$C:$AJ,COLUMN() - COLUMN($D36)+2,FALSE)*VLOOKUP($A36,Usinas!$C:$D,2,FALSE)</f>
        <v>34.996499999999997</v>
      </c>
    </row>
    <row r="37" spans="1:37" ht="12.75" hidden="1" customHeight="1" outlineLevel="2" x14ac:dyDescent="0.25">
      <c r="A37" s="198">
        <v>94</v>
      </c>
      <c r="B37" s="199" t="s">
        <v>230</v>
      </c>
      <c r="D37" s="329">
        <f>VLOOKUP($A37,Prevs!$C:$AJ,COLUMN() - COLUMN($D37)+2,FALSE)*VLOOKUP($A37,Usinas!$C:$D,2,FALSE)</f>
        <v>581.42629999999997</v>
      </c>
      <c r="E37" s="309">
        <f>VLOOKUP($A37,Prevs!$C:$AJ,COLUMN() - COLUMN($D37)+2,FALSE)*VLOOKUP($A37,Usinas!$C:$D,2,FALSE)</f>
        <v>1245.9134999999999</v>
      </c>
      <c r="F37" s="309">
        <f>VLOOKUP($A37,Prevs!$C:$AJ,COLUMN() - COLUMN($D37)+2,FALSE)*VLOOKUP($A37,Usinas!$C:$D,2,FALSE)</f>
        <v>434.11939999999998</v>
      </c>
      <c r="G37" s="309">
        <f>VLOOKUP($A37,Prevs!$C:$AJ,COLUMN() - COLUMN($D37)+2,FALSE)*VLOOKUP($A37,Usinas!$C:$D,2,FALSE)</f>
        <v>774.6232</v>
      </c>
      <c r="H37" s="309">
        <f>VLOOKUP($A37,Prevs!$C:$AJ,COLUMN() - COLUMN($D37)+2,FALSE)*VLOOKUP($A37,Usinas!$C:$D,2,FALSE)</f>
        <v>306.08629999999999</v>
      </c>
      <c r="I37" s="330">
        <f>VLOOKUP($A37,Prevs!$C:$AJ,COLUMN() - COLUMN($D37)+2,FALSE)*VLOOKUP($A37,Usinas!$C:$D,2,FALSE)</f>
        <v>359.77760000000001</v>
      </c>
      <c r="J37" s="477">
        <f ca="1">VLOOKUP($A37,Prevs_MLT!$C:$AJ,1+Entrada!$C$4,FALSE)*VLOOKUP($A37,Usinas!$C:$D,2,FALSE)</f>
        <v>550.22109999999998</v>
      </c>
      <c r="M37" s="329">
        <f>VLOOKUP($A37,Prevs!$C:$AJ,COLUMN() - COLUMN($D37)+2,FALSE)*VLOOKUP($A37,Usinas!$C:$D,2,FALSE)</f>
        <v>466.24239999999998</v>
      </c>
      <c r="N37" s="309">
        <f>VLOOKUP($A37,Prevs!$C:$AJ,COLUMN() - COLUMN($D37)+2,FALSE)*VLOOKUP($A37,Usinas!$C:$D,2,FALSE)</f>
        <v>998.56639999999993</v>
      </c>
      <c r="O37" s="309">
        <f>VLOOKUP($A37,Prevs!$C:$AJ,COLUMN() - COLUMN($D37)+2,FALSE)*VLOOKUP($A37,Usinas!$C:$D,2,FALSE)</f>
        <v>347.84619999999995</v>
      </c>
      <c r="P37" s="309">
        <f>VLOOKUP($A37,Prevs!$C:$AJ,COLUMN() - COLUMN($D37)+2,FALSE)*VLOOKUP($A37,Usinas!$C:$D,2,FALSE)</f>
        <v>620.89170000000001</v>
      </c>
      <c r="Q37" s="309">
        <f>VLOOKUP($A37,Prevs!$C:$AJ,COLUMN() - COLUMN($D37)+2,FALSE)*VLOOKUP($A37,Usinas!$C:$D,2,FALSE)</f>
        <v>245.51149999999998</v>
      </c>
      <c r="R37" s="330">
        <f>VLOOKUP($A37,Prevs!$C:$AJ,COLUMN() - COLUMN($D37)+2,FALSE)*VLOOKUP($A37,Usinas!$C:$D,2,FALSE)</f>
        <v>288.18919999999997</v>
      </c>
      <c r="V37" s="329">
        <f>VLOOKUP($A37,Prevs!$C:$AJ,COLUMN() - COLUMN($D37)+2,FALSE)*VLOOKUP($A37,Usinas!$C:$D,2,FALSE)</f>
        <v>466.24239999999998</v>
      </c>
      <c r="W37" s="309">
        <f>VLOOKUP($A37,Prevs!$C:$AJ,COLUMN() - COLUMN($D37)+2,FALSE)*VLOOKUP($A37,Usinas!$C:$D,2,FALSE)</f>
        <v>998.56639999999993</v>
      </c>
      <c r="X37" s="309">
        <f>VLOOKUP($A37,Prevs!$C:$AJ,COLUMN() - COLUMN($D37)+2,FALSE)*VLOOKUP($A37,Usinas!$C:$D,2,FALSE)</f>
        <v>347.84619999999995</v>
      </c>
      <c r="Y37" s="309">
        <f>VLOOKUP($A37,Prevs!$C:$AJ,COLUMN() - COLUMN($D37)+2,FALSE)*VLOOKUP($A37,Usinas!$C:$D,2,FALSE)</f>
        <v>620.89170000000001</v>
      </c>
      <c r="Z37" s="309">
        <f>VLOOKUP($A37,Prevs!$C:$AJ,COLUMN() - COLUMN($D37)+2,FALSE)*VLOOKUP($A37,Usinas!$C:$D,2,FALSE)</f>
        <v>245.51149999999998</v>
      </c>
      <c r="AA37" s="330">
        <f>VLOOKUP($A37,Prevs!$C:$AJ,COLUMN() - COLUMN($D37)+2,FALSE)*VLOOKUP($A37,Usinas!$C:$D,2,FALSE)</f>
        <v>288.18919999999997</v>
      </c>
      <c r="AE37" s="329">
        <f>VLOOKUP($A37,Prevs!$C:$AJ,COLUMN() - COLUMN($D37)+2,FALSE)*VLOOKUP($A37,Usinas!$C:$D,2,FALSE)</f>
        <v>581.42629999999997</v>
      </c>
      <c r="AF37" s="309">
        <f>VLOOKUP($A37,Prevs!$C:$AJ,COLUMN() - COLUMN($D37)+2,FALSE)*VLOOKUP($A37,Usinas!$C:$D,2,FALSE)</f>
        <v>1245.9134999999999</v>
      </c>
      <c r="AG37" s="309">
        <f>VLOOKUP($A37,Prevs!$C:$AJ,COLUMN() - COLUMN($D37)+2,FALSE)*VLOOKUP($A37,Usinas!$C:$D,2,FALSE)</f>
        <v>434.11939999999998</v>
      </c>
      <c r="AH37" s="309">
        <f>VLOOKUP($A37,Prevs!$C:$AJ,COLUMN() - COLUMN($D37)+2,FALSE)*VLOOKUP($A37,Usinas!$C:$D,2,FALSE)</f>
        <v>774.6232</v>
      </c>
      <c r="AI37" s="309">
        <f>VLOOKUP($A37,Prevs!$C:$AJ,COLUMN() - COLUMN($D37)+2,FALSE)*VLOOKUP($A37,Usinas!$C:$D,2,FALSE)</f>
        <v>306.08629999999999</v>
      </c>
      <c r="AJ37" s="330">
        <f>VLOOKUP($A37,Prevs!$C:$AJ,COLUMN() - COLUMN($D37)+2,FALSE)*VLOOKUP($A37,Usinas!$C:$D,2,FALSE)</f>
        <v>359.77760000000001</v>
      </c>
    </row>
    <row r="38" spans="1:37" ht="12.75" hidden="1" customHeight="1" outlineLevel="2" x14ac:dyDescent="0.25">
      <c r="A38" s="198">
        <v>286</v>
      </c>
      <c r="B38" s="199" t="s">
        <v>231</v>
      </c>
      <c r="D38" s="329">
        <f>VLOOKUP($A38,Prevs!$C:$AJ,COLUMN() - COLUMN($D38)+2,FALSE)*VLOOKUP($A38,Usinas!$C:$D,2,FALSE)</f>
        <v>46.296800000000005</v>
      </c>
      <c r="E38" s="309">
        <f>VLOOKUP($A38,Prevs!$C:$AJ,COLUMN() - COLUMN($D38)+2,FALSE)*VLOOKUP($A38,Usinas!$C:$D,2,FALSE)</f>
        <v>44.192399999999999</v>
      </c>
      <c r="F38" s="309">
        <f>VLOOKUP($A38,Prevs!$C:$AJ,COLUMN() - COLUMN($D38)+2,FALSE)*VLOOKUP($A38,Usinas!$C:$D,2,FALSE)</f>
        <v>36.826999999999998</v>
      </c>
      <c r="G38" s="309">
        <f>VLOOKUP($A38,Prevs!$C:$AJ,COLUMN() - COLUMN($D38)+2,FALSE)*VLOOKUP($A38,Usinas!$C:$D,2,FALSE)</f>
        <v>33.670400000000001</v>
      </c>
      <c r="H38" s="309">
        <f>VLOOKUP($A38,Prevs!$C:$AJ,COLUMN() - COLUMN($D38)+2,FALSE)*VLOOKUP($A38,Usinas!$C:$D,2,FALSE)</f>
        <v>37.879199999999997</v>
      </c>
      <c r="I38" s="330">
        <f>VLOOKUP($A38,Prevs!$C:$AJ,COLUMN() - COLUMN($D38)+2,FALSE)*VLOOKUP($A38,Usinas!$C:$D,2,FALSE)</f>
        <v>33.670400000000001</v>
      </c>
      <c r="J38" s="477">
        <f ca="1">VLOOKUP($A38,Prevs_MLT!$C:$AJ,1+Entrada!$C$4,FALSE)*VLOOKUP($A38,Usinas!$C:$D,2,FALSE)</f>
        <v>86.2804</v>
      </c>
      <c r="M38" s="329">
        <f>VLOOKUP($A38,Prevs!$C:$AJ,COLUMN() - COLUMN($D38)+2,FALSE)*VLOOKUP($A38,Usinas!$C:$D,2,FALSE)</f>
        <v>36.826999999999998</v>
      </c>
      <c r="N38" s="309">
        <f>VLOOKUP($A38,Prevs!$C:$AJ,COLUMN() - COLUMN($D38)+2,FALSE)*VLOOKUP($A38,Usinas!$C:$D,2,FALSE)</f>
        <v>35.774799999999999</v>
      </c>
      <c r="O38" s="309">
        <f>VLOOKUP($A38,Prevs!$C:$AJ,COLUMN() - COLUMN($D38)+2,FALSE)*VLOOKUP($A38,Usinas!$C:$D,2,FALSE)</f>
        <v>29.461600000000001</v>
      </c>
      <c r="P38" s="309">
        <f>VLOOKUP($A38,Prevs!$C:$AJ,COLUMN() - COLUMN($D38)+2,FALSE)*VLOOKUP($A38,Usinas!$C:$D,2,FALSE)</f>
        <v>27.357199999999999</v>
      </c>
      <c r="Q38" s="309">
        <f>VLOOKUP($A38,Prevs!$C:$AJ,COLUMN() - COLUMN($D38)+2,FALSE)*VLOOKUP($A38,Usinas!$C:$D,2,FALSE)</f>
        <v>30.5138</v>
      </c>
      <c r="R38" s="330">
        <f>VLOOKUP($A38,Prevs!$C:$AJ,COLUMN() - COLUMN($D38)+2,FALSE)*VLOOKUP($A38,Usinas!$C:$D,2,FALSE)</f>
        <v>27.357199999999999</v>
      </c>
      <c r="V38" s="329">
        <f>VLOOKUP($A38,Prevs!$C:$AJ,COLUMN() - COLUMN($D38)+2,FALSE)*VLOOKUP($A38,Usinas!$C:$D,2,FALSE)</f>
        <v>36.826999999999998</v>
      </c>
      <c r="W38" s="309">
        <f>VLOOKUP($A38,Prevs!$C:$AJ,COLUMN() - COLUMN($D38)+2,FALSE)*VLOOKUP($A38,Usinas!$C:$D,2,FALSE)</f>
        <v>35.774799999999999</v>
      </c>
      <c r="X38" s="309">
        <f>VLOOKUP($A38,Prevs!$C:$AJ,COLUMN() - COLUMN($D38)+2,FALSE)*VLOOKUP($A38,Usinas!$C:$D,2,FALSE)</f>
        <v>29.461600000000001</v>
      </c>
      <c r="Y38" s="309">
        <f>VLOOKUP($A38,Prevs!$C:$AJ,COLUMN() - COLUMN($D38)+2,FALSE)*VLOOKUP($A38,Usinas!$C:$D,2,FALSE)</f>
        <v>27.357199999999999</v>
      </c>
      <c r="Z38" s="309">
        <f>VLOOKUP($A38,Prevs!$C:$AJ,COLUMN() - COLUMN($D38)+2,FALSE)*VLOOKUP($A38,Usinas!$C:$D,2,FALSE)</f>
        <v>30.5138</v>
      </c>
      <c r="AA38" s="330">
        <f>VLOOKUP($A38,Prevs!$C:$AJ,COLUMN() - COLUMN($D38)+2,FALSE)*VLOOKUP($A38,Usinas!$C:$D,2,FALSE)</f>
        <v>27.357199999999999</v>
      </c>
      <c r="AE38" s="329">
        <f>VLOOKUP($A38,Prevs!$C:$AJ,COLUMN() - COLUMN($D38)+2,FALSE)*VLOOKUP($A38,Usinas!$C:$D,2,FALSE)</f>
        <v>46.296800000000005</v>
      </c>
      <c r="AF38" s="309">
        <f>VLOOKUP($A38,Prevs!$C:$AJ,COLUMN() - COLUMN($D38)+2,FALSE)*VLOOKUP($A38,Usinas!$C:$D,2,FALSE)</f>
        <v>44.192399999999999</v>
      </c>
      <c r="AG38" s="309">
        <f>VLOOKUP($A38,Prevs!$C:$AJ,COLUMN() - COLUMN($D38)+2,FALSE)*VLOOKUP($A38,Usinas!$C:$D,2,FALSE)</f>
        <v>36.826999999999998</v>
      </c>
      <c r="AH38" s="309">
        <f>VLOOKUP($A38,Prevs!$C:$AJ,COLUMN() - COLUMN($D38)+2,FALSE)*VLOOKUP($A38,Usinas!$C:$D,2,FALSE)</f>
        <v>33.670400000000001</v>
      </c>
      <c r="AI38" s="309">
        <f>VLOOKUP($A38,Prevs!$C:$AJ,COLUMN() - COLUMN($D38)+2,FALSE)*VLOOKUP($A38,Usinas!$C:$D,2,FALSE)</f>
        <v>37.879199999999997</v>
      </c>
      <c r="AJ38" s="330">
        <f>VLOOKUP($A38,Prevs!$C:$AJ,COLUMN() - COLUMN($D38)+2,FALSE)*VLOOKUP($A38,Usinas!$C:$D,2,FALSE)</f>
        <v>33.670400000000001</v>
      </c>
    </row>
    <row r="39" spans="1:37" ht="12.75" hidden="1" customHeight="1" outlineLevel="2" x14ac:dyDescent="0.25">
      <c r="A39" s="198">
        <v>102</v>
      </c>
      <c r="B39" s="199" t="s">
        <v>232</v>
      </c>
      <c r="D39" s="329">
        <f>VLOOKUP($A39,Prevs!$C:$AJ,COLUMN() - COLUMN($D39)+2,FALSE)*VLOOKUP($A39,Usinas!$C:$D,2,FALSE)</f>
        <v>48.6325</v>
      </c>
      <c r="E39" s="309">
        <f>VLOOKUP($A39,Prevs!$C:$AJ,COLUMN() - COLUMN($D39)+2,FALSE)*VLOOKUP($A39,Usinas!$C:$D,2,FALSE)</f>
        <v>41.883500000000005</v>
      </c>
      <c r="F39" s="309">
        <f>VLOOKUP($A39,Prevs!$C:$AJ,COLUMN() - COLUMN($D39)+2,FALSE)*VLOOKUP($A39,Usinas!$C:$D,2,FALSE)</f>
        <v>30.767500000000002</v>
      </c>
      <c r="G39" s="309">
        <f>VLOOKUP($A39,Prevs!$C:$AJ,COLUMN() - COLUMN($D39)+2,FALSE)*VLOOKUP($A39,Usinas!$C:$D,2,FALSE)</f>
        <v>31.958500000000001</v>
      </c>
      <c r="H39" s="309">
        <f>VLOOKUP($A39,Prevs!$C:$AJ,COLUMN() - COLUMN($D39)+2,FALSE)*VLOOKUP($A39,Usinas!$C:$D,2,FALSE)</f>
        <v>22.231999999999999</v>
      </c>
      <c r="I39" s="330">
        <f>VLOOKUP($A39,Prevs!$C:$AJ,COLUMN() - COLUMN($D39)+2,FALSE)*VLOOKUP($A39,Usinas!$C:$D,2,FALSE)</f>
        <v>23.82</v>
      </c>
      <c r="J39" s="477">
        <f ca="1">VLOOKUP($A39,Prevs_MLT!$C:$AJ,1+Entrada!$C$4,FALSE)*VLOOKUP($A39,Usinas!$C:$D,2,FALSE)</f>
        <v>48.235500000000002</v>
      </c>
      <c r="M39" s="329">
        <f>VLOOKUP($A39,Prevs!$C:$AJ,COLUMN() - COLUMN($D39)+2,FALSE)*VLOOKUP($A39,Usinas!$C:$D,2,FALSE)</f>
        <v>38.905999999999999</v>
      </c>
      <c r="N39" s="309">
        <f>VLOOKUP($A39,Prevs!$C:$AJ,COLUMN() - COLUMN($D39)+2,FALSE)*VLOOKUP($A39,Usinas!$C:$D,2,FALSE)</f>
        <v>33.546500000000002</v>
      </c>
      <c r="O39" s="309">
        <f>VLOOKUP($A39,Prevs!$C:$AJ,COLUMN() - COLUMN($D39)+2,FALSE)*VLOOKUP($A39,Usinas!$C:$D,2,FALSE)</f>
        <v>24.614000000000001</v>
      </c>
      <c r="P39" s="309">
        <f>VLOOKUP($A39,Prevs!$C:$AJ,COLUMN() - COLUMN($D39)+2,FALSE)*VLOOKUP($A39,Usinas!$C:$D,2,FALSE)</f>
        <v>25.6065</v>
      </c>
      <c r="Q39" s="309">
        <f>VLOOKUP($A39,Prevs!$C:$AJ,COLUMN() - COLUMN($D39)+2,FALSE)*VLOOKUP($A39,Usinas!$C:$D,2,FALSE)</f>
        <v>17.865000000000002</v>
      </c>
      <c r="R39" s="330">
        <f>VLOOKUP($A39,Prevs!$C:$AJ,COLUMN() - COLUMN($D39)+2,FALSE)*VLOOKUP($A39,Usinas!$C:$D,2,FALSE)</f>
        <v>19.056000000000001</v>
      </c>
      <c r="V39" s="329">
        <f>VLOOKUP($A39,Prevs!$C:$AJ,COLUMN() - COLUMN($D39)+2,FALSE)*VLOOKUP($A39,Usinas!$C:$D,2,FALSE)</f>
        <v>38.905999999999999</v>
      </c>
      <c r="W39" s="309">
        <f>VLOOKUP($A39,Prevs!$C:$AJ,COLUMN() - COLUMN($D39)+2,FALSE)*VLOOKUP($A39,Usinas!$C:$D,2,FALSE)</f>
        <v>33.546500000000002</v>
      </c>
      <c r="X39" s="309">
        <f>VLOOKUP($A39,Prevs!$C:$AJ,COLUMN() - COLUMN($D39)+2,FALSE)*VLOOKUP($A39,Usinas!$C:$D,2,FALSE)</f>
        <v>24.614000000000001</v>
      </c>
      <c r="Y39" s="309">
        <f>VLOOKUP($A39,Prevs!$C:$AJ,COLUMN() - COLUMN($D39)+2,FALSE)*VLOOKUP($A39,Usinas!$C:$D,2,FALSE)</f>
        <v>25.6065</v>
      </c>
      <c r="Z39" s="309">
        <f>VLOOKUP($A39,Prevs!$C:$AJ,COLUMN() - COLUMN($D39)+2,FALSE)*VLOOKUP($A39,Usinas!$C:$D,2,FALSE)</f>
        <v>17.865000000000002</v>
      </c>
      <c r="AA39" s="330">
        <f>VLOOKUP($A39,Prevs!$C:$AJ,COLUMN() - COLUMN($D39)+2,FALSE)*VLOOKUP($A39,Usinas!$C:$D,2,FALSE)</f>
        <v>19.056000000000001</v>
      </c>
      <c r="AE39" s="329">
        <f>VLOOKUP($A39,Prevs!$C:$AJ,COLUMN() - COLUMN($D39)+2,FALSE)*VLOOKUP($A39,Usinas!$C:$D,2,FALSE)</f>
        <v>48.6325</v>
      </c>
      <c r="AF39" s="309">
        <f>VLOOKUP($A39,Prevs!$C:$AJ,COLUMN() - COLUMN($D39)+2,FALSE)*VLOOKUP($A39,Usinas!$C:$D,2,FALSE)</f>
        <v>41.883500000000005</v>
      </c>
      <c r="AG39" s="309">
        <f>VLOOKUP($A39,Prevs!$C:$AJ,COLUMN() - COLUMN($D39)+2,FALSE)*VLOOKUP($A39,Usinas!$C:$D,2,FALSE)</f>
        <v>30.767500000000002</v>
      </c>
      <c r="AH39" s="309">
        <f>VLOOKUP($A39,Prevs!$C:$AJ,COLUMN() - COLUMN($D39)+2,FALSE)*VLOOKUP($A39,Usinas!$C:$D,2,FALSE)</f>
        <v>31.958500000000001</v>
      </c>
      <c r="AI39" s="309">
        <f>VLOOKUP($A39,Prevs!$C:$AJ,COLUMN() - COLUMN($D39)+2,FALSE)*VLOOKUP($A39,Usinas!$C:$D,2,FALSE)</f>
        <v>22.231999999999999</v>
      </c>
      <c r="AJ39" s="330">
        <f>VLOOKUP($A39,Prevs!$C:$AJ,COLUMN() - COLUMN($D39)+2,FALSE)*VLOOKUP($A39,Usinas!$C:$D,2,FALSE)</f>
        <v>23.82</v>
      </c>
    </row>
    <row r="40" spans="1:37" ht="12.75" hidden="1" customHeight="1" outlineLevel="2" x14ac:dyDescent="0.25">
      <c r="A40" s="198">
        <v>103</v>
      </c>
      <c r="B40" s="199" t="s">
        <v>233</v>
      </c>
      <c r="D40" s="329">
        <f>VLOOKUP($A40,Prevs!$C:$AJ,COLUMN() - COLUMN($D40)+2,FALSE)*VLOOKUP($A40,Usinas!$C:$D,2,FALSE)</f>
        <v>66.776600000000002</v>
      </c>
      <c r="E40" s="309">
        <f>VLOOKUP($A40,Prevs!$C:$AJ,COLUMN() - COLUMN($D40)+2,FALSE)*VLOOKUP($A40,Usinas!$C:$D,2,FALSE)</f>
        <v>57.575100000000006</v>
      </c>
      <c r="F40" s="309">
        <f>VLOOKUP($A40,Prevs!$C:$AJ,COLUMN() - COLUMN($D40)+2,FALSE)*VLOOKUP($A40,Usinas!$C:$D,2,FALSE)</f>
        <v>42.064000000000007</v>
      </c>
      <c r="G40" s="309">
        <f>VLOOKUP($A40,Prevs!$C:$AJ,COLUMN() - COLUMN($D40)+2,FALSE)*VLOOKUP($A40,Usinas!$C:$D,2,FALSE)</f>
        <v>43.904300000000006</v>
      </c>
      <c r="H40" s="309">
        <f>VLOOKUP($A40,Prevs!$C:$AJ,COLUMN() - COLUMN($D40)+2,FALSE)*VLOOKUP($A40,Usinas!$C:$D,2,FALSE)</f>
        <v>30.496400000000001</v>
      </c>
      <c r="I40" s="330">
        <f>VLOOKUP($A40,Prevs!$C:$AJ,COLUMN() - COLUMN($D40)+2,FALSE)*VLOOKUP($A40,Usinas!$C:$D,2,FALSE)</f>
        <v>32.599600000000002</v>
      </c>
      <c r="J40" s="477">
        <f ca="1">VLOOKUP($A40,Prevs_MLT!$C:$AJ,1+Entrada!$C$4,FALSE)*VLOOKUP($A40,Usinas!$C:$D,2,FALSE)</f>
        <v>65.98790000000001</v>
      </c>
      <c r="M40" s="329">
        <f>VLOOKUP($A40,Prevs!$C:$AJ,COLUMN() - COLUMN($D40)+2,FALSE)*VLOOKUP($A40,Usinas!$C:$D,2,FALSE)</f>
        <v>53.631600000000006</v>
      </c>
      <c r="N40" s="309">
        <f>VLOOKUP($A40,Prevs!$C:$AJ,COLUMN() - COLUMN($D40)+2,FALSE)*VLOOKUP($A40,Usinas!$C:$D,2,FALSE)</f>
        <v>46.270400000000002</v>
      </c>
      <c r="O40" s="309">
        <f>VLOOKUP($A40,Prevs!$C:$AJ,COLUMN() - COLUMN($D40)+2,FALSE)*VLOOKUP($A40,Usinas!$C:$D,2,FALSE)</f>
        <v>33.651200000000003</v>
      </c>
      <c r="P40" s="309">
        <f>VLOOKUP($A40,Prevs!$C:$AJ,COLUMN() - COLUMN($D40)+2,FALSE)*VLOOKUP($A40,Usinas!$C:$D,2,FALSE)</f>
        <v>35.2286</v>
      </c>
      <c r="Q40" s="309">
        <f>VLOOKUP($A40,Prevs!$C:$AJ,COLUMN() - COLUMN($D40)+2,FALSE)*VLOOKUP($A40,Usinas!$C:$D,2,FALSE)</f>
        <v>24.449700000000004</v>
      </c>
      <c r="R40" s="330">
        <f>VLOOKUP($A40,Prevs!$C:$AJ,COLUMN() - COLUMN($D40)+2,FALSE)*VLOOKUP($A40,Usinas!$C:$D,2,FALSE)</f>
        <v>26.027100000000001</v>
      </c>
      <c r="V40" s="329">
        <f>VLOOKUP($A40,Prevs!$C:$AJ,COLUMN() - COLUMN($D40)+2,FALSE)*VLOOKUP($A40,Usinas!$C:$D,2,FALSE)</f>
        <v>53.631600000000006</v>
      </c>
      <c r="W40" s="309">
        <f>VLOOKUP($A40,Prevs!$C:$AJ,COLUMN() - COLUMN($D40)+2,FALSE)*VLOOKUP($A40,Usinas!$C:$D,2,FALSE)</f>
        <v>46.270400000000002</v>
      </c>
      <c r="X40" s="309">
        <f>VLOOKUP($A40,Prevs!$C:$AJ,COLUMN() - COLUMN($D40)+2,FALSE)*VLOOKUP($A40,Usinas!$C:$D,2,FALSE)</f>
        <v>33.651200000000003</v>
      </c>
      <c r="Y40" s="309">
        <f>VLOOKUP($A40,Prevs!$C:$AJ,COLUMN() - COLUMN($D40)+2,FALSE)*VLOOKUP($A40,Usinas!$C:$D,2,FALSE)</f>
        <v>35.2286</v>
      </c>
      <c r="Z40" s="309">
        <f>VLOOKUP($A40,Prevs!$C:$AJ,COLUMN() - COLUMN($D40)+2,FALSE)*VLOOKUP($A40,Usinas!$C:$D,2,FALSE)</f>
        <v>24.449700000000004</v>
      </c>
      <c r="AA40" s="330">
        <f>VLOOKUP($A40,Prevs!$C:$AJ,COLUMN() - COLUMN($D40)+2,FALSE)*VLOOKUP($A40,Usinas!$C:$D,2,FALSE)</f>
        <v>26.027100000000001</v>
      </c>
      <c r="AE40" s="329">
        <f>VLOOKUP($A40,Prevs!$C:$AJ,COLUMN() - COLUMN($D40)+2,FALSE)*VLOOKUP($A40,Usinas!$C:$D,2,FALSE)</f>
        <v>66.776600000000002</v>
      </c>
      <c r="AF40" s="309">
        <f>VLOOKUP($A40,Prevs!$C:$AJ,COLUMN() - COLUMN($D40)+2,FALSE)*VLOOKUP($A40,Usinas!$C:$D,2,FALSE)</f>
        <v>57.575100000000006</v>
      </c>
      <c r="AG40" s="309">
        <f>VLOOKUP($A40,Prevs!$C:$AJ,COLUMN() - COLUMN($D40)+2,FALSE)*VLOOKUP($A40,Usinas!$C:$D,2,FALSE)</f>
        <v>42.064000000000007</v>
      </c>
      <c r="AH40" s="309">
        <f>VLOOKUP($A40,Prevs!$C:$AJ,COLUMN() - COLUMN($D40)+2,FALSE)*VLOOKUP($A40,Usinas!$C:$D,2,FALSE)</f>
        <v>43.904300000000006</v>
      </c>
      <c r="AI40" s="309">
        <f>VLOOKUP($A40,Prevs!$C:$AJ,COLUMN() - COLUMN($D40)+2,FALSE)*VLOOKUP($A40,Usinas!$C:$D,2,FALSE)</f>
        <v>30.496400000000001</v>
      </c>
      <c r="AJ40" s="330">
        <f>VLOOKUP($A40,Prevs!$C:$AJ,COLUMN() - COLUMN($D40)+2,FALSE)*VLOOKUP($A40,Usinas!$C:$D,2,FALSE)</f>
        <v>32.599600000000002</v>
      </c>
    </row>
    <row r="41" spans="1:37" ht="12.75" customHeight="1" outlineLevel="1" collapsed="1" x14ac:dyDescent="0.25">
      <c r="A41" s="200"/>
      <c r="B41" s="201" t="s">
        <v>92</v>
      </c>
      <c r="D41" s="204">
        <f t="shared" ref="D41:I41" si="21">SUM(D30:D40)</f>
        <v>4527.0081</v>
      </c>
      <c r="E41" s="58">
        <f t="shared" si="21"/>
        <v>6370.9008000000003</v>
      </c>
      <c r="F41" s="58">
        <f t="shared" si="21"/>
        <v>2785.6370999999995</v>
      </c>
      <c r="G41" s="58">
        <f t="shared" si="21"/>
        <v>4350.9508999999998</v>
      </c>
      <c r="H41" s="58">
        <f t="shared" si="21"/>
        <v>1963.3327999999999</v>
      </c>
      <c r="I41" s="205">
        <f t="shared" si="21"/>
        <v>2186.1794999999997</v>
      </c>
      <c r="J41" s="423">
        <f ca="1">SUMPRODUCT(D41:I41,Saida!$B$7:$G$7)/SUM(Saida!$B$7:$G$7)</f>
        <v>3833.6312933333329</v>
      </c>
      <c r="M41" s="342">
        <f t="shared" ref="M41:R41" si="22">SUM(M30:M40)</f>
        <v>3629.8276000000001</v>
      </c>
      <c r="N41" s="308">
        <f t="shared" si="22"/>
        <v>5106.6633000000011</v>
      </c>
      <c r="O41" s="308">
        <f t="shared" si="22"/>
        <v>2232.1589999999997</v>
      </c>
      <c r="P41" s="308">
        <f t="shared" si="22"/>
        <v>3486.3832999999995</v>
      </c>
      <c r="Q41" s="308">
        <f t="shared" si="22"/>
        <v>1573.712</v>
      </c>
      <c r="R41" s="343">
        <f t="shared" si="22"/>
        <v>1751.4484000000002</v>
      </c>
      <c r="S41" s="423">
        <f ca="1">SUMPRODUCT(M41:R41,Saida!$B$7:$G$7)/SUM(Saida!$B$7:$G$7)</f>
        <v>3072.4566399999994</v>
      </c>
      <c r="V41" s="342">
        <f t="shared" ref="V41:AA41" si="23">SUM(V30:V40)</f>
        <v>3629.8276000000001</v>
      </c>
      <c r="W41" s="308">
        <f t="shared" si="23"/>
        <v>5106.6633000000011</v>
      </c>
      <c r="X41" s="308">
        <f t="shared" si="23"/>
        <v>2232.1589999999997</v>
      </c>
      <c r="Y41" s="308">
        <f t="shared" si="23"/>
        <v>3486.3832999999995</v>
      </c>
      <c r="Z41" s="308">
        <f t="shared" si="23"/>
        <v>1573.712</v>
      </c>
      <c r="AA41" s="343">
        <f t="shared" si="23"/>
        <v>1751.4484000000002</v>
      </c>
      <c r="AB41" s="423">
        <f ca="1">SUMPRODUCT(V41:AA41,Saida!$B$7:$G$7)/SUM(Saida!$B$7:$G$7)</f>
        <v>3072.4566399999994</v>
      </c>
      <c r="AE41" s="342">
        <f t="shared" ref="AE41:AJ41" si="24">SUM(AE30:AE40)</f>
        <v>4527.0081</v>
      </c>
      <c r="AF41" s="308">
        <f t="shared" si="24"/>
        <v>6370.9008000000003</v>
      </c>
      <c r="AG41" s="308">
        <f t="shared" si="24"/>
        <v>2785.6370999999995</v>
      </c>
      <c r="AH41" s="308">
        <f t="shared" si="24"/>
        <v>4350.9508999999998</v>
      </c>
      <c r="AI41" s="308">
        <f t="shared" si="24"/>
        <v>1963.3327999999999</v>
      </c>
      <c r="AJ41" s="343">
        <f t="shared" si="24"/>
        <v>2186.1794999999997</v>
      </c>
      <c r="AK41" s="423">
        <f ca="1">SUMPRODUCT(AE41:AJ41,Saida!$B$7:$G$7)/SUM(Saida!$B$7:$G$7)</f>
        <v>3833.6312933333329</v>
      </c>
    </row>
    <row r="42" spans="1:37" ht="12.75" customHeight="1" outlineLevel="1" x14ac:dyDescent="0.25">
      <c r="A42" s="202"/>
      <c r="B42" s="203" t="s">
        <v>13</v>
      </c>
      <c r="D42" s="206"/>
      <c r="E42" s="207"/>
      <c r="F42" s="207"/>
      <c r="G42" s="207"/>
      <c r="H42" s="207"/>
      <c r="I42" s="208"/>
      <c r="J42" s="478">
        <f ca="1">SUM(J30:J40)</f>
        <v>3340.0070000000005</v>
      </c>
      <c r="M42" s="344"/>
      <c r="N42" s="345"/>
      <c r="O42" s="345"/>
      <c r="P42" s="345"/>
      <c r="Q42" s="345"/>
      <c r="R42" s="346"/>
      <c r="V42" s="344"/>
      <c r="W42" s="345"/>
      <c r="X42" s="345"/>
      <c r="Y42" s="345"/>
      <c r="Z42" s="345"/>
      <c r="AA42" s="346"/>
      <c r="AE42" s="344"/>
      <c r="AF42" s="345"/>
      <c r="AG42" s="345"/>
      <c r="AH42" s="345"/>
      <c r="AI42" s="345"/>
      <c r="AJ42" s="346"/>
    </row>
    <row r="43" spans="1:37" ht="12.75" customHeight="1" outlineLevel="1" x14ac:dyDescent="0.25">
      <c r="A43" s="65"/>
      <c r="B43" s="66"/>
      <c r="D43" s="67"/>
      <c r="E43" s="68"/>
      <c r="F43" s="68"/>
      <c r="G43" s="68"/>
      <c r="H43" s="68"/>
      <c r="I43" s="68"/>
      <c r="M43" s="314"/>
      <c r="N43" s="315"/>
      <c r="O43" s="315"/>
      <c r="P43" s="315"/>
      <c r="Q43" s="315"/>
      <c r="R43" s="315"/>
      <c r="V43" s="314"/>
      <c r="W43" s="315"/>
      <c r="X43" s="315"/>
      <c r="Y43" s="315"/>
      <c r="Z43" s="315"/>
      <c r="AA43" s="315"/>
      <c r="AE43" s="314"/>
      <c r="AF43" s="315"/>
      <c r="AG43" s="315"/>
      <c r="AH43" s="315"/>
      <c r="AI43" s="315"/>
      <c r="AJ43" s="315"/>
    </row>
    <row r="44" spans="1:37" ht="12.75" customHeight="1" outlineLevel="1" x14ac:dyDescent="0.25">
      <c r="A44" s="209"/>
      <c r="B44" s="210"/>
      <c r="D44" s="509" t="s">
        <v>234</v>
      </c>
      <c r="E44" s="510" t="s">
        <v>94</v>
      </c>
      <c r="F44" s="510" t="s">
        <v>235</v>
      </c>
      <c r="G44" s="510"/>
      <c r="H44" s="510"/>
      <c r="I44" s="511"/>
      <c r="M44" s="509" t="s">
        <v>234</v>
      </c>
      <c r="N44" s="510" t="s">
        <v>94</v>
      </c>
      <c r="O44" s="510" t="s">
        <v>235</v>
      </c>
      <c r="P44" s="510"/>
      <c r="Q44" s="510"/>
      <c r="R44" s="511"/>
      <c r="V44" s="509" t="s">
        <v>234</v>
      </c>
      <c r="W44" s="510" t="s">
        <v>94</v>
      </c>
      <c r="X44" s="510" t="s">
        <v>235</v>
      </c>
      <c r="Y44" s="510"/>
      <c r="Z44" s="510"/>
      <c r="AA44" s="511"/>
      <c r="AE44" s="509" t="s">
        <v>234</v>
      </c>
      <c r="AF44" s="510" t="s">
        <v>94</v>
      </c>
      <c r="AG44" s="510" t="s">
        <v>235</v>
      </c>
      <c r="AH44" s="510"/>
      <c r="AI44" s="510"/>
      <c r="AJ44" s="511"/>
    </row>
    <row r="45" spans="1:37" ht="12.75" hidden="1" customHeight="1" outlineLevel="2" x14ac:dyDescent="0.25">
      <c r="A45" s="198">
        <v>115</v>
      </c>
      <c r="B45" s="199" t="s">
        <v>236</v>
      </c>
      <c r="D45" s="329">
        <f>VLOOKUP($A45,Prevs!$C:$AJ,COLUMN() - COLUMN($D45)+2,FALSE)*VLOOKUP($A45,Usinas!$C:$D,2,FALSE)</f>
        <v>45.6813</v>
      </c>
      <c r="E45" s="309">
        <f>VLOOKUP($A45,Prevs!$C:$AJ,COLUMN() - COLUMN($D45)+2,FALSE)*VLOOKUP($A45,Usinas!$C:$D,2,FALSE)</f>
        <v>58.7331</v>
      </c>
      <c r="F45" s="309">
        <f>VLOOKUP($A45,Prevs!$C:$AJ,COLUMN() - COLUMN($D45)+2,FALSE)*VLOOKUP($A45,Usinas!$C:$D,2,FALSE)</f>
        <v>52.2072</v>
      </c>
      <c r="G45" s="309">
        <f>VLOOKUP($A45,Prevs!$C:$AJ,COLUMN() - COLUMN($D45)+2,FALSE)*VLOOKUP($A45,Usinas!$C:$D,2,FALSE)</f>
        <v>39.1554</v>
      </c>
      <c r="H45" s="309">
        <f>VLOOKUP($A45,Prevs!$C:$AJ,COLUMN() - COLUMN($D45)+2,FALSE)*VLOOKUP($A45,Usinas!$C:$D,2,FALSE)</f>
        <v>39.1554</v>
      </c>
      <c r="I45" s="330">
        <f>VLOOKUP($A45,Prevs!$C:$AJ,COLUMN() - COLUMN($D45)+2,FALSE)*VLOOKUP($A45,Usinas!$C:$D,2,FALSE)</f>
        <v>32.6295</v>
      </c>
      <c r="J45" s="477">
        <f ca="1">VLOOKUP($A45,Prevs_MLT!$C:$AJ,1+Entrada!$C$4,FALSE)*VLOOKUP($A45,Usinas!$C:$D,2,FALSE)</f>
        <v>110.94030000000001</v>
      </c>
      <c r="M45" s="329">
        <f>VLOOKUP($A45,Prevs!$C:$AJ,COLUMN() - COLUMN($D45)+2,FALSE)*VLOOKUP($A45,Usinas!$C:$D,2,FALSE)</f>
        <v>39.1554</v>
      </c>
      <c r="N45" s="309">
        <f>VLOOKUP($A45,Prevs!$C:$AJ,COLUMN() - COLUMN($D45)+2,FALSE)*VLOOKUP($A45,Usinas!$C:$D,2,FALSE)</f>
        <v>45.6813</v>
      </c>
      <c r="O45" s="309">
        <f>VLOOKUP($A45,Prevs!$C:$AJ,COLUMN() - COLUMN($D45)+2,FALSE)*VLOOKUP($A45,Usinas!$C:$D,2,FALSE)</f>
        <v>39.1554</v>
      </c>
      <c r="P45" s="309">
        <f>VLOOKUP($A45,Prevs!$C:$AJ,COLUMN() - COLUMN($D45)+2,FALSE)*VLOOKUP($A45,Usinas!$C:$D,2,FALSE)</f>
        <v>32.6295</v>
      </c>
      <c r="Q45" s="309">
        <f>VLOOKUP($A45,Prevs!$C:$AJ,COLUMN() - COLUMN($D45)+2,FALSE)*VLOOKUP($A45,Usinas!$C:$D,2,FALSE)</f>
        <v>32.6295</v>
      </c>
      <c r="R45" s="330">
        <f>VLOOKUP($A45,Prevs!$C:$AJ,COLUMN() - COLUMN($D45)+2,FALSE)*VLOOKUP($A45,Usinas!$C:$D,2,FALSE)</f>
        <v>26.1036</v>
      </c>
      <c r="V45" s="329">
        <f>VLOOKUP($A45,Prevs!$C:$AJ,COLUMN() - COLUMN($D45)+2,FALSE)*VLOOKUP($A45,Usinas!$C:$D,2,FALSE)</f>
        <v>39.1554</v>
      </c>
      <c r="W45" s="309">
        <f>VLOOKUP($A45,Prevs!$C:$AJ,COLUMN() - COLUMN($D45)+2,FALSE)*VLOOKUP($A45,Usinas!$C:$D,2,FALSE)</f>
        <v>45.6813</v>
      </c>
      <c r="X45" s="309">
        <f>VLOOKUP($A45,Prevs!$C:$AJ,COLUMN() - COLUMN($D45)+2,FALSE)*VLOOKUP($A45,Usinas!$C:$D,2,FALSE)</f>
        <v>39.1554</v>
      </c>
      <c r="Y45" s="309">
        <f>VLOOKUP($A45,Prevs!$C:$AJ,COLUMN() - COLUMN($D45)+2,FALSE)*VLOOKUP($A45,Usinas!$C:$D,2,FALSE)</f>
        <v>32.6295</v>
      </c>
      <c r="Z45" s="309">
        <f>VLOOKUP($A45,Prevs!$C:$AJ,COLUMN() - COLUMN($D45)+2,FALSE)*VLOOKUP($A45,Usinas!$C:$D,2,FALSE)</f>
        <v>32.6295</v>
      </c>
      <c r="AA45" s="330">
        <f>VLOOKUP($A45,Prevs!$C:$AJ,COLUMN() - COLUMN($D45)+2,FALSE)*VLOOKUP($A45,Usinas!$C:$D,2,FALSE)</f>
        <v>26.1036</v>
      </c>
      <c r="AE45" s="329">
        <f>VLOOKUP($A45,Prevs!$C:$AJ,COLUMN() - COLUMN($D45)+2,FALSE)*VLOOKUP($A45,Usinas!$C:$D,2,FALSE)</f>
        <v>45.6813</v>
      </c>
      <c r="AF45" s="309">
        <f>VLOOKUP($A45,Prevs!$C:$AJ,COLUMN() - COLUMN($D45)+2,FALSE)*VLOOKUP($A45,Usinas!$C:$D,2,FALSE)</f>
        <v>58.7331</v>
      </c>
      <c r="AG45" s="309">
        <f>VLOOKUP($A45,Prevs!$C:$AJ,COLUMN() - COLUMN($D45)+2,FALSE)*VLOOKUP($A45,Usinas!$C:$D,2,FALSE)</f>
        <v>52.2072</v>
      </c>
      <c r="AH45" s="309">
        <f>VLOOKUP($A45,Prevs!$C:$AJ,COLUMN() - COLUMN($D45)+2,FALSE)*VLOOKUP($A45,Usinas!$C:$D,2,FALSE)</f>
        <v>39.1554</v>
      </c>
      <c r="AI45" s="309">
        <f>VLOOKUP($A45,Prevs!$C:$AJ,COLUMN() - COLUMN($D45)+2,FALSE)*VLOOKUP($A45,Usinas!$C:$D,2,FALSE)</f>
        <v>39.1554</v>
      </c>
      <c r="AJ45" s="330">
        <f>VLOOKUP($A45,Prevs!$C:$AJ,COLUMN() - COLUMN($D45)+2,FALSE)*VLOOKUP($A45,Usinas!$C:$D,2,FALSE)</f>
        <v>32.6295</v>
      </c>
    </row>
    <row r="46" spans="1:37" ht="12.75" customHeight="1" outlineLevel="1" collapsed="1" x14ac:dyDescent="0.25">
      <c r="A46" s="200"/>
      <c r="B46" s="201" t="s">
        <v>92</v>
      </c>
      <c r="D46" s="204">
        <f t="shared" ref="D46:I46" si="25">D45</f>
        <v>45.6813</v>
      </c>
      <c r="E46" s="58">
        <f t="shared" si="25"/>
        <v>58.7331</v>
      </c>
      <c r="F46" s="58">
        <f t="shared" si="25"/>
        <v>52.2072</v>
      </c>
      <c r="G46" s="58">
        <f t="shared" si="25"/>
        <v>39.1554</v>
      </c>
      <c r="H46" s="58">
        <f t="shared" si="25"/>
        <v>39.1554</v>
      </c>
      <c r="I46" s="205">
        <f t="shared" si="25"/>
        <v>32.6295</v>
      </c>
      <c r="J46" s="423">
        <f ca="1">SUMPRODUCT(D46:I46,Saida!$B$7:$G$7)/SUM(Saida!$B$7:$G$7)</f>
        <v>46.768950000000004</v>
      </c>
      <c r="M46" s="342">
        <f t="shared" ref="M46:R46" si="26">M45</f>
        <v>39.1554</v>
      </c>
      <c r="N46" s="308">
        <f t="shared" si="26"/>
        <v>45.6813</v>
      </c>
      <c r="O46" s="308">
        <f t="shared" si="26"/>
        <v>39.1554</v>
      </c>
      <c r="P46" s="308">
        <f t="shared" si="26"/>
        <v>32.6295</v>
      </c>
      <c r="Q46" s="308">
        <f t="shared" si="26"/>
        <v>32.6295</v>
      </c>
      <c r="R46" s="343">
        <f t="shared" si="26"/>
        <v>26.1036</v>
      </c>
      <c r="S46" s="423">
        <f ca="1">SUMPRODUCT(M46:R46,Saida!$B$7:$G$7)/SUM(Saida!$B$7:$G$7)</f>
        <v>37.197629999999997</v>
      </c>
      <c r="V46" s="342">
        <f t="shared" ref="V46:AA46" si="27">V45</f>
        <v>39.1554</v>
      </c>
      <c r="W46" s="308">
        <f t="shared" si="27"/>
        <v>45.6813</v>
      </c>
      <c r="X46" s="308">
        <f t="shared" si="27"/>
        <v>39.1554</v>
      </c>
      <c r="Y46" s="308">
        <f t="shared" si="27"/>
        <v>32.6295</v>
      </c>
      <c r="Z46" s="308">
        <f t="shared" si="27"/>
        <v>32.6295</v>
      </c>
      <c r="AA46" s="343">
        <f t="shared" si="27"/>
        <v>26.1036</v>
      </c>
      <c r="AB46" s="423">
        <f ca="1">SUMPRODUCT(V46:AA46,Saida!$B$7:$G$7)/SUM(Saida!$B$7:$G$7)</f>
        <v>37.197629999999997</v>
      </c>
      <c r="AE46" s="342">
        <f t="shared" ref="AE46:AJ46" si="28">AE45</f>
        <v>45.6813</v>
      </c>
      <c r="AF46" s="308">
        <f t="shared" si="28"/>
        <v>58.7331</v>
      </c>
      <c r="AG46" s="308">
        <f t="shared" si="28"/>
        <v>52.2072</v>
      </c>
      <c r="AH46" s="308">
        <f t="shared" si="28"/>
        <v>39.1554</v>
      </c>
      <c r="AI46" s="308">
        <f t="shared" si="28"/>
        <v>39.1554</v>
      </c>
      <c r="AJ46" s="343">
        <f t="shared" si="28"/>
        <v>32.6295</v>
      </c>
      <c r="AK46" s="423">
        <f ca="1">SUMPRODUCT(AE46:AJ46,Saida!$B$7:$G$7)/SUM(Saida!$B$7:$G$7)</f>
        <v>46.768950000000004</v>
      </c>
    </row>
    <row r="47" spans="1:37" ht="12.75" customHeight="1" outlineLevel="1" x14ac:dyDescent="0.25">
      <c r="A47" s="202"/>
      <c r="B47" s="203" t="s">
        <v>13</v>
      </c>
      <c r="D47" s="206"/>
      <c r="E47" s="207"/>
      <c r="F47" s="207"/>
      <c r="G47" s="207"/>
      <c r="H47" s="207"/>
      <c r="I47" s="208"/>
      <c r="J47" s="478">
        <f ca="1">J45</f>
        <v>110.94030000000001</v>
      </c>
      <c r="M47" s="344"/>
      <c r="N47" s="345"/>
      <c r="O47" s="345"/>
      <c r="P47" s="345"/>
      <c r="Q47" s="345"/>
      <c r="R47" s="346"/>
      <c r="V47" s="344"/>
      <c r="W47" s="345"/>
      <c r="X47" s="345"/>
      <c r="Y47" s="345"/>
      <c r="Z47" s="345"/>
      <c r="AA47" s="346"/>
      <c r="AE47" s="344"/>
      <c r="AF47" s="345"/>
      <c r="AG47" s="345"/>
      <c r="AH47" s="345"/>
      <c r="AI47" s="345"/>
      <c r="AJ47" s="346"/>
    </row>
    <row r="48" spans="1:37" ht="12.75" customHeight="1" outlineLevel="1" x14ac:dyDescent="0.25">
      <c r="A48" s="65"/>
      <c r="B48" s="66"/>
      <c r="D48" s="67"/>
      <c r="E48" s="68"/>
      <c r="F48" s="68"/>
      <c r="G48" s="68"/>
      <c r="H48" s="68"/>
      <c r="I48" s="68"/>
      <c r="M48" s="314"/>
      <c r="N48" s="315"/>
      <c r="O48" s="315"/>
      <c r="P48" s="315"/>
      <c r="Q48" s="315"/>
      <c r="R48" s="315"/>
      <c r="V48" s="314"/>
      <c r="W48" s="315"/>
      <c r="X48" s="315"/>
      <c r="Y48" s="315"/>
      <c r="Z48" s="315"/>
      <c r="AA48" s="315"/>
      <c r="AE48" s="314"/>
      <c r="AF48" s="315"/>
      <c r="AG48" s="315"/>
      <c r="AH48" s="315"/>
      <c r="AI48" s="315"/>
      <c r="AJ48" s="315"/>
    </row>
    <row r="49" spans="1:37" ht="12.75" customHeight="1" outlineLevel="1" x14ac:dyDescent="0.25">
      <c r="A49" s="209"/>
      <c r="B49" s="210"/>
      <c r="D49" s="509" t="s">
        <v>237</v>
      </c>
      <c r="E49" s="510" t="s">
        <v>94</v>
      </c>
      <c r="F49" s="510" t="s">
        <v>238</v>
      </c>
      <c r="G49" s="510"/>
      <c r="H49" s="510"/>
      <c r="I49" s="511"/>
      <c r="M49" s="509" t="s">
        <v>237</v>
      </c>
      <c r="N49" s="510" t="s">
        <v>94</v>
      </c>
      <c r="O49" s="510" t="s">
        <v>238</v>
      </c>
      <c r="P49" s="510"/>
      <c r="Q49" s="510"/>
      <c r="R49" s="511"/>
      <c r="V49" s="509" t="s">
        <v>237</v>
      </c>
      <c r="W49" s="510" t="s">
        <v>94</v>
      </c>
      <c r="X49" s="510" t="s">
        <v>238</v>
      </c>
      <c r="Y49" s="510"/>
      <c r="Z49" s="510"/>
      <c r="AA49" s="511"/>
      <c r="AE49" s="509" t="s">
        <v>237</v>
      </c>
      <c r="AF49" s="510" t="s">
        <v>94</v>
      </c>
      <c r="AG49" s="510" t="s">
        <v>238</v>
      </c>
      <c r="AH49" s="510"/>
      <c r="AI49" s="510"/>
      <c r="AJ49" s="511"/>
    </row>
    <row r="50" spans="1:37" ht="12.75" hidden="1" customHeight="1" outlineLevel="2" x14ac:dyDescent="0.25">
      <c r="A50" s="198">
        <v>101</v>
      </c>
      <c r="B50" s="199" t="s">
        <v>239</v>
      </c>
      <c r="D50" s="329">
        <f>VLOOKUP($A50,Prevs!$C:$AJ,COLUMN() - COLUMN($D50)+2,FALSE)*VLOOKUP($A50,Usinas!$C:$D,2,FALSE)</f>
        <v>99.881600000000006</v>
      </c>
      <c r="E50" s="309">
        <f>VLOOKUP($A50,Prevs!$C:$AJ,COLUMN() - COLUMN($D50)+2,FALSE)*VLOOKUP($A50,Usinas!$C:$D,2,FALSE)</f>
        <v>85.612800000000007</v>
      </c>
      <c r="F50" s="309">
        <f>VLOOKUP($A50,Prevs!$C:$AJ,COLUMN() - COLUMN($D50)+2,FALSE)*VLOOKUP($A50,Usinas!$C:$D,2,FALSE)</f>
        <v>85.612800000000007</v>
      </c>
      <c r="G50" s="309">
        <f>VLOOKUP($A50,Prevs!$C:$AJ,COLUMN() - COLUMN($D50)+2,FALSE)*VLOOKUP($A50,Usinas!$C:$D,2,FALSE)</f>
        <v>89.18</v>
      </c>
      <c r="H50" s="309">
        <f>VLOOKUP($A50,Prevs!$C:$AJ,COLUMN() - COLUMN($D50)+2,FALSE)*VLOOKUP($A50,Usinas!$C:$D,2,FALSE)</f>
        <v>64.209600000000009</v>
      </c>
      <c r="I50" s="330">
        <f>VLOOKUP($A50,Prevs!$C:$AJ,COLUMN() - COLUMN($D50)+2,FALSE)*VLOOKUP($A50,Usinas!$C:$D,2,FALSE)</f>
        <v>73.127600000000001</v>
      </c>
      <c r="J50" s="477">
        <f ca="1">VLOOKUP($A50,Prevs_MLT!$C:$AJ,1+Entrada!$C$4,FALSE)*VLOOKUP($A50,Usinas!$C:$D,2,FALSE)</f>
        <v>165.87479999999999</v>
      </c>
      <c r="M50" s="329">
        <f>VLOOKUP($A50,Prevs!$C:$AJ,COLUMN() - COLUMN($D50)+2,FALSE)*VLOOKUP($A50,Usinas!$C:$D,2,FALSE)</f>
        <v>80.262</v>
      </c>
      <c r="N50" s="309">
        <f>VLOOKUP($A50,Prevs!$C:$AJ,COLUMN() - COLUMN($D50)+2,FALSE)*VLOOKUP($A50,Usinas!$C:$D,2,FALSE)</f>
        <v>67.776800000000009</v>
      </c>
      <c r="O50" s="309">
        <f>VLOOKUP($A50,Prevs!$C:$AJ,COLUMN() - COLUMN($D50)+2,FALSE)*VLOOKUP($A50,Usinas!$C:$D,2,FALSE)</f>
        <v>67.776800000000009</v>
      </c>
      <c r="P50" s="309">
        <f>VLOOKUP($A50,Prevs!$C:$AJ,COLUMN() - COLUMN($D50)+2,FALSE)*VLOOKUP($A50,Usinas!$C:$D,2,FALSE)</f>
        <v>71.344000000000008</v>
      </c>
      <c r="Q50" s="309">
        <f>VLOOKUP($A50,Prevs!$C:$AJ,COLUMN() - COLUMN($D50)+2,FALSE)*VLOOKUP($A50,Usinas!$C:$D,2,FALSE)</f>
        <v>51.724400000000003</v>
      </c>
      <c r="R50" s="330">
        <f>VLOOKUP($A50,Prevs!$C:$AJ,COLUMN() - COLUMN($D50)+2,FALSE)*VLOOKUP($A50,Usinas!$C:$D,2,FALSE)</f>
        <v>58.858800000000002</v>
      </c>
      <c r="V50" s="329">
        <f>VLOOKUP($A50,Prevs!$C:$AJ,COLUMN() - COLUMN($D50)+2,FALSE)*VLOOKUP($A50,Usinas!$C:$D,2,FALSE)</f>
        <v>80.262</v>
      </c>
      <c r="W50" s="309">
        <f>VLOOKUP($A50,Prevs!$C:$AJ,COLUMN() - COLUMN($D50)+2,FALSE)*VLOOKUP($A50,Usinas!$C:$D,2,FALSE)</f>
        <v>67.776800000000009</v>
      </c>
      <c r="X50" s="309">
        <f>VLOOKUP($A50,Prevs!$C:$AJ,COLUMN() - COLUMN($D50)+2,FALSE)*VLOOKUP($A50,Usinas!$C:$D,2,FALSE)</f>
        <v>67.776800000000009</v>
      </c>
      <c r="Y50" s="309">
        <f>VLOOKUP($A50,Prevs!$C:$AJ,COLUMN() - COLUMN($D50)+2,FALSE)*VLOOKUP($A50,Usinas!$C:$D,2,FALSE)</f>
        <v>71.344000000000008</v>
      </c>
      <c r="Z50" s="309">
        <f>VLOOKUP($A50,Prevs!$C:$AJ,COLUMN() - COLUMN($D50)+2,FALSE)*VLOOKUP($A50,Usinas!$C:$D,2,FALSE)</f>
        <v>51.724400000000003</v>
      </c>
      <c r="AA50" s="330">
        <f>VLOOKUP($A50,Prevs!$C:$AJ,COLUMN() - COLUMN($D50)+2,FALSE)*VLOOKUP($A50,Usinas!$C:$D,2,FALSE)</f>
        <v>58.858800000000002</v>
      </c>
      <c r="AE50" s="329">
        <f>VLOOKUP($A50,Prevs!$C:$AJ,COLUMN() - COLUMN($D50)+2,FALSE)*VLOOKUP($A50,Usinas!$C:$D,2,FALSE)</f>
        <v>99.881600000000006</v>
      </c>
      <c r="AF50" s="309">
        <f>VLOOKUP($A50,Prevs!$C:$AJ,COLUMN() - COLUMN($D50)+2,FALSE)*VLOOKUP($A50,Usinas!$C:$D,2,FALSE)</f>
        <v>85.612800000000007</v>
      </c>
      <c r="AG50" s="309">
        <f>VLOOKUP($A50,Prevs!$C:$AJ,COLUMN() - COLUMN($D50)+2,FALSE)*VLOOKUP($A50,Usinas!$C:$D,2,FALSE)</f>
        <v>85.612800000000007</v>
      </c>
      <c r="AH50" s="309">
        <f>VLOOKUP($A50,Prevs!$C:$AJ,COLUMN() - COLUMN($D50)+2,FALSE)*VLOOKUP($A50,Usinas!$C:$D,2,FALSE)</f>
        <v>89.18</v>
      </c>
      <c r="AI50" s="309">
        <f>VLOOKUP($A50,Prevs!$C:$AJ,COLUMN() - COLUMN($D50)+2,FALSE)*VLOOKUP($A50,Usinas!$C:$D,2,FALSE)</f>
        <v>64.209600000000009</v>
      </c>
      <c r="AJ50" s="330">
        <f>VLOOKUP($A50,Prevs!$C:$AJ,COLUMN() - COLUMN($D50)+2,FALSE)*VLOOKUP($A50,Usinas!$C:$D,2,FALSE)</f>
        <v>73.127600000000001</v>
      </c>
    </row>
    <row r="51" spans="1:37" ht="12.75" customHeight="1" outlineLevel="1" collapsed="1" x14ac:dyDescent="0.25">
      <c r="A51" s="200"/>
      <c r="B51" s="201" t="s">
        <v>92</v>
      </c>
      <c r="D51" s="204">
        <f t="shared" ref="D51:I51" si="29">D50</f>
        <v>99.881600000000006</v>
      </c>
      <c r="E51" s="58">
        <f t="shared" si="29"/>
        <v>85.612800000000007</v>
      </c>
      <c r="F51" s="58">
        <f t="shared" si="29"/>
        <v>85.612800000000007</v>
      </c>
      <c r="G51" s="58">
        <f t="shared" si="29"/>
        <v>89.18</v>
      </c>
      <c r="H51" s="58">
        <f t="shared" si="29"/>
        <v>64.209600000000009</v>
      </c>
      <c r="I51" s="205">
        <f t="shared" si="29"/>
        <v>73.127600000000001</v>
      </c>
      <c r="J51" s="423">
        <f ca="1">SUMPRODUCT(D51:I51,Saida!$B$7:$G$7)/SUM(Saida!$B$7:$G$7)</f>
        <v>81.51052</v>
      </c>
      <c r="M51" s="342">
        <f t="shared" ref="M51:R51" si="30">M50</f>
        <v>80.262</v>
      </c>
      <c r="N51" s="308">
        <f t="shared" si="30"/>
        <v>67.776800000000009</v>
      </c>
      <c r="O51" s="308">
        <f t="shared" si="30"/>
        <v>67.776800000000009</v>
      </c>
      <c r="P51" s="308">
        <f t="shared" si="30"/>
        <v>71.344000000000008</v>
      </c>
      <c r="Q51" s="308">
        <f t="shared" si="30"/>
        <v>51.724400000000003</v>
      </c>
      <c r="R51" s="343">
        <f t="shared" si="30"/>
        <v>58.858800000000002</v>
      </c>
      <c r="S51" s="423">
        <f ca="1">SUMPRODUCT(M51:R51,Saida!$B$7:$G$7)/SUM(Saida!$B$7:$G$7)</f>
        <v>64.982493333333338</v>
      </c>
      <c r="V51" s="342">
        <f t="shared" ref="V51:AA51" si="31">V50</f>
        <v>80.262</v>
      </c>
      <c r="W51" s="308">
        <f t="shared" si="31"/>
        <v>67.776800000000009</v>
      </c>
      <c r="X51" s="308">
        <f t="shared" si="31"/>
        <v>67.776800000000009</v>
      </c>
      <c r="Y51" s="308">
        <f t="shared" si="31"/>
        <v>71.344000000000008</v>
      </c>
      <c r="Z51" s="308">
        <f t="shared" si="31"/>
        <v>51.724400000000003</v>
      </c>
      <c r="AA51" s="343">
        <f t="shared" si="31"/>
        <v>58.858800000000002</v>
      </c>
      <c r="AB51" s="423">
        <f ca="1">SUMPRODUCT(V51:AA51,Saida!$B$7:$G$7)/SUM(Saida!$B$7:$G$7)</f>
        <v>64.982493333333338</v>
      </c>
      <c r="AE51" s="342">
        <f t="shared" ref="AE51:AJ51" si="32">AE50</f>
        <v>99.881600000000006</v>
      </c>
      <c r="AF51" s="308">
        <f t="shared" si="32"/>
        <v>85.612800000000007</v>
      </c>
      <c r="AG51" s="308">
        <f t="shared" si="32"/>
        <v>85.612800000000007</v>
      </c>
      <c r="AH51" s="308">
        <f t="shared" si="32"/>
        <v>89.18</v>
      </c>
      <c r="AI51" s="308">
        <f t="shared" si="32"/>
        <v>64.209600000000009</v>
      </c>
      <c r="AJ51" s="343">
        <f t="shared" si="32"/>
        <v>73.127600000000001</v>
      </c>
      <c r="AK51" s="423">
        <f ca="1">SUMPRODUCT(AE51:AJ51,Saida!$B$7:$G$7)/SUM(Saida!$B$7:$G$7)</f>
        <v>81.51052</v>
      </c>
    </row>
    <row r="52" spans="1:37" ht="12.75" customHeight="1" outlineLevel="1" x14ac:dyDescent="0.25">
      <c r="A52" s="202"/>
      <c r="B52" s="203" t="s">
        <v>13</v>
      </c>
      <c r="D52" s="206"/>
      <c r="E52" s="207"/>
      <c r="F52" s="207"/>
      <c r="G52" s="207"/>
      <c r="H52" s="207"/>
      <c r="I52" s="208"/>
      <c r="J52" s="478">
        <f ca="1">J50</f>
        <v>165.87479999999999</v>
      </c>
      <c r="M52" s="344"/>
      <c r="N52" s="345"/>
      <c r="O52" s="345"/>
      <c r="P52" s="345"/>
      <c r="Q52" s="345"/>
      <c r="R52" s="346"/>
      <c r="V52" s="344"/>
      <c r="W52" s="345"/>
      <c r="X52" s="345"/>
      <c r="Y52" s="345"/>
      <c r="Z52" s="345"/>
      <c r="AA52" s="346"/>
      <c r="AE52" s="344"/>
      <c r="AF52" s="345"/>
      <c r="AG52" s="345"/>
      <c r="AH52" s="345"/>
      <c r="AI52" s="345"/>
      <c r="AJ52" s="346"/>
    </row>
    <row r="53" spans="1:37" ht="12.75" customHeight="1" outlineLevel="1" x14ac:dyDescent="0.25">
      <c r="A53" s="65"/>
      <c r="B53" s="66"/>
      <c r="D53" s="67"/>
      <c r="E53" s="68"/>
      <c r="F53" s="68"/>
      <c r="G53" s="68"/>
      <c r="H53" s="68"/>
      <c r="I53" s="68"/>
      <c r="M53" s="314"/>
      <c r="N53" s="315"/>
      <c r="O53" s="315"/>
      <c r="P53" s="315"/>
      <c r="Q53" s="315"/>
      <c r="R53" s="315"/>
      <c r="V53" s="314"/>
      <c r="W53" s="315"/>
      <c r="X53" s="315"/>
      <c r="Y53" s="315"/>
      <c r="Z53" s="315"/>
      <c r="AA53" s="315"/>
      <c r="AE53" s="314"/>
      <c r="AF53" s="315"/>
      <c r="AG53" s="315"/>
      <c r="AH53" s="315"/>
      <c r="AI53" s="315"/>
      <c r="AJ53" s="315"/>
    </row>
    <row r="54" spans="1:37" ht="12.75" customHeight="1" outlineLevel="1" x14ac:dyDescent="0.25">
      <c r="A54" s="209"/>
      <c r="B54" s="210"/>
      <c r="D54" s="509" t="s">
        <v>240</v>
      </c>
      <c r="E54" s="510" t="s">
        <v>94</v>
      </c>
      <c r="F54" s="510" t="s">
        <v>241</v>
      </c>
      <c r="G54" s="510"/>
      <c r="H54" s="510"/>
      <c r="I54" s="511"/>
      <c r="M54" s="509" t="s">
        <v>240</v>
      </c>
      <c r="N54" s="510" t="s">
        <v>94</v>
      </c>
      <c r="O54" s="510" t="s">
        <v>241</v>
      </c>
      <c r="P54" s="510"/>
      <c r="Q54" s="510"/>
      <c r="R54" s="511"/>
      <c r="V54" s="509" t="s">
        <v>240</v>
      </c>
      <c r="W54" s="510" t="s">
        <v>94</v>
      </c>
      <c r="X54" s="510" t="s">
        <v>241</v>
      </c>
      <c r="Y54" s="510"/>
      <c r="Z54" s="510"/>
      <c r="AA54" s="511"/>
      <c r="AE54" s="509" t="s">
        <v>240</v>
      </c>
      <c r="AF54" s="510" t="s">
        <v>94</v>
      </c>
      <c r="AG54" s="510" t="s">
        <v>241</v>
      </c>
      <c r="AH54" s="510"/>
      <c r="AI54" s="510"/>
      <c r="AJ54" s="511"/>
    </row>
    <row r="55" spans="1:37" ht="12.75" hidden="1" customHeight="1" outlineLevel="2" x14ac:dyDescent="0.25">
      <c r="A55" s="198">
        <v>57</v>
      </c>
      <c r="B55" s="199" t="s">
        <v>242</v>
      </c>
      <c r="D55" s="329">
        <f>VLOOKUP($A55,Prevs!$C:$AJ,COLUMN() - COLUMN($D55)+2,FALSE)*VLOOKUP($A55,Usinas!$C:$D,2,FALSE)</f>
        <v>187.2698</v>
      </c>
      <c r="E55" s="309">
        <f>VLOOKUP($A55,Prevs!$C:$AJ,COLUMN() - COLUMN($D55)+2,FALSE)*VLOOKUP($A55,Usinas!$C:$D,2,FALSE)</f>
        <v>177.85400000000001</v>
      </c>
      <c r="F55" s="309">
        <f>VLOOKUP($A55,Prevs!$C:$AJ,COLUMN() - COLUMN($D55)+2,FALSE)*VLOOKUP($A55,Usinas!$C:$D,2,FALSE)</f>
        <v>153.79140000000001</v>
      </c>
      <c r="G55" s="309">
        <f>VLOOKUP($A55,Prevs!$C:$AJ,COLUMN() - COLUMN($D55)+2,FALSE)*VLOOKUP($A55,Usinas!$C:$D,2,FALSE)</f>
        <v>150.65280000000001</v>
      </c>
      <c r="H55" s="309">
        <f>VLOOKUP($A55,Prevs!$C:$AJ,COLUMN() - COLUMN($D55)+2,FALSE)*VLOOKUP($A55,Usinas!$C:$D,2,FALSE)</f>
        <v>171.57679999999999</v>
      </c>
      <c r="I55" s="330">
        <f>VLOOKUP($A55,Prevs!$C:$AJ,COLUMN() - COLUMN($D55)+2,FALSE)*VLOOKUP($A55,Usinas!$C:$D,2,FALSE)</f>
        <v>126.5902</v>
      </c>
      <c r="J55" s="477">
        <f ca="1">VLOOKUP($A55,Prevs_MLT!$C:$AJ,1+Entrada!$C$4,FALSE)*VLOOKUP($A55,Usinas!$C:$D,2,FALSE)</f>
        <v>244.8108</v>
      </c>
      <c r="M55" s="329">
        <f>VLOOKUP($A55,Prevs!$C:$AJ,COLUMN() - COLUMN($D55)+2,FALSE)*VLOOKUP($A55,Usinas!$C:$D,2,FALSE)</f>
        <v>149.60660000000001</v>
      </c>
      <c r="N55" s="309">
        <f>VLOOKUP($A55,Prevs!$C:$AJ,COLUMN() - COLUMN($D55)+2,FALSE)*VLOOKUP($A55,Usinas!$C:$D,2,FALSE)</f>
        <v>142.28319999999999</v>
      </c>
      <c r="O55" s="309">
        <f>VLOOKUP($A55,Prevs!$C:$AJ,COLUMN() - COLUMN($D55)+2,FALSE)*VLOOKUP($A55,Usinas!$C:$D,2,FALSE)</f>
        <v>123.4516</v>
      </c>
      <c r="P55" s="309">
        <f>VLOOKUP($A55,Prevs!$C:$AJ,COLUMN() - COLUMN($D55)+2,FALSE)*VLOOKUP($A55,Usinas!$C:$D,2,FALSE)</f>
        <v>120.313</v>
      </c>
      <c r="Q55" s="309">
        <f>VLOOKUP($A55,Prevs!$C:$AJ,COLUMN() - COLUMN($D55)+2,FALSE)*VLOOKUP($A55,Usinas!$C:$D,2,FALSE)</f>
        <v>137.0522</v>
      </c>
      <c r="R55" s="330">
        <f>VLOOKUP($A55,Prevs!$C:$AJ,COLUMN() - COLUMN($D55)+2,FALSE)*VLOOKUP($A55,Usinas!$C:$D,2,FALSE)</f>
        <v>101.48140000000001</v>
      </c>
      <c r="V55" s="329">
        <f>VLOOKUP($A55,Prevs!$C:$AJ,COLUMN() - COLUMN($D55)+2,FALSE)*VLOOKUP($A55,Usinas!$C:$D,2,FALSE)</f>
        <v>149.60660000000001</v>
      </c>
      <c r="W55" s="309">
        <f>VLOOKUP($A55,Prevs!$C:$AJ,COLUMN() - COLUMN($D55)+2,FALSE)*VLOOKUP($A55,Usinas!$C:$D,2,FALSE)</f>
        <v>142.28319999999999</v>
      </c>
      <c r="X55" s="309">
        <f>VLOOKUP($A55,Prevs!$C:$AJ,COLUMN() - COLUMN($D55)+2,FALSE)*VLOOKUP($A55,Usinas!$C:$D,2,FALSE)</f>
        <v>123.4516</v>
      </c>
      <c r="Y55" s="309">
        <f>VLOOKUP($A55,Prevs!$C:$AJ,COLUMN() - COLUMN($D55)+2,FALSE)*VLOOKUP($A55,Usinas!$C:$D,2,FALSE)</f>
        <v>120.313</v>
      </c>
      <c r="Z55" s="309">
        <f>VLOOKUP($A55,Prevs!$C:$AJ,COLUMN() - COLUMN($D55)+2,FALSE)*VLOOKUP($A55,Usinas!$C:$D,2,FALSE)</f>
        <v>137.0522</v>
      </c>
      <c r="AA55" s="330">
        <f>VLOOKUP($A55,Prevs!$C:$AJ,COLUMN() - COLUMN($D55)+2,FALSE)*VLOOKUP($A55,Usinas!$C:$D,2,FALSE)</f>
        <v>101.48140000000001</v>
      </c>
      <c r="AE55" s="329">
        <f>VLOOKUP($A55,Prevs!$C:$AJ,COLUMN() - COLUMN($D55)+2,FALSE)*VLOOKUP($A55,Usinas!$C:$D,2,FALSE)</f>
        <v>187.2698</v>
      </c>
      <c r="AF55" s="309">
        <f>VLOOKUP($A55,Prevs!$C:$AJ,COLUMN() - COLUMN($D55)+2,FALSE)*VLOOKUP($A55,Usinas!$C:$D,2,FALSE)</f>
        <v>177.85400000000001</v>
      </c>
      <c r="AG55" s="309">
        <f>VLOOKUP($A55,Prevs!$C:$AJ,COLUMN() - COLUMN($D55)+2,FALSE)*VLOOKUP($A55,Usinas!$C:$D,2,FALSE)</f>
        <v>153.79140000000001</v>
      </c>
      <c r="AH55" s="309">
        <f>VLOOKUP($A55,Prevs!$C:$AJ,COLUMN() - COLUMN($D55)+2,FALSE)*VLOOKUP($A55,Usinas!$C:$D,2,FALSE)</f>
        <v>150.65280000000001</v>
      </c>
      <c r="AI55" s="309">
        <f>VLOOKUP($A55,Prevs!$C:$AJ,COLUMN() - COLUMN($D55)+2,FALSE)*VLOOKUP($A55,Usinas!$C:$D,2,FALSE)</f>
        <v>171.57679999999999</v>
      </c>
      <c r="AJ55" s="330">
        <f>VLOOKUP($A55,Prevs!$C:$AJ,COLUMN() - COLUMN($D55)+2,FALSE)*VLOOKUP($A55,Usinas!$C:$D,2,FALSE)</f>
        <v>126.5902</v>
      </c>
    </row>
    <row r="56" spans="1:37" ht="12.75" customHeight="1" outlineLevel="1" collapsed="1" x14ac:dyDescent="0.25">
      <c r="A56" s="200"/>
      <c r="B56" s="201" t="s">
        <v>92</v>
      </c>
      <c r="D56" s="204">
        <f t="shared" ref="D56:I56" si="33">D55</f>
        <v>187.2698</v>
      </c>
      <c r="E56" s="58">
        <f t="shared" si="33"/>
        <v>177.85400000000001</v>
      </c>
      <c r="F56" s="58">
        <f t="shared" si="33"/>
        <v>153.79140000000001</v>
      </c>
      <c r="G56" s="58">
        <f t="shared" si="33"/>
        <v>150.65280000000001</v>
      </c>
      <c r="H56" s="58">
        <f t="shared" si="33"/>
        <v>171.57679999999999</v>
      </c>
      <c r="I56" s="205">
        <f t="shared" si="33"/>
        <v>126.5902</v>
      </c>
      <c r="J56" s="423">
        <f ca="1">SUMPRODUCT(D56:I56,Saida!$B$7:$G$7)/SUM(Saida!$B$7:$G$7)</f>
        <v>163.03283333333331</v>
      </c>
      <c r="M56" s="342">
        <f t="shared" ref="M56:R56" si="34">M55</f>
        <v>149.60660000000001</v>
      </c>
      <c r="N56" s="308">
        <f t="shared" si="34"/>
        <v>142.28319999999999</v>
      </c>
      <c r="O56" s="308">
        <f t="shared" si="34"/>
        <v>123.4516</v>
      </c>
      <c r="P56" s="308">
        <f t="shared" si="34"/>
        <v>120.313</v>
      </c>
      <c r="Q56" s="308">
        <f t="shared" si="34"/>
        <v>137.0522</v>
      </c>
      <c r="R56" s="343">
        <f t="shared" si="34"/>
        <v>101.48140000000001</v>
      </c>
      <c r="S56" s="423">
        <f ca="1">SUMPRODUCT(M56:R56,Saida!$B$7:$G$7)/SUM(Saida!$B$7:$G$7)</f>
        <v>130.42626666666669</v>
      </c>
      <c r="V56" s="342">
        <f t="shared" ref="V56:AA56" si="35">V55</f>
        <v>149.60660000000001</v>
      </c>
      <c r="W56" s="308">
        <f t="shared" si="35"/>
        <v>142.28319999999999</v>
      </c>
      <c r="X56" s="308">
        <f t="shared" si="35"/>
        <v>123.4516</v>
      </c>
      <c r="Y56" s="308">
        <f t="shared" si="35"/>
        <v>120.313</v>
      </c>
      <c r="Z56" s="308">
        <f t="shared" si="35"/>
        <v>137.0522</v>
      </c>
      <c r="AA56" s="343">
        <f t="shared" si="35"/>
        <v>101.48140000000001</v>
      </c>
      <c r="AB56" s="423">
        <f ca="1">SUMPRODUCT(V56:AA56,Saida!$B$7:$G$7)/SUM(Saida!$B$7:$G$7)</f>
        <v>130.42626666666669</v>
      </c>
      <c r="AE56" s="342">
        <f t="shared" ref="AE56:AJ56" si="36">AE55</f>
        <v>187.2698</v>
      </c>
      <c r="AF56" s="308">
        <f t="shared" si="36"/>
        <v>177.85400000000001</v>
      </c>
      <c r="AG56" s="308">
        <f t="shared" si="36"/>
        <v>153.79140000000001</v>
      </c>
      <c r="AH56" s="308">
        <f t="shared" si="36"/>
        <v>150.65280000000001</v>
      </c>
      <c r="AI56" s="308">
        <f t="shared" si="36"/>
        <v>171.57679999999999</v>
      </c>
      <c r="AJ56" s="343">
        <f t="shared" si="36"/>
        <v>126.5902</v>
      </c>
      <c r="AK56" s="423">
        <f ca="1">SUMPRODUCT(AE56:AJ56,Saida!$B$7:$G$7)/SUM(Saida!$B$7:$G$7)</f>
        <v>163.03283333333331</v>
      </c>
    </row>
    <row r="57" spans="1:37" ht="12.75" customHeight="1" outlineLevel="1" x14ac:dyDescent="0.25">
      <c r="A57" s="202"/>
      <c r="B57" s="203" t="s">
        <v>13</v>
      </c>
      <c r="D57" s="206"/>
      <c r="E57" s="207"/>
      <c r="F57" s="207"/>
      <c r="G57" s="207"/>
      <c r="H57" s="207"/>
      <c r="I57" s="208"/>
      <c r="J57" s="478">
        <f ca="1">J55</f>
        <v>244.8108</v>
      </c>
      <c r="M57" s="344"/>
      <c r="N57" s="345"/>
      <c r="O57" s="345"/>
      <c r="P57" s="345"/>
      <c r="Q57" s="345"/>
      <c r="R57" s="346"/>
      <c r="V57" s="344"/>
      <c r="W57" s="345"/>
      <c r="X57" s="345"/>
      <c r="Y57" s="345"/>
      <c r="Z57" s="345"/>
      <c r="AA57" s="346"/>
      <c r="AE57" s="344"/>
      <c r="AF57" s="345"/>
      <c r="AG57" s="345"/>
      <c r="AH57" s="345"/>
      <c r="AI57" s="345"/>
      <c r="AJ57" s="346"/>
    </row>
    <row r="58" spans="1:37" ht="12.75" customHeight="1" outlineLevel="1" x14ac:dyDescent="0.25">
      <c r="A58" s="65"/>
      <c r="B58" s="66"/>
      <c r="D58" s="67"/>
      <c r="E58" s="68"/>
      <c r="F58" s="68"/>
      <c r="G58" s="68"/>
      <c r="H58" s="68"/>
      <c r="I58" s="68"/>
      <c r="M58" s="314"/>
      <c r="N58" s="315"/>
      <c r="O58" s="315"/>
      <c r="P58" s="315"/>
      <c r="Q58" s="315"/>
      <c r="R58" s="315"/>
      <c r="V58" s="314"/>
      <c r="W58" s="315"/>
      <c r="X58" s="315"/>
      <c r="Y58" s="315"/>
      <c r="Z58" s="315"/>
      <c r="AA58" s="315"/>
      <c r="AE58" s="314"/>
      <c r="AF58" s="315"/>
      <c r="AG58" s="315"/>
      <c r="AH58" s="315"/>
      <c r="AI58" s="315"/>
      <c r="AJ58" s="315"/>
    </row>
    <row r="59" spans="1:37" ht="12.75" customHeight="1" x14ac:dyDescent="0.25">
      <c r="A59" s="209"/>
      <c r="B59" s="210"/>
      <c r="D59" s="509" t="s">
        <v>243</v>
      </c>
      <c r="E59" s="510" t="s">
        <v>203</v>
      </c>
      <c r="F59" s="510" t="s">
        <v>16</v>
      </c>
      <c r="G59" s="510"/>
      <c r="H59" s="510"/>
      <c r="I59" s="511"/>
      <c r="M59" s="509" t="s">
        <v>243</v>
      </c>
      <c r="N59" s="510" t="s">
        <v>203</v>
      </c>
      <c r="O59" s="510" t="s">
        <v>16</v>
      </c>
      <c r="P59" s="510"/>
      <c r="Q59" s="510"/>
      <c r="R59" s="511"/>
      <c r="V59" s="509" t="s">
        <v>243</v>
      </c>
      <c r="W59" s="510" t="s">
        <v>203</v>
      </c>
      <c r="X59" s="510" t="s">
        <v>16</v>
      </c>
      <c r="Y59" s="510"/>
      <c r="Z59" s="510"/>
      <c r="AA59" s="511"/>
      <c r="AE59" s="509" t="s">
        <v>243</v>
      </c>
      <c r="AF59" s="510" t="s">
        <v>203</v>
      </c>
      <c r="AG59" s="510" t="s">
        <v>16</v>
      </c>
      <c r="AH59" s="510"/>
      <c r="AI59" s="510"/>
      <c r="AJ59" s="511"/>
    </row>
    <row r="60" spans="1:37" s="302" customFormat="1" ht="15.75" x14ac:dyDescent="0.25">
      <c r="A60" s="370"/>
      <c r="B60" s="372" t="s">
        <v>92</v>
      </c>
      <c r="C60" s="391"/>
      <c r="D60" s="372">
        <f t="shared" ref="D60:J61" si="37">D14+D26+D41+D46+D51+D56</f>
        <v>11911.218500000001</v>
      </c>
      <c r="E60" s="373">
        <f t="shared" si="37"/>
        <v>15950.820800000001</v>
      </c>
      <c r="F60" s="373">
        <f t="shared" si="37"/>
        <v>11479.436800000001</v>
      </c>
      <c r="G60" s="373">
        <f t="shared" si="37"/>
        <v>10078.8411</v>
      </c>
      <c r="H60" s="373">
        <f t="shared" si="37"/>
        <v>5664.7309999999998</v>
      </c>
      <c r="I60" s="374">
        <f t="shared" si="37"/>
        <v>6045.7946999999986</v>
      </c>
      <c r="J60" s="423">
        <f ca="1">SUMPRODUCT(D60:I60,Saida!$B$7:$G$7)/SUM(Saida!$B$7:$G$7)</f>
        <v>10672.460703333332</v>
      </c>
      <c r="K60" s="303"/>
      <c r="L60" s="303"/>
      <c r="M60" s="372">
        <f t="shared" ref="M60:R60" si="38">M14+M26+M41+M46+M51+M56</f>
        <v>9549.9722000000002</v>
      </c>
      <c r="N60" s="373">
        <f t="shared" si="38"/>
        <v>12818.771300000002</v>
      </c>
      <c r="O60" s="373">
        <f t="shared" si="38"/>
        <v>9196.6957999999995</v>
      </c>
      <c r="P60" s="373">
        <f t="shared" si="38"/>
        <v>8076.6556999999993</v>
      </c>
      <c r="Q60" s="373">
        <f t="shared" si="38"/>
        <v>4540.0735000000004</v>
      </c>
      <c r="R60" s="374">
        <f t="shared" si="38"/>
        <v>4842.7214000000004</v>
      </c>
      <c r="S60" s="423">
        <f ca="1">SUMPRODUCT(M60:R60,Saida!$B$7:$G$7)/SUM(Saida!$B$7:$G$7)</f>
        <v>8560.6022566666688</v>
      </c>
      <c r="T60"/>
      <c r="V60" s="372">
        <f t="shared" ref="V60:AA60" si="39">V14+V26+V41+V46+V51+V56</f>
        <v>9549.9722000000002</v>
      </c>
      <c r="W60" s="373">
        <f t="shared" si="39"/>
        <v>12818.771300000002</v>
      </c>
      <c r="X60" s="373">
        <f t="shared" si="39"/>
        <v>9196.6957999999995</v>
      </c>
      <c r="Y60" s="373">
        <f t="shared" si="39"/>
        <v>8076.6556999999993</v>
      </c>
      <c r="Z60" s="373">
        <f t="shared" si="39"/>
        <v>4540.0735000000004</v>
      </c>
      <c r="AA60" s="374">
        <f t="shared" si="39"/>
        <v>4842.7214000000004</v>
      </c>
      <c r="AB60" s="423">
        <f ca="1">SUMPRODUCT(V60:AA60,Saida!$B$7:$G$7)/SUM(Saida!$B$7:$G$7)</f>
        <v>8560.6022566666688</v>
      </c>
      <c r="AE60" s="372">
        <f t="shared" ref="AE60:AJ60" si="40">AE14+AE26+AE41+AE46+AE51+AE56</f>
        <v>11911.218500000001</v>
      </c>
      <c r="AF60" s="373">
        <f t="shared" si="40"/>
        <v>15950.820800000001</v>
      </c>
      <c r="AG60" s="373">
        <f t="shared" si="40"/>
        <v>11479.436800000001</v>
      </c>
      <c r="AH60" s="373">
        <f t="shared" si="40"/>
        <v>10078.8411</v>
      </c>
      <c r="AI60" s="373">
        <f t="shared" si="40"/>
        <v>5664.7309999999998</v>
      </c>
      <c r="AJ60" s="374">
        <f t="shared" si="40"/>
        <v>6045.7946999999986</v>
      </c>
      <c r="AK60" s="423">
        <f ca="1">SUMPRODUCT(AE60:AJ60,Saida!$B$7:$G$7)/SUM(Saida!$B$7:$G$7)</f>
        <v>10672.460703333332</v>
      </c>
    </row>
    <row r="61" spans="1:37" s="302" customFormat="1" ht="15.75" x14ac:dyDescent="0.25">
      <c r="A61" s="371"/>
      <c r="B61" s="375" t="s">
        <v>13</v>
      </c>
      <c r="C61" s="391"/>
      <c r="D61" s="375"/>
      <c r="E61" s="376"/>
      <c r="F61" s="376"/>
      <c r="G61" s="376"/>
      <c r="H61" s="376"/>
      <c r="I61" s="377"/>
      <c r="J61" s="479">
        <f t="shared" ca="1" si="37"/>
        <v>8561.4878000000008</v>
      </c>
      <c r="K61" s="303"/>
      <c r="L61" s="303"/>
      <c r="M61" s="375"/>
      <c r="N61" s="376"/>
      <c r="O61" s="376"/>
      <c r="P61" s="376"/>
      <c r="Q61" s="376"/>
      <c r="R61" s="377"/>
      <c r="S61" s="303"/>
      <c r="T61"/>
      <c r="V61" s="375"/>
      <c r="W61" s="376"/>
      <c r="X61" s="376"/>
      <c r="Y61" s="376"/>
      <c r="Z61" s="376"/>
      <c r="AA61" s="377"/>
      <c r="AB61" s="303"/>
      <c r="AE61" s="375"/>
      <c r="AF61" s="376"/>
      <c r="AG61" s="376"/>
      <c r="AH61" s="376"/>
      <c r="AI61" s="376"/>
      <c r="AJ61" s="377"/>
      <c r="AK61" s="303"/>
    </row>
    <row r="63" spans="1:37" x14ac:dyDescent="0.25">
      <c r="D63" s="228"/>
      <c r="E63" s="228"/>
      <c r="F63" s="228"/>
      <c r="G63" s="228"/>
      <c r="H63" s="228"/>
      <c r="I63" s="228"/>
      <c r="M63" s="357"/>
      <c r="N63" s="357"/>
      <c r="O63" s="357"/>
      <c r="P63" s="357"/>
      <c r="Q63" s="357"/>
      <c r="R63" s="357"/>
      <c r="V63" s="357"/>
      <c r="W63" s="357"/>
      <c r="X63" s="357"/>
      <c r="Y63" s="357"/>
      <c r="Z63" s="357"/>
      <c r="AA63" s="357"/>
      <c r="AE63" s="357"/>
      <c r="AF63" s="357"/>
      <c r="AG63" s="357"/>
      <c r="AH63" s="357"/>
      <c r="AI63" s="357"/>
      <c r="AJ63" s="357"/>
    </row>
    <row r="64" spans="1:37" x14ac:dyDescent="0.25">
      <c r="D64" s="246"/>
      <c r="E64" s="246"/>
      <c r="F64" s="246"/>
      <c r="G64" s="246"/>
      <c r="H64" s="246"/>
      <c r="I64" s="246"/>
      <c r="M64" s="366"/>
      <c r="N64" s="366"/>
      <c r="O64" s="366"/>
      <c r="P64" s="366"/>
      <c r="Q64" s="366"/>
      <c r="R64" s="366"/>
      <c r="V64" s="366"/>
      <c r="W64" s="366"/>
      <c r="X64" s="366"/>
      <c r="Y64" s="366"/>
      <c r="Z64" s="366"/>
      <c r="AA64" s="366"/>
      <c r="AE64" s="366"/>
      <c r="AF64" s="366"/>
      <c r="AG64" s="366"/>
      <c r="AH64" s="366"/>
      <c r="AI64" s="366"/>
      <c r="AJ64" s="366"/>
    </row>
  </sheetData>
  <mergeCells count="30">
    <mergeCell ref="D59:I59"/>
    <mergeCell ref="D29:I29"/>
    <mergeCell ref="D44:I44"/>
    <mergeCell ref="D49:I49"/>
    <mergeCell ref="A1:A4"/>
    <mergeCell ref="B1:B4"/>
    <mergeCell ref="D6:I6"/>
    <mergeCell ref="D17:I17"/>
    <mergeCell ref="D54:I54"/>
    <mergeCell ref="M54:R54"/>
    <mergeCell ref="M59:R59"/>
    <mergeCell ref="M6:R6"/>
    <mergeCell ref="M17:R17"/>
    <mergeCell ref="M29:R29"/>
    <mergeCell ref="M44:R44"/>
    <mergeCell ref="M49:R49"/>
    <mergeCell ref="V54:AA54"/>
    <mergeCell ref="V59:AA59"/>
    <mergeCell ref="AE6:AJ6"/>
    <mergeCell ref="AE17:AJ17"/>
    <mergeCell ref="AE29:AJ29"/>
    <mergeCell ref="AE44:AJ44"/>
    <mergeCell ref="AE49:AJ49"/>
    <mergeCell ref="AE54:AJ54"/>
    <mergeCell ref="AE59:AJ59"/>
    <mergeCell ref="V6:AA6"/>
    <mergeCell ref="V17:AA17"/>
    <mergeCell ref="V29:AA29"/>
    <mergeCell ref="V44:AA44"/>
    <mergeCell ref="V49:AA49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5" tint="-0.249977111117893"/>
  </sheetPr>
  <dimension ref="A1:AK31"/>
  <sheetViews>
    <sheetView workbookViewId="0">
      <selection sqref="A1:A4"/>
    </sheetView>
  </sheetViews>
  <sheetFormatPr defaultRowHeight="15" outlineLevelRow="2" x14ac:dyDescent="0.25"/>
  <cols>
    <col min="1" max="1" width="5.28515625" bestFit="1" customWidth="1"/>
    <col min="2" max="2" width="35.42578125" bestFit="1" customWidth="1"/>
    <col min="3" max="3" width="1.85546875" style="387" customWidth="1"/>
    <col min="4" max="5" width="10.5703125" bestFit="1" customWidth="1"/>
    <col min="6" max="6" width="10.28515625" bestFit="1" customWidth="1"/>
    <col min="7" max="9" width="10.5703125" bestFit="1" customWidth="1"/>
    <col min="10" max="10" width="8.28515625" bestFit="1" customWidth="1"/>
    <col min="11" max="12" width="1.5703125" style="302" customWidth="1"/>
    <col min="13" max="14" width="10.5703125" bestFit="1" customWidth="1"/>
    <col min="15" max="15" width="10.28515625" bestFit="1" customWidth="1"/>
    <col min="16" max="18" width="10.5703125" bestFit="1" customWidth="1"/>
    <col min="19" max="19" width="7" style="419" bestFit="1" customWidth="1"/>
    <col min="20" max="21" width="1.5703125" style="419" customWidth="1"/>
    <col min="22" max="23" width="10.5703125" style="419" bestFit="1" customWidth="1"/>
    <col min="24" max="24" width="10.28515625" style="419" bestFit="1" customWidth="1"/>
    <col min="25" max="27" width="10.5703125" style="419" bestFit="1" customWidth="1"/>
    <col min="28" max="28" width="7" style="419" bestFit="1" customWidth="1"/>
    <col min="29" max="30" width="1.5703125" style="419" customWidth="1"/>
    <col min="31" max="32" width="10.5703125" style="419" bestFit="1" customWidth="1"/>
    <col min="33" max="33" width="10.28515625" style="419" bestFit="1" customWidth="1"/>
    <col min="34" max="36" width="10.5703125" style="419" bestFit="1" customWidth="1"/>
    <col min="37" max="37" width="7" style="419" bestFit="1" customWidth="1"/>
  </cols>
  <sheetData>
    <row r="1" spans="1:37" s="302" customFormat="1" ht="16.5" customHeight="1" x14ac:dyDescent="0.25">
      <c r="A1" s="512" t="s">
        <v>75</v>
      </c>
      <c r="B1" s="514" t="s">
        <v>204</v>
      </c>
      <c r="C1" s="387"/>
      <c r="D1" s="347" t="s">
        <v>69</v>
      </c>
      <c r="E1" s="348" t="s">
        <v>70</v>
      </c>
      <c r="F1" s="348" t="s">
        <v>71</v>
      </c>
      <c r="G1" s="348" t="s">
        <v>72</v>
      </c>
      <c r="H1" s="348" t="s">
        <v>73</v>
      </c>
      <c r="I1" s="349" t="s">
        <v>74</v>
      </c>
      <c r="J1" s="303"/>
      <c r="K1" s="303"/>
      <c r="L1" s="303"/>
      <c r="M1" s="378" t="str">
        <f t="shared" ref="M1:R4" si="0">D1</f>
        <v>Semana-1</v>
      </c>
      <c r="N1" s="379" t="str">
        <f t="shared" si="0"/>
        <v>Semana-2</v>
      </c>
      <c r="O1" s="379" t="str">
        <f t="shared" si="0"/>
        <v>Semana-3</v>
      </c>
      <c r="P1" s="379" t="str">
        <f t="shared" si="0"/>
        <v>Semana-4</v>
      </c>
      <c r="Q1" s="379" t="str">
        <f t="shared" si="0"/>
        <v>Semana-5</v>
      </c>
      <c r="R1" s="380" t="str">
        <f t="shared" si="0"/>
        <v>Semana-6</v>
      </c>
      <c r="S1" s="303"/>
      <c r="T1" s="303"/>
      <c r="U1" s="303"/>
      <c r="V1" s="378" t="str">
        <f t="shared" ref="V1:V4" si="1">M1</f>
        <v>Semana-1</v>
      </c>
      <c r="W1" s="379" t="str">
        <f t="shared" ref="W1:W4" si="2">N1</f>
        <v>Semana-2</v>
      </c>
      <c r="X1" s="379" t="str">
        <f t="shared" ref="X1:X4" si="3">O1</f>
        <v>Semana-3</v>
      </c>
      <c r="Y1" s="379" t="str">
        <f t="shared" ref="Y1:Y4" si="4">P1</f>
        <v>Semana-4</v>
      </c>
      <c r="Z1" s="379" t="str">
        <f t="shared" ref="Z1:Z4" si="5">Q1</f>
        <v>Semana-5</v>
      </c>
      <c r="AA1" s="380" t="str">
        <f t="shared" ref="AA1:AA4" si="6">R1</f>
        <v>Semana-6</v>
      </c>
      <c r="AB1" s="303"/>
      <c r="AC1" s="303"/>
      <c r="AD1" s="303"/>
      <c r="AE1" s="378" t="str">
        <f t="shared" ref="AE1:AE4" si="7">V1</f>
        <v>Semana-1</v>
      </c>
      <c r="AF1" s="379" t="str">
        <f t="shared" ref="AF1:AF4" si="8">W1</f>
        <v>Semana-2</v>
      </c>
      <c r="AG1" s="379" t="str">
        <f t="shared" ref="AG1:AG4" si="9">X1</f>
        <v>Semana-3</v>
      </c>
      <c r="AH1" s="379" t="str">
        <f t="shared" ref="AH1:AH4" si="10">Y1</f>
        <v>Semana-4</v>
      </c>
      <c r="AI1" s="379" t="str">
        <f t="shared" ref="AI1:AI4" si="11">Z1</f>
        <v>Semana-5</v>
      </c>
      <c r="AJ1" s="380" t="str">
        <f t="shared" ref="AJ1:AJ4" si="12">AA1</f>
        <v>Semana-6</v>
      </c>
      <c r="AK1" s="303"/>
    </row>
    <row r="2" spans="1:37" s="302" customFormat="1" x14ac:dyDescent="0.25">
      <c r="A2" s="513"/>
      <c r="B2" s="515"/>
      <c r="C2" s="387"/>
      <c r="D2" s="350">
        <f ca="1">Saida!B4</f>
        <v>42119</v>
      </c>
      <c r="E2" s="326">
        <f ca="1">Saida!C4</f>
        <v>42126</v>
      </c>
      <c r="F2" s="326">
        <f ca="1">Saida!D4</f>
        <v>42133</v>
      </c>
      <c r="G2" s="326">
        <f ca="1">Saida!E4</f>
        <v>42140</v>
      </c>
      <c r="H2" s="326">
        <f ca="1">Saida!F4</f>
        <v>42147</v>
      </c>
      <c r="I2" s="351">
        <f ca="1">Saida!G4</f>
        <v>42154</v>
      </c>
      <c r="J2" s="303"/>
      <c r="K2" s="303"/>
      <c r="L2" s="303"/>
      <c r="M2" s="381">
        <f t="shared" ca="1" si="0"/>
        <v>42119</v>
      </c>
      <c r="N2" s="382">
        <f t="shared" ca="1" si="0"/>
        <v>42126</v>
      </c>
      <c r="O2" s="382">
        <f t="shared" ca="1" si="0"/>
        <v>42133</v>
      </c>
      <c r="P2" s="382">
        <f t="shared" ca="1" si="0"/>
        <v>42140</v>
      </c>
      <c r="Q2" s="382">
        <f t="shared" ca="1" si="0"/>
        <v>42147</v>
      </c>
      <c r="R2" s="383">
        <f t="shared" ca="1" si="0"/>
        <v>42154</v>
      </c>
      <c r="S2" s="303"/>
      <c r="T2" s="303"/>
      <c r="U2" s="303"/>
      <c r="V2" s="381">
        <f t="shared" ca="1" si="1"/>
        <v>42119</v>
      </c>
      <c r="W2" s="382">
        <f t="shared" ca="1" si="2"/>
        <v>42126</v>
      </c>
      <c r="X2" s="382">
        <f t="shared" ca="1" si="3"/>
        <v>42133</v>
      </c>
      <c r="Y2" s="382">
        <f t="shared" ca="1" si="4"/>
        <v>42140</v>
      </c>
      <c r="Z2" s="382">
        <f t="shared" ca="1" si="5"/>
        <v>42147</v>
      </c>
      <c r="AA2" s="383">
        <f t="shared" ca="1" si="6"/>
        <v>42154</v>
      </c>
      <c r="AB2" s="303"/>
      <c r="AC2" s="303"/>
      <c r="AD2" s="303"/>
      <c r="AE2" s="381">
        <f t="shared" ca="1" si="7"/>
        <v>42119</v>
      </c>
      <c r="AF2" s="382">
        <f t="shared" ca="1" si="8"/>
        <v>42126</v>
      </c>
      <c r="AG2" s="382">
        <f t="shared" ca="1" si="9"/>
        <v>42133</v>
      </c>
      <c r="AH2" s="382">
        <f t="shared" ca="1" si="10"/>
        <v>42140</v>
      </c>
      <c r="AI2" s="382">
        <f t="shared" ca="1" si="11"/>
        <v>42147</v>
      </c>
      <c r="AJ2" s="383">
        <f t="shared" ca="1" si="12"/>
        <v>42154</v>
      </c>
      <c r="AK2" s="303"/>
    </row>
    <row r="3" spans="1:37" s="302" customFormat="1" x14ac:dyDescent="0.25">
      <c r="A3" s="513"/>
      <c r="B3" s="515"/>
      <c r="C3" s="387"/>
      <c r="D3" s="350" t="str">
        <f>Saida!B5</f>
        <v>a</v>
      </c>
      <c r="E3" s="326" t="str">
        <f>Saida!C5</f>
        <v>a</v>
      </c>
      <c r="F3" s="326" t="str">
        <f>Saida!D5</f>
        <v>a</v>
      </c>
      <c r="G3" s="326" t="str">
        <f>Saida!E5</f>
        <v>a</v>
      </c>
      <c r="H3" s="326" t="str">
        <f>Saida!F5</f>
        <v>a</v>
      </c>
      <c r="I3" s="351" t="str">
        <f>Saida!G5</f>
        <v>a</v>
      </c>
      <c r="J3" s="303"/>
      <c r="K3" s="303"/>
      <c r="L3" s="303"/>
      <c r="M3" s="381" t="str">
        <f t="shared" si="0"/>
        <v>a</v>
      </c>
      <c r="N3" s="382" t="str">
        <f t="shared" si="0"/>
        <v>a</v>
      </c>
      <c r="O3" s="382" t="str">
        <f t="shared" si="0"/>
        <v>a</v>
      </c>
      <c r="P3" s="382" t="str">
        <f t="shared" si="0"/>
        <v>a</v>
      </c>
      <c r="Q3" s="382" t="str">
        <f t="shared" si="0"/>
        <v>a</v>
      </c>
      <c r="R3" s="383" t="str">
        <f t="shared" si="0"/>
        <v>a</v>
      </c>
      <c r="S3" s="303"/>
      <c r="T3" s="303"/>
      <c r="U3" s="303"/>
      <c r="V3" s="381" t="str">
        <f t="shared" si="1"/>
        <v>a</v>
      </c>
      <c r="W3" s="382" t="str">
        <f t="shared" si="2"/>
        <v>a</v>
      </c>
      <c r="X3" s="382" t="str">
        <f t="shared" si="3"/>
        <v>a</v>
      </c>
      <c r="Y3" s="382" t="str">
        <f t="shared" si="4"/>
        <v>a</v>
      </c>
      <c r="Z3" s="382" t="str">
        <f t="shared" si="5"/>
        <v>a</v>
      </c>
      <c r="AA3" s="383" t="str">
        <f t="shared" si="6"/>
        <v>a</v>
      </c>
      <c r="AB3" s="303"/>
      <c r="AC3" s="303"/>
      <c r="AD3" s="303"/>
      <c r="AE3" s="381" t="str">
        <f t="shared" si="7"/>
        <v>a</v>
      </c>
      <c r="AF3" s="382" t="str">
        <f t="shared" si="8"/>
        <v>a</v>
      </c>
      <c r="AG3" s="382" t="str">
        <f t="shared" si="9"/>
        <v>a</v>
      </c>
      <c r="AH3" s="382" t="str">
        <f t="shared" si="10"/>
        <v>a</v>
      </c>
      <c r="AI3" s="382" t="str">
        <f t="shared" si="11"/>
        <v>a</v>
      </c>
      <c r="AJ3" s="383" t="str">
        <f t="shared" si="12"/>
        <v>a</v>
      </c>
      <c r="AK3" s="303"/>
    </row>
    <row r="4" spans="1:37" s="302" customFormat="1" x14ac:dyDescent="0.25">
      <c r="A4" s="513"/>
      <c r="B4" s="515"/>
      <c r="C4" s="387"/>
      <c r="D4" s="350">
        <f ca="1">Saida!B6</f>
        <v>42125</v>
      </c>
      <c r="E4" s="326">
        <f ca="1">Saida!C6</f>
        <v>42132</v>
      </c>
      <c r="F4" s="326">
        <f ca="1">Saida!D6</f>
        <v>42139</v>
      </c>
      <c r="G4" s="326">
        <f ca="1">Saida!E6</f>
        <v>42146</v>
      </c>
      <c r="H4" s="326">
        <f ca="1">Saida!F6</f>
        <v>42153</v>
      </c>
      <c r="I4" s="351">
        <f ca="1">Saida!G6</f>
        <v>42160</v>
      </c>
      <c r="J4" s="303"/>
      <c r="K4" s="303"/>
      <c r="L4" s="303"/>
      <c r="M4" s="381">
        <f t="shared" ca="1" si="0"/>
        <v>42125</v>
      </c>
      <c r="N4" s="382">
        <f t="shared" ca="1" si="0"/>
        <v>42132</v>
      </c>
      <c r="O4" s="382">
        <f t="shared" ca="1" si="0"/>
        <v>42139</v>
      </c>
      <c r="P4" s="382">
        <f t="shared" ca="1" si="0"/>
        <v>42146</v>
      </c>
      <c r="Q4" s="382">
        <f t="shared" ca="1" si="0"/>
        <v>42153</v>
      </c>
      <c r="R4" s="383">
        <f t="shared" ca="1" si="0"/>
        <v>42160</v>
      </c>
      <c r="S4" s="303"/>
      <c r="T4" s="303"/>
      <c r="U4" s="303"/>
      <c r="V4" s="381">
        <f t="shared" ca="1" si="1"/>
        <v>42125</v>
      </c>
      <c r="W4" s="382">
        <f t="shared" ca="1" si="2"/>
        <v>42132</v>
      </c>
      <c r="X4" s="382">
        <f t="shared" ca="1" si="3"/>
        <v>42139</v>
      </c>
      <c r="Y4" s="382">
        <f t="shared" ca="1" si="4"/>
        <v>42146</v>
      </c>
      <c r="Z4" s="382">
        <f t="shared" ca="1" si="5"/>
        <v>42153</v>
      </c>
      <c r="AA4" s="383">
        <f t="shared" ca="1" si="6"/>
        <v>42160</v>
      </c>
      <c r="AB4" s="303"/>
      <c r="AC4" s="303"/>
      <c r="AD4" s="303"/>
      <c r="AE4" s="381">
        <f t="shared" ca="1" si="7"/>
        <v>42125</v>
      </c>
      <c r="AF4" s="382">
        <f t="shared" ca="1" si="8"/>
        <v>42132</v>
      </c>
      <c r="AG4" s="382">
        <f t="shared" ca="1" si="9"/>
        <v>42139</v>
      </c>
      <c r="AH4" s="382">
        <f t="shared" ca="1" si="10"/>
        <v>42146</v>
      </c>
      <c r="AI4" s="382">
        <f t="shared" ca="1" si="11"/>
        <v>42153</v>
      </c>
      <c r="AJ4" s="383">
        <f t="shared" ca="1" si="12"/>
        <v>42160</v>
      </c>
      <c r="AK4" s="303"/>
    </row>
    <row r="5" spans="1:37" s="387" customFormat="1" x14ac:dyDescent="0.25">
      <c r="A5" s="392"/>
      <c r="B5" s="393"/>
      <c r="D5" s="394"/>
      <c r="E5" s="395"/>
      <c r="F5" s="395"/>
      <c r="G5" s="395"/>
      <c r="H5" s="395"/>
      <c r="I5" s="396"/>
    </row>
    <row r="6" spans="1:37" outlineLevel="1" x14ac:dyDescent="0.25">
      <c r="A6" s="196"/>
      <c r="B6" s="197"/>
      <c r="D6" s="516" t="s">
        <v>244</v>
      </c>
      <c r="E6" s="517"/>
      <c r="F6" s="517"/>
      <c r="G6" s="517"/>
      <c r="H6" s="517"/>
      <c r="I6" s="518"/>
      <c r="J6" s="419" t="s">
        <v>319</v>
      </c>
      <c r="M6" s="516" t="s">
        <v>244</v>
      </c>
      <c r="N6" s="517"/>
      <c r="O6" s="517"/>
      <c r="P6" s="517"/>
      <c r="Q6" s="517"/>
      <c r="R6" s="518"/>
      <c r="V6" s="516" t="s">
        <v>244</v>
      </c>
      <c r="W6" s="517"/>
      <c r="X6" s="517"/>
      <c r="Y6" s="517"/>
      <c r="Z6" s="517"/>
      <c r="AA6" s="518"/>
      <c r="AE6" s="516" t="s">
        <v>244</v>
      </c>
      <c r="AF6" s="517"/>
      <c r="AG6" s="517"/>
      <c r="AH6" s="517"/>
      <c r="AI6" s="517"/>
      <c r="AJ6" s="518"/>
    </row>
    <row r="7" spans="1:37" hidden="1" outlineLevel="2" x14ac:dyDescent="0.25">
      <c r="A7" s="198">
        <v>169</v>
      </c>
      <c r="B7" s="199" t="s">
        <v>64</v>
      </c>
      <c r="D7" s="301">
        <f>VLOOKUP($A7,Prevs!$C:$AJ,COLUMN() - COLUMN($D7)+2,FALSE)*VLOOKUP($A7,Usinas!$C:$D,2,FALSE)</f>
        <v>160.506</v>
      </c>
      <c r="E7" s="301">
        <f>VLOOKUP($A7,Prevs!$C:$AJ,COLUMN() - COLUMN($D7)+2,FALSE)*VLOOKUP($A7,Usinas!$C:$D,2,FALSE)</f>
        <v>174.24299999999999</v>
      </c>
      <c r="F7" s="301">
        <f>VLOOKUP($A7,Prevs!$C:$AJ,COLUMN() - COLUMN($D7)+2,FALSE)*VLOOKUP($A7,Usinas!$C:$D,2,FALSE)</f>
        <v>174.72499999999999</v>
      </c>
      <c r="G7" s="301">
        <f>VLOOKUP($A7,Prevs!$C:$AJ,COLUMN() - COLUMN($D7)+2,FALSE)*VLOOKUP($A7,Usinas!$C:$D,2,FALSE)</f>
        <v>173.51999999999998</v>
      </c>
      <c r="H7" s="301">
        <f>VLOOKUP($A7,Prevs!$C:$AJ,COLUMN() - COLUMN($D7)+2,FALSE)*VLOOKUP($A7,Usinas!$C:$D,2,FALSE)</f>
        <v>167.73599999999999</v>
      </c>
      <c r="I7" s="301">
        <f>VLOOKUP($A7,Prevs!$C:$AJ,COLUMN() - COLUMN($D7)+2,FALSE)*VLOOKUP($A7,Usinas!$C:$D,2,FALSE)</f>
        <v>167.73599999999999</v>
      </c>
      <c r="J7" s="477">
        <f ca="1">VLOOKUP($A7,Prevs_MLT!$C:$AJ,1+Entrada!$C$4,FALSE)*VLOOKUP($A7,Usinas!$C:$D,2,FALSE)</f>
        <v>548.03399999999999</v>
      </c>
      <c r="M7" s="341">
        <f>VLOOKUP($A7,Prevs!$C:$AJ,COLUMN() - COLUMN($D7)+2,FALSE)*VLOOKUP($A7,Usinas!$C:$D,2,FALSE)</f>
        <v>289.68200000000002</v>
      </c>
      <c r="N7" s="341">
        <f>VLOOKUP($A7,Prevs!$C:$AJ,COLUMN() - COLUMN($D7)+2,FALSE)*VLOOKUP($A7,Usinas!$C:$D,2,FALSE)</f>
        <v>315.46899999999999</v>
      </c>
      <c r="O7" s="341">
        <f>VLOOKUP($A7,Prevs!$C:$AJ,COLUMN() - COLUMN($D7)+2,FALSE)*VLOOKUP($A7,Usinas!$C:$D,2,FALSE)</f>
        <v>316.91499999999996</v>
      </c>
      <c r="P7" s="341">
        <f>VLOOKUP($A7,Prevs!$C:$AJ,COLUMN() - COLUMN($D7)+2,FALSE)*VLOOKUP($A7,Usinas!$C:$D,2,FALSE)</f>
        <v>314.505</v>
      </c>
      <c r="Q7" s="341">
        <f>VLOOKUP($A7,Prevs!$C:$AJ,COLUMN() - COLUMN($D7)+2,FALSE)*VLOOKUP($A7,Usinas!$C:$D,2,FALSE)</f>
        <v>303.90100000000001</v>
      </c>
      <c r="R7" s="341">
        <f>VLOOKUP($A7,Prevs!$C:$AJ,COLUMN() - COLUMN($D7)+2,FALSE)*VLOOKUP($A7,Usinas!$C:$D,2,FALSE)</f>
        <v>303.65999999999997</v>
      </c>
      <c r="V7" s="341">
        <f>VLOOKUP($A7,Prevs!$C:$AJ,COLUMN() - COLUMN($D7)+2,FALSE)*VLOOKUP($A7,Usinas!$C:$D,2,FALSE)</f>
        <v>285.82599999999996</v>
      </c>
      <c r="W7" s="341">
        <f>VLOOKUP($A7,Prevs!$C:$AJ,COLUMN() - COLUMN($D7)+2,FALSE)*VLOOKUP($A7,Usinas!$C:$D,2,FALSE)</f>
        <v>311.85399999999998</v>
      </c>
      <c r="X7" s="341">
        <f>VLOOKUP($A7,Prevs!$C:$AJ,COLUMN() - COLUMN($D7)+2,FALSE)*VLOOKUP($A7,Usinas!$C:$D,2,FALSE)</f>
        <v>313.78199999999998</v>
      </c>
      <c r="Y7" s="341">
        <f>VLOOKUP($A7,Prevs!$C:$AJ,COLUMN() - COLUMN($D7)+2,FALSE)*VLOOKUP($A7,Usinas!$C:$D,2,FALSE)</f>
        <v>311.13099999999997</v>
      </c>
      <c r="Z7" s="341">
        <f>VLOOKUP($A7,Prevs!$C:$AJ,COLUMN() - COLUMN($D7)+2,FALSE)*VLOOKUP($A7,Usinas!$C:$D,2,FALSE)</f>
        <v>300.52699999999999</v>
      </c>
      <c r="AA7" s="341">
        <f>VLOOKUP($A7,Prevs!$C:$AJ,COLUMN() - COLUMN($D7)+2,FALSE)*VLOOKUP($A7,Usinas!$C:$D,2,FALSE)</f>
        <v>300.286</v>
      </c>
      <c r="AE7" s="341">
        <f>VLOOKUP($A7,Prevs!$C:$AJ,COLUMN() - COLUMN($D7)+2,FALSE)*VLOOKUP($A7,Usinas!$C:$D,2,FALSE)</f>
        <v>160.506</v>
      </c>
      <c r="AF7" s="341">
        <f>VLOOKUP($A7,Prevs!$C:$AJ,COLUMN() - COLUMN($D7)+2,FALSE)*VLOOKUP($A7,Usinas!$C:$D,2,FALSE)</f>
        <v>174.24299999999999</v>
      </c>
      <c r="AG7" s="341">
        <f>VLOOKUP($A7,Prevs!$C:$AJ,COLUMN() - COLUMN($D7)+2,FALSE)*VLOOKUP($A7,Usinas!$C:$D,2,FALSE)</f>
        <v>174.72499999999999</v>
      </c>
      <c r="AH7" s="341">
        <f>VLOOKUP($A7,Prevs!$C:$AJ,COLUMN() - COLUMN($D7)+2,FALSE)*VLOOKUP($A7,Usinas!$C:$D,2,FALSE)</f>
        <v>173.51999999999998</v>
      </c>
      <c r="AI7" s="341">
        <f>VLOOKUP($A7,Prevs!$C:$AJ,COLUMN() - COLUMN($D7)+2,FALSE)*VLOOKUP($A7,Usinas!$C:$D,2,FALSE)</f>
        <v>167.73599999999999</v>
      </c>
      <c r="AJ7" s="341">
        <f>VLOOKUP($A7,Prevs!$C:$AJ,COLUMN() - COLUMN($D7)+2,FALSE)*VLOOKUP($A7,Usinas!$C:$D,2,FALSE)</f>
        <v>167.73599999999999</v>
      </c>
    </row>
    <row r="8" spans="1:37" hidden="1" outlineLevel="2" x14ac:dyDescent="0.25">
      <c r="A8" s="198">
        <v>172</v>
      </c>
      <c r="B8" s="199" t="s">
        <v>245</v>
      </c>
      <c r="D8" s="301">
        <f>VLOOKUP($A8,Prevs!$C:$AJ,COLUMN() - COLUMN($D8)+2,FALSE)*VLOOKUP($A8,Usinas!$C:$D,2,FALSE)</f>
        <v>298.3014</v>
      </c>
      <c r="E8" s="301">
        <f>VLOOKUP($A8,Prevs!$C:$AJ,COLUMN() - COLUMN($D8)+2,FALSE)*VLOOKUP($A8,Usinas!$C:$D,2,FALSE)</f>
        <v>323.83170000000001</v>
      </c>
      <c r="F8" s="301">
        <f>VLOOKUP($A8,Prevs!$C:$AJ,COLUMN() - COLUMN($D8)+2,FALSE)*VLOOKUP($A8,Usinas!$C:$D,2,FALSE)</f>
        <v>324.72750000000002</v>
      </c>
      <c r="G8" s="301">
        <f>VLOOKUP($A8,Prevs!$C:$AJ,COLUMN() - COLUMN($D8)+2,FALSE)*VLOOKUP($A8,Usinas!$C:$D,2,FALSE)</f>
        <v>322.488</v>
      </c>
      <c r="H8" s="301">
        <f>VLOOKUP($A8,Prevs!$C:$AJ,COLUMN() - COLUMN($D8)+2,FALSE)*VLOOKUP($A8,Usinas!$C:$D,2,FALSE)</f>
        <v>311.73840000000001</v>
      </c>
      <c r="I8" s="301">
        <f>VLOOKUP($A8,Prevs!$C:$AJ,COLUMN() - COLUMN($D8)+2,FALSE)*VLOOKUP($A8,Usinas!$C:$D,2,FALSE)</f>
        <v>311.73840000000001</v>
      </c>
      <c r="J8" s="477">
        <f ca="1">VLOOKUP($A8,Prevs_MLT!$C:$AJ,1+Entrada!$C$4,FALSE)*VLOOKUP($A8,Usinas!$C:$D,2,FALSE)</f>
        <v>1099.5945000000002</v>
      </c>
      <c r="M8" s="341">
        <f>VLOOKUP($A8,Prevs!$C:$AJ,COLUMN() - COLUMN($D8)+2,FALSE)*VLOOKUP($A8,Usinas!$C:$D,2,FALSE)</f>
        <v>538.37580000000003</v>
      </c>
      <c r="N8" s="341">
        <f>VLOOKUP($A8,Prevs!$C:$AJ,COLUMN() - COLUMN($D8)+2,FALSE)*VLOOKUP($A8,Usinas!$C:$D,2,FALSE)</f>
        <v>586.30110000000002</v>
      </c>
      <c r="O8" s="341">
        <f>VLOOKUP($A8,Prevs!$C:$AJ,COLUMN() - COLUMN($D8)+2,FALSE)*VLOOKUP($A8,Usinas!$C:$D,2,FALSE)</f>
        <v>588.98850000000004</v>
      </c>
      <c r="P8" s="341">
        <f>VLOOKUP($A8,Prevs!$C:$AJ,COLUMN() - COLUMN($D8)+2,FALSE)*VLOOKUP($A8,Usinas!$C:$D,2,FALSE)</f>
        <v>584.5095</v>
      </c>
      <c r="Q8" s="341">
        <f>VLOOKUP($A8,Prevs!$C:$AJ,COLUMN() - COLUMN($D8)+2,FALSE)*VLOOKUP($A8,Usinas!$C:$D,2,FALSE)</f>
        <v>564.80190000000005</v>
      </c>
      <c r="R8" s="341">
        <f>VLOOKUP($A8,Prevs!$C:$AJ,COLUMN() - COLUMN($D8)+2,FALSE)*VLOOKUP($A8,Usinas!$C:$D,2,FALSE)</f>
        <v>564.35400000000004</v>
      </c>
      <c r="V8" s="341">
        <f>VLOOKUP($A8,Prevs!$C:$AJ,COLUMN() - COLUMN($D8)+2,FALSE)*VLOOKUP($A8,Usinas!$C:$D,2,FALSE)</f>
        <v>531.20940000000007</v>
      </c>
      <c r="W8" s="341">
        <f>VLOOKUP($A8,Prevs!$C:$AJ,COLUMN() - COLUMN($D8)+2,FALSE)*VLOOKUP($A8,Usinas!$C:$D,2,FALSE)</f>
        <v>579.58260000000007</v>
      </c>
      <c r="X8" s="341">
        <f>VLOOKUP($A8,Prevs!$C:$AJ,COLUMN() - COLUMN($D8)+2,FALSE)*VLOOKUP($A8,Usinas!$C:$D,2,FALSE)</f>
        <v>583.16579999999999</v>
      </c>
      <c r="Y8" s="341">
        <f>VLOOKUP($A8,Prevs!$C:$AJ,COLUMN() - COLUMN($D8)+2,FALSE)*VLOOKUP($A8,Usinas!$C:$D,2,FALSE)</f>
        <v>578.23890000000006</v>
      </c>
      <c r="Z8" s="341">
        <f>VLOOKUP($A8,Prevs!$C:$AJ,COLUMN() - COLUMN($D8)+2,FALSE)*VLOOKUP($A8,Usinas!$C:$D,2,FALSE)</f>
        <v>558.53129999999999</v>
      </c>
      <c r="AA8" s="341">
        <f>VLOOKUP($A8,Prevs!$C:$AJ,COLUMN() - COLUMN($D8)+2,FALSE)*VLOOKUP($A8,Usinas!$C:$D,2,FALSE)</f>
        <v>558.08339999999998</v>
      </c>
      <c r="AE8" s="341">
        <f>VLOOKUP($A8,Prevs!$C:$AJ,COLUMN() - COLUMN($D8)+2,FALSE)*VLOOKUP($A8,Usinas!$C:$D,2,FALSE)</f>
        <v>298.3014</v>
      </c>
      <c r="AF8" s="341">
        <f>VLOOKUP($A8,Prevs!$C:$AJ,COLUMN() - COLUMN($D8)+2,FALSE)*VLOOKUP($A8,Usinas!$C:$D,2,FALSE)</f>
        <v>323.83170000000001</v>
      </c>
      <c r="AG8" s="341">
        <f>VLOOKUP($A8,Prevs!$C:$AJ,COLUMN() - COLUMN($D8)+2,FALSE)*VLOOKUP($A8,Usinas!$C:$D,2,FALSE)</f>
        <v>324.72750000000002</v>
      </c>
      <c r="AH8" s="341">
        <f>VLOOKUP($A8,Prevs!$C:$AJ,COLUMN() - COLUMN($D8)+2,FALSE)*VLOOKUP($A8,Usinas!$C:$D,2,FALSE)</f>
        <v>322.488</v>
      </c>
      <c r="AI8" s="341">
        <f>VLOOKUP($A8,Prevs!$C:$AJ,COLUMN() - COLUMN($D8)+2,FALSE)*VLOOKUP($A8,Usinas!$C:$D,2,FALSE)</f>
        <v>311.73840000000001</v>
      </c>
      <c r="AJ8" s="341">
        <f>VLOOKUP($A8,Prevs!$C:$AJ,COLUMN() - COLUMN($D8)+2,FALSE)*VLOOKUP($A8,Usinas!$C:$D,2,FALSE)</f>
        <v>311.73840000000001</v>
      </c>
    </row>
    <row r="9" spans="1:37" hidden="1" outlineLevel="2" x14ac:dyDescent="0.25">
      <c r="A9" s="198">
        <v>176</v>
      </c>
      <c r="B9" s="199" t="s">
        <v>246</v>
      </c>
      <c r="D9" s="301">
        <f>VLOOKUP($A9,Prevs!$C:$AJ,COLUMN() - COLUMN($D9)+2,FALSE)*VLOOKUP($A9,Usinas!$C:$D,2,FALSE)</f>
        <v>679.38660000000004</v>
      </c>
      <c r="E9" s="301">
        <f>VLOOKUP($A9,Prevs!$C:$AJ,COLUMN() - COLUMN($D9)+2,FALSE)*VLOOKUP($A9,Usinas!$C:$D,2,FALSE)</f>
        <v>737.53229999999996</v>
      </c>
      <c r="F9" s="301">
        <f>VLOOKUP($A9,Prevs!$C:$AJ,COLUMN() - COLUMN($D9)+2,FALSE)*VLOOKUP($A9,Usinas!$C:$D,2,FALSE)</f>
        <v>739.57249999999999</v>
      </c>
      <c r="G9" s="301">
        <f>VLOOKUP($A9,Prevs!$C:$AJ,COLUMN() - COLUMN($D9)+2,FALSE)*VLOOKUP($A9,Usinas!$C:$D,2,FALSE)</f>
        <v>734.47199999999998</v>
      </c>
      <c r="H9" s="301">
        <f>VLOOKUP($A9,Prevs!$C:$AJ,COLUMN() - COLUMN($D9)+2,FALSE)*VLOOKUP($A9,Usinas!$C:$D,2,FALSE)</f>
        <v>709.9896</v>
      </c>
      <c r="I9" s="301">
        <f>VLOOKUP($A9,Prevs!$C:$AJ,COLUMN() - COLUMN($D9)+2,FALSE)*VLOOKUP($A9,Usinas!$C:$D,2,FALSE)</f>
        <v>709.9896</v>
      </c>
      <c r="J9" s="477">
        <f ca="1">VLOOKUP($A9,Prevs_MLT!$C:$AJ,1+Entrada!$C$4,FALSE)*VLOOKUP($A9,Usinas!$C:$D,2,FALSE)</f>
        <v>2558.4108000000001</v>
      </c>
      <c r="M9" s="341">
        <f>VLOOKUP($A9,Prevs!$C:$AJ,COLUMN() - COLUMN($D9)+2,FALSE)*VLOOKUP($A9,Usinas!$C:$D,2,FALSE)</f>
        <v>1226.1602</v>
      </c>
      <c r="N9" s="341">
        <f>VLOOKUP($A9,Prevs!$C:$AJ,COLUMN() - COLUMN($D9)+2,FALSE)*VLOOKUP($A9,Usinas!$C:$D,2,FALSE)</f>
        <v>1335.3108999999999</v>
      </c>
      <c r="O9" s="341">
        <f>VLOOKUP($A9,Prevs!$C:$AJ,COLUMN() - COLUMN($D9)+2,FALSE)*VLOOKUP($A9,Usinas!$C:$D,2,FALSE)</f>
        <v>1341.4314999999999</v>
      </c>
      <c r="P9" s="341">
        <f>VLOOKUP($A9,Prevs!$C:$AJ,COLUMN() - COLUMN($D9)+2,FALSE)*VLOOKUP($A9,Usinas!$C:$D,2,FALSE)</f>
        <v>1331.2305000000001</v>
      </c>
      <c r="Q9" s="341">
        <f>VLOOKUP($A9,Prevs!$C:$AJ,COLUMN() - COLUMN($D9)+2,FALSE)*VLOOKUP($A9,Usinas!$C:$D,2,FALSE)</f>
        <v>1286.3461</v>
      </c>
      <c r="R9" s="341">
        <f>VLOOKUP($A9,Prevs!$C:$AJ,COLUMN() - COLUMN($D9)+2,FALSE)*VLOOKUP($A9,Usinas!$C:$D,2,FALSE)</f>
        <v>1285.326</v>
      </c>
      <c r="V9" s="341">
        <f>VLOOKUP($A9,Prevs!$C:$AJ,COLUMN() - COLUMN($D9)+2,FALSE)*VLOOKUP($A9,Usinas!$C:$D,2,FALSE)</f>
        <v>1209.8386</v>
      </c>
      <c r="W9" s="341">
        <f>VLOOKUP($A9,Prevs!$C:$AJ,COLUMN() - COLUMN($D9)+2,FALSE)*VLOOKUP($A9,Usinas!$C:$D,2,FALSE)</f>
        <v>1320.0093999999999</v>
      </c>
      <c r="X9" s="341">
        <f>VLOOKUP($A9,Prevs!$C:$AJ,COLUMN() - COLUMN($D9)+2,FALSE)*VLOOKUP($A9,Usinas!$C:$D,2,FALSE)</f>
        <v>1328.1702</v>
      </c>
      <c r="Y9" s="341">
        <f>VLOOKUP($A9,Prevs!$C:$AJ,COLUMN() - COLUMN($D9)+2,FALSE)*VLOOKUP($A9,Usinas!$C:$D,2,FALSE)</f>
        <v>1316.9491</v>
      </c>
      <c r="Z9" s="341">
        <f>VLOOKUP($A9,Prevs!$C:$AJ,COLUMN() - COLUMN($D9)+2,FALSE)*VLOOKUP($A9,Usinas!$C:$D,2,FALSE)</f>
        <v>1272.0646999999999</v>
      </c>
      <c r="AA9" s="341">
        <f>VLOOKUP($A9,Prevs!$C:$AJ,COLUMN() - COLUMN($D9)+2,FALSE)*VLOOKUP($A9,Usinas!$C:$D,2,FALSE)</f>
        <v>1271.0445999999999</v>
      </c>
      <c r="AE9" s="341">
        <f>VLOOKUP($A9,Prevs!$C:$AJ,COLUMN() - COLUMN($D9)+2,FALSE)*VLOOKUP($A9,Usinas!$C:$D,2,FALSE)</f>
        <v>679.38660000000004</v>
      </c>
      <c r="AF9" s="341">
        <f>VLOOKUP($A9,Prevs!$C:$AJ,COLUMN() - COLUMN($D9)+2,FALSE)*VLOOKUP($A9,Usinas!$C:$D,2,FALSE)</f>
        <v>737.53229999999996</v>
      </c>
      <c r="AG9" s="341">
        <f>VLOOKUP($A9,Prevs!$C:$AJ,COLUMN() - COLUMN($D9)+2,FALSE)*VLOOKUP($A9,Usinas!$C:$D,2,FALSE)</f>
        <v>739.57249999999999</v>
      </c>
      <c r="AH9" s="341">
        <f>VLOOKUP($A9,Prevs!$C:$AJ,COLUMN() - COLUMN($D9)+2,FALSE)*VLOOKUP($A9,Usinas!$C:$D,2,FALSE)</f>
        <v>734.47199999999998</v>
      </c>
      <c r="AI9" s="341">
        <f>VLOOKUP($A9,Prevs!$C:$AJ,COLUMN() - COLUMN($D9)+2,FALSE)*VLOOKUP($A9,Usinas!$C:$D,2,FALSE)</f>
        <v>709.9896</v>
      </c>
      <c r="AJ9" s="341">
        <f>VLOOKUP($A9,Prevs!$C:$AJ,COLUMN() - COLUMN($D9)+2,FALSE)*VLOOKUP($A9,Usinas!$C:$D,2,FALSE)</f>
        <v>709.9896</v>
      </c>
    </row>
    <row r="10" spans="1:37" hidden="1" outlineLevel="2" x14ac:dyDescent="0.25">
      <c r="A10" s="198">
        <v>178</v>
      </c>
      <c r="B10" s="199" t="s">
        <v>247</v>
      </c>
      <c r="D10" s="301">
        <f>VLOOKUP($A10,Prevs!$C:$AJ,COLUMN() - COLUMN($D10)+2,FALSE)*VLOOKUP($A10,Usinas!$C:$D,2,FALSE)</f>
        <v>729.93579999999997</v>
      </c>
      <c r="E10" s="301">
        <f>VLOOKUP($A10,Prevs!$C:$AJ,COLUMN() - COLUMN($D10)+2,FALSE)*VLOOKUP($A10,Usinas!$C:$D,2,FALSE)</f>
        <v>791.75800000000004</v>
      </c>
      <c r="F10" s="301">
        <f>VLOOKUP($A10,Prevs!$C:$AJ,COLUMN() - COLUMN($D10)+2,FALSE)*VLOOKUP($A10,Usinas!$C:$D,2,FALSE)</f>
        <v>793.92719999999997</v>
      </c>
      <c r="G10" s="301">
        <f>VLOOKUP($A10,Prevs!$C:$AJ,COLUMN() - COLUMN($D10)+2,FALSE)*VLOOKUP($A10,Usinas!$C:$D,2,FALSE)</f>
        <v>788.50419999999997</v>
      </c>
      <c r="H10" s="301">
        <f>VLOOKUP($A10,Prevs!$C:$AJ,COLUMN() - COLUMN($D10)+2,FALSE)*VLOOKUP($A10,Usinas!$C:$D,2,FALSE)</f>
        <v>762.47379999999998</v>
      </c>
      <c r="I10" s="301">
        <f>VLOOKUP($A10,Prevs!$C:$AJ,COLUMN() - COLUMN($D10)+2,FALSE)*VLOOKUP($A10,Usinas!$C:$D,2,FALSE)</f>
        <v>762.47379999999998</v>
      </c>
      <c r="J10" s="477">
        <f ca="1">VLOOKUP($A10,Prevs_MLT!$C:$AJ,1+Entrada!$C$4,FALSE)*VLOOKUP($A10,Usinas!$C:$D,2,FALSE)</f>
        <v>2720.1768000000002</v>
      </c>
      <c r="M10" s="341">
        <f>VLOOKUP($A10,Prevs!$C:$AJ,COLUMN() - COLUMN($D10)+2,FALSE)*VLOOKUP($A10,Usinas!$C:$D,2,FALSE)</f>
        <v>1361.173</v>
      </c>
      <c r="N10" s="341">
        <f>VLOOKUP($A10,Prevs!$C:$AJ,COLUMN() - COLUMN($D10)+2,FALSE)*VLOOKUP($A10,Usinas!$C:$D,2,FALSE)</f>
        <v>1476.1405999999999</v>
      </c>
      <c r="O10" s="341">
        <f>VLOOKUP($A10,Prevs!$C:$AJ,COLUMN() - COLUMN($D10)+2,FALSE)*VLOOKUP($A10,Usinas!$C:$D,2,FALSE)</f>
        <v>1480.479</v>
      </c>
      <c r="P10" s="341">
        <f>VLOOKUP($A10,Prevs!$C:$AJ,COLUMN() - COLUMN($D10)+2,FALSE)*VLOOKUP($A10,Usinas!$C:$D,2,FALSE)</f>
        <v>1470.7175999999999</v>
      </c>
      <c r="Q10" s="341">
        <f>VLOOKUP($A10,Prevs!$C:$AJ,COLUMN() - COLUMN($D10)+2,FALSE)*VLOOKUP($A10,Usinas!$C:$D,2,FALSE)</f>
        <v>1421.9105999999999</v>
      </c>
      <c r="R10" s="341">
        <f>VLOOKUP($A10,Prevs!$C:$AJ,COLUMN() - COLUMN($D10)+2,FALSE)*VLOOKUP($A10,Usinas!$C:$D,2,FALSE)</f>
        <v>1421.9105999999999</v>
      </c>
      <c r="V10" s="341">
        <f>VLOOKUP($A10,Prevs!$C:$AJ,COLUMN() - COLUMN($D10)+2,FALSE)*VLOOKUP($A10,Usinas!$C:$D,2,FALSE)</f>
        <v>1378.5265999999999</v>
      </c>
      <c r="W10" s="341">
        <f>VLOOKUP($A10,Prevs!$C:$AJ,COLUMN() - COLUMN($D10)+2,FALSE)*VLOOKUP($A10,Usinas!$C:$D,2,FALSE)</f>
        <v>1495.6633999999999</v>
      </c>
      <c r="X10" s="341">
        <f>VLOOKUP($A10,Prevs!$C:$AJ,COLUMN() - COLUMN($D10)+2,FALSE)*VLOOKUP($A10,Usinas!$C:$D,2,FALSE)</f>
        <v>1500.0018</v>
      </c>
      <c r="Y10" s="341">
        <f>VLOOKUP($A10,Prevs!$C:$AJ,COLUMN() - COLUMN($D10)+2,FALSE)*VLOOKUP($A10,Usinas!$C:$D,2,FALSE)</f>
        <v>1489.1558</v>
      </c>
      <c r="Z10" s="341">
        <f>VLOOKUP($A10,Prevs!$C:$AJ,COLUMN() - COLUMN($D10)+2,FALSE)*VLOOKUP($A10,Usinas!$C:$D,2,FALSE)</f>
        <v>1440.3488</v>
      </c>
      <c r="AA10" s="341">
        <f>VLOOKUP($A10,Prevs!$C:$AJ,COLUMN() - COLUMN($D10)+2,FALSE)*VLOOKUP($A10,Usinas!$C:$D,2,FALSE)</f>
        <v>1440.3488</v>
      </c>
      <c r="AE10" s="341">
        <f>VLOOKUP($A10,Prevs!$C:$AJ,COLUMN() - COLUMN($D10)+2,FALSE)*VLOOKUP($A10,Usinas!$C:$D,2,FALSE)</f>
        <v>729.93579999999997</v>
      </c>
      <c r="AF10" s="341">
        <f>VLOOKUP($A10,Prevs!$C:$AJ,COLUMN() - COLUMN($D10)+2,FALSE)*VLOOKUP($A10,Usinas!$C:$D,2,FALSE)</f>
        <v>791.75800000000004</v>
      </c>
      <c r="AG10" s="341">
        <f>VLOOKUP($A10,Prevs!$C:$AJ,COLUMN() - COLUMN($D10)+2,FALSE)*VLOOKUP($A10,Usinas!$C:$D,2,FALSE)</f>
        <v>793.92719999999997</v>
      </c>
      <c r="AH10" s="341">
        <f>VLOOKUP($A10,Prevs!$C:$AJ,COLUMN() - COLUMN($D10)+2,FALSE)*VLOOKUP($A10,Usinas!$C:$D,2,FALSE)</f>
        <v>788.50419999999997</v>
      </c>
      <c r="AI10" s="341">
        <f>VLOOKUP($A10,Prevs!$C:$AJ,COLUMN() - COLUMN($D10)+2,FALSE)*VLOOKUP($A10,Usinas!$C:$D,2,FALSE)</f>
        <v>762.47379999999998</v>
      </c>
      <c r="AJ10" s="341">
        <f>VLOOKUP($A10,Prevs!$C:$AJ,COLUMN() - COLUMN($D10)+2,FALSE)*VLOOKUP($A10,Usinas!$C:$D,2,FALSE)</f>
        <v>762.47379999999998</v>
      </c>
    </row>
    <row r="11" spans="1:37" outlineLevel="1" collapsed="1" x14ac:dyDescent="0.25">
      <c r="A11" s="200"/>
      <c r="B11" s="201" t="s">
        <v>92</v>
      </c>
      <c r="D11" s="204">
        <f t="shared" ref="D11:I11" si="13">SUM(D7:D10)</f>
        <v>1868.1297999999999</v>
      </c>
      <c r="E11" s="58">
        <f t="shared" si="13"/>
        <v>2027.365</v>
      </c>
      <c r="F11" s="58">
        <f t="shared" si="13"/>
        <v>2032.9522000000002</v>
      </c>
      <c r="G11" s="58">
        <f t="shared" si="13"/>
        <v>2018.9841999999999</v>
      </c>
      <c r="H11" s="58">
        <f t="shared" si="13"/>
        <v>1951.9377999999999</v>
      </c>
      <c r="I11" s="205">
        <f t="shared" si="13"/>
        <v>1951.9377999999999</v>
      </c>
      <c r="J11" s="423">
        <f ca="1">SUMPRODUCT(D11:I11,Saida!$B$7:$G$7)/SUM(Saida!$B$7:$G$7)</f>
        <v>2001.2913999999998</v>
      </c>
      <c r="M11" s="342">
        <f t="shared" ref="M11:R11" si="14">SUM(M7:M10)</f>
        <v>3415.3909999999996</v>
      </c>
      <c r="N11" s="308">
        <f t="shared" si="14"/>
        <v>3713.2215999999999</v>
      </c>
      <c r="O11" s="308">
        <f t="shared" si="14"/>
        <v>3727.8140000000003</v>
      </c>
      <c r="P11" s="308">
        <f t="shared" si="14"/>
        <v>3700.9625999999998</v>
      </c>
      <c r="Q11" s="308">
        <f t="shared" si="14"/>
        <v>3576.9596000000001</v>
      </c>
      <c r="R11" s="343">
        <f t="shared" si="14"/>
        <v>3575.2506000000003</v>
      </c>
      <c r="S11" s="423">
        <f ca="1">SUMPRODUCT(M11:R11,Saida!$B$7:$G$7)/SUM(Saida!$B$7:$G$7)</f>
        <v>3667.4448733333334</v>
      </c>
      <c r="V11" s="342">
        <f t="shared" ref="V11:AA11" si="15">SUM(V7:V10)</f>
        <v>3405.4005999999999</v>
      </c>
      <c r="W11" s="308">
        <f t="shared" si="15"/>
        <v>3707.1093999999998</v>
      </c>
      <c r="X11" s="308">
        <f t="shared" si="15"/>
        <v>3725.1197999999999</v>
      </c>
      <c r="Y11" s="308">
        <f t="shared" si="15"/>
        <v>3695.4748</v>
      </c>
      <c r="Z11" s="308">
        <f t="shared" si="15"/>
        <v>3571.4717999999993</v>
      </c>
      <c r="AA11" s="343">
        <f t="shared" si="15"/>
        <v>3569.7627999999995</v>
      </c>
      <c r="AB11" s="423">
        <f ca="1">SUMPRODUCT(V11:AA11,Saida!$B$7:$G$7)/SUM(Saida!$B$7:$G$7)</f>
        <v>3662.3131333333326</v>
      </c>
      <c r="AE11" s="342">
        <f t="shared" ref="AE11:AJ11" si="16">SUM(AE7:AE10)</f>
        <v>1868.1297999999999</v>
      </c>
      <c r="AF11" s="308">
        <f t="shared" si="16"/>
        <v>2027.365</v>
      </c>
      <c r="AG11" s="308">
        <f t="shared" si="16"/>
        <v>2032.9522000000002</v>
      </c>
      <c r="AH11" s="308">
        <f t="shared" si="16"/>
        <v>2018.9841999999999</v>
      </c>
      <c r="AI11" s="308">
        <f t="shared" si="16"/>
        <v>1951.9377999999999</v>
      </c>
      <c r="AJ11" s="343">
        <f t="shared" si="16"/>
        <v>1951.9377999999999</v>
      </c>
      <c r="AK11" s="423">
        <f ca="1">SUMPRODUCT(AE11:AJ11,Saida!$B$7:$G$7)/SUM(Saida!$B$7:$G$7)</f>
        <v>2001.2913999999998</v>
      </c>
    </row>
    <row r="12" spans="1:37" outlineLevel="1" x14ac:dyDescent="0.25">
      <c r="A12" s="202"/>
      <c r="B12" s="203" t="s">
        <v>13</v>
      </c>
      <c r="D12" s="206"/>
      <c r="E12" s="207"/>
      <c r="F12" s="207"/>
      <c r="G12" s="207"/>
      <c r="H12" s="207"/>
      <c r="I12" s="208"/>
      <c r="J12" s="478">
        <f ca="1">SUM(J7:J10)</f>
        <v>6926.2161000000006</v>
      </c>
      <c r="M12" s="344"/>
      <c r="N12" s="345"/>
      <c r="O12" s="345"/>
      <c r="P12" s="345"/>
      <c r="Q12" s="345"/>
      <c r="R12" s="346"/>
      <c r="V12" s="344"/>
      <c r="W12" s="345"/>
      <c r="X12" s="345"/>
      <c r="Y12" s="345"/>
      <c r="Z12" s="345"/>
      <c r="AA12" s="346"/>
      <c r="AE12" s="344"/>
      <c r="AF12" s="345"/>
      <c r="AG12" s="345"/>
      <c r="AH12" s="345"/>
      <c r="AI12" s="345"/>
      <c r="AJ12" s="346"/>
    </row>
    <row r="13" spans="1:37" outlineLevel="1" x14ac:dyDescent="0.25">
      <c r="A13" s="65"/>
      <c r="B13" s="66"/>
      <c r="D13" s="67"/>
      <c r="E13" s="68"/>
      <c r="F13" s="68"/>
      <c r="G13" s="68"/>
      <c r="H13" s="68"/>
      <c r="I13" s="68"/>
      <c r="M13" s="314"/>
      <c r="N13" s="315"/>
      <c r="O13" s="315"/>
      <c r="P13" s="315"/>
      <c r="Q13" s="315"/>
      <c r="R13" s="315"/>
      <c r="V13" s="314"/>
      <c r="W13" s="315"/>
      <c r="X13" s="315"/>
      <c r="Y13" s="315"/>
      <c r="Z13" s="315"/>
      <c r="AA13" s="315"/>
      <c r="AE13" s="314"/>
      <c r="AF13" s="315"/>
      <c r="AG13" s="315"/>
      <c r="AH13" s="315"/>
      <c r="AI13" s="315"/>
      <c r="AJ13" s="315"/>
    </row>
    <row r="14" spans="1:37" outlineLevel="1" x14ac:dyDescent="0.25">
      <c r="A14" s="209"/>
      <c r="B14" s="210"/>
      <c r="D14" s="509" t="s">
        <v>248</v>
      </c>
      <c r="E14" s="510" t="s">
        <v>94</v>
      </c>
      <c r="F14" s="510" t="s">
        <v>249</v>
      </c>
      <c r="G14" s="510"/>
      <c r="H14" s="510"/>
      <c r="I14" s="511"/>
      <c r="M14" s="509" t="s">
        <v>248</v>
      </c>
      <c r="N14" s="510" t="s">
        <v>94</v>
      </c>
      <c r="O14" s="510" t="s">
        <v>249</v>
      </c>
      <c r="P14" s="510"/>
      <c r="Q14" s="510"/>
      <c r="R14" s="511"/>
      <c r="V14" s="509" t="s">
        <v>248</v>
      </c>
      <c r="W14" s="510" t="s">
        <v>94</v>
      </c>
      <c r="X14" s="510" t="s">
        <v>249</v>
      </c>
      <c r="Y14" s="510"/>
      <c r="Z14" s="510"/>
      <c r="AA14" s="511"/>
      <c r="AE14" s="509" t="s">
        <v>248</v>
      </c>
      <c r="AF14" s="510" t="s">
        <v>94</v>
      </c>
      <c r="AG14" s="510" t="s">
        <v>249</v>
      </c>
      <c r="AH14" s="510"/>
      <c r="AI14" s="510"/>
      <c r="AJ14" s="511"/>
    </row>
    <row r="15" spans="1:37" hidden="1" outlineLevel="2" x14ac:dyDescent="0.25">
      <c r="A15" s="198">
        <v>188</v>
      </c>
      <c r="B15" s="199" t="s">
        <v>250</v>
      </c>
      <c r="D15" s="301">
        <f>VLOOKUP($A15,Prevs!$C:$AJ,COLUMN() - COLUMN($D15)+2,FALSE)*VLOOKUP($A15,Usinas!$C:$D,2,FALSE)</f>
        <v>67.463800000000006</v>
      </c>
      <c r="E15" s="301">
        <f>VLOOKUP($A15,Prevs!$C:$AJ,COLUMN() - COLUMN($D15)+2,FALSE)*VLOOKUP($A15,Usinas!$C:$D,2,FALSE)</f>
        <v>65.310699999999997</v>
      </c>
      <c r="F15" s="301">
        <f>VLOOKUP($A15,Prevs!$C:$AJ,COLUMN() - COLUMN($D15)+2,FALSE)*VLOOKUP($A15,Usinas!$C:$D,2,FALSE)</f>
        <v>63.157600000000002</v>
      </c>
      <c r="G15" s="301">
        <f>VLOOKUP($A15,Prevs!$C:$AJ,COLUMN() - COLUMN($D15)+2,FALSE)*VLOOKUP($A15,Usinas!$C:$D,2,FALSE)</f>
        <v>63.157600000000002</v>
      </c>
      <c r="H15" s="301">
        <f>VLOOKUP($A15,Prevs!$C:$AJ,COLUMN() - COLUMN($D15)+2,FALSE)*VLOOKUP($A15,Usinas!$C:$D,2,FALSE)</f>
        <v>60.286799999999999</v>
      </c>
      <c r="I15" s="301">
        <f>VLOOKUP($A15,Prevs!$C:$AJ,COLUMN() - COLUMN($D15)+2,FALSE)*VLOOKUP($A15,Usinas!$C:$D,2,FALSE)</f>
        <v>58.851399999999998</v>
      </c>
      <c r="J15" s="477">
        <f ca="1">VLOOKUP($A15,Prevs_MLT!$C:$AJ,1+Entrada!$C$4,FALSE)*VLOOKUP($A15,Usinas!$C:$D,2,FALSE)</f>
        <v>149.99930000000001</v>
      </c>
      <c r="M15" s="341">
        <f>VLOOKUP($A15,Prevs!$C:$AJ,COLUMN() - COLUMN($D15)+2,FALSE)*VLOOKUP($A15,Usinas!$C:$D,2,FALSE)</f>
        <v>125.5975</v>
      </c>
      <c r="N15" s="341">
        <f>VLOOKUP($A15,Prevs!$C:$AJ,COLUMN() - COLUMN($D15)+2,FALSE)*VLOOKUP($A15,Usinas!$C:$D,2,FALSE)</f>
        <v>122.009</v>
      </c>
      <c r="O15" s="341">
        <f>VLOOKUP($A15,Prevs!$C:$AJ,COLUMN() - COLUMN($D15)+2,FALSE)*VLOOKUP($A15,Usinas!$C:$D,2,FALSE)</f>
        <v>117.7028</v>
      </c>
      <c r="P15" s="341">
        <f>VLOOKUP($A15,Prevs!$C:$AJ,COLUMN() - COLUMN($D15)+2,FALSE)*VLOOKUP($A15,Usinas!$C:$D,2,FALSE)</f>
        <v>117.7028</v>
      </c>
      <c r="Q15" s="341">
        <f>VLOOKUP($A15,Prevs!$C:$AJ,COLUMN() - COLUMN($D15)+2,FALSE)*VLOOKUP($A15,Usinas!$C:$D,2,FALSE)</f>
        <v>112.6789</v>
      </c>
      <c r="R15" s="341">
        <f>VLOOKUP($A15,Prevs!$C:$AJ,COLUMN() - COLUMN($D15)+2,FALSE)*VLOOKUP($A15,Usinas!$C:$D,2,FALSE)</f>
        <v>109.8081</v>
      </c>
      <c r="V15" s="341">
        <f>VLOOKUP($A15,Prevs!$C:$AJ,COLUMN() - COLUMN($D15)+2,FALSE)*VLOOKUP($A15,Usinas!$C:$D,2,FALSE)</f>
        <v>127.75060000000001</v>
      </c>
      <c r="W15" s="341">
        <f>VLOOKUP($A15,Prevs!$C:$AJ,COLUMN() - COLUMN($D15)+2,FALSE)*VLOOKUP($A15,Usinas!$C:$D,2,FALSE)</f>
        <v>123.4444</v>
      </c>
      <c r="X15" s="341">
        <f>VLOOKUP($A15,Prevs!$C:$AJ,COLUMN() - COLUMN($D15)+2,FALSE)*VLOOKUP($A15,Usinas!$C:$D,2,FALSE)</f>
        <v>119.1382</v>
      </c>
      <c r="Y15" s="341">
        <f>VLOOKUP($A15,Prevs!$C:$AJ,COLUMN() - COLUMN($D15)+2,FALSE)*VLOOKUP($A15,Usinas!$C:$D,2,FALSE)</f>
        <v>119.1382</v>
      </c>
      <c r="Z15" s="341">
        <f>VLOOKUP($A15,Prevs!$C:$AJ,COLUMN() - COLUMN($D15)+2,FALSE)*VLOOKUP($A15,Usinas!$C:$D,2,FALSE)</f>
        <v>114.1143</v>
      </c>
      <c r="AA15" s="341">
        <f>VLOOKUP($A15,Prevs!$C:$AJ,COLUMN() - COLUMN($D15)+2,FALSE)*VLOOKUP($A15,Usinas!$C:$D,2,FALSE)</f>
        <v>111.2435</v>
      </c>
      <c r="AE15" s="341">
        <f>VLOOKUP($A15,Prevs!$C:$AJ,COLUMN() - COLUMN($D15)+2,FALSE)*VLOOKUP($A15,Usinas!$C:$D,2,FALSE)</f>
        <v>67.463800000000006</v>
      </c>
      <c r="AF15" s="341">
        <f>VLOOKUP($A15,Prevs!$C:$AJ,COLUMN() - COLUMN($D15)+2,FALSE)*VLOOKUP($A15,Usinas!$C:$D,2,FALSE)</f>
        <v>65.310699999999997</v>
      </c>
      <c r="AG15" s="341">
        <f>VLOOKUP($A15,Prevs!$C:$AJ,COLUMN() - COLUMN($D15)+2,FALSE)*VLOOKUP($A15,Usinas!$C:$D,2,FALSE)</f>
        <v>63.157600000000002</v>
      </c>
      <c r="AH15" s="341">
        <f>VLOOKUP($A15,Prevs!$C:$AJ,COLUMN() - COLUMN($D15)+2,FALSE)*VLOOKUP($A15,Usinas!$C:$D,2,FALSE)</f>
        <v>63.157600000000002</v>
      </c>
      <c r="AI15" s="341">
        <f>VLOOKUP($A15,Prevs!$C:$AJ,COLUMN() - COLUMN($D15)+2,FALSE)*VLOOKUP($A15,Usinas!$C:$D,2,FALSE)</f>
        <v>60.286799999999999</v>
      </c>
      <c r="AJ15" s="341">
        <f>VLOOKUP($A15,Prevs!$C:$AJ,COLUMN() - COLUMN($D15)+2,FALSE)*VLOOKUP($A15,Usinas!$C:$D,2,FALSE)</f>
        <v>58.851399999999998</v>
      </c>
    </row>
    <row r="16" spans="1:37" outlineLevel="1" collapsed="1" x14ac:dyDescent="0.25">
      <c r="A16" s="200"/>
      <c r="B16" s="201" t="s">
        <v>92</v>
      </c>
      <c r="D16" s="204">
        <f t="shared" ref="D16:I16" si="17">D15</f>
        <v>67.463800000000006</v>
      </c>
      <c r="E16" s="58">
        <f t="shared" si="17"/>
        <v>65.310699999999997</v>
      </c>
      <c r="F16" s="58">
        <f t="shared" si="17"/>
        <v>63.157600000000002</v>
      </c>
      <c r="G16" s="58">
        <f t="shared" si="17"/>
        <v>63.157600000000002</v>
      </c>
      <c r="H16" s="58">
        <f t="shared" si="17"/>
        <v>60.286799999999999</v>
      </c>
      <c r="I16" s="205">
        <f t="shared" si="17"/>
        <v>58.851399999999998</v>
      </c>
      <c r="J16" s="423">
        <f ca="1">SUMPRODUCT(D16:I16,Saida!$B$7:$G$7)/SUM(Saida!$B$7:$G$7)</f>
        <v>62.990136666666665</v>
      </c>
      <c r="M16" s="342">
        <f t="shared" ref="M16:R16" si="18">M15</f>
        <v>125.5975</v>
      </c>
      <c r="N16" s="308">
        <f t="shared" si="18"/>
        <v>122.009</v>
      </c>
      <c r="O16" s="308">
        <f t="shared" si="18"/>
        <v>117.7028</v>
      </c>
      <c r="P16" s="308">
        <f t="shared" si="18"/>
        <v>117.7028</v>
      </c>
      <c r="Q16" s="308">
        <f t="shared" si="18"/>
        <v>112.6789</v>
      </c>
      <c r="R16" s="343">
        <f t="shared" si="18"/>
        <v>109.8081</v>
      </c>
      <c r="S16" s="423">
        <f ca="1">SUMPRODUCT(M16:R16,Saida!$B$7:$G$7)/SUM(Saida!$B$7:$G$7)</f>
        <v>117.53533666666667</v>
      </c>
      <c r="V16" s="342">
        <f t="shared" ref="V16:AA16" si="19">V15</f>
        <v>127.75060000000001</v>
      </c>
      <c r="W16" s="308">
        <f t="shared" si="19"/>
        <v>123.4444</v>
      </c>
      <c r="X16" s="308">
        <f t="shared" si="19"/>
        <v>119.1382</v>
      </c>
      <c r="Y16" s="308">
        <f t="shared" si="19"/>
        <v>119.1382</v>
      </c>
      <c r="Z16" s="308">
        <f t="shared" si="19"/>
        <v>114.1143</v>
      </c>
      <c r="AA16" s="343">
        <f t="shared" si="19"/>
        <v>111.2435</v>
      </c>
      <c r="AB16" s="423">
        <f ca="1">SUMPRODUCT(V16:AA16,Saida!$B$7:$G$7)/SUM(Saida!$B$7:$G$7)</f>
        <v>118.99466</v>
      </c>
      <c r="AE16" s="342">
        <f t="shared" ref="AE16:AJ16" si="20">AE15</f>
        <v>67.463800000000006</v>
      </c>
      <c r="AF16" s="308">
        <f t="shared" si="20"/>
        <v>65.310699999999997</v>
      </c>
      <c r="AG16" s="308">
        <f t="shared" si="20"/>
        <v>63.157600000000002</v>
      </c>
      <c r="AH16" s="308">
        <f t="shared" si="20"/>
        <v>63.157600000000002</v>
      </c>
      <c r="AI16" s="308">
        <f t="shared" si="20"/>
        <v>60.286799999999999</v>
      </c>
      <c r="AJ16" s="343">
        <f t="shared" si="20"/>
        <v>58.851399999999998</v>
      </c>
      <c r="AK16" s="423">
        <f ca="1">SUMPRODUCT(AE16:AJ16,Saida!$B$7:$G$7)/SUM(Saida!$B$7:$G$7)</f>
        <v>62.990136666666665</v>
      </c>
    </row>
    <row r="17" spans="1:37" outlineLevel="1" x14ac:dyDescent="0.25">
      <c r="A17" s="202"/>
      <c r="B17" s="203" t="s">
        <v>13</v>
      </c>
      <c r="D17" s="206"/>
      <c r="E17" s="207"/>
      <c r="F17" s="207"/>
      <c r="G17" s="207"/>
      <c r="H17" s="207"/>
      <c r="I17" s="208"/>
      <c r="J17" s="478">
        <f ca="1">J15</f>
        <v>149.99930000000001</v>
      </c>
      <c r="M17" s="344"/>
      <c r="N17" s="345"/>
      <c r="O17" s="345"/>
      <c r="P17" s="345"/>
      <c r="Q17" s="345"/>
      <c r="R17" s="346"/>
      <c r="V17" s="344"/>
      <c r="W17" s="345"/>
      <c r="X17" s="345"/>
      <c r="Y17" s="345"/>
      <c r="Z17" s="345"/>
      <c r="AA17" s="346"/>
      <c r="AE17" s="344"/>
      <c r="AF17" s="345"/>
      <c r="AG17" s="345"/>
      <c r="AH17" s="345"/>
      <c r="AI17" s="345"/>
      <c r="AJ17" s="346"/>
    </row>
    <row r="18" spans="1:37" outlineLevel="1" x14ac:dyDescent="0.25">
      <c r="A18" s="65"/>
      <c r="B18" s="66"/>
      <c r="D18" s="67"/>
      <c r="E18" s="68"/>
      <c r="F18" s="68"/>
      <c r="G18" s="68"/>
      <c r="H18" s="68"/>
      <c r="I18" s="68"/>
      <c r="M18" s="314"/>
      <c r="N18" s="315"/>
      <c r="O18" s="315"/>
      <c r="P18" s="315"/>
      <c r="Q18" s="315"/>
      <c r="R18" s="315"/>
      <c r="V18" s="314"/>
      <c r="W18" s="315"/>
      <c r="X18" s="315"/>
      <c r="Y18" s="315"/>
      <c r="Z18" s="315"/>
      <c r="AA18" s="315"/>
      <c r="AE18" s="314"/>
      <c r="AF18" s="315"/>
      <c r="AG18" s="315"/>
      <c r="AH18" s="315"/>
      <c r="AI18" s="315"/>
      <c r="AJ18" s="315"/>
    </row>
    <row r="19" spans="1:37" outlineLevel="1" x14ac:dyDescent="0.25">
      <c r="A19" s="209"/>
      <c r="B19" s="210"/>
      <c r="D19" s="509" t="s">
        <v>251</v>
      </c>
      <c r="E19" s="510" t="s">
        <v>94</v>
      </c>
      <c r="F19" s="510" t="s">
        <v>252</v>
      </c>
      <c r="G19" s="510"/>
      <c r="H19" s="510"/>
      <c r="I19" s="511"/>
      <c r="M19" s="509" t="s">
        <v>251</v>
      </c>
      <c r="N19" s="510" t="s">
        <v>94</v>
      </c>
      <c r="O19" s="510" t="s">
        <v>252</v>
      </c>
      <c r="P19" s="510"/>
      <c r="Q19" s="510"/>
      <c r="R19" s="511"/>
      <c r="V19" s="509" t="s">
        <v>251</v>
      </c>
      <c r="W19" s="510" t="s">
        <v>94</v>
      </c>
      <c r="X19" s="510" t="s">
        <v>252</v>
      </c>
      <c r="Y19" s="510"/>
      <c r="Z19" s="510"/>
      <c r="AA19" s="511"/>
      <c r="AE19" s="509" t="s">
        <v>251</v>
      </c>
      <c r="AF19" s="510" t="s">
        <v>94</v>
      </c>
      <c r="AG19" s="510" t="s">
        <v>252</v>
      </c>
      <c r="AH19" s="510"/>
      <c r="AI19" s="510"/>
      <c r="AJ19" s="511"/>
    </row>
    <row r="20" spans="1:37" hidden="1" outlineLevel="2" x14ac:dyDescent="0.25">
      <c r="A20" s="198">
        <v>190</v>
      </c>
      <c r="B20" s="199" t="s">
        <v>253</v>
      </c>
      <c r="D20" s="301">
        <f>VLOOKUP($A20,Prevs!$C:$AJ,COLUMN() - COLUMN($D20)+2,FALSE)*VLOOKUP($A20,Usinas!$C:$D,2,FALSE)</f>
        <v>103.3882</v>
      </c>
      <c r="E20" s="301">
        <f>VLOOKUP($A20,Prevs!$C:$AJ,COLUMN() - COLUMN($D20)+2,FALSE)*VLOOKUP($A20,Usinas!$C:$D,2,FALSE)</f>
        <v>100.413</v>
      </c>
      <c r="F20" s="301">
        <f>VLOOKUP($A20,Prevs!$C:$AJ,COLUMN() - COLUMN($D20)+2,FALSE)*VLOOKUP($A20,Usinas!$C:$D,2,FALSE)</f>
        <v>96.694000000000003</v>
      </c>
      <c r="G20" s="301">
        <f>VLOOKUP($A20,Prevs!$C:$AJ,COLUMN() - COLUMN($D20)+2,FALSE)*VLOOKUP($A20,Usinas!$C:$D,2,FALSE)</f>
        <v>95.578299999999999</v>
      </c>
      <c r="H20" s="301">
        <f>VLOOKUP($A20,Prevs!$C:$AJ,COLUMN() - COLUMN($D20)+2,FALSE)*VLOOKUP($A20,Usinas!$C:$D,2,FALSE)</f>
        <v>94.090699999999998</v>
      </c>
      <c r="I20" s="301">
        <f>VLOOKUP($A20,Prevs!$C:$AJ,COLUMN() - COLUMN($D20)+2,FALSE)*VLOOKUP($A20,Usinas!$C:$D,2,FALSE)</f>
        <v>94.462600000000009</v>
      </c>
      <c r="J20" s="477">
        <f ca="1">VLOOKUP($A20,Prevs_MLT!$C:$AJ,1+Entrada!$C$4,FALSE)*VLOOKUP($A20,Usinas!$C:$D,2,FALSE)</f>
        <v>163.636</v>
      </c>
      <c r="M20" s="341">
        <f>VLOOKUP($A20,Prevs!$C:$AJ,COLUMN() - COLUMN($D20)+2,FALSE)*VLOOKUP($A20,Usinas!$C:$D,2,FALSE)</f>
        <v>192.64420000000001</v>
      </c>
      <c r="N20" s="341">
        <f>VLOOKUP($A20,Prevs!$C:$AJ,COLUMN() - COLUMN($D20)+2,FALSE)*VLOOKUP($A20,Usinas!$C:$D,2,FALSE)</f>
        <v>187.06569999999999</v>
      </c>
      <c r="O20" s="341">
        <f>VLOOKUP($A20,Prevs!$C:$AJ,COLUMN() - COLUMN($D20)+2,FALSE)*VLOOKUP($A20,Usinas!$C:$D,2,FALSE)</f>
        <v>180.3715</v>
      </c>
      <c r="P20" s="341">
        <f>VLOOKUP($A20,Prevs!$C:$AJ,COLUMN() - COLUMN($D20)+2,FALSE)*VLOOKUP($A20,Usinas!$C:$D,2,FALSE)</f>
        <v>178.14010000000002</v>
      </c>
      <c r="Q20" s="341">
        <f>VLOOKUP($A20,Prevs!$C:$AJ,COLUMN() - COLUMN($D20)+2,FALSE)*VLOOKUP($A20,Usinas!$C:$D,2,FALSE)</f>
        <v>175.5368</v>
      </c>
      <c r="R20" s="341">
        <f>VLOOKUP($A20,Prevs!$C:$AJ,COLUMN() - COLUMN($D20)+2,FALSE)*VLOOKUP($A20,Usinas!$C:$D,2,FALSE)</f>
        <v>176.28059999999999</v>
      </c>
      <c r="V20" s="341">
        <f>VLOOKUP($A20,Prevs!$C:$AJ,COLUMN() - COLUMN($D20)+2,FALSE)*VLOOKUP($A20,Usinas!$C:$D,2,FALSE)</f>
        <v>195.2475</v>
      </c>
      <c r="W20" s="341">
        <f>VLOOKUP($A20,Prevs!$C:$AJ,COLUMN() - COLUMN($D20)+2,FALSE)*VLOOKUP($A20,Usinas!$C:$D,2,FALSE)</f>
        <v>189.66900000000001</v>
      </c>
      <c r="X20" s="341">
        <f>VLOOKUP($A20,Prevs!$C:$AJ,COLUMN() - COLUMN($D20)+2,FALSE)*VLOOKUP($A20,Usinas!$C:$D,2,FALSE)</f>
        <v>182.60290000000001</v>
      </c>
      <c r="Y20" s="341">
        <f>VLOOKUP($A20,Prevs!$C:$AJ,COLUMN() - COLUMN($D20)+2,FALSE)*VLOOKUP($A20,Usinas!$C:$D,2,FALSE)</f>
        <v>180.74340000000001</v>
      </c>
      <c r="Z20" s="341">
        <f>VLOOKUP($A20,Prevs!$C:$AJ,COLUMN() - COLUMN($D20)+2,FALSE)*VLOOKUP($A20,Usinas!$C:$D,2,FALSE)</f>
        <v>177.76820000000001</v>
      </c>
      <c r="AA20" s="341">
        <f>VLOOKUP($A20,Prevs!$C:$AJ,COLUMN() - COLUMN($D20)+2,FALSE)*VLOOKUP($A20,Usinas!$C:$D,2,FALSE)</f>
        <v>178.512</v>
      </c>
      <c r="AE20" s="341">
        <f>VLOOKUP($A20,Prevs!$C:$AJ,COLUMN() - COLUMN($D20)+2,FALSE)*VLOOKUP($A20,Usinas!$C:$D,2,FALSE)</f>
        <v>103.3882</v>
      </c>
      <c r="AF20" s="341">
        <f>VLOOKUP($A20,Prevs!$C:$AJ,COLUMN() - COLUMN($D20)+2,FALSE)*VLOOKUP($A20,Usinas!$C:$D,2,FALSE)</f>
        <v>100.413</v>
      </c>
      <c r="AG20" s="341">
        <f>VLOOKUP($A20,Prevs!$C:$AJ,COLUMN() - COLUMN($D20)+2,FALSE)*VLOOKUP($A20,Usinas!$C:$D,2,FALSE)</f>
        <v>96.694000000000003</v>
      </c>
      <c r="AH20" s="341">
        <f>VLOOKUP($A20,Prevs!$C:$AJ,COLUMN() - COLUMN($D20)+2,FALSE)*VLOOKUP($A20,Usinas!$C:$D,2,FALSE)</f>
        <v>95.578299999999999</v>
      </c>
      <c r="AI20" s="341">
        <f>VLOOKUP($A20,Prevs!$C:$AJ,COLUMN() - COLUMN($D20)+2,FALSE)*VLOOKUP($A20,Usinas!$C:$D,2,FALSE)</f>
        <v>94.090699999999998</v>
      </c>
      <c r="AJ20" s="341">
        <f>VLOOKUP($A20,Prevs!$C:$AJ,COLUMN() - COLUMN($D20)+2,FALSE)*VLOOKUP($A20,Usinas!$C:$D,2,FALSE)</f>
        <v>94.462600000000009</v>
      </c>
    </row>
    <row r="21" spans="1:37" outlineLevel="1" collapsed="1" x14ac:dyDescent="0.25">
      <c r="A21" s="200"/>
      <c r="B21" s="201" t="s">
        <v>92</v>
      </c>
      <c r="D21" s="204">
        <f t="shared" ref="D21:I21" si="21">D20</f>
        <v>103.3882</v>
      </c>
      <c r="E21" s="58">
        <f t="shared" si="21"/>
        <v>100.413</v>
      </c>
      <c r="F21" s="58">
        <f t="shared" si="21"/>
        <v>96.694000000000003</v>
      </c>
      <c r="G21" s="58">
        <f t="shared" si="21"/>
        <v>95.578299999999999</v>
      </c>
      <c r="H21" s="58">
        <f t="shared" si="21"/>
        <v>94.090699999999998</v>
      </c>
      <c r="I21" s="205">
        <f t="shared" si="21"/>
        <v>94.462600000000009</v>
      </c>
      <c r="J21" s="423">
        <f ca="1">SUMPRODUCT(D21:I21,Saida!$B$7:$G$7)/SUM(Saida!$B$7:$G$7)</f>
        <v>96.842759999999998</v>
      </c>
      <c r="M21" s="342">
        <f t="shared" ref="M21:R21" si="22">M20</f>
        <v>192.64420000000001</v>
      </c>
      <c r="N21" s="308">
        <f t="shared" si="22"/>
        <v>187.06569999999999</v>
      </c>
      <c r="O21" s="308">
        <f t="shared" si="22"/>
        <v>180.3715</v>
      </c>
      <c r="P21" s="308">
        <f t="shared" si="22"/>
        <v>178.14010000000002</v>
      </c>
      <c r="Q21" s="308">
        <f t="shared" si="22"/>
        <v>175.5368</v>
      </c>
      <c r="R21" s="343">
        <f t="shared" si="22"/>
        <v>176.28059999999999</v>
      </c>
      <c r="S21" s="423">
        <f ca="1">SUMPRODUCT(M21:R21,Saida!$B$7:$G$7)/SUM(Saida!$B$7:$G$7)</f>
        <v>180.55744999999999</v>
      </c>
      <c r="V21" s="342">
        <f t="shared" ref="V21:AA21" si="23">V20</f>
        <v>195.2475</v>
      </c>
      <c r="W21" s="308">
        <f t="shared" si="23"/>
        <v>189.66900000000001</v>
      </c>
      <c r="X21" s="308">
        <f t="shared" si="23"/>
        <v>182.60290000000001</v>
      </c>
      <c r="Y21" s="308">
        <f t="shared" si="23"/>
        <v>180.74340000000001</v>
      </c>
      <c r="Z21" s="308">
        <f t="shared" si="23"/>
        <v>177.76820000000001</v>
      </c>
      <c r="AA21" s="343">
        <f t="shared" si="23"/>
        <v>178.512</v>
      </c>
      <c r="AB21" s="423">
        <f ca="1">SUMPRODUCT(V21:AA21,Saida!$B$7:$G$7)/SUM(Saida!$B$7:$G$7)</f>
        <v>182.97479999999999</v>
      </c>
      <c r="AE21" s="342">
        <f t="shared" ref="AE21:AJ21" si="24">AE20</f>
        <v>103.3882</v>
      </c>
      <c r="AF21" s="308">
        <f t="shared" si="24"/>
        <v>100.413</v>
      </c>
      <c r="AG21" s="308">
        <f t="shared" si="24"/>
        <v>96.694000000000003</v>
      </c>
      <c r="AH21" s="308">
        <f t="shared" si="24"/>
        <v>95.578299999999999</v>
      </c>
      <c r="AI21" s="308">
        <f t="shared" si="24"/>
        <v>94.090699999999998</v>
      </c>
      <c r="AJ21" s="343">
        <f t="shared" si="24"/>
        <v>94.462600000000009</v>
      </c>
      <c r="AK21" s="423">
        <f ca="1">SUMPRODUCT(AE21:AJ21,Saida!$B$7:$G$7)/SUM(Saida!$B$7:$G$7)</f>
        <v>96.842759999999998</v>
      </c>
    </row>
    <row r="22" spans="1:37" outlineLevel="1" x14ac:dyDescent="0.25">
      <c r="A22" s="202"/>
      <c r="B22" s="203" t="s">
        <v>13</v>
      </c>
      <c r="D22" s="206"/>
      <c r="E22" s="207"/>
      <c r="F22" s="207"/>
      <c r="G22" s="207"/>
      <c r="H22" s="207"/>
      <c r="I22" s="208"/>
      <c r="J22" s="478">
        <f ca="1">J20</f>
        <v>163.636</v>
      </c>
      <c r="M22" s="344"/>
      <c r="N22" s="345"/>
      <c r="O22" s="345"/>
      <c r="P22" s="345"/>
      <c r="Q22" s="345"/>
      <c r="R22" s="346"/>
      <c r="V22" s="344"/>
      <c r="W22" s="345"/>
      <c r="X22" s="345"/>
      <c r="Y22" s="345"/>
      <c r="Z22" s="345"/>
      <c r="AA22" s="346"/>
      <c r="AE22" s="344"/>
      <c r="AF22" s="345"/>
      <c r="AG22" s="345"/>
      <c r="AH22" s="345"/>
      <c r="AI22" s="345"/>
      <c r="AJ22" s="346"/>
    </row>
    <row r="23" spans="1:37" outlineLevel="1" x14ac:dyDescent="0.25">
      <c r="A23" s="65"/>
      <c r="B23" s="66"/>
      <c r="D23" s="67"/>
      <c r="E23" s="68"/>
      <c r="F23" s="68"/>
      <c r="G23" s="68"/>
      <c r="H23" s="68"/>
      <c r="I23" s="68"/>
      <c r="M23" s="314"/>
      <c r="N23" s="315"/>
      <c r="O23" s="315"/>
      <c r="P23" s="315"/>
      <c r="Q23" s="315"/>
      <c r="R23" s="315"/>
      <c r="V23" s="314"/>
      <c r="W23" s="315"/>
      <c r="X23" s="315"/>
      <c r="Y23" s="315"/>
      <c r="Z23" s="315"/>
      <c r="AA23" s="315"/>
      <c r="AE23" s="314"/>
      <c r="AF23" s="315"/>
      <c r="AG23" s="315"/>
      <c r="AH23" s="315"/>
      <c r="AI23" s="315"/>
      <c r="AJ23" s="315"/>
    </row>
    <row r="24" spans="1:37" outlineLevel="1" x14ac:dyDescent="0.25">
      <c r="A24" s="209"/>
      <c r="B24" s="210"/>
      <c r="D24" s="509" t="s">
        <v>254</v>
      </c>
      <c r="E24" s="510" t="s">
        <v>94</v>
      </c>
      <c r="F24" s="510" t="s">
        <v>255</v>
      </c>
      <c r="G24" s="510"/>
      <c r="H24" s="510"/>
      <c r="I24" s="511"/>
      <c r="M24" s="509" t="s">
        <v>254</v>
      </c>
      <c r="N24" s="510" t="s">
        <v>94</v>
      </c>
      <c r="O24" s="510" t="s">
        <v>255</v>
      </c>
      <c r="P24" s="510"/>
      <c r="Q24" s="510"/>
      <c r="R24" s="511"/>
      <c r="V24" s="509" t="s">
        <v>254</v>
      </c>
      <c r="W24" s="510" t="s">
        <v>94</v>
      </c>
      <c r="X24" s="510" t="s">
        <v>255</v>
      </c>
      <c r="Y24" s="510"/>
      <c r="Z24" s="510"/>
      <c r="AA24" s="511"/>
      <c r="AE24" s="509" t="s">
        <v>254</v>
      </c>
      <c r="AF24" s="510" t="s">
        <v>94</v>
      </c>
      <c r="AG24" s="510" t="s">
        <v>255</v>
      </c>
      <c r="AH24" s="510"/>
      <c r="AI24" s="510"/>
      <c r="AJ24" s="511"/>
    </row>
    <row r="25" spans="1:37" hidden="1" outlineLevel="2" x14ac:dyDescent="0.25">
      <c r="A25" s="198">
        <v>254</v>
      </c>
      <c r="B25" s="199" t="s">
        <v>256</v>
      </c>
      <c r="D25" s="301">
        <f>VLOOKUP($A25,Prevs!$C:$AJ,COLUMN() - COLUMN($D25)+2,FALSE)*VLOOKUP($A25,Usinas!$C:$D,2,FALSE)</f>
        <v>28.532399999999999</v>
      </c>
      <c r="E25" s="301">
        <f>VLOOKUP($A25,Prevs!$C:$AJ,COLUMN() - COLUMN($D25)+2,FALSE)*VLOOKUP($A25,Usinas!$C:$D,2,FALSE)</f>
        <v>28.532399999999999</v>
      </c>
      <c r="F25" s="301">
        <f>VLOOKUP($A25,Prevs!$C:$AJ,COLUMN() - COLUMN($D25)+2,FALSE)*VLOOKUP($A25,Usinas!$C:$D,2,FALSE)</f>
        <v>31.293600000000001</v>
      </c>
      <c r="G25" s="301">
        <f>VLOOKUP($A25,Prevs!$C:$AJ,COLUMN() - COLUMN($D25)+2,FALSE)*VLOOKUP($A25,Usinas!$C:$D,2,FALSE)</f>
        <v>32.213999999999999</v>
      </c>
      <c r="H25" s="301">
        <f>VLOOKUP($A25,Prevs!$C:$AJ,COLUMN() - COLUMN($D25)+2,FALSE)*VLOOKUP($A25,Usinas!$C:$D,2,FALSE)</f>
        <v>31.293600000000001</v>
      </c>
      <c r="I25" s="301">
        <f>VLOOKUP($A25,Prevs!$C:$AJ,COLUMN() - COLUMN($D25)+2,FALSE)*VLOOKUP($A25,Usinas!$C:$D,2,FALSE)</f>
        <v>31.293600000000001</v>
      </c>
      <c r="J25" s="477">
        <f ca="1">VLOOKUP($A25,Prevs_MLT!$C:$AJ,1+Entrada!$C$4,FALSE)*VLOOKUP($A25,Usinas!$C:$D,2,FALSE)</f>
        <v>73.632000000000005</v>
      </c>
      <c r="M25" s="341">
        <f>VLOOKUP($A25,Prevs!$C:$AJ,COLUMN() - COLUMN($D25)+2,FALSE)*VLOOKUP($A25,Usinas!$C:$D,2,FALSE)</f>
        <v>53.383200000000002</v>
      </c>
      <c r="N25" s="341">
        <f>VLOOKUP($A25,Prevs!$C:$AJ,COLUMN() - COLUMN($D25)+2,FALSE)*VLOOKUP($A25,Usinas!$C:$D,2,FALSE)</f>
        <v>53.383200000000002</v>
      </c>
      <c r="O25" s="341">
        <f>VLOOKUP($A25,Prevs!$C:$AJ,COLUMN() - COLUMN($D25)+2,FALSE)*VLOOKUP($A25,Usinas!$C:$D,2,FALSE)</f>
        <v>57.985199999999999</v>
      </c>
      <c r="P25" s="341">
        <f>VLOOKUP($A25,Prevs!$C:$AJ,COLUMN() - COLUMN($D25)+2,FALSE)*VLOOKUP($A25,Usinas!$C:$D,2,FALSE)</f>
        <v>59.826000000000001</v>
      </c>
      <c r="Q25" s="341">
        <f>VLOOKUP($A25,Prevs!$C:$AJ,COLUMN() - COLUMN($D25)+2,FALSE)*VLOOKUP($A25,Usinas!$C:$D,2,FALSE)</f>
        <v>57.985199999999999</v>
      </c>
      <c r="R25" s="341">
        <f>VLOOKUP($A25,Prevs!$C:$AJ,COLUMN() - COLUMN($D25)+2,FALSE)*VLOOKUP($A25,Usinas!$C:$D,2,FALSE)</f>
        <v>57.985199999999999</v>
      </c>
      <c r="V25" s="341">
        <f>VLOOKUP($A25,Prevs!$C:$AJ,COLUMN() - COLUMN($D25)+2,FALSE)*VLOOKUP($A25,Usinas!$C:$D,2,FALSE)</f>
        <v>54.303600000000003</v>
      </c>
      <c r="W25" s="341">
        <f>VLOOKUP($A25,Prevs!$C:$AJ,COLUMN() - COLUMN($D25)+2,FALSE)*VLOOKUP($A25,Usinas!$C:$D,2,FALSE)</f>
        <v>54.303600000000003</v>
      </c>
      <c r="X25" s="341">
        <f>VLOOKUP($A25,Prevs!$C:$AJ,COLUMN() - COLUMN($D25)+2,FALSE)*VLOOKUP($A25,Usinas!$C:$D,2,FALSE)</f>
        <v>58.9056</v>
      </c>
      <c r="Y25" s="341">
        <f>VLOOKUP($A25,Prevs!$C:$AJ,COLUMN() - COLUMN($D25)+2,FALSE)*VLOOKUP($A25,Usinas!$C:$D,2,FALSE)</f>
        <v>60.746400000000001</v>
      </c>
      <c r="Z25" s="341">
        <f>VLOOKUP($A25,Prevs!$C:$AJ,COLUMN() - COLUMN($D25)+2,FALSE)*VLOOKUP($A25,Usinas!$C:$D,2,FALSE)</f>
        <v>58.9056</v>
      </c>
      <c r="AA25" s="341">
        <f>VLOOKUP($A25,Prevs!$C:$AJ,COLUMN() - COLUMN($D25)+2,FALSE)*VLOOKUP($A25,Usinas!$C:$D,2,FALSE)</f>
        <v>58.9056</v>
      </c>
      <c r="AE25" s="341">
        <f>VLOOKUP($A25,Prevs!$C:$AJ,COLUMN() - COLUMN($D25)+2,FALSE)*VLOOKUP($A25,Usinas!$C:$D,2,FALSE)</f>
        <v>28.532399999999999</v>
      </c>
      <c r="AF25" s="341">
        <f>VLOOKUP($A25,Prevs!$C:$AJ,COLUMN() - COLUMN($D25)+2,FALSE)*VLOOKUP($A25,Usinas!$C:$D,2,FALSE)</f>
        <v>28.532399999999999</v>
      </c>
      <c r="AG25" s="341">
        <f>VLOOKUP($A25,Prevs!$C:$AJ,COLUMN() - COLUMN($D25)+2,FALSE)*VLOOKUP($A25,Usinas!$C:$D,2,FALSE)</f>
        <v>31.293600000000001</v>
      </c>
      <c r="AH25" s="341">
        <f>VLOOKUP($A25,Prevs!$C:$AJ,COLUMN() - COLUMN($D25)+2,FALSE)*VLOOKUP($A25,Usinas!$C:$D,2,FALSE)</f>
        <v>32.213999999999999</v>
      </c>
      <c r="AI25" s="341">
        <f>VLOOKUP($A25,Prevs!$C:$AJ,COLUMN() - COLUMN($D25)+2,FALSE)*VLOOKUP($A25,Usinas!$C:$D,2,FALSE)</f>
        <v>31.293600000000001</v>
      </c>
      <c r="AJ25" s="341">
        <f>VLOOKUP($A25,Prevs!$C:$AJ,COLUMN() - COLUMN($D25)+2,FALSE)*VLOOKUP($A25,Usinas!$C:$D,2,FALSE)</f>
        <v>31.293600000000001</v>
      </c>
    </row>
    <row r="26" spans="1:37" outlineLevel="1" collapsed="1" x14ac:dyDescent="0.25">
      <c r="A26" s="200"/>
      <c r="B26" s="201" t="s">
        <v>92</v>
      </c>
      <c r="D26" s="204">
        <f t="shared" ref="D26:I26" si="25">D25</f>
        <v>28.532399999999999</v>
      </c>
      <c r="E26" s="58">
        <f t="shared" si="25"/>
        <v>28.532399999999999</v>
      </c>
      <c r="F26" s="58">
        <f t="shared" si="25"/>
        <v>31.293600000000001</v>
      </c>
      <c r="G26" s="58">
        <f t="shared" si="25"/>
        <v>32.213999999999999</v>
      </c>
      <c r="H26" s="58">
        <f t="shared" si="25"/>
        <v>31.293600000000001</v>
      </c>
      <c r="I26" s="205">
        <f t="shared" si="25"/>
        <v>31.293600000000001</v>
      </c>
      <c r="J26" s="423">
        <f ca="1">SUMPRODUCT(D26:I26,Saida!$B$7:$G$7)/SUM(Saida!$B$7:$G$7)</f>
        <v>30.772040000000001</v>
      </c>
      <c r="M26" s="342">
        <f t="shared" ref="M26:R26" si="26">M25</f>
        <v>53.383200000000002</v>
      </c>
      <c r="N26" s="308">
        <f t="shared" si="26"/>
        <v>53.383200000000002</v>
      </c>
      <c r="O26" s="308">
        <f t="shared" si="26"/>
        <v>57.985199999999999</v>
      </c>
      <c r="P26" s="308">
        <f t="shared" si="26"/>
        <v>59.826000000000001</v>
      </c>
      <c r="Q26" s="308">
        <f t="shared" si="26"/>
        <v>57.985199999999999</v>
      </c>
      <c r="R26" s="343">
        <f t="shared" si="26"/>
        <v>57.985199999999999</v>
      </c>
      <c r="S26" s="423">
        <f ca="1">SUMPRODUCT(M26:R26,Saida!$B$7:$G$7)/SUM(Saida!$B$7:$G$7)</f>
        <v>57.187519999999992</v>
      </c>
      <c r="V26" s="342">
        <f t="shared" ref="V26:AA26" si="27">V25</f>
        <v>54.303600000000003</v>
      </c>
      <c r="W26" s="308">
        <f t="shared" si="27"/>
        <v>54.303600000000003</v>
      </c>
      <c r="X26" s="308">
        <f t="shared" si="27"/>
        <v>58.9056</v>
      </c>
      <c r="Y26" s="308">
        <f t="shared" si="27"/>
        <v>60.746400000000001</v>
      </c>
      <c r="Z26" s="308">
        <f t="shared" si="27"/>
        <v>58.9056</v>
      </c>
      <c r="AA26" s="343">
        <f t="shared" si="27"/>
        <v>58.9056</v>
      </c>
      <c r="AB26" s="423">
        <f ca="1">SUMPRODUCT(V26:AA26,Saida!$B$7:$G$7)/SUM(Saida!$B$7:$G$7)</f>
        <v>58.10792</v>
      </c>
      <c r="AE26" s="342">
        <f t="shared" ref="AE26:AJ26" si="28">AE25</f>
        <v>28.532399999999999</v>
      </c>
      <c r="AF26" s="308">
        <f t="shared" si="28"/>
        <v>28.532399999999999</v>
      </c>
      <c r="AG26" s="308">
        <f t="shared" si="28"/>
        <v>31.293600000000001</v>
      </c>
      <c r="AH26" s="308">
        <f t="shared" si="28"/>
        <v>32.213999999999999</v>
      </c>
      <c r="AI26" s="308">
        <f t="shared" si="28"/>
        <v>31.293600000000001</v>
      </c>
      <c r="AJ26" s="343">
        <f t="shared" si="28"/>
        <v>31.293600000000001</v>
      </c>
      <c r="AK26" s="423">
        <f ca="1">SUMPRODUCT(AE26:AJ26,Saida!$B$7:$G$7)/SUM(Saida!$B$7:$G$7)</f>
        <v>30.772040000000001</v>
      </c>
    </row>
    <row r="27" spans="1:37" outlineLevel="1" x14ac:dyDescent="0.25">
      <c r="A27" s="202"/>
      <c r="B27" s="203" t="s">
        <v>13</v>
      </c>
      <c r="D27" s="206"/>
      <c r="E27" s="207"/>
      <c r="F27" s="207"/>
      <c r="G27" s="207"/>
      <c r="H27" s="207"/>
      <c r="I27" s="208"/>
      <c r="J27" s="478">
        <f ca="1">J25</f>
        <v>73.632000000000005</v>
      </c>
      <c r="M27" s="344"/>
      <c r="N27" s="345"/>
      <c r="O27" s="345"/>
      <c r="P27" s="345"/>
      <c r="Q27" s="345"/>
      <c r="R27" s="346"/>
      <c r="V27" s="344"/>
      <c r="W27" s="345"/>
      <c r="X27" s="345"/>
      <c r="Y27" s="345"/>
      <c r="Z27" s="345"/>
      <c r="AA27" s="346"/>
      <c r="AE27" s="344"/>
      <c r="AF27" s="345"/>
      <c r="AG27" s="345"/>
      <c r="AH27" s="345"/>
      <c r="AI27" s="345"/>
      <c r="AJ27" s="346"/>
    </row>
    <row r="28" spans="1:37" outlineLevel="1" x14ac:dyDescent="0.25">
      <c r="A28" s="65"/>
      <c r="B28" s="66"/>
      <c r="D28" s="67"/>
      <c r="E28" s="68"/>
      <c r="F28" s="68"/>
      <c r="G28" s="68"/>
      <c r="H28" s="68"/>
      <c r="I28" s="68"/>
      <c r="M28" s="314"/>
      <c r="N28" s="315"/>
      <c r="O28" s="315"/>
      <c r="P28" s="315"/>
      <c r="Q28" s="315"/>
      <c r="R28" s="315"/>
      <c r="V28" s="314"/>
      <c r="W28" s="315"/>
      <c r="X28" s="315"/>
      <c r="Y28" s="315"/>
      <c r="Z28" s="315"/>
      <c r="AA28" s="315"/>
      <c r="AE28" s="314"/>
      <c r="AF28" s="315"/>
      <c r="AG28" s="315"/>
      <c r="AH28" s="315"/>
      <c r="AI28" s="315"/>
      <c r="AJ28" s="315"/>
    </row>
    <row r="29" spans="1:37" x14ac:dyDescent="0.25">
      <c r="A29" s="209"/>
      <c r="B29" s="210"/>
      <c r="D29" s="509" t="s">
        <v>257</v>
      </c>
      <c r="E29" s="510" t="s">
        <v>203</v>
      </c>
      <c r="F29" s="510" t="s">
        <v>17</v>
      </c>
      <c r="G29" s="510"/>
      <c r="H29" s="510"/>
      <c r="I29" s="511"/>
      <c r="M29" s="509" t="s">
        <v>257</v>
      </c>
      <c r="N29" s="510" t="s">
        <v>203</v>
      </c>
      <c r="O29" s="510" t="s">
        <v>17</v>
      </c>
      <c r="P29" s="510"/>
      <c r="Q29" s="510"/>
      <c r="R29" s="511"/>
      <c r="V29" s="509" t="s">
        <v>257</v>
      </c>
      <c r="W29" s="510" t="s">
        <v>203</v>
      </c>
      <c r="X29" s="510" t="s">
        <v>17</v>
      </c>
      <c r="Y29" s="510"/>
      <c r="Z29" s="510"/>
      <c r="AA29" s="511"/>
      <c r="AE29" s="509" t="s">
        <v>257</v>
      </c>
      <c r="AF29" s="510" t="s">
        <v>203</v>
      </c>
      <c r="AG29" s="510" t="s">
        <v>17</v>
      </c>
      <c r="AH29" s="510"/>
      <c r="AI29" s="510"/>
      <c r="AJ29" s="511"/>
    </row>
    <row r="30" spans="1:37" x14ac:dyDescent="0.25">
      <c r="A30" s="200"/>
      <c r="B30" s="201" t="s">
        <v>92</v>
      </c>
      <c r="D30" s="204">
        <f t="shared" ref="D30:J31" si="29">D11+D16+D21+D26</f>
        <v>2067.5142000000001</v>
      </c>
      <c r="E30" s="58">
        <f t="shared" si="29"/>
        <v>2221.6210999999998</v>
      </c>
      <c r="F30" s="58">
        <f t="shared" si="29"/>
        <v>2224.0974000000001</v>
      </c>
      <c r="G30" s="58">
        <f t="shared" si="29"/>
        <v>2209.9340999999999</v>
      </c>
      <c r="H30" s="58">
        <f t="shared" si="29"/>
        <v>2137.6089000000002</v>
      </c>
      <c r="I30" s="205">
        <f t="shared" si="29"/>
        <v>2136.5454</v>
      </c>
      <c r="J30" s="423">
        <f ca="1">SUMPRODUCT(D30:I30,Saida!$B$7:$G$7)/SUM(Saida!$B$7:$G$7)</f>
        <v>2191.8963366666667</v>
      </c>
      <c r="M30" s="342">
        <f t="shared" ref="M30:R30" si="30">M11+M16+M21+M26</f>
        <v>3787.0158999999999</v>
      </c>
      <c r="N30" s="308">
        <f t="shared" si="30"/>
        <v>4075.6795000000002</v>
      </c>
      <c r="O30" s="308">
        <f t="shared" si="30"/>
        <v>4083.8735000000006</v>
      </c>
      <c r="P30" s="308">
        <f t="shared" si="30"/>
        <v>4056.6315</v>
      </c>
      <c r="Q30" s="308">
        <f t="shared" si="30"/>
        <v>3923.1605</v>
      </c>
      <c r="R30" s="343">
        <f t="shared" si="30"/>
        <v>3919.3245000000006</v>
      </c>
      <c r="S30" s="423">
        <f ca="1">SUMPRODUCT(M30:R30,Saida!$B$7:$G$7)/SUM(Saida!$B$7:$G$7)</f>
        <v>4022.7251800000004</v>
      </c>
      <c r="V30" s="342">
        <f t="shared" ref="V30:AA30" si="31">V11+V16+V21+V26</f>
        <v>3782.7022999999999</v>
      </c>
      <c r="W30" s="308">
        <f t="shared" si="31"/>
        <v>4074.5263999999997</v>
      </c>
      <c r="X30" s="308">
        <f t="shared" si="31"/>
        <v>4085.7664999999997</v>
      </c>
      <c r="Y30" s="308">
        <f t="shared" si="31"/>
        <v>4056.1027999999997</v>
      </c>
      <c r="Z30" s="308">
        <f t="shared" si="31"/>
        <v>3922.2598999999996</v>
      </c>
      <c r="AA30" s="343">
        <f t="shared" si="31"/>
        <v>3918.4238999999998</v>
      </c>
      <c r="AB30" s="423">
        <f ca="1">SUMPRODUCT(V30:AA30,Saida!$B$7:$G$7)/SUM(Saida!$B$7:$G$7)</f>
        <v>4022.3905133333328</v>
      </c>
      <c r="AE30" s="342">
        <f t="shared" ref="AE30:AJ30" si="32">AE11+AE16+AE21+AE26</f>
        <v>2067.5142000000001</v>
      </c>
      <c r="AF30" s="308">
        <f t="shared" si="32"/>
        <v>2221.6210999999998</v>
      </c>
      <c r="AG30" s="308">
        <f t="shared" si="32"/>
        <v>2224.0974000000001</v>
      </c>
      <c r="AH30" s="308">
        <f t="shared" si="32"/>
        <v>2209.9340999999999</v>
      </c>
      <c r="AI30" s="308">
        <f t="shared" si="32"/>
        <v>2137.6089000000002</v>
      </c>
      <c r="AJ30" s="343">
        <f t="shared" si="32"/>
        <v>2136.5454</v>
      </c>
      <c r="AK30" s="423">
        <f ca="1">SUMPRODUCT(AE30:AJ30,Saida!$B$7:$G$7)/SUM(Saida!$B$7:$G$7)</f>
        <v>2191.8963366666667</v>
      </c>
    </row>
    <row r="31" spans="1:37" ht="15.75" x14ac:dyDescent="0.25">
      <c r="A31" s="202"/>
      <c r="B31" s="203" t="s">
        <v>13</v>
      </c>
      <c r="D31" s="206"/>
      <c r="E31" s="207"/>
      <c r="F31" s="207"/>
      <c r="G31" s="207"/>
      <c r="H31" s="207"/>
      <c r="I31" s="208"/>
      <c r="J31" s="479">
        <f t="shared" ca="1" si="29"/>
        <v>7313.483400000001</v>
      </c>
      <c r="M31" s="344"/>
      <c r="N31" s="345"/>
      <c r="O31" s="345"/>
      <c r="P31" s="345"/>
      <c r="Q31" s="345"/>
      <c r="R31" s="346"/>
      <c r="V31" s="344"/>
      <c r="W31" s="345"/>
      <c r="X31" s="345"/>
      <c r="Y31" s="345"/>
      <c r="Z31" s="345"/>
      <c r="AA31" s="346"/>
      <c r="AE31" s="344"/>
      <c r="AF31" s="345"/>
      <c r="AG31" s="345"/>
      <c r="AH31" s="345"/>
      <c r="AI31" s="345"/>
      <c r="AJ31" s="346"/>
    </row>
  </sheetData>
  <mergeCells count="22">
    <mergeCell ref="D24:I24"/>
    <mergeCell ref="D29:I29"/>
    <mergeCell ref="A1:A4"/>
    <mergeCell ref="B1:B4"/>
    <mergeCell ref="D6:I6"/>
    <mergeCell ref="D14:I14"/>
    <mergeCell ref="D19:I19"/>
    <mergeCell ref="M6:R6"/>
    <mergeCell ref="M14:R14"/>
    <mergeCell ref="M19:R19"/>
    <mergeCell ref="M24:R24"/>
    <mergeCell ref="M29:R29"/>
    <mergeCell ref="V29:AA29"/>
    <mergeCell ref="V24:AA24"/>
    <mergeCell ref="V19:AA19"/>
    <mergeCell ref="V14:AA14"/>
    <mergeCell ref="V6:AA6"/>
    <mergeCell ref="AE29:AJ29"/>
    <mergeCell ref="AE24:AJ24"/>
    <mergeCell ref="AE19:AJ19"/>
    <mergeCell ref="AE14:AJ14"/>
    <mergeCell ref="AE6:AJ6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5" tint="-0.249977111117893"/>
  </sheetPr>
  <dimension ref="A1:AK27"/>
  <sheetViews>
    <sheetView workbookViewId="0">
      <selection sqref="A1:A4"/>
    </sheetView>
  </sheetViews>
  <sheetFormatPr defaultRowHeight="15" outlineLevelRow="2" x14ac:dyDescent="0.25"/>
  <cols>
    <col min="1" max="1" width="5.28515625" bestFit="1" customWidth="1"/>
    <col min="2" max="2" width="35.42578125" bestFit="1" customWidth="1"/>
    <col min="3" max="3" width="1.7109375" style="403" customWidth="1"/>
    <col min="4" max="5" width="10.5703125" bestFit="1" customWidth="1"/>
    <col min="6" max="6" width="10.28515625" bestFit="1" customWidth="1"/>
    <col min="7" max="9" width="10.5703125" bestFit="1" customWidth="1"/>
    <col min="10" max="10" width="8" bestFit="1" customWidth="1"/>
    <col min="11" max="12" width="1.7109375" style="302" customWidth="1"/>
    <col min="13" max="14" width="10.5703125" bestFit="1" customWidth="1"/>
    <col min="15" max="15" width="10.28515625" bestFit="1" customWidth="1"/>
    <col min="16" max="18" width="10.5703125" bestFit="1" customWidth="1"/>
    <col min="19" max="19" width="8" style="419" bestFit="1" customWidth="1"/>
    <col min="20" max="21" width="1.7109375" style="419" customWidth="1"/>
    <col min="22" max="23" width="10.5703125" style="419" bestFit="1" customWidth="1"/>
    <col min="24" max="24" width="10.28515625" style="419" bestFit="1" customWidth="1"/>
    <col min="25" max="27" width="10.5703125" style="419" bestFit="1" customWidth="1"/>
    <col min="28" max="28" width="8" style="419" bestFit="1" customWidth="1"/>
    <col min="29" max="30" width="1.7109375" style="419" customWidth="1"/>
    <col min="31" max="32" width="10.5703125" style="419" bestFit="1" customWidth="1"/>
    <col min="33" max="33" width="10.28515625" style="419" bestFit="1" customWidth="1"/>
    <col min="34" max="36" width="10.5703125" style="419" bestFit="1" customWidth="1"/>
    <col min="37" max="37" width="8" style="419" bestFit="1" customWidth="1"/>
  </cols>
  <sheetData>
    <row r="1" spans="1:37" s="302" customFormat="1" ht="16.5" customHeight="1" x14ac:dyDescent="0.25">
      <c r="A1" s="512" t="s">
        <v>75</v>
      </c>
      <c r="B1" s="514" t="s">
        <v>204</v>
      </c>
      <c r="C1" s="387"/>
      <c r="D1" s="347" t="s">
        <v>69</v>
      </c>
      <c r="E1" s="348" t="s">
        <v>70</v>
      </c>
      <c r="F1" s="348" t="s">
        <v>71</v>
      </c>
      <c r="G1" s="348" t="s">
        <v>72</v>
      </c>
      <c r="H1" s="348" t="s">
        <v>73</v>
      </c>
      <c r="I1" s="349" t="s">
        <v>74</v>
      </c>
      <c r="J1" s="303"/>
      <c r="K1" s="303"/>
      <c r="L1" s="303"/>
      <c r="M1" s="378" t="str">
        <f t="shared" ref="M1:R4" si="0">D1</f>
        <v>Semana-1</v>
      </c>
      <c r="N1" s="379" t="str">
        <f t="shared" si="0"/>
        <v>Semana-2</v>
      </c>
      <c r="O1" s="379" t="str">
        <f t="shared" si="0"/>
        <v>Semana-3</v>
      </c>
      <c r="P1" s="379" t="str">
        <f t="shared" si="0"/>
        <v>Semana-4</v>
      </c>
      <c r="Q1" s="379" t="str">
        <f t="shared" si="0"/>
        <v>Semana-5</v>
      </c>
      <c r="R1" s="380" t="str">
        <f t="shared" si="0"/>
        <v>Semana-6</v>
      </c>
      <c r="S1" s="303"/>
      <c r="T1" s="303"/>
      <c r="U1" s="303"/>
      <c r="V1" s="378" t="str">
        <f t="shared" ref="V1:V4" si="1">M1</f>
        <v>Semana-1</v>
      </c>
      <c r="W1" s="379" t="str">
        <f t="shared" ref="W1:W4" si="2">N1</f>
        <v>Semana-2</v>
      </c>
      <c r="X1" s="379" t="str">
        <f t="shared" ref="X1:X4" si="3">O1</f>
        <v>Semana-3</v>
      </c>
      <c r="Y1" s="379" t="str">
        <f t="shared" ref="Y1:Y4" si="4">P1</f>
        <v>Semana-4</v>
      </c>
      <c r="Z1" s="379" t="str">
        <f t="shared" ref="Z1:Z4" si="5">Q1</f>
        <v>Semana-5</v>
      </c>
      <c r="AA1" s="380" t="str">
        <f t="shared" ref="AA1:AA4" si="6">R1</f>
        <v>Semana-6</v>
      </c>
      <c r="AB1" s="303"/>
      <c r="AC1" s="303"/>
      <c r="AD1" s="303"/>
      <c r="AE1" s="378" t="str">
        <f t="shared" ref="AE1:AE4" si="7">V1</f>
        <v>Semana-1</v>
      </c>
      <c r="AF1" s="379" t="str">
        <f t="shared" ref="AF1:AF4" si="8">W1</f>
        <v>Semana-2</v>
      </c>
      <c r="AG1" s="379" t="str">
        <f t="shared" ref="AG1:AG4" si="9">X1</f>
        <v>Semana-3</v>
      </c>
      <c r="AH1" s="379" t="str">
        <f t="shared" ref="AH1:AH4" si="10">Y1</f>
        <v>Semana-4</v>
      </c>
      <c r="AI1" s="379" t="str">
        <f t="shared" ref="AI1:AI4" si="11">Z1</f>
        <v>Semana-5</v>
      </c>
      <c r="AJ1" s="380" t="str">
        <f t="shared" ref="AJ1:AJ4" si="12">AA1</f>
        <v>Semana-6</v>
      </c>
      <c r="AK1" s="303"/>
    </row>
    <row r="2" spans="1:37" s="302" customFormat="1" x14ac:dyDescent="0.25">
      <c r="A2" s="513"/>
      <c r="B2" s="515"/>
      <c r="C2" s="387"/>
      <c r="D2" s="350">
        <f ca="1">Saida!B4</f>
        <v>42119</v>
      </c>
      <c r="E2" s="326">
        <f ca="1">Saida!C4</f>
        <v>42126</v>
      </c>
      <c r="F2" s="326">
        <f ca="1">Saida!D4</f>
        <v>42133</v>
      </c>
      <c r="G2" s="326">
        <f ca="1">Saida!E4</f>
        <v>42140</v>
      </c>
      <c r="H2" s="326">
        <f ca="1">Saida!F4</f>
        <v>42147</v>
      </c>
      <c r="I2" s="351">
        <f ca="1">Saida!G4</f>
        <v>42154</v>
      </c>
      <c r="J2" s="303"/>
      <c r="K2" s="303"/>
      <c r="L2" s="303"/>
      <c r="M2" s="381">
        <f t="shared" ca="1" si="0"/>
        <v>42119</v>
      </c>
      <c r="N2" s="382">
        <f t="shared" ca="1" si="0"/>
        <v>42126</v>
      </c>
      <c r="O2" s="382">
        <f t="shared" ca="1" si="0"/>
        <v>42133</v>
      </c>
      <c r="P2" s="382">
        <f t="shared" ca="1" si="0"/>
        <v>42140</v>
      </c>
      <c r="Q2" s="382">
        <f t="shared" ca="1" si="0"/>
        <v>42147</v>
      </c>
      <c r="R2" s="383">
        <f t="shared" ca="1" si="0"/>
        <v>42154</v>
      </c>
      <c r="S2" s="303"/>
      <c r="T2" s="303"/>
      <c r="U2" s="303"/>
      <c r="V2" s="381">
        <f t="shared" ca="1" si="1"/>
        <v>42119</v>
      </c>
      <c r="W2" s="382">
        <f t="shared" ca="1" si="2"/>
        <v>42126</v>
      </c>
      <c r="X2" s="382">
        <f t="shared" ca="1" si="3"/>
        <v>42133</v>
      </c>
      <c r="Y2" s="382">
        <f t="shared" ca="1" si="4"/>
        <v>42140</v>
      </c>
      <c r="Z2" s="382">
        <f t="shared" ca="1" si="5"/>
        <v>42147</v>
      </c>
      <c r="AA2" s="383">
        <f t="shared" ca="1" si="6"/>
        <v>42154</v>
      </c>
      <c r="AB2" s="303"/>
      <c r="AC2" s="303"/>
      <c r="AD2" s="303"/>
      <c r="AE2" s="381">
        <f t="shared" ca="1" si="7"/>
        <v>42119</v>
      </c>
      <c r="AF2" s="382">
        <f t="shared" ca="1" si="8"/>
        <v>42126</v>
      </c>
      <c r="AG2" s="382">
        <f t="shared" ca="1" si="9"/>
        <v>42133</v>
      </c>
      <c r="AH2" s="382">
        <f t="shared" ca="1" si="10"/>
        <v>42140</v>
      </c>
      <c r="AI2" s="382">
        <f t="shared" ca="1" si="11"/>
        <v>42147</v>
      </c>
      <c r="AJ2" s="383">
        <f t="shared" ca="1" si="12"/>
        <v>42154</v>
      </c>
      <c r="AK2" s="303"/>
    </row>
    <row r="3" spans="1:37" s="302" customFormat="1" x14ac:dyDescent="0.25">
      <c r="A3" s="513"/>
      <c r="B3" s="515"/>
      <c r="C3" s="387"/>
      <c r="D3" s="350" t="str">
        <f>Saida!B5</f>
        <v>a</v>
      </c>
      <c r="E3" s="326" t="str">
        <f>Saida!C5</f>
        <v>a</v>
      </c>
      <c r="F3" s="326" t="str">
        <f>Saida!D5</f>
        <v>a</v>
      </c>
      <c r="G3" s="326" t="str">
        <f>Saida!E5</f>
        <v>a</v>
      </c>
      <c r="H3" s="326" t="str">
        <f>Saida!F5</f>
        <v>a</v>
      </c>
      <c r="I3" s="351" t="str">
        <f>Saida!G5</f>
        <v>a</v>
      </c>
      <c r="J3" s="303"/>
      <c r="K3" s="303"/>
      <c r="L3" s="303"/>
      <c r="M3" s="381" t="str">
        <f t="shared" si="0"/>
        <v>a</v>
      </c>
      <c r="N3" s="382" t="str">
        <f t="shared" si="0"/>
        <v>a</v>
      </c>
      <c r="O3" s="382" t="str">
        <f t="shared" si="0"/>
        <v>a</v>
      </c>
      <c r="P3" s="382" t="str">
        <f t="shared" si="0"/>
        <v>a</v>
      </c>
      <c r="Q3" s="382" t="str">
        <f t="shared" si="0"/>
        <v>a</v>
      </c>
      <c r="R3" s="383" t="str">
        <f t="shared" si="0"/>
        <v>a</v>
      </c>
      <c r="S3" s="303"/>
      <c r="T3" s="303"/>
      <c r="U3" s="303"/>
      <c r="V3" s="381" t="str">
        <f t="shared" si="1"/>
        <v>a</v>
      </c>
      <c r="W3" s="382" t="str">
        <f t="shared" si="2"/>
        <v>a</v>
      </c>
      <c r="X3" s="382" t="str">
        <f t="shared" si="3"/>
        <v>a</v>
      </c>
      <c r="Y3" s="382" t="str">
        <f t="shared" si="4"/>
        <v>a</v>
      </c>
      <c r="Z3" s="382" t="str">
        <f t="shared" si="5"/>
        <v>a</v>
      </c>
      <c r="AA3" s="383" t="str">
        <f t="shared" si="6"/>
        <v>a</v>
      </c>
      <c r="AB3" s="303"/>
      <c r="AC3" s="303"/>
      <c r="AD3" s="303"/>
      <c r="AE3" s="381" t="str">
        <f t="shared" si="7"/>
        <v>a</v>
      </c>
      <c r="AF3" s="382" t="str">
        <f t="shared" si="8"/>
        <v>a</v>
      </c>
      <c r="AG3" s="382" t="str">
        <f t="shared" si="9"/>
        <v>a</v>
      </c>
      <c r="AH3" s="382" t="str">
        <f t="shared" si="10"/>
        <v>a</v>
      </c>
      <c r="AI3" s="382" t="str">
        <f t="shared" si="11"/>
        <v>a</v>
      </c>
      <c r="AJ3" s="383" t="str">
        <f t="shared" si="12"/>
        <v>a</v>
      </c>
      <c r="AK3" s="303"/>
    </row>
    <row r="4" spans="1:37" s="302" customFormat="1" x14ac:dyDescent="0.25">
      <c r="A4" s="513"/>
      <c r="B4" s="515"/>
      <c r="C4" s="387"/>
      <c r="D4" s="350">
        <f ca="1">Saida!B6</f>
        <v>42125</v>
      </c>
      <c r="E4" s="326">
        <f ca="1">Saida!C6</f>
        <v>42132</v>
      </c>
      <c r="F4" s="326">
        <f ca="1">Saida!D6</f>
        <v>42139</v>
      </c>
      <c r="G4" s="326">
        <f ca="1">Saida!E6</f>
        <v>42146</v>
      </c>
      <c r="H4" s="326">
        <f ca="1">Saida!F6</f>
        <v>42153</v>
      </c>
      <c r="I4" s="351">
        <f ca="1">Saida!G6</f>
        <v>42160</v>
      </c>
      <c r="J4" s="303"/>
      <c r="K4" s="303"/>
      <c r="L4" s="303"/>
      <c r="M4" s="381">
        <f t="shared" ca="1" si="0"/>
        <v>42125</v>
      </c>
      <c r="N4" s="382">
        <f t="shared" ca="1" si="0"/>
        <v>42132</v>
      </c>
      <c r="O4" s="382">
        <f t="shared" ca="1" si="0"/>
        <v>42139</v>
      </c>
      <c r="P4" s="382">
        <f t="shared" ca="1" si="0"/>
        <v>42146</v>
      </c>
      <c r="Q4" s="382">
        <f t="shared" ca="1" si="0"/>
        <v>42153</v>
      </c>
      <c r="R4" s="383">
        <f t="shared" ca="1" si="0"/>
        <v>42160</v>
      </c>
      <c r="S4" s="303"/>
      <c r="T4" s="303"/>
      <c r="U4" s="303"/>
      <c r="V4" s="381">
        <f t="shared" ca="1" si="1"/>
        <v>42125</v>
      </c>
      <c r="W4" s="382">
        <f t="shared" ca="1" si="2"/>
        <v>42132</v>
      </c>
      <c r="X4" s="382">
        <f t="shared" ca="1" si="3"/>
        <v>42139</v>
      </c>
      <c r="Y4" s="382">
        <f t="shared" ca="1" si="4"/>
        <v>42146</v>
      </c>
      <c r="Z4" s="382">
        <f t="shared" ca="1" si="5"/>
        <v>42153</v>
      </c>
      <c r="AA4" s="383">
        <f t="shared" ca="1" si="6"/>
        <v>42160</v>
      </c>
      <c r="AB4" s="303"/>
      <c r="AC4" s="303"/>
      <c r="AD4" s="303"/>
      <c r="AE4" s="381">
        <f t="shared" ca="1" si="7"/>
        <v>42125</v>
      </c>
      <c r="AF4" s="382">
        <f t="shared" ca="1" si="8"/>
        <v>42132</v>
      </c>
      <c r="AG4" s="382">
        <f t="shared" ca="1" si="9"/>
        <v>42139</v>
      </c>
      <c r="AH4" s="382">
        <f t="shared" ca="1" si="10"/>
        <v>42146</v>
      </c>
      <c r="AI4" s="382">
        <f t="shared" ca="1" si="11"/>
        <v>42153</v>
      </c>
      <c r="AJ4" s="383">
        <f t="shared" ca="1" si="12"/>
        <v>42160</v>
      </c>
      <c r="AK4" s="303"/>
    </row>
    <row r="5" spans="1:37" s="403" customFormat="1" ht="12" customHeight="1" x14ac:dyDescent="0.25">
      <c r="A5" s="397"/>
      <c r="B5" s="398"/>
      <c r="C5" s="399"/>
      <c r="D5" s="400"/>
      <c r="E5" s="401"/>
      <c r="F5" s="401"/>
      <c r="G5" s="401"/>
      <c r="H5" s="401"/>
      <c r="I5" s="402"/>
    </row>
    <row r="6" spans="1:37" outlineLevel="1" x14ac:dyDescent="0.25">
      <c r="A6" s="102"/>
      <c r="B6" s="103"/>
      <c r="C6" s="399"/>
      <c r="D6" s="525" t="s">
        <v>258</v>
      </c>
      <c r="E6" s="526"/>
      <c r="F6" s="526"/>
      <c r="G6" s="526"/>
      <c r="H6" s="526"/>
      <c r="I6" s="527"/>
      <c r="J6" s="419" t="s">
        <v>319</v>
      </c>
      <c r="M6" s="525" t="s">
        <v>258</v>
      </c>
      <c r="N6" s="526"/>
      <c r="O6" s="526"/>
      <c r="P6" s="526"/>
      <c r="Q6" s="526"/>
      <c r="R6" s="527"/>
      <c r="V6" s="525" t="s">
        <v>258</v>
      </c>
      <c r="W6" s="526"/>
      <c r="X6" s="526"/>
      <c r="Y6" s="526"/>
      <c r="Z6" s="526"/>
      <c r="AA6" s="527"/>
      <c r="AE6" s="525" t="s">
        <v>258</v>
      </c>
      <c r="AF6" s="526"/>
      <c r="AG6" s="526"/>
      <c r="AH6" s="526"/>
      <c r="AI6" s="526"/>
      <c r="AJ6" s="527"/>
    </row>
    <row r="7" spans="1:37" outlineLevel="2" x14ac:dyDescent="0.25">
      <c r="A7" s="104">
        <v>271</v>
      </c>
      <c r="B7" s="105" t="s">
        <v>259</v>
      </c>
      <c r="C7" s="399"/>
      <c r="D7" s="301">
        <f>VLOOKUP($A7,Prevs!$C:$AJ,COLUMN() - COLUMN($D7)+2,FALSE)*VLOOKUP($A7,Usinas!$C:$D,2,FALSE)</f>
        <v>305.20920000000001</v>
      </c>
      <c r="E7" s="301">
        <f>VLOOKUP($A7,Prevs!$C:$AJ,COLUMN() - COLUMN($D7)+2,FALSE)*VLOOKUP($A7,Usinas!$C:$D,2,FALSE)</f>
        <v>286.97280000000001</v>
      </c>
      <c r="F7" s="301">
        <f>VLOOKUP($A7,Prevs!$C:$AJ,COLUMN() - COLUMN($D7)+2,FALSE)*VLOOKUP($A7,Usinas!$C:$D,2,FALSE)</f>
        <v>272.14319999999998</v>
      </c>
      <c r="G7" s="301">
        <f>VLOOKUP($A7,Prevs!$C:$AJ,COLUMN() - COLUMN($D7)+2,FALSE)*VLOOKUP($A7,Usinas!$C:$D,2,FALSE)</f>
        <v>257.31360000000001</v>
      </c>
      <c r="H7" s="301">
        <f>VLOOKUP($A7,Prevs!$C:$AJ,COLUMN() - COLUMN($D7)+2,FALSE)*VLOOKUP($A7,Usinas!$C:$D,2,FALSE)</f>
        <v>244.6884</v>
      </c>
      <c r="I7" s="301">
        <f>VLOOKUP($A7,Prevs!$C:$AJ,COLUMN() - COLUMN($D7)+2,FALSE)*VLOOKUP($A7,Usinas!$C:$D,2,FALSE)</f>
        <v>233.26560000000001</v>
      </c>
      <c r="J7" s="477">
        <f ca="1">VLOOKUP($A7,Prevs_MLT!$C:$AJ,1+Entrada!$C$4,FALSE)*VLOOKUP($A7,Usinas!$C:$D,2,FALSE)</f>
        <v>824.64599999999996</v>
      </c>
      <c r="M7" s="341">
        <f>VLOOKUP($A7,Prevs!$C:$AJ,COLUMN() - COLUMN($D7)+2,FALSE)*VLOOKUP($A7,Usinas!$C:$D,2,FALSE)</f>
        <v>744.68639999999994</v>
      </c>
      <c r="N7" s="341">
        <f>VLOOKUP($A7,Prevs!$C:$AJ,COLUMN() - COLUMN($D7)+2,FALSE)*VLOOKUP($A7,Usinas!$C:$D,2,FALSE)</f>
        <v>701.4</v>
      </c>
      <c r="O7" s="341">
        <f>VLOOKUP($A7,Prevs!$C:$AJ,COLUMN() - COLUMN($D7)+2,FALSE)*VLOOKUP($A7,Usinas!$C:$D,2,FALSE)</f>
        <v>664.32600000000002</v>
      </c>
      <c r="P7" s="341">
        <f>VLOOKUP($A7,Prevs!$C:$AJ,COLUMN() - COLUMN($D7)+2,FALSE)*VLOOKUP($A7,Usinas!$C:$D,2,FALSE)</f>
        <v>628.05359999999996</v>
      </c>
      <c r="Q7" s="341">
        <f>VLOOKUP($A7,Prevs!$C:$AJ,COLUMN() - COLUMN($D7)+2,FALSE)*VLOOKUP($A7,Usinas!$C:$D,2,FALSE)</f>
        <v>601.19999999999993</v>
      </c>
      <c r="R7" s="341">
        <f>VLOOKUP($A7,Prevs!$C:$AJ,COLUMN() - COLUMN($D7)+2,FALSE)*VLOOKUP($A7,Usinas!$C:$D,2,FALSE)</f>
        <v>579.75720000000001</v>
      </c>
      <c r="V7" s="341">
        <f>VLOOKUP($A7,Prevs!$C:$AJ,COLUMN() - COLUMN($D7)+2,FALSE)*VLOOKUP($A7,Usinas!$C:$D,2,FALSE)</f>
        <v>715.02719999999999</v>
      </c>
      <c r="W7" s="341">
        <f>VLOOKUP($A7,Prevs!$C:$AJ,COLUMN() - COLUMN($D7)+2,FALSE)*VLOOKUP($A7,Usinas!$C:$D,2,FALSE)</f>
        <v>673.9452</v>
      </c>
      <c r="X7" s="341">
        <f>VLOOKUP($A7,Prevs!$C:$AJ,COLUMN() - COLUMN($D7)+2,FALSE)*VLOOKUP($A7,Usinas!$C:$D,2,FALSE)</f>
        <v>638.07359999999994</v>
      </c>
      <c r="Y7" s="341">
        <f>VLOOKUP($A7,Prevs!$C:$AJ,COLUMN() - COLUMN($D7)+2,FALSE)*VLOOKUP($A7,Usinas!$C:$D,2,FALSE)</f>
        <v>603.20399999999995</v>
      </c>
      <c r="Z7" s="341">
        <f>VLOOKUP($A7,Prevs!$C:$AJ,COLUMN() - COLUMN($D7)+2,FALSE)*VLOOKUP($A7,Usinas!$C:$D,2,FALSE)</f>
        <v>578.154</v>
      </c>
      <c r="AA7" s="341">
        <f>VLOOKUP($A7,Prevs!$C:$AJ,COLUMN() - COLUMN($D7)+2,FALSE)*VLOOKUP($A7,Usinas!$C:$D,2,FALSE)</f>
        <v>558.91560000000004</v>
      </c>
      <c r="AE7" s="341">
        <f>VLOOKUP($A7,Prevs!$C:$AJ,COLUMN() - COLUMN($D7)+2,FALSE)*VLOOKUP($A7,Usinas!$C:$D,2,FALSE)</f>
        <v>305.20920000000001</v>
      </c>
      <c r="AF7" s="341">
        <f>VLOOKUP($A7,Prevs!$C:$AJ,COLUMN() - COLUMN($D7)+2,FALSE)*VLOOKUP($A7,Usinas!$C:$D,2,FALSE)</f>
        <v>286.97280000000001</v>
      </c>
      <c r="AG7" s="341">
        <f>VLOOKUP($A7,Prevs!$C:$AJ,COLUMN() - COLUMN($D7)+2,FALSE)*VLOOKUP($A7,Usinas!$C:$D,2,FALSE)</f>
        <v>272.14319999999998</v>
      </c>
      <c r="AH7" s="341">
        <f>VLOOKUP($A7,Prevs!$C:$AJ,COLUMN() - COLUMN($D7)+2,FALSE)*VLOOKUP($A7,Usinas!$C:$D,2,FALSE)</f>
        <v>257.31360000000001</v>
      </c>
      <c r="AI7" s="341">
        <f>VLOOKUP($A7,Prevs!$C:$AJ,COLUMN() - COLUMN($D7)+2,FALSE)*VLOOKUP($A7,Usinas!$C:$D,2,FALSE)</f>
        <v>244.6884</v>
      </c>
      <c r="AJ7" s="341">
        <f>VLOOKUP($A7,Prevs!$C:$AJ,COLUMN() - COLUMN($D7)+2,FALSE)*VLOOKUP($A7,Usinas!$C:$D,2,FALSE)</f>
        <v>233.26560000000001</v>
      </c>
    </row>
    <row r="8" spans="1:37" outlineLevel="2" x14ac:dyDescent="0.25">
      <c r="A8" s="104">
        <v>275</v>
      </c>
      <c r="B8" s="105" t="s">
        <v>65</v>
      </c>
      <c r="C8" s="399"/>
      <c r="D8" s="301">
        <f>VLOOKUP($A8,Prevs!$C:$AJ,COLUMN() - COLUMN($D8)+2,FALSE)*VLOOKUP($A8,Usinas!$C:$D,2,FALSE)</f>
        <v>2395.0858000000003</v>
      </c>
      <c r="E8" s="301">
        <f>VLOOKUP($A8,Prevs!$C:$AJ,COLUMN() - COLUMN($D8)+2,FALSE)*VLOOKUP($A8,Usinas!$C:$D,2,FALSE)</f>
        <v>2190.0590000000002</v>
      </c>
      <c r="F8" s="301">
        <f>VLOOKUP($A8,Prevs!$C:$AJ,COLUMN() - COLUMN($D8)+2,FALSE)*VLOOKUP($A8,Usinas!$C:$D,2,FALSE)</f>
        <v>1985.0322000000001</v>
      </c>
      <c r="G8" s="301">
        <f>VLOOKUP($A8,Prevs!$C:$AJ,COLUMN() - COLUMN($D8)+2,FALSE)*VLOOKUP($A8,Usinas!$C:$D,2,FALSE)</f>
        <v>1823.3132000000001</v>
      </c>
      <c r="H8" s="301">
        <f>VLOOKUP($A8,Prevs!$C:$AJ,COLUMN() - COLUMN($D8)+2,FALSE)*VLOOKUP($A8,Usinas!$C:$D,2,FALSE)</f>
        <v>1663.787</v>
      </c>
      <c r="I8" s="301">
        <f>VLOOKUP($A8,Prevs!$C:$AJ,COLUMN() - COLUMN($D8)+2,FALSE)*VLOOKUP($A8,Usinas!$C:$D,2,FALSE)</f>
        <v>1544.2794000000001</v>
      </c>
      <c r="J8" s="477">
        <f ca="1">VLOOKUP($A8,Prevs_MLT!$C:$AJ,1+Entrada!$C$4,FALSE)*VLOOKUP($A8,Usinas!$C:$D,2,FALSE)</f>
        <v>8560.6912000000011</v>
      </c>
      <c r="M8" s="341">
        <f>VLOOKUP($A8,Prevs!$C:$AJ,COLUMN() - COLUMN($D8)+2,FALSE)*VLOOKUP($A8,Usinas!$C:$D,2,FALSE)</f>
        <v>7268.5838000000003</v>
      </c>
      <c r="N8" s="341">
        <f>VLOOKUP($A8,Prevs!$C:$AJ,COLUMN() - COLUMN($D8)+2,FALSE)*VLOOKUP($A8,Usinas!$C:$D,2,FALSE)</f>
        <v>6630.4790000000003</v>
      </c>
      <c r="O8" s="341">
        <f>VLOOKUP($A8,Prevs!$C:$AJ,COLUMN() - COLUMN($D8)+2,FALSE)*VLOOKUP($A8,Usinas!$C:$D,2,FALSE)</f>
        <v>5977.5727999999999</v>
      </c>
      <c r="P8" s="341">
        <f>VLOOKUP($A8,Prevs!$C:$AJ,COLUMN() - COLUMN($D8)+2,FALSE)*VLOOKUP($A8,Usinas!$C:$D,2,FALSE)</f>
        <v>5471.5842000000002</v>
      </c>
      <c r="Q8" s="341">
        <f>VLOOKUP($A8,Prevs!$C:$AJ,COLUMN() - COLUMN($D8)+2,FALSE)*VLOOKUP($A8,Usinas!$C:$D,2,FALSE)</f>
        <v>4979.3006000000005</v>
      </c>
      <c r="R8" s="341">
        <f>VLOOKUP($A8,Prevs!$C:$AJ,COLUMN() - COLUMN($D8)+2,FALSE)*VLOOKUP($A8,Usinas!$C:$D,2,FALSE)</f>
        <v>4625.1634000000004</v>
      </c>
      <c r="V8" s="341">
        <f>VLOOKUP($A8,Prevs!$C:$AJ,COLUMN() - COLUMN($D8)+2,FALSE)*VLOOKUP($A8,Usinas!$C:$D,2,FALSE)</f>
        <v>7259.2644</v>
      </c>
      <c r="W8" s="341">
        <f>VLOOKUP($A8,Prevs!$C:$AJ,COLUMN() - COLUMN($D8)+2,FALSE)*VLOOKUP($A8,Usinas!$C:$D,2,FALSE)</f>
        <v>6618.9668000000001</v>
      </c>
      <c r="X8" s="341">
        <f>VLOOKUP($A8,Prevs!$C:$AJ,COLUMN() - COLUMN($D8)+2,FALSE)*VLOOKUP($A8,Usinas!$C:$D,2,FALSE)</f>
        <v>5962.2232000000004</v>
      </c>
      <c r="Y8" s="341">
        <f>VLOOKUP($A8,Prevs!$C:$AJ,COLUMN() - COLUMN($D8)+2,FALSE)*VLOOKUP($A8,Usinas!$C:$D,2,FALSE)</f>
        <v>5454.59</v>
      </c>
      <c r="Z8" s="341">
        <f>VLOOKUP($A8,Prevs!$C:$AJ,COLUMN() - COLUMN($D8)+2,FALSE)*VLOOKUP($A8,Usinas!$C:$D,2,FALSE)</f>
        <v>4961.7582000000002</v>
      </c>
      <c r="AA8" s="341">
        <f>VLOOKUP($A8,Prevs!$C:$AJ,COLUMN() - COLUMN($D8)+2,FALSE)*VLOOKUP($A8,Usinas!$C:$D,2,FALSE)</f>
        <v>4609.2655999999997</v>
      </c>
      <c r="AE8" s="341">
        <f>VLOOKUP($A8,Prevs!$C:$AJ,COLUMN() - COLUMN($D8)+2,FALSE)*VLOOKUP($A8,Usinas!$C:$D,2,FALSE)</f>
        <v>2395.0858000000003</v>
      </c>
      <c r="AF8" s="341">
        <f>VLOOKUP($A8,Prevs!$C:$AJ,COLUMN() - COLUMN($D8)+2,FALSE)*VLOOKUP($A8,Usinas!$C:$D,2,FALSE)</f>
        <v>2190.0590000000002</v>
      </c>
      <c r="AG8" s="341">
        <f>VLOOKUP($A8,Prevs!$C:$AJ,COLUMN() - COLUMN($D8)+2,FALSE)*VLOOKUP($A8,Usinas!$C:$D,2,FALSE)</f>
        <v>1985.0322000000001</v>
      </c>
      <c r="AH8" s="341">
        <f>VLOOKUP($A8,Prevs!$C:$AJ,COLUMN() - COLUMN($D8)+2,FALSE)*VLOOKUP($A8,Usinas!$C:$D,2,FALSE)</f>
        <v>1823.3132000000001</v>
      </c>
      <c r="AI8" s="341">
        <f>VLOOKUP($A8,Prevs!$C:$AJ,COLUMN() - COLUMN($D8)+2,FALSE)*VLOOKUP($A8,Usinas!$C:$D,2,FALSE)</f>
        <v>1663.787</v>
      </c>
      <c r="AJ8" s="341">
        <f>VLOOKUP($A8,Prevs!$C:$AJ,COLUMN() - COLUMN($D8)+2,FALSE)*VLOOKUP($A8,Usinas!$C:$D,2,FALSE)</f>
        <v>1544.2794000000001</v>
      </c>
    </row>
    <row r="9" spans="1:37" outlineLevel="1" x14ac:dyDescent="0.25">
      <c r="A9" s="106"/>
      <c r="B9" s="107" t="s">
        <v>92</v>
      </c>
      <c r="C9" s="399"/>
      <c r="D9" s="97">
        <f t="shared" ref="D9:I9" si="13">SUM(D7:D8)</f>
        <v>2700.2950000000001</v>
      </c>
      <c r="E9" s="58">
        <f t="shared" si="13"/>
        <v>2477.0318000000002</v>
      </c>
      <c r="F9" s="58">
        <f t="shared" si="13"/>
        <v>2257.1754000000001</v>
      </c>
      <c r="G9" s="58">
        <f t="shared" si="13"/>
        <v>2080.6268</v>
      </c>
      <c r="H9" s="58">
        <f t="shared" si="13"/>
        <v>1908.4754</v>
      </c>
      <c r="I9" s="98">
        <f t="shared" si="13"/>
        <v>1777.5450000000001</v>
      </c>
      <c r="J9" s="423">
        <f ca="1">SUMPRODUCT(D9:I9,Saida!$B$7:$G$7)/SUM(Saida!$B$7:$G$7)</f>
        <v>2184.7001933333331</v>
      </c>
      <c r="M9" s="317">
        <f t="shared" ref="M9:R9" si="14">SUM(M7:M8)</f>
        <v>8013.2701999999999</v>
      </c>
      <c r="N9" s="308">
        <f t="shared" si="14"/>
        <v>7331.8789999999999</v>
      </c>
      <c r="O9" s="308">
        <f t="shared" si="14"/>
        <v>6641.8987999999999</v>
      </c>
      <c r="P9" s="308">
        <f t="shared" si="14"/>
        <v>6099.6378000000004</v>
      </c>
      <c r="Q9" s="308">
        <f t="shared" si="14"/>
        <v>5580.5006000000003</v>
      </c>
      <c r="R9" s="318">
        <f t="shared" si="14"/>
        <v>5204.9206000000004</v>
      </c>
      <c r="S9" s="423">
        <f ca="1">SUMPRODUCT(M9:R9,Saida!$B$7:$G$7)/SUM(Saida!$B$7:$G$7)</f>
        <v>6426.5201399999996</v>
      </c>
      <c r="V9" s="317">
        <f t="shared" ref="V9:AA9" si="15">SUM(V7:V8)</f>
        <v>7974.2916000000005</v>
      </c>
      <c r="W9" s="308">
        <f t="shared" si="15"/>
        <v>7292.9120000000003</v>
      </c>
      <c r="X9" s="308">
        <f t="shared" si="15"/>
        <v>6600.2968000000001</v>
      </c>
      <c r="Y9" s="308">
        <f t="shared" si="15"/>
        <v>6057.7939999999999</v>
      </c>
      <c r="Z9" s="308">
        <f t="shared" si="15"/>
        <v>5539.9122000000007</v>
      </c>
      <c r="AA9" s="318">
        <f t="shared" si="15"/>
        <v>5168.1812</v>
      </c>
      <c r="AB9" s="423">
        <f ca="1">SUMPRODUCT(V9:AA9,Saida!$B$7:$G$7)/SUM(Saida!$B$7:$G$7)</f>
        <v>6385.9625933333327</v>
      </c>
      <c r="AE9" s="317">
        <f t="shared" ref="AE9:AJ9" si="16">SUM(AE7:AE8)</f>
        <v>2700.2950000000001</v>
      </c>
      <c r="AF9" s="308">
        <f t="shared" si="16"/>
        <v>2477.0318000000002</v>
      </c>
      <c r="AG9" s="308">
        <f t="shared" si="16"/>
        <v>2257.1754000000001</v>
      </c>
      <c r="AH9" s="308">
        <f t="shared" si="16"/>
        <v>2080.6268</v>
      </c>
      <c r="AI9" s="308">
        <f t="shared" si="16"/>
        <v>1908.4754</v>
      </c>
      <c r="AJ9" s="318">
        <f t="shared" si="16"/>
        <v>1777.5450000000001</v>
      </c>
      <c r="AK9" s="423">
        <f ca="1">SUMPRODUCT(AE9:AJ9,Saida!$B$7:$G$7)/SUM(Saida!$B$7:$G$7)</f>
        <v>2184.7001933333331</v>
      </c>
    </row>
    <row r="10" spans="1:37" outlineLevel="1" x14ac:dyDescent="0.25">
      <c r="A10" s="108"/>
      <c r="B10" s="109" t="s">
        <v>13</v>
      </c>
      <c r="C10" s="399"/>
      <c r="D10" s="99"/>
      <c r="E10" s="100"/>
      <c r="F10" s="100"/>
      <c r="G10" s="100"/>
      <c r="H10" s="100"/>
      <c r="I10" s="101"/>
      <c r="J10" s="478">
        <f ca="1">SUM(J7:J8)</f>
        <v>9385.3372000000018</v>
      </c>
      <c r="M10" s="319"/>
      <c r="N10" s="320"/>
      <c r="O10" s="320"/>
      <c r="P10" s="320"/>
      <c r="Q10" s="320"/>
      <c r="R10" s="321"/>
      <c r="V10" s="319"/>
      <c r="W10" s="320"/>
      <c r="X10" s="320"/>
      <c r="Y10" s="320"/>
      <c r="Z10" s="320"/>
      <c r="AA10" s="321"/>
      <c r="AE10" s="319"/>
      <c r="AF10" s="320"/>
      <c r="AG10" s="320"/>
      <c r="AH10" s="320"/>
      <c r="AI10" s="320"/>
      <c r="AJ10" s="321"/>
    </row>
    <row r="11" spans="1:37" outlineLevel="1" x14ac:dyDescent="0.25">
      <c r="A11" s="65"/>
      <c r="B11" s="66"/>
      <c r="C11" s="399"/>
      <c r="D11" s="67"/>
      <c r="E11" s="68"/>
      <c r="F11" s="68"/>
      <c r="G11" s="68"/>
      <c r="H11" s="68"/>
      <c r="I11" s="68"/>
      <c r="M11" s="314"/>
      <c r="N11" s="315"/>
      <c r="O11" s="315"/>
      <c r="P11" s="315"/>
      <c r="Q11" s="315"/>
      <c r="R11" s="315"/>
      <c r="V11" s="314"/>
      <c r="W11" s="315"/>
      <c r="X11" s="315"/>
      <c r="Y11" s="315"/>
      <c r="Z11" s="315"/>
      <c r="AA11" s="315"/>
      <c r="AE11" s="314"/>
      <c r="AF11" s="315"/>
      <c r="AG11" s="315"/>
      <c r="AH11" s="315"/>
      <c r="AI11" s="315"/>
      <c r="AJ11" s="315"/>
    </row>
    <row r="12" spans="1:37" outlineLevel="1" x14ac:dyDescent="0.25">
      <c r="A12" s="110"/>
      <c r="B12" s="111"/>
      <c r="C12" s="399"/>
      <c r="D12" s="522" t="s">
        <v>260</v>
      </c>
      <c r="E12" s="523"/>
      <c r="F12" s="523"/>
      <c r="G12" s="523"/>
      <c r="H12" s="523"/>
      <c r="I12" s="524"/>
      <c r="M12" s="522" t="s">
        <v>260</v>
      </c>
      <c r="N12" s="523"/>
      <c r="O12" s="523"/>
      <c r="P12" s="523"/>
      <c r="Q12" s="523"/>
      <c r="R12" s="524"/>
      <c r="V12" s="522" t="s">
        <v>260</v>
      </c>
      <c r="W12" s="523"/>
      <c r="X12" s="523"/>
      <c r="Y12" s="523"/>
      <c r="Z12" s="523"/>
      <c r="AA12" s="524"/>
      <c r="AE12" s="522" t="s">
        <v>260</v>
      </c>
      <c r="AF12" s="523"/>
      <c r="AG12" s="523"/>
      <c r="AH12" s="523"/>
      <c r="AI12" s="523"/>
      <c r="AJ12" s="524"/>
    </row>
    <row r="13" spans="1:37" outlineLevel="2" x14ac:dyDescent="0.25">
      <c r="A13" s="104">
        <v>277</v>
      </c>
      <c r="B13" s="105" t="s">
        <v>261</v>
      </c>
      <c r="C13" s="399"/>
      <c r="D13" s="301">
        <f>VLOOKUP($A13,Prevs!$C:$AJ,COLUMN() - COLUMN($D13)+2,FALSE)*VLOOKUP($A13,Usinas!$C:$D,2,FALSE)</f>
        <v>42.232999999999997</v>
      </c>
      <c r="E13" s="301">
        <f>VLOOKUP($A13,Prevs!$C:$AJ,COLUMN() - COLUMN($D13)+2,FALSE)*VLOOKUP($A13,Usinas!$C:$D,2,FALSE)</f>
        <v>38.622</v>
      </c>
      <c r="F13" s="301">
        <f>VLOOKUP($A13,Prevs!$C:$AJ,COLUMN() - COLUMN($D13)+2,FALSE)*VLOOKUP($A13,Usinas!$C:$D,2,FALSE)</f>
        <v>35.953000000000003</v>
      </c>
      <c r="G13" s="301">
        <f>VLOOKUP($A13,Prevs!$C:$AJ,COLUMN() - COLUMN($D13)+2,FALSE)*VLOOKUP($A13,Usinas!$C:$D,2,FALSE)</f>
        <v>35.639000000000003</v>
      </c>
      <c r="H13" s="301">
        <f>VLOOKUP($A13,Prevs!$C:$AJ,COLUMN() - COLUMN($D13)+2,FALSE)*VLOOKUP($A13,Usinas!$C:$D,2,FALSE)</f>
        <v>32.185000000000002</v>
      </c>
      <c r="I13" s="301">
        <f>VLOOKUP($A13,Prevs!$C:$AJ,COLUMN() - COLUMN($D13)+2,FALSE)*VLOOKUP($A13,Usinas!$C:$D,2,FALSE)</f>
        <v>30.300999999999998</v>
      </c>
      <c r="J13" s="477">
        <f ca="1">VLOOKUP($A13,Prevs_MLT!$C:$AJ,1+Entrada!$C$4,FALSE)*VLOOKUP($A13,Usinas!$C:$D,2,FALSE)</f>
        <v>61.073</v>
      </c>
      <c r="M13" s="341">
        <f>VLOOKUP($A13,Prevs!$C:$AJ,COLUMN() - COLUMN($D13)+2,FALSE)*VLOOKUP($A13,Usinas!$C:$D,2,FALSE)</f>
        <v>141.614</v>
      </c>
      <c r="N13" s="341">
        <f>VLOOKUP($A13,Prevs!$C:$AJ,COLUMN() - COLUMN($D13)+2,FALSE)*VLOOKUP($A13,Usinas!$C:$D,2,FALSE)</f>
        <v>129.52500000000001</v>
      </c>
      <c r="O13" s="341">
        <f>VLOOKUP($A13,Prevs!$C:$AJ,COLUMN() - COLUMN($D13)+2,FALSE)*VLOOKUP($A13,Usinas!$C:$D,2,FALSE)</f>
        <v>120.57599999999999</v>
      </c>
      <c r="P13" s="341">
        <f>VLOOKUP($A13,Prevs!$C:$AJ,COLUMN() - COLUMN($D13)+2,FALSE)*VLOOKUP($A13,Usinas!$C:$D,2,FALSE)</f>
        <v>119.477</v>
      </c>
      <c r="Q13" s="341">
        <f>VLOOKUP($A13,Prevs!$C:$AJ,COLUMN() - COLUMN($D13)+2,FALSE)*VLOOKUP($A13,Usinas!$C:$D,2,FALSE)</f>
        <v>107.85899999999999</v>
      </c>
      <c r="R13" s="341">
        <f>VLOOKUP($A13,Prevs!$C:$AJ,COLUMN() - COLUMN($D13)+2,FALSE)*VLOOKUP($A13,Usinas!$C:$D,2,FALSE)</f>
        <v>101.57899999999999</v>
      </c>
      <c r="V13" s="341">
        <f>VLOOKUP($A13,Prevs!$C:$AJ,COLUMN() - COLUMN($D13)+2,FALSE)*VLOOKUP($A13,Usinas!$C:$D,2,FALSE)</f>
        <v>143.49799999999999</v>
      </c>
      <c r="W13" s="341">
        <f>VLOOKUP($A13,Prevs!$C:$AJ,COLUMN() - COLUMN($D13)+2,FALSE)*VLOOKUP($A13,Usinas!$C:$D,2,FALSE)</f>
        <v>131.25200000000001</v>
      </c>
      <c r="X13" s="341">
        <f>VLOOKUP($A13,Prevs!$C:$AJ,COLUMN() - COLUMN($D13)+2,FALSE)*VLOOKUP($A13,Usinas!$C:$D,2,FALSE)</f>
        <v>122.146</v>
      </c>
      <c r="Y13" s="341">
        <f>VLOOKUP($A13,Prevs!$C:$AJ,COLUMN() - COLUMN($D13)+2,FALSE)*VLOOKUP($A13,Usinas!$C:$D,2,FALSE)</f>
        <v>121.20399999999999</v>
      </c>
      <c r="Z13" s="341">
        <f>VLOOKUP($A13,Prevs!$C:$AJ,COLUMN() - COLUMN($D13)+2,FALSE)*VLOOKUP($A13,Usinas!$C:$D,2,FALSE)</f>
        <v>109.429</v>
      </c>
      <c r="AA13" s="341">
        <f>VLOOKUP($A13,Prevs!$C:$AJ,COLUMN() - COLUMN($D13)+2,FALSE)*VLOOKUP($A13,Usinas!$C:$D,2,FALSE)</f>
        <v>102.992</v>
      </c>
      <c r="AE13" s="341">
        <f>VLOOKUP($A13,Prevs!$C:$AJ,COLUMN() - COLUMN($D13)+2,FALSE)*VLOOKUP($A13,Usinas!$C:$D,2,FALSE)</f>
        <v>42.232999999999997</v>
      </c>
      <c r="AF13" s="341">
        <f>VLOOKUP($A13,Prevs!$C:$AJ,COLUMN() - COLUMN($D13)+2,FALSE)*VLOOKUP($A13,Usinas!$C:$D,2,FALSE)</f>
        <v>38.622</v>
      </c>
      <c r="AG13" s="341">
        <f>VLOOKUP($A13,Prevs!$C:$AJ,COLUMN() - COLUMN($D13)+2,FALSE)*VLOOKUP($A13,Usinas!$C:$D,2,FALSE)</f>
        <v>35.953000000000003</v>
      </c>
      <c r="AH13" s="341">
        <f>VLOOKUP($A13,Prevs!$C:$AJ,COLUMN() - COLUMN($D13)+2,FALSE)*VLOOKUP($A13,Usinas!$C:$D,2,FALSE)</f>
        <v>35.639000000000003</v>
      </c>
      <c r="AI13" s="341">
        <f>VLOOKUP($A13,Prevs!$C:$AJ,COLUMN() - COLUMN($D13)+2,FALSE)*VLOOKUP($A13,Usinas!$C:$D,2,FALSE)</f>
        <v>32.185000000000002</v>
      </c>
      <c r="AJ13" s="341">
        <f>VLOOKUP($A13,Prevs!$C:$AJ,COLUMN() - COLUMN($D13)+2,FALSE)*VLOOKUP($A13,Usinas!$C:$D,2,FALSE)</f>
        <v>30.300999999999998</v>
      </c>
    </row>
    <row r="14" spans="1:37" outlineLevel="2" x14ac:dyDescent="0.25">
      <c r="A14" s="104">
        <v>290</v>
      </c>
      <c r="B14" s="105" t="s">
        <v>316</v>
      </c>
      <c r="C14" s="399"/>
      <c r="D14" s="301">
        <f>VLOOKUP($A14,Prevs!$C:$AJ,COLUMN() - COLUMN($D14)+2,FALSE)*VLOOKUP($A14,Usinas!$C:$D,2,FALSE)</f>
        <v>402.07409999999999</v>
      </c>
      <c r="E14" s="301">
        <f>VLOOKUP($A14,Prevs!$C:$AJ,COLUMN() - COLUMN($D14)+2,FALSE)*VLOOKUP($A14,Usinas!$C:$D,2,FALSE)</f>
        <v>420.55219999999997</v>
      </c>
      <c r="F14" s="301">
        <f>VLOOKUP($A14,Prevs!$C:$AJ,COLUMN() - COLUMN($D14)+2,FALSE)*VLOOKUP($A14,Usinas!$C:$D,2,FALSE)</f>
        <v>470.60680000000002</v>
      </c>
      <c r="G14" s="301">
        <f>VLOOKUP($A14,Prevs!$C:$AJ,COLUMN() - COLUMN($D14)+2,FALSE)*VLOOKUP($A14,Usinas!$C:$D,2,FALSE)</f>
        <v>466.86439999999999</v>
      </c>
      <c r="H14" s="301">
        <f>VLOOKUP($A14,Prevs!$C:$AJ,COLUMN() - COLUMN($D14)+2,FALSE)*VLOOKUP($A14,Usinas!$C:$D,2,FALSE)</f>
        <v>436.69130000000001</v>
      </c>
      <c r="I14" s="301">
        <f>VLOOKUP($A14,Prevs!$C:$AJ,COLUMN() - COLUMN($D14)+2,FALSE)*VLOOKUP($A14,Usinas!$C:$D,2,FALSE)</f>
        <v>421.02</v>
      </c>
      <c r="J14" s="477">
        <f ca="1">VLOOKUP($A14,Prevs_MLT!$C:$AJ,1+Entrada!$C$4,FALSE)*VLOOKUP($A14,Usinas!$C:$D,2,FALSE)</f>
        <v>494.23070000000001</v>
      </c>
      <c r="M14" s="341">
        <f>VLOOKUP($A14,Prevs!$C:$AJ,COLUMN() - COLUMN($D14)+2,FALSE)*VLOOKUP($A14,Usinas!$C:$D,2,FALSE)</f>
        <v>1348.1995999999999</v>
      </c>
      <c r="N14" s="341">
        <f>VLOOKUP($A14,Prevs!$C:$AJ,COLUMN() - COLUMN($D14)+2,FALSE)*VLOOKUP($A14,Usinas!$C:$D,2,FALSE)</f>
        <v>1410.1831</v>
      </c>
      <c r="O14" s="341">
        <f>VLOOKUP($A14,Prevs!$C:$AJ,COLUMN() - COLUMN($D14)+2,FALSE)*VLOOKUP($A14,Usinas!$C:$D,2,FALSE)</f>
        <v>1578.1233</v>
      </c>
      <c r="P14" s="341">
        <f>VLOOKUP($A14,Prevs!$C:$AJ,COLUMN() - COLUMN($D14)+2,FALSE)*VLOOKUP($A14,Usinas!$C:$D,2,FALSE)</f>
        <v>1565.4927</v>
      </c>
      <c r="Q14" s="341">
        <f>VLOOKUP($A14,Prevs!$C:$AJ,COLUMN() - COLUMN($D14)+2,FALSE)*VLOOKUP($A14,Usinas!$C:$D,2,FALSE)</f>
        <v>1464.4478999999999</v>
      </c>
      <c r="R14" s="341">
        <f>VLOOKUP($A14,Prevs!$C:$AJ,COLUMN() - COLUMN($D14)+2,FALSE)*VLOOKUP($A14,Usinas!$C:$D,2,FALSE)</f>
        <v>1411.8204000000001</v>
      </c>
      <c r="V14" s="341">
        <f>VLOOKUP($A14,Prevs!$C:$AJ,COLUMN() - COLUMN($D14)+2,FALSE)*VLOOKUP($A14,Usinas!$C:$D,2,FALSE)</f>
        <v>1366.6777</v>
      </c>
      <c r="W14" s="341">
        <f>VLOOKUP($A14,Prevs!$C:$AJ,COLUMN() - COLUMN($D14)+2,FALSE)*VLOOKUP($A14,Usinas!$C:$D,2,FALSE)</f>
        <v>1429.3629000000001</v>
      </c>
      <c r="X14" s="341">
        <f>VLOOKUP($A14,Prevs!$C:$AJ,COLUMN() - COLUMN($D14)+2,FALSE)*VLOOKUP($A14,Usinas!$C:$D,2,FALSE)</f>
        <v>1599.4082000000001</v>
      </c>
      <c r="Y14" s="341">
        <f>VLOOKUP($A14,Prevs!$C:$AJ,COLUMN() - COLUMN($D14)+2,FALSE)*VLOOKUP($A14,Usinas!$C:$D,2,FALSE)</f>
        <v>1586.7775999999999</v>
      </c>
      <c r="Z14" s="341">
        <f>VLOOKUP($A14,Prevs!$C:$AJ,COLUMN() - COLUMN($D14)+2,FALSE)*VLOOKUP($A14,Usinas!$C:$D,2,FALSE)</f>
        <v>1484.3294000000001</v>
      </c>
      <c r="AA14" s="341">
        <f>VLOOKUP($A14,Prevs!$C:$AJ,COLUMN() - COLUMN($D14)+2,FALSE)*VLOOKUP($A14,Usinas!$C:$D,2,FALSE)</f>
        <v>1431.0001999999999</v>
      </c>
      <c r="AE14" s="341">
        <f>VLOOKUP($A14,Prevs!$C:$AJ,COLUMN() - COLUMN($D14)+2,FALSE)*VLOOKUP($A14,Usinas!$C:$D,2,FALSE)</f>
        <v>402.07409999999999</v>
      </c>
      <c r="AF14" s="341">
        <f>VLOOKUP($A14,Prevs!$C:$AJ,COLUMN() - COLUMN($D14)+2,FALSE)*VLOOKUP($A14,Usinas!$C:$D,2,FALSE)</f>
        <v>420.55219999999997</v>
      </c>
      <c r="AG14" s="341">
        <f>VLOOKUP($A14,Prevs!$C:$AJ,COLUMN() - COLUMN($D14)+2,FALSE)*VLOOKUP($A14,Usinas!$C:$D,2,FALSE)</f>
        <v>470.60680000000002</v>
      </c>
      <c r="AH14" s="341">
        <f>VLOOKUP($A14,Prevs!$C:$AJ,COLUMN() - COLUMN($D14)+2,FALSE)*VLOOKUP($A14,Usinas!$C:$D,2,FALSE)</f>
        <v>466.86439999999999</v>
      </c>
      <c r="AI14" s="341">
        <f>VLOOKUP($A14,Prevs!$C:$AJ,COLUMN() - COLUMN($D14)+2,FALSE)*VLOOKUP($A14,Usinas!$C:$D,2,FALSE)</f>
        <v>436.69130000000001</v>
      </c>
      <c r="AJ14" s="341">
        <f>VLOOKUP($A14,Prevs!$C:$AJ,COLUMN() - COLUMN($D14)+2,FALSE)*VLOOKUP($A14,Usinas!$C:$D,2,FALSE)</f>
        <v>421.02</v>
      </c>
    </row>
    <row r="15" spans="1:37" outlineLevel="2" x14ac:dyDescent="0.25">
      <c r="A15" s="104">
        <v>269</v>
      </c>
      <c r="B15" s="105" t="s">
        <v>262</v>
      </c>
      <c r="C15" s="399"/>
      <c r="D15" s="301">
        <f>VLOOKUP($A15,Prevs!$C:$AJ,COLUMN() - COLUMN($D15)+2,FALSE)*VLOOKUP($A15,Usinas!$C:$D,2,FALSE)</f>
        <v>140.9024</v>
      </c>
      <c r="E15" s="301">
        <f>VLOOKUP($A15,Prevs!$C:$AJ,COLUMN() - COLUMN($D15)+2,FALSE)*VLOOKUP($A15,Usinas!$C:$D,2,FALSE)</f>
        <v>131.68640000000002</v>
      </c>
      <c r="F15" s="301">
        <f>VLOOKUP($A15,Prevs!$C:$AJ,COLUMN() - COLUMN($D15)+2,FALSE)*VLOOKUP($A15,Usinas!$C:$D,2,FALSE)</f>
        <v>116.32640000000001</v>
      </c>
      <c r="G15" s="301">
        <f>VLOOKUP($A15,Prevs!$C:$AJ,COLUMN() - COLUMN($D15)+2,FALSE)*VLOOKUP($A15,Usinas!$C:$D,2,FALSE)</f>
        <v>90.316800000000001</v>
      </c>
      <c r="H15" s="301">
        <f>VLOOKUP($A15,Prevs!$C:$AJ,COLUMN() - COLUMN($D15)+2,FALSE)*VLOOKUP($A15,Usinas!$C:$D,2,FALSE)</f>
        <v>87.65440000000001</v>
      </c>
      <c r="I15" s="301">
        <f>VLOOKUP($A15,Prevs!$C:$AJ,COLUMN() - COLUMN($D15)+2,FALSE)*VLOOKUP($A15,Usinas!$C:$D,2,FALSE)</f>
        <v>76.595200000000006</v>
      </c>
      <c r="J15" s="477">
        <f ca="1">VLOOKUP($A15,Prevs_MLT!$C:$AJ,1+Entrada!$C$4,FALSE)*VLOOKUP($A15,Usinas!$C:$D,2,FALSE)</f>
        <v>242.89280000000002</v>
      </c>
      <c r="M15" s="341">
        <f>VLOOKUP($A15,Prevs!$C:$AJ,COLUMN() - COLUMN($D15)+2,FALSE)*VLOOKUP($A15,Usinas!$C:$D,2,FALSE)</f>
        <v>472.47360000000003</v>
      </c>
      <c r="N15" s="341">
        <f>VLOOKUP($A15,Prevs!$C:$AJ,COLUMN() - COLUMN($D15)+2,FALSE)*VLOOKUP($A15,Usinas!$C:$D,2,FALSE)</f>
        <v>441.54880000000003</v>
      </c>
      <c r="O15" s="341">
        <f>VLOOKUP($A15,Prevs!$C:$AJ,COLUMN() - COLUMN($D15)+2,FALSE)*VLOOKUP($A15,Usinas!$C:$D,2,FALSE)</f>
        <v>390.14400000000001</v>
      </c>
      <c r="P15" s="341">
        <f>VLOOKUP($A15,Prevs!$C:$AJ,COLUMN() - COLUMN($D15)+2,FALSE)*VLOOKUP($A15,Usinas!$C:$D,2,FALSE)</f>
        <v>302.89920000000001</v>
      </c>
      <c r="Q15" s="341">
        <f>VLOOKUP($A15,Prevs!$C:$AJ,COLUMN() - COLUMN($D15)+2,FALSE)*VLOOKUP($A15,Usinas!$C:$D,2,FALSE)</f>
        <v>293.88800000000003</v>
      </c>
      <c r="R15" s="341">
        <f>VLOOKUP($A15,Prevs!$C:$AJ,COLUMN() - COLUMN($D15)+2,FALSE)*VLOOKUP($A15,Usinas!$C:$D,2,FALSE)</f>
        <v>256.81920000000002</v>
      </c>
      <c r="V15" s="341">
        <f>VLOOKUP($A15,Prevs!$C:$AJ,COLUMN() - COLUMN($D15)+2,FALSE)*VLOOKUP($A15,Usinas!$C:$D,2,FALSE)</f>
        <v>478.82240000000002</v>
      </c>
      <c r="W15" s="341">
        <f>VLOOKUP($A15,Prevs!$C:$AJ,COLUMN() - COLUMN($D15)+2,FALSE)*VLOOKUP($A15,Usinas!$C:$D,2,FALSE)</f>
        <v>447.488</v>
      </c>
      <c r="X15" s="341">
        <f>VLOOKUP($A15,Prevs!$C:$AJ,COLUMN() - COLUMN($D15)+2,FALSE)*VLOOKUP($A15,Usinas!$C:$D,2,FALSE)</f>
        <v>395.46880000000004</v>
      </c>
      <c r="Y15" s="341">
        <f>VLOOKUP($A15,Prevs!$C:$AJ,COLUMN() - COLUMN($D15)+2,FALSE)*VLOOKUP($A15,Usinas!$C:$D,2,FALSE)</f>
        <v>306.99520000000001</v>
      </c>
      <c r="Z15" s="341">
        <f>VLOOKUP($A15,Prevs!$C:$AJ,COLUMN() - COLUMN($D15)+2,FALSE)*VLOOKUP($A15,Usinas!$C:$D,2,FALSE)</f>
        <v>297.98400000000004</v>
      </c>
      <c r="AA15" s="341">
        <f>VLOOKUP($A15,Prevs!$C:$AJ,COLUMN() - COLUMN($D15)+2,FALSE)*VLOOKUP($A15,Usinas!$C:$D,2,FALSE)</f>
        <v>260.30080000000004</v>
      </c>
      <c r="AE15" s="341">
        <f>VLOOKUP($A15,Prevs!$C:$AJ,COLUMN() - COLUMN($D15)+2,FALSE)*VLOOKUP($A15,Usinas!$C:$D,2,FALSE)</f>
        <v>140.9024</v>
      </c>
      <c r="AF15" s="341">
        <f>VLOOKUP($A15,Prevs!$C:$AJ,COLUMN() - COLUMN($D15)+2,FALSE)*VLOOKUP($A15,Usinas!$C:$D,2,FALSE)</f>
        <v>131.68640000000002</v>
      </c>
      <c r="AG15" s="341">
        <f>VLOOKUP($A15,Prevs!$C:$AJ,COLUMN() - COLUMN($D15)+2,FALSE)*VLOOKUP($A15,Usinas!$C:$D,2,FALSE)</f>
        <v>116.32640000000001</v>
      </c>
      <c r="AH15" s="341">
        <f>VLOOKUP($A15,Prevs!$C:$AJ,COLUMN() - COLUMN($D15)+2,FALSE)*VLOOKUP($A15,Usinas!$C:$D,2,FALSE)</f>
        <v>90.316800000000001</v>
      </c>
      <c r="AI15" s="341">
        <f>VLOOKUP($A15,Prevs!$C:$AJ,COLUMN() - COLUMN($D15)+2,FALSE)*VLOOKUP($A15,Usinas!$C:$D,2,FALSE)</f>
        <v>87.65440000000001</v>
      </c>
      <c r="AJ15" s="341">
        <f>VLOOKUP($A15,Prevs!$C:$AJ,COLUMN() - COLUMN($D15)+2,FALSE)*VLOOKUP($A15,Usinas!$C:$D,2,FALSE)</f>
        <v>76.595200000000006</v>
      </c>
    </row>
    <row r="16" spans="1:37" outlineLevel="1" x14ac:dyDescent="0.25">
      <c r="A16" s="106"/>
      <c r="B16" s="107" t="s">
        <v>92</v>
      </c>
      <c r="C16" s="399"/>
      <c r="D16" s="97">
        <f t="shared" ref="D16:I16" si="17">SUM(D13:D15)</f>
        <v>585.20949999999993</v>
      </c>
      <c r="E16" s="58">
        <f t="shared" si="17"/>
        <v>590.86059999999998</v>
      </c>
      <c r="F16" s="58">
        <f t="shared" si="17"/>
        <v>622.88620000000003</v>
      </c>
      <c r="G16" s="58">
        <f t="shared" si="17"/>
        <v>592.8202</v>
      </c>
      <c r="H16" s="58">
        <f t="shared" si="17"/>
        <v>556.53070000000002</v>
      </c>
      <c r="I16" s="98">
        <f t="shared" si="17"/>
        <v>527.9162</v>
      </c>
      <c r="J16" s="423">
        <f ca="1">SUMPRODUCT(D16:I16,Saida!$B$7:$G$7)/SUM(Saida!$B$7:$G$7)</f>
        <v>588.49365333333321</v>
      </c>
      <c r="M16" s="317">
        <f t="shared" ref="M16:R16" si="18">SUM(M13:M15)</f>
        <v>1962.2872</v>
      </c>
      <c r="N16" s="308">
        <f t="shared" si="18"/>
        <v>1981.2569000000001</v>
      </c>
      <c r="O16" s="308">
        <f t="shared" si="18"/>
        <v>2088.8433</v>
      </c>
      <c r="P16" s="308">
        <f t="shared" si="18"/>
        <v>1987.8689000000002</v>
      </c>
      <c r="Q16" s="308">
        <f t="shared" si="18"/>
        <v>1866.1949</v>
      </c>
      <c r="R16" s="318">
        <f t="shared" si="18"/>
        <v>1770.2186000000002</v>
      </c>
      <c r="S16" s="423">
        <f ca="1">SUMPRODUCT(M16:R16,Saida!$B$7:$G$7)/SUM(Saida!$B$7:$G$7)</f>
        <v>1973.3884600000004</v>
      </c>
      <c r="V16" s="317">
        <f t="shared" ref="V16:AA16" si="19">SUM(V13:V15)</f>
        <v>1988.9981</v>
      </c>
      <c r="W16" s="308">
        <f t="shared" si="19"/>
        <v>2008.1029000000001</v>
      </c>
      <c r="X16" s="308">
        <f t="shared" si="19"/>
        <v>2117.0230000000001</v>
      </c>
      <c r="Y16" s="308">
        <f t="shared" si="19"/>
        <v>2014.9767999999999</v>
      </c>
      <c r="Z16" s="308">
        <f t="shared" si="19"/>
        <v>1891.7424000000001</v>
      </c>
      <c r="AA16" s="318">
        <f t="shared" si="19"/>
        <v>1794.2929999999999</v>
      </c>
      <c r="AB16" s="423">
        <f ca="1">SUMPRODUCT(V16:AA16,Saida!$B$7:$G$7)/SUM(Saida!$B$7:$G$7)</f>
        <v>2000.2068933333335</v>
      </c>
      <c r="AE16" s="317">
        <f t="shared" ref="AE16:AJ16" si="20">SUM(AE13:AE15)</f>
        <v>585.20949999999993</v>
      </c>
      <c r="AF16" s="308">
        <f t="shared" si="20"/>
        <v>590.86059999999998</v>
      </c>
      <c r="AG16" s="308">
        <f t="shared" si="20"/>
        <v>622.88620000000003</v>
      </c>
      <c r="AH16" s="308">
        <f t="shared" si="20"/>
        <v>592.8202</v>
      </c>
      <c r="AI16" s="308">
        <f t="shared" si="20"/>
        <v>556.53070000000002</v>
      </c>
      <c r="AJ16" s="318">
        <f t="shared" si="20"/>
        <v>527.9162</v>
      </c>
      <c r="AK16" s="423">
        <f ca="1">SUMPRODUCT(AE16:AJ16,Saida!$B$7:$G$7)/SUM(Saida!$B$7:$G$7)</f>
        <v>588.49365333333321</v>
      </c>
    </row>
    <row r="17" spans="1:37" outlineLevel="1" x14ac:dyDescent="0.25">
      <c r="A17" s="108"/>
      <c r="B17" s="109" t="s">
        <v>13</v>
      </c>
      <c r="C17" s="399"/>
      <c r="D17" s="99"/>
      <c r="E17" s="100"/>
      <c r="F17" s="100"/>
      <c r="G17" s="100"/>
      <c r="H17" s="100"/>
      <c r="I17" s="101"/>
      <c r="J17" s="478">
        <f ca="1">SUM(J13:J15)</f>
        <v>798.19650000000001</v>
      </c>
      <c r="M17" s="319"/>
      <c r="N17" s="320"/>
      <c r="O17" s="320"/>
      <c r="P17" s="320"/>
      <c r="Q17" s="320"/>
      <c r="R17" s="321"/>
      <c r="V17" s="319"/>
      <c r="W17" s="320"/>
      <c r="X17" s="320"/>
      <c r="Y17" s="320"/>
      <c r="Z17" s="320"/>
      <c r="AA17" s="321"/>
      <c r="AE17" s="319"/>
      <c r="AF17" s="320"/>
      <c r="AG17" s="320"/>
      <c r="AH17" s="320"/>
      <c r="AI17" s="320"/>
      <c r="AJ17" s="321"/>
    </row>
    <row r="18" spans="1:37" outlineLevel="1" x14ac:dyDescent="0.25">
      <c r="A18" s="65"/>
      <c r="B18" s="66"/>
      <c r="C18" s="399"/>
      <c r="D18" s="67"/>
      <c r="E18" s="68"/>
      <c r="F18" s="68"/>
      <c r="G18" s="68"/>
      <c r="H18" s="68"/>
      <c r="I18" s="68"/>
      <c r="M18" s="314"/>
      <c r="N18" s="315"/>
      <c r="O18" s="315"/>
      <c r="P18" s="315"/>
      <c r="Q18" s="315"/>
      <c r="R18" s="315"/>
      <c r="V18" s="314"/>
      <c r="W18" s="315"/>
      <c r="X18" s="315"/>
      <c r="Y18" s="315"/>
      <c r="Z18" s="315"/>
      <c r="AA18" s="315"/>
      <c r="AE18" s="314"/>
      <c r="AF18" s="315"/>
      <c r="AG18" s="315"/>
      <c r="AH18" s="315"/>
      <c r="AI18" s="315"/>
      <c r="AJ18" s="315"/>
    </row>
    <row r="19" spans="1:37" outlineLevel="1" x14ac:dyDescent="0.25">
      <c r="A19" s="110"/>
      <c r="B19" s="111"/>
      <c r="C19" s="399"/>
      <c r="D19" s="519" t="s">
        <v>680</v>
      </c>
      <c r="E19" s="520" t="s">
        <v>203</v>
      </c>
      <c r="F19" s="520" t="s">
        <v>18</v>
      </c>
      <c r="G19" s="520"/>
      <c r="H19" s="520"/>
      <c r="I19" s="521"/>
      <c r="M19" s="519" t="s">
        <v>263</v>
      </c>
      <c r="N19" s="520" t="s">
        <v>203</v>
      </c>
      <c r="O19" s="520" t="s">
        <v>18</v>
      </c>
      <c r="P19" s="520"/>
      <c r="Q19" s="520"/>
      <c r="R19" s="521"/>
      <c r="V19" s="519" t="s">
        <v>263</v>
      </c>
      <c r="W19" s="520" t="s">
        <v>203</v>
      </c>
      <c r="X19" s="520" t="s">
        <v>18</v>
      </c>
      <c r="Y19" s="520"/>
      <c r="Z19" s="520"/>
      <c r="AA19" s="521"/>
      <c r="AE19" s="519" t="s">
        <v>263</v>
      </c>
      <c r="AF19" s="520" t="s">
        <v>203</v>
      </c>
      <c r="AG19" s="520" t="s">
        <v>18</v>
      </c>
      <c r="AH19" s="520"/>
      <c r="AI19" s="520"/>
      <c r="AJ19" s="521"/>
    </row>
    <row r="20" spans="1:37" outlineLevel="2" x14ac:dyDescent="0.25">
      <c r="A20" s="104">
        <v>297</v>
      </c>
      <c r="B20" s="105" t="s">
        <v>392</v>
      </c>
      <c r="C20" s="399"/>
      <c r="D20" s="341">
        <f>VLOOKUP($A20,Prevs!$C:$AJ,COLUMN() - COLUMN($D20)+2,FALSE)*VLOOKUP($A20,Usinas!$C:$D,2,FALSE)</f>
        <v>317.91419999999999</v>
      </c>
      <c r="E20" s="341">
        <f>VLOOKUP($A20,Prevs!$C:$AJ,COLUMN() - COLUMN($D20)+2,FALSE)*VLOOKUP($A20,Usinas!$C:$D,2,FALSE)</f>
        <v>326.04179999999997</v>
      </c>
      <c r="F20" s="341">
        <f>VLOOKUP($A20,Prevs!$C:$AJ,COLUMN() - COLUMN($D20)+2,FALSE)*VLOOKUP($A20,Usinas!$C:$D,2,FALSE)</f>
        <v>321.3528</v>
      </c>
      <c r="G20" s="341">
        <f>VLOOKUP($A20,Prevs!$C:$AJ,COLUMN() - COLUMN($D20)+2,FALSE)*VLOOKUP($A20,Usinas!$C:$D,2,FALSE)</f>
        <v>305.72280000000001</v>
      </c>
      <c r="H20" s="341">
        <f>VLOOKUP($A20,Prevs!$C:$AJ,COLUMN() - COLUMN($D20)+2,FALSE)*VLOOKUP($A20,Usinas!$C:$D,2,FALSE)</f>
        <v>299.78339999999997</v>
      </c>
      <c r="I20" s="341">
        <f>VLOOKUP($A20,Prevs!$C:$AJ,COLUMN() - COLUMN($D20)+2,FALSE)*VLOOKUP($A20,Usinas!$C:$D,2,FALSE)</f>
        <v>283.8408</v>
      </c>
      <c r="J20" s="477">
        <f ca="1">VLOOKUP($A20,Prevs_MLT!$C:$AJ,1+Entrada!$C$4,FALSE)*VLOOKUP($A20,Usinas!$C:$D,2,FALSE)</f>
        <v>314.78819999999996</v>
      </c>
      <c r="M20" s="341">
        <f>VLOOKUP($A20,Prevs!$C:$AJ,COLUMN() - COLUMN($D20)+2,FALSE)*VLOOKUP($A20,Usinas!$C:$D,2,FALSE)</f>
        <v>1066.1223</v>
      </c>
      <c r="N20" s="341">
        <f>VLOOKUP($A20,Prevs!$C:$AJ,COLUMN() - COLUMN($D20)+2,FALSE)*VLOOKUP($A20,Usinas!$C:$D,2,FALSE)</f>
        <v>1093.3184999999999</v>
      </c>
      <c r="O20" s="341">
        <f>VLOOKUP($A20,Prevs!$C:$AJ,COLUMN() - COLUMN($D20)+2,FALSE)*VLOOKUP($A20,Usinas!$C:$D,2,FALSE)</f>
        <v>1077.6885</v>
      </c>
      <c r="P20" s="341">
        <f>VLOOKUP($A20,Prevs!$C:$AJ,COLUMN() - COLUMN($D20)+2,FALSE)*VLOOKUP($A20,Usinas!$C:$D,2,FALSE)</f>
        <v>1025.1716999999999</v>
      </c>
      <c r="Q20" s="341">
        <f>VLOOKUP($A20,Prevs!$C:$AJ,COLUMN() - COLUMN($D20)+2,FALSE)*VLOOKUP($A20,Usinas!$C:$D,2,FALSE)</f>
        <v>1005.3216</v>
      </c>
      <c r="R20" s="341">
        <f>VLOOKUP($A20,Prevs!$C:$AJ,COLUMN() - COLUMN($D20)+2,FALSE)*VLOOKUP($A20,Usinas!$C:$D,2,FALSE)</f>
        <v>951.86699999999996</v>
      </c>
      <c r="V20" s="341">
        <f>VLOOKUP($A20,Prevs!$C:$AJ,COLUMN() - COLUMN($D20)+2,FALSE)*VLOOKUP($A20,Usinas!$C:$D,2,FALSE)</f>
        <v>1080.5019</v>
      </c>
      <c r="W20" s="341">
        <f>VLOOKUP($A20,Prevs!$C:$AJ,COLUMN() - COLUMN($D20)+2,FALSE)*VLOOKUP($A20,Usinas!$C:$D,2,FALSE)</f>
        <v>1108.1669999999999</v>
      </c>
      <c r="X20" s="341">
        <f>VLOOKUP($A20,Prevs!$C:$AJ,COLUMN() - COLUMN($D20)+2,FALSE)*VLOOKUP($A20,Usinas!$C:$D,2,FALSE)</f>
        <v>1092.2244000000001</v>
      </c>
      <c r="Y20" s="341">
        <f>VLOOKUP($A20,Prevs!$C:$AJ,COLUMN() - COLUMN($D20)+2,FALSE)*VLOOKUP($A20,Usinas!$C:$D,2,FALSE)</f>
        <v>1039.0824</v>
      </c>
      <c r="Z20" s="341">
        <f>VLOOKUP($A20,Prevs!$C:$AJ,COLUMN() - COLUMN($D20)+2,FALSE)*VLOOKUP($A20,Usinas!$C:$D,2,FALSE)</f>
        <v>1018.9196999999999</v>
      </c>
      <c r="AA20" s="341">
        <f>VLOOKUP($A20,Prevs!$C:$AJ,COLUMN() - COLUMN($D20)+2,FALSE)*VLOOKUP($A20,Usinas!$C:$D,2,FALSE)</f>
        <v>964.68359999999996</v>
      </c>
      <c r="AE20" s="341">
        <f>VLOOKUP($A20,Prevs!$C:$AJ,COLUMN() - COLUMN($D20)+2,FALSE)*VLOOKUP($A20,Usinas!$C:$D,2,FALSE)</f>
        <v>317.91419999999999</v>
      </c>
      <c r="AF20" s="341">
        <f>VLOOKUP($A20,Prevs!$C:$AJ,COLUMN() - COLUMN($D20)+2,FALSE)*VLOOKUP($A20,Usinas!$C:$D,2,FALSE)</f>
        <v>326.04179999999997</v>
      </c>
      <c r="AG20" s="341">
        <f>VLOOKUP($A20,Prevs!$C:$AJ,COLUMN() - COLUMN($D20)+2,FALSE)*VLOOKUP($A20,Usinas!$C:$D,2,FALSE)</f>
        <v>321.3528</v>
      </c>
      <c r="AH20" s="341">
        <f>VLOOKUP($A20,Prevs!$C:$AJ,COLUMN() - COLUMN($D20)+2,FALSE)*VLOOKUP($A20,Usinas!$C:$D,2,FALSE)</f>
        <v>305.72280000000001</v>
      </c>
      <c r="AI20" s="341">
        <f>VLOOKUP($A20,Prevs!$C:$AJ,COLUMN() - COLUMN($D20)+2,FALSE)*VLOOKUP($A20,Usinas!$C:$D,2,FALSE)</f>
        <v>299.78339999999997</v>
      </c>
      <c r="AJ20" s="341">
        <f>VLOOKUP($A20,Prevs!$C:$AJ,COLUMN() - COLUMN($D20)+2,FALSE)*VLOOKUP($A20,Usinas!$C:$D,2,FALSE)</f>
        <v>283.8408</v>
      </c>
    </row>
    <row r="21" spans="1:37" outlineLevel="2" x14ac:dyDescent="0.25">
      <c r="A21" s="104">
        <v>280</v>
      </c>
      <c r="B21" s="105" t="s">
        <v>317</v>
      </c>
      <c r="C21" s="399"/>
      <c r="D21" s="341">
        <f>VLOOKUP($A21,Prevs!$C:$AJ,COLUMN() - COLUMN($D21)+2,FALSE)*VLOOKUP($A21,Usinas!$C:$D,2,FALSE)</f>
        <v>0</v>
      </c>
      <c r="E21" s="341">
        <f>VLOOKUP($A21,Prevs!$C:$AJ,COLUMN() - COLUMN($D21)+2,FALSE)*VLOOKUP($A21,Usinas!$C:$D,2,FALSE)</f>
        <v>0</v>
      </c>
      <c r="F21" s="341">
        <f>VLOOKUP($A21,Prevs!$C:$AJ,COLUMN() - COLUMN($D21)+2,FALSE)*VLOOKUP($A21,Usinas!$C:$D,2,FALSE)</f>
        <v>0</v>
      </c>
      <c r="G21" s="341">
        <f>VLOOKUP($A21,Prevs!$C:$AJ,COLUMN() - COLUMN($D21)+2,FALSE)*VLOOKUP($A21,Usinas!$C:$D,2,FALSE)</f>
        <v>0</v>
      </c>
      <c r="H21" s="341">
        <f>VLOOKUP($A21,Prevs!$C:$AJ,COLUMN() - COLUMN($D21)+2,FALSE)*VLOOKUP($A21,Usinas!$C:$D,2,FALSE)</f>
        <v>0</v>
      </c>
      <c r="I21" s="341">
        <f>VLOOKUP($A21,Prevs!$C:$AJ,COLUMN() - COLUMN($D21)+2,FALSE)*VLOOKUP($A21,Usinas!$C:$D,2,FALSE)</f>
        <v>0</v>
      </c>
      <c r="J21" s="477">
        <f ca="1">VLOOKUP($A21,Prevs_MLT!$C:$AJ,1+Entrada!$C$4,FALSE)*VLOOKUP($A21,Usinas!$C:$D,2,FALSE)</f>
        <v>0</v>
      </c>
      <c r="M21" s="341">
        <f>VLOOKUP($A21,Prevs!$C:$AJ,COLUMN() - COLUMN($D21)+2,FALSE)*VLOOKUP($A21,Usinas!$C:$D,2,FALSE)</f>
        <v>0</v>
      </c>
      <c r="N21" s="341">
        <f>VLOOKUP($A21,Prevs!$C:$AJ,COLUMN() - COLUMN($D21)+2,FALSE)*VLOOKUP($A21,Usinas!$C:$D,2,FALSE)</f>
        <v>0</v>
      </c>
      <c r="O21" s="341">
        <f>VLOOKUP($A21,Prevs!$C:$AJ,COLUMN() - COLUMN($D21)+2,FALSE)*VLOOKUP($A21,Usinas!$C:$D,2,FALSE)</f>
        <v>0</v>
      </c>
      <c r="P21" s="341">
        <f>VLOOKUP($A21,Prevs!$C:$AJ,COLUMN() - COLUMN($D21)+2,FALSE)*VLOOKUP($A21,Usinas!$C:$D,2,FALSE)</f>
        <v>0</v>
      </c>
      <c r="Q21" s="341">
        <f>VLOOKUP($A21,Prevs!$C:$AJ,COLUMN() - COLUMN($D21)+2,FALSE)*VLOOKUP($A21,Usinas!$C:$D,2,FALSE)</f>
        <v>0</v>
      </c>
      <c r="R21" s="341">
        <f>VLOOKUP($A21,Prevs!$C:$AJ,COLUMN() - COLUMN($D21)+2,FALSE)*VLOOKUP($A21,Usinas!$C:$D,2,FALSE)</f>
        <v>0</v>
      </c>
      <c r="V21" s="341">
        <f>VLOOKUP($A21,Prevs!$C:$AJ,COLUMN() - COLUMN($D21)+2,FALSE)*VLOOKUP($A21,Usinas!$C:$D,2,FALSE)</f>
        <v>0</v>
      </c>
      <c r="W21" s="341">
        <f>VLOOKUP($A21,Prevs!$C:$AJ,COLUMN() - COLUMN($D21)+2,FALSE)*VLOOKUP($A21,Usinas!$C:$D,2,FALSE)</f>
        <v>0</v>
      </c>
      <c r="X21" s="341">
        <f>VLOOKUP($A21,Prevs!$C:$AJ,COLUMN() - COLUMN($D21)+2,FALSE)*VLOOKUP($A21,Usinas!$C:$D,2,FALSE)</f>
        <v>0</v>
      </c>
      <c r="Y21" s="341">
        <f>VLOOKUP($A21,Prevs!$C:$AJ,COLUMN() - COLUMN($D21)+2,FALSE)*VLOOKUP($A21,Usinas!$C:$D,2,FALSE)</f>
        <v>0</v>
      </c>
      <c r="Z21" s="341">
        <f>VLOOKUP($A21,Prevs!$C:$AJ,COLUMN() - COLUMN($D21)+2,FALSE)*VLOOKUP($A21,Usinas!$C:$D,2,FALSE)</f>
        <v>0</v>
      </c>
      <c r="AA21" s="341">
        <f>VLOOKUP($A21,Prevs!$C:$AJ,COLUMN() - COLUMN($D21)+2,FALSE)*VLOOKUP($A21,Usinas!$C:$D,2,FALSE)</f>
        <v>0</v>
      </c>
      <c r="AE21" s="341">
        <f>VLOOKUP($A21,Prevs!$C:$AJ,COLUMN() - COLUMN($D21)+2,FALSE)*VLOOKUP($A21,Usinas!$C:$D,2,FALSE)</f>
        <v>0</v>
      </c>
      <c r="AF21" s="341">
        <f>VLOOKUP($A21,Prevs!$C:$AJ,COLUMN() - COLUMN($D21)+2,FALSE)*VLOOKUP($A21,Usinas!$C:$D,2,FALSE)</f>
        <v>0</v>
      </c>
      <c r="AG21" s="341">
        <f>VLOOKUP($A21,Prevs!$C:$AJ,COLUMN() - COLUMN($D21)+2,FALSE)*VLOOKUP($A21,Usinas!$C:$D,2,FALSE)</f>
        <v>0</v>
      </c>
      <c r="AH21" s="341">
        <f>VLOOKUP($A21,Prevs!$C:$AJ,COLUMN() - COLUMN($D21)+2,FALSE)*VLOOKUP($A21,Usinas!$C:$D,2,FALSE)</f>
        <v>0</v>
      </c>
      <c r="AI21" s="341">
        <f>VLOOKUP($A21,Prevs!$C:$AJ,COLUMN() - COLUMN($D21)+2,FALSE)*VLOOKUP($A21,Usinas!$C:$D,2,FALSE)</f>
        <v>0</v>
      </c>
      <c r="AJ21" s="341">
        <f>VLOOKUP($A21,Prevs!$C:$AJ,COLUMN() - COLUMN($D21)+2,FALSE)*VLOOKUP($A21,Usinas!$C:$D,2,FALSE)</f>
        <v>0</v>
      </c>
    </row>
    <row r="22" spans="1:37" outlineLevel="1" x14ac:dyDescent="0.25">
      <c r="A22" s="106"/>
      <c r="B22" s="107" t="s">
        <v>92</v>
      </c>
      <c r="C22" s="399"/>
      <c r="D22" s="97">
        <f t="shared" ref="D22:I22" si="21">SUM(D20:D21)</f>
        <v>317.91419999999999</v>
      </c>
      <c r="E22" s="317">
        <f t="shared" si="21"/>
        <v>326.04179999999997</v>
      </c>
      <c r="F22" s="317">
        <f t="shared" si="21"/>
        <v>321.3528</v>
      </c>
      <c r="G22" s="317">
        <f t="shared" si="21"/>
        <v>305.72280000000001</v>
      </c>
      <c r="H22" s="317">
        <f t="shared" si="21"/>
        <v>299.78339999999997</v>
      </c>
      <c r="I22" s="317">
        <f t="shared" si="21"/>
        <v>283.8408</v>
      </c>
      <c r="J22" s="423">
        <f ca="1">SUMPRODUCT(D22:I22,Saida!$B$7:$G$7)/SUM(Saida!$B$7:$G$7)</f>
        <v>312.40202000000005</v>
      </c>
      <c r="M22" s="317">
        <f t="shared" ref="M22:R22" si="22">SUM(M20:M21)</f>
        <v>1066.1223</v>
      </c>
      <c r="N22" s="317">
        <f t="shared" si="22"/>
        <v>1093.3184999999999</v>
      </c>
      <c r="O22" s="317">
        <f t="shared" si="22"/>
        <v>1077.6885</v>
      </c>
      <c r="P22" s="317">
        <f t="shared" si="22"/>
        <v>1025.1716999999999</v>
      </c>
      <c r="Q22" s="317">
        <f t="shared" si="22"/>
        <v>1005.3216</v>
      </c>
      <c r="R22" s="317">
        <f t="shared" si="22"/>
        <v>951.86699999999996</v>
      </c>
      <c r="S22" s="423">
        <f ca="1">SUMPRODUCT(M22:R22,Saida!$B$7:$G$7)/SUM(Saida!$B$7:$G$7)</f>
        <v>1047.6163799999999</v>
      </c>
      <c r="V22" s="317">
        <f t="shared" ref="V22" si="23">SUM(V20:V21)</f>
        <v>1080.5019</v>
      </c>
      <c r="W22" s="317">
        <f t="shared" ref="W22" si="24">SUM(W20:W21)</f>
        <v>1108.1669999999999</v>
      </c>
      <c r="X22" s="317">
        <f t="shared" ref="X22" si="25">SUM(X20:X21)</f>
        <v>1092.2244000000001</v>
      </c>
      <c r="Y22" s="317">
        <f t="shared" ref="Y22" si="26">SUM(Y20:Y21)</f>
        <v>1039.0824</v>
      </c>
      <c r="Z22" s="317">
        <f t="shared" ref="Z22" si="27">SUM(Z20:Z21)</f>
        <v>1018.9196999999999</v>
      </c>
      <c r="AA22" s="317">
        <f t="shared" ref="AA22" si="28">SUM(AA20:AA21)</f>
        <v>964.68359999999996</v>
      </c>
      <c r="AB22" s="423">
        <f ca="1">SUMPRODUCT(V22:AA22,Saida!$B$7:$G$7)/SUM(Saida!$B$7:$G$7)</f>
        <v>1061.798</v>
      </c>
      <c r="AE22" s="317">
        <f t="shared" ref="AE22" si="29">SUM(AE20:AE21)</f>
        <v>317.91419999999999</v>
      </c>
      <c r="AF22" s="317">
        <f t="shared" ref="AF22" si="30">SUM(AF20:AF21)</f>
        <v>326.04179999999997</v>
      </c>
      <c r="AG22" s="317">
        <f t="shared" ref="AG22" si="31">SUM(AG20:AG21)</f>
        <v>321.3528</v>
      </c>
      <c r="AH22" s="317">
        <f t="shared" ref="AH22" si="32">SUM(AH20:AH21)</f>
        <v>305.72280000000001</v>
      </c>
      <c r="AI22" s="317">
        <f t="shared" ref="AI22" si="33">SUM(AI20:AI21)</f>
        <v>299.78339999999997</v>
      </c>
      <c r="AJ22" s="317">
        <f t="shared" ref="AJ22" si="34">SUM(AJ20:AJ21)</f>
        <v>283.8408</v>
      </c>
      <c r="AK22" s="423">
        <f ca="1">SUMPRODUCT(AE22:AJ22,Saida!$B$7:$G$7)/SUM(Saida!$B$7:$G$7)</f>
        <v>312.40202000000005</v>
      </c>
    </row>
    <row r="23" spans="1:37" outlineLevel="1" x14ac:dyDescent="0.25">
      <c r="A23" s="108"/>
      <c r="B23" s="109" t="s">
        <v>13</v>
      </c>
      <c r="C23" s="399"/>
      <c r="D23" s="99"/>
      <c r="E23" s="100"/>
      <c r="F23" s="100"/>
      <c r="G23" s="100"/>
      <c r="H23" s="100"/>
      <c r="I23" s="101"/>
      <c r="J23" s="478">
        <f ca="1">SUM(J20:J21)</f>
        <v>314.78819999999996</v>
      </c>
      <c r="M23" s="319"/>
      <c r="N23" s="320"/>
      <c r="O23" s="320"/>
      <c r="P23" s="320"/>
      <c r="Q23" s="320"/>
      <c r="R23" s="321"/>
      <c r="V23" s="319"/>
      <c r="W23" s="320"/>
      <c r="X23" s="320"/>
      <c r="Y23" s="320"/>
      <c r="Z23" s="320"/>
      <c r="AA23" s="321"/>
      <c r="AE23" s="319"/>
      <c r="AF23" s="320"/>
      <c r="AG23" s="320"/>
      <c r="AH23" s="320"/>
      <c r="AI23" s="320"/>
      <c r="AJ23" s="321"/>
    </row>
    <row r="24" spans="1:37" outlineLevel="1" x14ac:dyDescent="0.25">
      <c r="A24" s="65"/>
      <c r="B24" s="66"/>
      <c r="C24" s="399"/>
      <c r="D24" s="67"/>
      <c r="E24" s="68"/>
      <c r="F24" s="68"/>
      <c r="G24" s="68"/>
      <c r="H24" s="68"/>
      <c r="I24" s="68"/>
      <c r="M24" s="314"/>
      <c r="N24" s="315"/>
      <c r="O24" s="315"/>
      <c r="P24" s="315"/>
      <c r="Q24" s="315"/>
      <c r="R24" s="315"/>
      <c r="V24" s="314"/>
      <c r="W24" s="315"/>
      <c r="X24" s="315"/>
      <c r="Y24" s="315"/>
      <c r="Z24" s="315"/>
      <c r="AA24" s="315"/>
      <c r="AE24" s="314"/>
      <c r="AF24" s="315"/>
      <c r="AG24" s="315"/>
      <c r="AH24" s="315"/>
      <c r="AI24" s="315"/>
      <c r="AJ24" s="315"/>
    </row>
    <row r="25" spans="1:37" x14ac:dyDescent="0.25">
      <c r="A25" s="110"/>
      <c r="B25" s="111"/>
      <c r="C25" s="399"/>
      <c r="D25" s="519" t="s">
        <v>263</v>
      </c>
      <c r="E25" s="520" t="s">
        <v>203</v>
      </c>
      <c r="F25" s="520" t="s">
        <v>18</v>
      </c>
      <c r="G25" s="520"/>
      <c r="H25" s="520"/>
      <c r="I25" s="521"/>
      <c r="M25" s="519" t="s">
        <v>263</v>
      </c>
      <c r="N25" s="520" t="s">
        <v>203</v>
      </c>
      <c r="O25" s="520" t="s">
        <v>18</v>
      </c>
      <c r="P25" s="520"/>
      <c r="Q25" s="520"/>
      <c r="R25" s="521"/>
      <c r="V25" s="519" t="s">
        <v>263</v>
      </c>
      <c r="W25" s="520" t="s">
        <v>203</v>
      </c>
      <c r="X25" s="520" t="s">
        <v>18</v>
      </c>
      <c r="Y25" s="520"/>
      <c r="Z25" s="520"/>
      <c r="AA25" s="521"/>
      <c r="AE25" s="519" t="s">
        <v>263</v>
      </c>
      <c r="AF25" s="520" t="s">
        <v>203</v>
      </c>
      <c r="AG25" s="520" t="s">
        <v>18</v>
      </c>
      <c r="AH25" s="520"/>
      <c r="AI25" s="520"/>
      <c r="AJ25" s="521"/>
    </row>
    <row r="26" spans="1:37" x14ac:dyDescent="0.25">
      <c r="A26" s="106"/>
      <c r="B26" s="107" t="s">
        <v>92</v>
      </c>
      <c r="C26" s="399"/>
      <c r="D26" s="97">
        <f>D9+D16+D22</f>
        <v>3603.4187000000002</v>
      </c>
      <c r="E26" s="58">
        <f t="shared" ref="E26:J27" si="35">E9+E16+E22</f>
        <v>3393.9342000000001</v>
      </c>
      <c r="F26" s="58">
        <f t="shared" si="35"/>
        <v>3201.4144000000001</v>
      </c>
      <c r="G26" s="58">
        <f t="shared" si="35"/>
        <v>2979.1698000000001</v>
      </c>
      <c r="H26" s="58">
        <f t="shared" si="35"/>
        <v>2764.7894999999999</v>
      </c>
      <c r="I26" s="98">
        <f t="shared" si="35"/>
        <v>2589.3020000000001</v>
      </c>
      <c r="J26" s="423">
        <f ca="1">SUMPRODUCT(D26:I26,Saida!$B$7:$G$7)/SUM(Saida!$B$7:$G$7)</f>
        <v>3085.5958666666675</v>
      </c>
      <c r="M26" s="317">
        <f t="shared" ref="M26:R26" si="36">M9+M16+M22</f>
        <v>11041.679700000001</v>
      </c>
      <c r="N26" s="308">
        <f t="shared" si="36"/>
        <v>10406.454399999999</v>
      </c>
      <c r="O26" s="308">
        <f t="shared" si="36"/>
        <v>9808.4305999999997</v>
      </c>
      <c r="P26" s="308">
        <f t="shared" si="36"/>
        <v>9112.6784000000007</v>
      </c>
      <c r="Q26" s="308">
        <f t="shared" si="36"/>
        <v>8452.0170999999991</v>
      </c>
      <c r="R26" s="318">
        <f t="shared" si="36"/>
        <v>7927.0062000000007</v>
      </c>
      <c r="S26" s="423">
        <f ca="1">SUMPRODUCT(M26:R26,Saida!$B$7:$G$7)/SUM(Saida!$B$7:$G$7)</f>
        <v>9447.5249799999983</v>
      </c>
      <c r="V26" s="317">
        <f t="shared" ref="V26:AA26" si="37">V9+V16+V22</f>
        <v>11043.7916</v>
      </c>
      <c r="W26" s="308">
        <f t="shared" si="37"/>
        <v>10409.1819</v>
      </c>
      <c r="X26" s="308">
        <f t="shared" si="37"/>
        <v>9809.5442000000003</v>
      </c>
      <c r="Y26" s="308">
        <f t="shared" si="37"/>
        <v>9111.8531999999996</v>
      </c>
      <c r="Z26" s="308">
        <f t="shared" si="37"/>
        <v>8450.5743000000002</v>
      </c>
      <c r="AA26" s="318">
        <f t="shared" si="37"/>
        <v>7927.1578</v>
      </c>
      <c r="AB26" s="423">
        <f ca="1">SUMPRODUCT(V26:AA26,Saida!$B$7:$G$7)/SUM(Saida!$B$7:$G$7)</f>
        <v>9447.9674866666664</v>
      </c>
      <c r="AE26" s="317">
        <f t="shared" ref="AE26:AJ26" si="38">AE9+AE16+AE22</f>
        <v>3603.4187000000002</v>
      </c>
      <c r="AF26" s="308">
        <f t="shared" si="38"/>
        <v>3393.9342000000001</v>
      </c>
      <c r="AG26" s="308">
        <f t="shared" si="38"/>
        <v>3201.4144000000001</v>
      </c>
      <c r="AH26" s="308">
        <f t="shared" si="38"/>
        <v>2979.1698000000001</v>
      </c>
      <c r="AI26" s="308">
        <f t="shared" si="38"/>
        <v>2764.7894999999999</v>
      </c>
      <c r="AJ26" s="318">
        <f t="shared" si="38"/>
        <v>2589.3020000000001</v>
      </c>
      <c r="AK26" s="423">
        <f ca="1">SUMPRODUCT(AE26:AJ26,Saida!$B$7:$G$7)/SUM(Saida!$B$7:$G$7)</f>
        <v>3085.5958666666675</v>
      </c>
    </row>
    <row r="27" spans="1:37" ht="15.75" x14ac:dyDescent="0.25">
      <c r="A27" s="108"/>
      <c r="B27" s="109" t="s">
        <v>13</v>
      </c>
      <c r="C27" s="399"/>
      <c r="D27" s="99"/>
      <c r="E27" s="100"/>
      <c r="F27" s="100"/>
      <c r="G27" s="100"/>
      <c r="H27" s="100"/>
      <c r="I27" s="101"/>
      <c r="J27" s="479">
        <f t="shared" ca="1" si="35"/>
        <v>10498.321900000003</v>
      </c>
      <c r="M27" s="319"/>
      <c r="N27" s="320"/>
      <c r="O27" s="320"/>
      <c r="P27" s="320"/>
      <c r="Q27" s="320"/>
      <c r="R27" s="321"/>
      <c r="V27" s="319"/>
      <c r="W27" s="320"/>
      <c r="X27" s="320"/>
      <c r="Y27" s="320"/>
      <c r="Z27" s="320"/>
      <c r="AA27" s="321"/>
      <c r="AE27" s="319"/>
      <c r="AF27" s="320"/>
      <c r="AG27" s="320"/>
      <c r="AH27" s="320"/>
      <c r="AI27" s="320"/>
      <c r="AJ27" s="321"/>
    </row>
  </sheetData>
  <mergeCells count="18">
    <mergeCell ref="A1:A4"/>
    <mergeCell ref="B1:B4"/>
    <mergeCell ref="D25:I25"/>
    <mergeCell ref="D19:I19"/>
    <mergeCell ref="M6:R6"/>
    <mergeCell ref="M12:R12"/>
    <mergeCell ref="M19:R19"/>
    <mergeCell ref="M25:R25"/>
    <mergeCell ref="D6:I6"/>
    <mergeCell ref="D12:I12"/>
    <mergeCell ref="V25:AA25"/>
    <mergeCell ref="V19:AA19"/>
    <mergeCell ref="V12:AA12"/>
    <mergeCell ref="V6:AA6"/>
    <mergeCell ref="AE25:AJ25"/>
    <mergeCell ref="AE19:AJ19"/>
    <mergeCell ref="AE12:AJ12"/>
    <mergeCell ref="AE6:AJ6"/>
  </mergeCells>
  <conditionalFormatting sqref="D2:I2">
    <cfRule type="cellIs" dxfId="4" priority="2" operator="equal">
      <formula>$E$3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I172"/>
  <sheetViews>
    <sheetView workbookViewId="0"/>
  </sheetViews>
  <sheetFormatPr defaultRowHeight="15" x14ac:dyDescent="0.25"/>
  <cols>
    <col min="1" max="1" width="2.85546875" style="1" customWidth="1"/>
    <col min="2" max="2" width="34.5703125" style="1" customWidth="1"/>
    <col min="3" max="9" width="18.42578125" style="52" customWidth="1"/>
    <col min="10" max="10" width="26.85546875" style="1" customWidth="1"/>
    <col min="11" max="16" width="34.5703125" style="1" customWidth="1"/>
    <col min="17" max="17" width="39.42578125" style="1" customWidth="1"/>
    <col min="18" max="23" width="34.5703125" style="1" customWidth="1"/>
    <col min="24" max="35" width="34.5703125" style="1" hidden="1" customWidth="1"/>
    <col min="36" max="16384" width="9.140625" style="1"/>
  </cols>
  <sheetData>
    <row r="1" spans="2:35" ht="25.5" customHeight="1" thickBot="1" x14ac:dyDescent="0.5">
      <c r="K1" s="528" t="s">
        <v>68</v>
      </c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X1" s="528" t="s">
        <v>301</v>
      </c>
      <c r="Y1" s="528"/>
      <c r="Z1" s="528"/>
      <c r="AA1" s="528"/>
      <c r="AB1" s="528"/>
      <c r="AC1" s="528"/>
      <c r="AD1" s="528"/>
      <c r="AE1" s="528"/>
      <c r="AF1" s="528"/>
      <c r="AG1" s="528"/>
      <c r="AH1" s="528"/>
      <c r="AI1" s="528"/>
    </row>
    <row r="2" spans="2:35" s="70" customFormat="1" ht="24" customHeight="1" thickBot="1" x14ac:dyDescent="0.3">
      <c r="C2" s="120"/>
      <c r="D2" s="120"/>
      <c r="E2" s="120"/>
      <c r="F2" s="120"/>
      <c r="G2" s="120"/>
      <c r="H2" s="120"/>
      <c r="I2" s="120"/>
      <c r="K2" s="124" t="s">
        <v>69</v>
      </c>
      <c r="L2" s="125" t="s">
        <v>70</v>
      </c>
      <c r="M2" s="125" t="s">
        <v>71</v>
      </c>
      <c r="N2" s="125" t="s">
        <v>72</v>
      </c>
      <c r="O2" s="125" t="s">
        <v>73</v>
      </c>
      <c r="P2" s="125" t="s">
        <v>74</v>
      </c>
      <c r="Q2" s="125" t="s">
        <v>69</v>
      </c>
      <c r="R2" s="125" t="s">
        <v>70</v>
      </c>
      <c r="S2" s="125" t="s">
        <v>71</v>
      </c>
      <c r="T2" s="125" t="s">
        <v>72</v>
      </c>
      <c r="U2" s="125" t="s">
        <v>73</v>
      </c>
      <c r="V2" s="126" t="s">
        <v>74</v>
      </c>
      <c r="X2" s="54" t="s">
        <v>69</v>
      </c>
      <c r="Y2" s="54" t="s">
        <v>70</v>
      </c>
      <c r="Z2" s="54" t="s">
        <v>71</v>
      </c>
      <c r="AA2" s="54" t="s">
        <v>72</v>
      </c>
      <c r="AB2" s="54" t="s">
        <v>73</v>
      </c>
      <c r="AC2" s="54" t="s">
        <v>74</v>
      </c>
      <c r="AD2" s="54" t="s">
        <v>69</v>
      </c>
      <c r="AE2" s="54" t="s">
        <v>70</v>
      </c>
      <c r="AF2" s="54" t="s">
        <v>71</v>
      </c>
      <c r="AG2" s="54" t="s">
        <v>72</v>
      </c>
      <c r="AH2" s="54" t="s">
        <v>73</v>
      </c>
      <c r="AI2" s="54" t="s">
        <v>74</v>
      </c>
    </row>
    <row r="3" spans="2:35" s="122" customFormat="1" ht="24" customHeight="1" x14ac:dyDescent="0.25">
      <c r="C3" s="123"/>
      <c r="D3" s="123"/>
      <c r="E3" s="123"/>
      <c r="F3" s="123"/>
      <c r="G3" s="123"/>
      <c r="H3" s="123"/>
      <c r="I3" s="123"/>
      <c r="K3" s="127">
        <v>41818</v>
      </c>
      <c r="L3" s="128">
        <f>K3+7</f>
        <v>41825</v>
      </c>
      <c r="M3" s="128">
        <f>L3+7</f>
        <v>41832</v>
      </c>
      <c r="N3" s="128">
        <f>M3+7</f>
        <v>41839</v>
      </c>
      <c r="O3" s="128">
        <f>N3+7</f>
        <v>41846</v>
      </c>
      <c r="P3" s="128">
        <f>O3+7</f>
        <v>41853</v>
      </c>
      <c r="Q3" s="128">
        <v>41818</v>
      </c>
      <c r="R3" s="128">
        <f>Q3+7</f>
        <v>41825</v>
      </c>
      <c r="S3" s="128">
        <f>R3+7</f>
        <v>41832</v>
      </c>
      <c r="T3" s="128">
        <f>S3+7</f>
        <v>41839</v>
      </c>
      <c r="U3" s="128">
        <f>T3+7</f>
        <v>41846</v>
      </c>
      <c r="V3" s="129">
        <f>U3+7</f>
        <v>41853</v>
      </c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</row>
    <row r="4" spans="2:35" s="122" customFormat="1" ht="24" customHeight="1" x14ac:dyDescent="0.25">
      <c r="C4" s="123"/>
      <c r="D4" s="123"/>
      <c r="E4" s="123"/>
      <c r="F4" s="123"/>
      <c r="G4" s="123"/>
      <c r="H4" s="123"/>
      <c r="I4" s="123"/>
      <c r="K4" s="130" t="s">
        <v>6</v>
      </c>
      <c r="L4" s="131" t="s">
        <v>6</v>
      </c>
      <c r="M4" s="131" t="s">
        <v>6</v>
      </c>
      <c r="N4" s="131" t="s">
        <v>6</v>
      </c>
      <c r="O4" s="131" t="s">
        <v>6</v>
      </c>
      <c r="P4" s="131" t="s">
        <v>6</v>
      </c>
      <c r="Q4" s="131" t="s">
        <v>6</v>
      </c>
      <c r="R4" s="131" t="s">
        <v>6</v>
      </c>
      <c r="S4" s="131" t="s">
        <v>6</v>
      </c>
      <c r="T4" s="131" t="s">
        <v>6</v>
      </c>
      <c r="U4" s="131" t="s">
        <v>6</v>
      </c>
      <c r="V4" s="132" t="s">
        <v>6</v>
      </c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</row>
    <row r="5" spans="2:35" s="122" customFormat="1" ht="24" customHeight="1" x14ac:dyDescent="0.25">
      <c r="C5" s="123"/>
      <c r="D5" s="123"/>
      <c r="E5" s="123"/>
      <c r="F5" s="123"/>
      <c r="G5" s="123"/>
      <c r="H5" s="123"/>
      <c r="I5" s="123"/>
      <c r="K5" s="130">
        <f t="shared" ref="K5:V5" si="0">K3+6</f>
        <v>41824</v>
      </c>
      <c r="L5" s="131">
        <f t="shared" si="0"/>
        <v>41831</v>
      </c>
      <c r="M5" s="131">
        <f t="shared" si="0"/>
        <v>41838</v>
      </c>
      <c r="N5" s="131">
        <f t="shared" si="0"/>
        <v>41845</v>
      </c>
      <c r="O5" s="131">
        <f t="shared" si="0"/>
        <v>41852</v>
      </c>
      <c r="P5" s="131">
        <f t="shared" si="0"/>
        <v>41859</v>
      </c>
      <c r="Q5" s="131">
        <f t="shared" si="0"/>
        <v>41824</v>
      </c>
      <c r="R5" s="131">
        <f t="shared" si="0"/>
        <v>41831</v>
      </c>
      <c r="S5" s="131">
        <f t="shared" si="0"/>
        <v>41838</v>
      </c>
      <c r="T5" s="131">
        <f t="shared" si="0"/>
        <v>41845</v>
      </c>
      <c r="U5" s="131">
        <f t="shared" si="0"/>
        <v>41852</v>
      </c>
      <c r="V5" s="132">
        <f t="shared" si="0"/>
        <v>41859</v>
      </c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</row>
    <row r="6" spans="2:35" s="122" customFormat="1" ht="24" customHeight="1" thickBot="1" x14ac:dyDescent="0.3">
      <c r="C6" s="123"/>
      <c r="D6" s="123"/>
      <c r="E6" s="123"/>
      <c r="F6" s="123"/>
      <c r="G6" s="123"/>
      <c r="H6" s="123"/>
      <c r="I6" s="123"/>
      <c r="K6" s="133">
        <v>1</v>
      </c>
      <c r="L6" s="134">
        <v>2</v>
      </c>
      <c r="M6" s="134">
        <v>3</v>
      </c>
      <c r="N6" s="134">
        <v>4</v>
      </c>
      <c r="O6" s="134">
        <v>5</v>
      </c>
      <c r="P6" s="134">
        <v>6</v>
      </c>
      <c r="Q6" s="134">
        <v>1</v>
      </c>
      <c r="R6" s="134">
        <v>2</v>
      </c>
      <c r="S6" s="134">
        <v>3</v>
      </c>
      <c r="T6" s="134">
        <v>4</v>
      </c>
      <c r="U6" s="134">
        <v>5</v>
      </c>
      <c r="V6" s="135">
        <v>6</v>
      </c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</row>
    <row r="7" spans="2:35" ht="43.5" customHeight="1" thickBot="1" x14ac:dyDescent="0.3">
      <c r="B7" s="136" t="s">
        <v>295</v>
      </c>
      <c r="C7" s="137" t="s">
        <v>307</v>
      </c>
      <c r="D7" s="138" t="s">
        <v>318</v>
      </c>
      <c r="E7" s="138" t="s">
        <v>318</v>
      </c>
      <c r="F7" s="138" t="s">
        <v>318</v>
      </c>
      <c r="G7" s="138" t="s">
        <v>318</v>
      </c>
      <c r="H7" s="138" t="s">
        <v>318</v>
      </c>
      <c r="I7" s="138" t="s">
        <v>318</v>
      </c>
      <c r="J7" s="138" t="s">
        <v>264</v>
      </c>
      <c r="K7" s="139" t="s">
        <v>265</v>
      </c>
      <c r="L7" s="140" t="s">
        <v>265</v>
      </c>
      <c r="M7" s="140" t="s">
        <v>265</v>
      </c>
      <c r="N7" s="140" t="s">
        <v>265</v>
      </c>
      <c r="O7" s="140" t="s">
        <v>265</v>
      </c>
      <c r="P7" s="140" t="s">
        <v>265</v>
      </c>
      <c r="Q7" s="140" t="s">
        <v>300</v>
      </c>
      <c r="R7" s="140" t="s">
        <v>300</v>
      </c>
      <c r="S7" s="140" t="s">
        <v>300</v>
      </c>
      <c r="T7" s="140" t="s">
        <v>300</v>
      </c>
      <c r="U7" s="140" t="s">
        <v>300</v>
      </c>
      <c r="V7" s="141" t="s">
        <v>300</v>
      </c>
      <c r="X7" s="71" t="s">
        <v>265</v>
      </c>
      <c r="Y7" s="72" t="s">
        <v>265</v>
      </c>
      <c r="Z7" s="72" t="s">
        <v>265</v>
      </c>
      <c r="AA7" s="72" t="s">
        <v>265</v>
      </c>
      <c r="AB7" s="72" t="s">
        <v>265</v>
      </c>
      <c r="AC7" s="72" t="s">
        <v>265</v>
      </c>
      <c r="AD7" s="72" t="s">
        <v>300</v>
      </c>
      <c r="AE7" s="72" t="s">
        <v>300</v>
      </c>
      <c r="AF7" s="72" t="s">
        <v>300</v>
      </c>
      <c r="AG7" s="72" t="s">
        <v>300</v>
      </c>
      <c r="AH7" s="72" t="s">
        <v>300</v>
      </c>
      <c r="AI7" s="73" t="s">
        <v>300</v>
      </c>
    </row>
    <row r="8" spans="2:35" s="74" customFormat="1" ht="26.25" customHeight="1" x14ac:dyDescent="0.25">
      <c r="B8" s="142" t="s">
        <v>78</v>
      </c>
      <c r="C8" s="143">
        <v>1</v>
      </c>
      <c r="D8" s="144">
        <v>0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258">
        <v>6.2414513541796</v>
      </c>
      <c r="K8" s="146">
        <f>VLOOKUP($C8,Prevs!$C$7:$I$279,2,FALSE)-IFERROR(VLOOKUP($E8,Prevs!$C$7:$I$279,2,FALSE),0)-IFERROR(VLOOKUP($D8,Prevs!$C$7:$I$279,2,FALSE),0)-IFERROR(VLOOKUP($G8,Prevs!$C$7:$I$279,2,FALSE),0)-IFERROR(VLOOKUP($H8,Prevs!$C$7:$I$279,2,FALSE),0)-IFERROR(VLOOKUP($I8,Prevs!$C$7:$I$279,2,FALSE),0)-IFERROR(VLOOKUP($F8,Prevs!$C$7:$I$279,2,FALSE),0)</f>
        <v>37</v>
      </c>
      <c r="L8" s="143">
        <f>VLOOKUP($C8,Prevs!$C$7:$I$279,3,FALSE)-IFERROR(VLOOKUP($E8,Prevs!$C$7:$I$279,3,FALSE),0)-IFERROR(VLOOKUP($D8,Prevs!$C$7:$I$279,3,FALSE),0)-IFERROR(VLOOKUP($G8,Prevs!$C$7:$I$279,3,FALSE),0)-IFERROR(VLOOKUP($H8,Prevs!$C$7:$I$279,3,FALSE),0)-IFERROR(VLOOKUP($I8,Prevs!$C$7:$I$279,3,FALSE),0)-IFERROR(VLOOKUP($F8,Prevs!$C$7:$I$279,3,FALSE),0)</f>
        <v>35</v>
      </c>
      <c r="M8" s="143">
        <f>VLOOKUP($C8,Prevs!$C$7:$I$279,4,FALSE)-IFERROR(VLOOKUP($E8,Prevs!$C$7:$I$279,4,FALSE),0)-IFERROR(VLOOKUP($D8,Prevs!$C$7:$I$279,4,FALSE),0)-IFERROR(VLOOKUP($G8,Prevs!$C$7:$I$279,4,FALSE),0)-IFERROR(VLOOKUP($H8,Prevs!$C$7:$I$279,4,FALSE),0)-IFERROR(VLOOKUP($I8,Prevs!$C$7:$I$279,4,FALSE),0)-IFERROR(VLOOKUP($F8,Prevs!$C$7:$I$279,4,FALSE),0)</f>
        <v>35</v>
      </c>
      <c r="N8" s="143">
        <f>VLOOKUP($C8,Prevs!$C$7:$I$279,5,FALSE)-IFERROR(VLOOKUP($E8,Prevs!$C$7:$I$279,5,FALSE),0)-IFERROR(VLOOKUP($D8,Prevs!$C$7:$I$279,5,FALSE),0)-IFERROR(VLOOKUP($G8,Prevs!$C$7:$I$279,5,FALSE),0)-IFERROR(VLOOKUP($H8,Prevs!$C$7:$I$279,5,FALSE),0)-IFERROR(VLOOKUP($I8,Prevs!$C$7:$I$279,5,FALSE),0)-IFERROR(VLOOKUP($F8,Prevs!$C$7:$I$279,5,FALSE),0)</f>
        <v>35</v>
      </c>
      <c r="O8" s="143">
        <f>VLOOKUP($C8,Prevs!$C$7:$I$279,6,FALSE)-IFERROR(VLOOKUP($E8,Prevs!$C$7:$I$279,6,FALSE),0)-IFERROR(VLOOKUP($D8,Prevs!$C$7:$I$279,6,FALSE),0)-IFERROR(VLOOKUP($G8,Prevs!$C$7:$I$279,6,FALSE),0)-IFERROR(VLOOKUP($H8,Prevs!$C$7:$I$279,6,FALSE),0)-IFERROR(VLOOKUP($I8,Prevs!$C$7:$I$279,6,FALSE),0)-IFERROR(VLOOKUP($F8,Prevs!$C$7:$I$279,6,FALSE),0)</f>
        <v>34</v>
      </c>
      <c r="P8" s="147">
        <f>VLOOKUP($C8,Prevs!$C$7:$I$279,7,FALSE)-IFERROR(VLOOKUP($E8,Prevs!$C$7:$I$279,7,FALSE),0)-IFERROR(VLOOKUP($D8,Prevs!$C$7:$I$279,7,FALSE),0)-IFERROR(VLOOKUP($G8,Prevs!$C$7:$I$279,7,FALSE),0)-IFERROR(VLOOKUP($H8,Prevs!$C$7:$I$279,7,FALSE),0)-IFERROR(VLOOKUP($I8,Prevs!$C$7:$I$279,7,FALSE),0)-IFERROR(VLOOKUP($F8,Prevs!$C$7:$I$279,7,FALSE),0)</f>
        <v>34</v>
      </c>
      <c r="Q8" s="278">
        <f t="shared" ref="Q8:V8" si="1">K8*$J8</f>
        <v>230.9337001046452</v>
      </c>
      <c r="R8" s="269">
        <f t="shared" si="1"/>
        <v>218.45079739628599</v>
      </c>
      <c r="S8" s="269">
        <f t="shared" si="1"/>
        <v>218.45079739628599</v>
      </c>
      <c r="T8" s="269">
        <f t="shared" si="1"/>
        <v>218.45079739628599</v>
      </c>
      <c r="U8" s="269">
        <f t="shared" si="1"/>
        <v>212.2093460421064</v>
      </c>
      <c r="V8" s="270">
        <f t="shared" si="1"/>
        <v>212.2093460421064</v>
      </c>
      <c r="X8" s="77"/>
      <c r="Y8" s="76"/>
      <c r="Z8" s="76"/>
      <c r="AA8" s="76"/>
      <c r="AB8" s="76"/>
      <c r="AC8" s="78"/>
      <c r="AD8" s="79"/>
      <c r="AE8" s="76"/>
      <c r="AF8" s="76"/>
      <c r="AG8" s="76"/>
      <c r="AH8" s="76"/>
      <c r="AI8" s="78"/>
    </row>
    <row r="9" spans="2:35" s="74" customFormat="1" ht="26.25" customHeight="1" x14ac:dyDescent="0.25">
      <c r="B9" s="151" t="s">
        <v>79</v>
      </c>
      <c r="C9" s="81">
        <v>2</v>
      </c>
      <c r="D9" s="92">
        <v>1</v>
      </c>
      <c r="E9" s="92">
        <v>0</v>
      </c>
      <c r="F9" s="92">
        <v>0</v>
      </c>
      <c r="G9" s="92">
        <v>0</v>
      </c>
      <c r="H9" s="92">
        <v>0</v>
      </c>
      <c r="I9" s="92">
        <v>0</v>
      </c>
      <c r="J9" s="259">
        <v>6.0443468256643396</v>
      </c>
      <c r="K9" s="83">
        <f>VLOOKUP($C9,Prevs!$C$7:$I$279,2,FALSE)-IFERROR(VLOOKUP($E9,Prevs!$C$7:$I$279,2,FALSE),0)-IFERROR(VLOOKUP($D9,Prevs!$C$7:$I$279,2,FALSE),0)-IFERROR(VLOOKUP($G9,Prevs!$C$7:$I$279,2,FALSE),0)-IFERROR(VLOOKUP($H9,Prevs!$C$7:$I$279,2,FALSE),0)-IFERROR(VLOOKUP($I9,Prevs!$C$7:$I$279,2,FALSE),0)-IFERROR(VLOOKUP($F9,Prevs!$C$7:$I$279,2,FALSE),0)</f>
        <v>0</v>
      </c>
      <c r="L9" s="81">
        <f>VLOOKUP($C9,Prevs!$C$7:$I$279,3,FALSE)-IFERROR(VLOOKUP($E9,Prevs!$C$7:$I$279,3,FALSE),0)-IFERROR(VLOOKUP($D9,Prevs!$C$7:$I$279,3,FALSE),0)-IFERROR(VLOOKUP($G9,Prevs!$C$7:$I$279,3,FALSE),0)-IFERROR(VLOOKUP($H9,Prevs!$C$7:$I$279,3,FALSE),0)-IFERROR(VLOOKUP($I9,Prevs!$C$7:$I$279,3,FALSE),0)-IFERROR(VLOOKUP($F9,Prevs!$C$7:$I$279,3,FALSE),0)</f>
        <v>0</v>
      </c>
      <c r="M9" s="81">
        <f>VLOOKUP($C9,Prevs!$C$7:$I$279,4,FALSE)-IFERROR(VLOOKUP($E9,Prevs!$C$7:$I$279,4,FALSE),0)-IFERROR(VLOOKUP($D9,Prevs!$C$7:$I$279,4,FALSE),0)-IFERROR(VLOOKUP($G9,Prevs!$C$7:$I$279,4,FALSE),0)-IFERROR(VLOOKUP($H9,Prevs!$C$7:$I$279,4,FALSE),0)-IFERROR(VLOOKUP($I9,Prevs!$C$7:$I$279,4,FALSE),0)-IFERROR(VLOOKUP($F9,Prevs!$C$7:$I$279,4,FALSE),0)</f>
        <v>0</v>
      </c>
      <c r="N9" s="81">
        <f>VLOOKUP($C9,Prevs!$C$7:$I$279,5,FALSE)-IFERROR(VLOOKUP($E9,Prevs!$C$7:$I$279,5,FALSE),0)-IFERROR(VLOOKUP($D9,Prevs!$C$7:$I$279,5,FALSE),0)-IFERROR(VLOOKUP($G9,Prevs!$C$7:$I$279,5,FALSE),0)-IFERROR(VLOOKUP($H9,Prevs!$C$7:$I$279,5,FALSE),0)-IFERROR(VLOOKUP($I9,Prevs!$C$7:$I$279,5,FALSE),0)-IFERROR(VLOOKUP($F9,Prevs!$C$7:$I$279,5,FALSE),0)</f>
        <v>0</v>
      </c>
      <c r="O9" s="81">
        <f>VLOOKUP($C9,Prevs!$C$7:$I$279,6,FALSE)-IFERROR(VLOOKUP($E9,Prevs!$C$7:$I$279,6,FALSE),0)-IFERROR(VLOOKUP($D9,Prevs!$C$7:$I$279,6,FALSE),0)-IFERROR(VLOOKUP($G9,Prevs!$C$7:$I$279,6,FALSE),0)-IFERROR(VLOOKUP($H9,Prevs!$C$7:$I$279,6,FALSE),0)-IFERROR(VLOOKUP($I9,Prevs!$C$7:$I$279,6,FALSE),0)-IFERROR(VLOOKUP($F9,Prevs!$C$7:$I$279,6,FALSE),0)</f>
        <v>0</v>
      </c>
      <c r="P9" s="84">
        <f>VLOOKUP($C9,Prevs!$C$7:$I$279,7,FALSE)-IFERROR(VLOOKUP($E9,Prevs!$C$7:$I$279,7,FALSE),0)-IFERROR(VLOOKUP($D9,Prevs!$C$7:$I$279,7,FALSE),0)-IFERROR(VLOOKUP($G9,Prevs!$C$7:$I$279,7,FALSE),0)-IFERROR(VLOOKUP($H9,Prevs!$C$7:$I$279,7,FALSE),0)-IFERROR(VLOOKUP($I9,Prevs!$C$7:$I$279,7,FALSE),0)-IFERROR(VLOOKUP($F9,Prevs!$C$7:$I$279,7,FALSE),0)</f>
        <v>0</v>
      </c>
      <c r="Q9" s="279">
        <f t="shared" ref="Q9:Q72" si="2">K9*$J9</f>
        <v>0</v>
      </c>
      <c r="R9" s="271">
        <f t="shared" ref="R9:R72" si="3">L9*$J9</f>
        <v>0</v>
      </c>
      <c r="S9" s="271">
        <f t="shared" ref="S9:S72" si="4">M9*$J9</f>
        <v>0</v>
      </c>
      <c r="T9" s="271">
        <f t="shared" ref="T9:T72" si="5">N9*$J9</f>
        <v>0</v>
      </c>
      <c r="U9" s="271">
        <f t="shared" ref="U9:U72" si="6">O9*$J9</f>
        <v>0</v>
      </c>
      <c r="V9" s="272">
        <f t="shared" ref="V9:V72" si="7">P9*$J9</f>
        <v>0</v>
      </c>
      <c r="X9" s="83"/>
      <c r="Y9" s="81"/>
      <c r="Z9" s="81"/>
      <c r="AA9" s="81"/>
      <c r="AB9" s="81"/>
      <c r="AC9" s="84"/>
      <c r="AD9" s="85"/>
      <c r="AE9" s="81"/>
      <c r="AF9" s="81"/>
      <c r="AG9" s="81"/>
      <c r="AH9" s="81"/>
      <c r="AI9" s="84"/>
    </row>
    <row r="10" spans="2:35" s="74" customFormat="1" ht="26.25" customHeight="1" x14ac:dyDescent="0.25">
      <c r="B10" s="151" t="s">
        <v>80</v>
      </c>
      <c r="C10" s="81">
        <v>211</v>
      </c>
      <c r="D10" s="92">
        <v>2</v>
      </c>
      <c r="E10" s="92">
        <v>0</v>
      </c>
      <c r="F10" s="92">
        <v>0</v>
      </c>
      <c r="G10" s="92">
        <v>0</v>
      </c>
      <c r="H10" s="92">
        <v>0</v>
      </c>
      <c r="I10" s="92">
        <v>0</v>
      </c>
      <c r="J10" s="259">
        <v>5.7996609540673401</v>
      </c>
      <c r="K10" s="83">
        <f>VLOOKUP($C10,Prevs!$C$7:$I$279,2,FALSE)-IFERROR(VLOOKUP($E10,Prevs!$C$7:$I$279,2,FALSE),0)-IFERROR(VLOOKUP($D10,Prevs!$C$7:$I$279,2,FALSE),0)-IFERROR(VLOOKUP($G10,Prevs!$C$7:$I$279,2,FALSE),0)-IFERROR(VLOOKUP($H10,Prevs!$C$7:$I$279,2,FALSE),0)-IFERROR(VLOOKUP($I10,Prevs!$C$7:$I$279,2,FALSE),0)-IFERROR(VLOOKUP($F10,Prevs!$C$7:$I$279,2,FALSE),0)</f>
        <v>48</v>
      </c>
      <c r="L10" s="81">
        <f>VLOOKUP($C10,Prevs!$C$7:$I$279,3,FALSE)-IFERROR(VLOOKUP($E10,Prevs!$C$7:$I$279,3,FALSE),0)-IFERROR(VLOOKUP($D10,Prevs!$C$7:$I$279,3,FALSE),0)-IFERROR(VLOOKUP($G10,Prevs!$C$7:$I$279,3,FALSE),0)-IFERROR(VLOOKUP($H10,Prevs!$C$7:$I$279,3,FALSE),0)-IFERROR(VLOOKUP($I10,Prevs!$C$7:$I$279,3,FALSE),0)-IFERROR(VLOOKUP($F10,Prevs!$C$7:$I$279,3,FALSE),0)</f>
        <v>49</v>
      </c>
      <c r="M10" s="81">
        <f>VLOOKUP($C10,Prevs!$C$7:$I$279,4,FALSE)-IFERROR(VLOOKUP($E10,Prevs!$C$7:$I$279,4,FALSE),0)-IFERROR(VLOOKUP($D10,Prevs!$C$7:$I$279,4,FALSE),0)-IFERROR(VLOOKUP($G10,Prevs!$C$7:$I$279,4,FALSE),0)-IFERROR(VLOOKUP($H10,Prevs!$C$7:$I$279,4,FALSE),0)-IFERROR(VLOOKUP($I10,Prevs!$C$7:$I$279,4,FALSE),0)-IFERROR(VLOOKUP($F10,Prevs!$C$7:$I$279,4,FALSE),0)</f>
        <v>50</v>
      </c>
      <c r="N10" s="81">
        <f>VLOOKUP($C10,Prevs!$C$7:$I$279,5,FALSE)-IFERROR(VLOOKUP($E10,Prevs!$C$7:$I$279,5,FALSE),0)-IFERROR(VLOOKUP($D10,Prevs!$C$7:$I$279,5,FALSE),0)-IFERROR(VLOOKUP($G10,Prevs!$C$7:$I$279,5,FALSE),0)-IFERROR(VLOOKUP($H10,Prevs!$C$7:$I$279,5,FALSE),0)-IFERROR(VLOOKUP($I10,Prevs!$C$7:$I$279,5,FALSE),0)-IFERROR(VLOOKUP($F10,Prevs!$C$7:$I$279,5,FALSE),0)</f>
        <v>54</v>
      </c>
      <c r="O10" s="81">
        <f>VLOOKUP($C10,Prevs!$C$7:$I$279,6,FALSE)-IFERROR(VLOOKUP($E10,Prevs!$C$7:$I$279,6,FALSE),0)-IFERROR(VLOOKUP($D10,Prevs!$C$7:$I$279,6,FALSE),0)-IFERROR(VLOOKUP($G10,Prevs!$C$7:$I$279,6,FALSE),0)-IFERROR(VLOOKUP($H10,Prevs!$C$7:$I$279,6,FALSE),0)-IFERROR(VLOOKUP($I10,Prevs!$C$7:$I$279,6,FALSE),0)-IFERROR(VLOOKUP($F10,Prevs!$C$7:$I$279,6,FALSE),0)</f>
        <v>45</v>
      </c>
      <c r="P10" s="84">
        <f>VLOOKUP($C10,Prevs!$C$7:$I$279,7,FALSE)-IFERROR(VLOOKUP($E10,Prevs!$C$7:$I$279,7,FALSE),0)-IFERROR(VLOOKUP($D10,Prevs!$C$7:$I$279,7,FALSE),0)-IFERROR(VLOOKUP($G10,Prevs!$C$7:$I$279,7,FALSE),0)-IFERROR(VLOOKUP($H10,Prevs!$C$7:$I$279,7,FALSE),0)-IFERROR(VLOOKUP($I10,Prevs!$C$7:$I$279,7,FALSE),0)-IFERROR(VLOOKUP($F10,Prevs!$C$7:$I$279,7,FALSE),0)</f>
        <v>43</v>
      </c>
      <c r="Q10" s="279">
        <f t="shared" si="2"/>
        <v>278.38372579523229</v>
      </c>
      <c r="R10" s="271">
        <f t="shared" si="3"/>
        <v>284.18338674929964</v>
      </c>
      <c r="S10" s="271">
        <f t="shared" si="4"/>
        <v>289.98304770336699</v>
      </c>
      <c r="T10" s="271">
        <f t="shared" si="5"/>
        <v>313.18169151963639</v>
      </c>
      <c r="U10" s="271">
        <f t="shared" si="6"/>
        <v>260.9847429330303</v>
      </c>
      <c r="V10" s="272">
        <f t="shared" si="7"/>
        <v>249.38542102489563</v>
      </c>
      <c r="X10" s="83"/>
      <c r="Y10" s="81"/>
      <c r="Z10" s="81"/>
      <c r="AA10" s="81"/>
      <c r="AB10" s="81"/>
      <c r="AC10" s="84"/>
      <c r="AD10" s="85"/>
      <c r="AE10" s="81"/>
      <c r="AF10" s="81"/>
      <c r="AG10" s="81"/>
      <c r="AH10" s="81"/>
      <c r="AI10" s="84"/>
    </row>
    <row r="11" spans="2:35" s="74" customFormat="1" ht="26.25" customHeight="1" x14ac:dyDescent="0.25">
      <c r="B11" s="151" t="s">
        <v>59</v>
      </c>
      <c r="C11" s="81">
        <v>24</v>
      </c>
      <c r="D11" s="92">
        <v>251</v>
      </c>
      <c r="E11" s="92">
        <v>20</v>
      </c>
      <c r="F11" s="92">
        <v>0</v>
      </c>
      <c r="G11" s="92">
        <v>0</v>
      </c>
      <c r="H11" s="92">
        <v>0</v>
      </c>
      <c r="I11" s="92">
        <v>0</v>
      </c>
      <c r="J11" s="259">
        <v>4.5028085445980901</v>
      </c>
      <c r="K11" s="83">
        <f>VLOOKUP($C11,Prevs!$C$7:$I$279,2,FALSE)-IFERROR(VLOOKUP($E11,Prevs!$C$7:$I$279,2,FALSE),0)-IFERROR(VLOOKUP($D11,Prevs!$C$7:$I$279,2,FALSE),0)-IFERROR(VLOOKUP($G11,Prevs!$C$7:$I$279,2,FALSE),0)-IFERROR(VLOOKUP($H11,Prevs!$C$7:$I$279,2,FALSE),0)-IFERROR(VLOOKUP($I11,Prevs!$C$7:$I$279,2,FALSE),0)-IFERROR(VLOOKUP($F11,Prevs!$C$7:$I$279,2,FALSE),0)</f>
        <v>83</v>
      </c>
      <c r="L11" s="81">
        <f>VLOOKUP($C11,Prevs!$C$7:$I$279,3,FALSE)-IFERROR(VLOOKUP($E11,Prevs!$C$7:$I$279,3,FALSE),0)-IFERROR(VLOOKUP($D11,Prevs!$C$7:$I$279,3,FALSE),0)-IFERROR(VLOOKUP($G11,Prevs!$C$7:$I$279,3,FALSE),0)-IFERROR(VLOOKUP($H11,Prevs!$C$7:$I$279,3,FALSE),0)-IFERROR(VLOOKUP($I11,Prevs!$C$7:$I$279,3,FALSE),0)-IFERROR(VLOOKUP($F11,Prevs!$C$7:$I$279,3,FALSE),0)</f>
        <v>94</v>
      </c>
      <c r="M11" s="81">
        <f>VLOOKUP($C11,Prevs!$C$7:$I$279,4,FALSE)-IFERROR(VLOOKUP($E11,Prevs!$C$7:$I$279,4,FALSE),0)-IFERROR(VLOOKUP($D11,Prevs!$C$7:$I$279,4,FALSE),0)-IFERROR(VLOOKUP($G11,Prevs!$C$7:$I$279,4,FALSE),0)-IFERROR(VLOOKUP($H11,Prevs!$C$7:$I$279,4,FALSE),0)-IFERROR(VLOOKUP($I11,Prevs!$C$7:$I$279,4,FALSE),0)-IFERROR(VLOOKUP($F11,Prevs!$C$7:$I$279,4,FALSE),0)</f>
        <v>90</v>
      </c>
      <c r="N11" s="81">
        <f>VLOOKUP($C11,Prevs!$C$7:$I$279,5,FALSE)-IFERROR(VLOOKUP($E11,Prevs!$C$7:$I$279,5,FALSE),0)-IFERROR(VLOOKUP($D11,Prevs!$C$7:$I$279,5,FALSE),0)-IFERROR(VLOOKUP($G11,Prevs!$C$7:$I$279,5,FALSE),0)-IFERROR(VLOOKUP($H11,Prevs!$C$7:$I$279,5,FALSE),0)-IFERROR(VLOOKUP($I11,Prevs!$C$7:$I$279,5,FALSE),0)-IFERROR(VLOOKUP($F11,Prevs!$C$7:$I$279,5,FALSE),0)</f>
        <v>83</v>
      </c>
      <c r="O11" s="81">
        <f>VLOOKUP($C11,Prevs!$C$7:$I$279,6,FALSE)-IFERROR(VLOOKUP($E11,Prevs!$C$7:$I$279,6,FALSE),0)-IFERROR(VLOOKUP($D11,Prevs!$C$7:$I$279,6,FALSE),0)-IFERROR(VLOOKUP($G11,Prevs!$C$7:$I$279,6,FALSE),0)-IFERROR(VLOOKUP($H11,Prevs!$C$7:$I$279,6,FALSE),0)-IFERROR(VLOOKUP($I11,Prevs!$C$7:$I$279,6,FALSE),0)-IFERROR(VLOOKUP($F11,Prevs!$C$7:$I$279,6,FALSE),0)</f>
        <v>86</v>
      </c>
      <c r="P11" s="84">
        <f>VLOOKUP($C11,Prevs!$C$7:$I$279,7,FALSE)-IFERROR(VLOOKUP($E11,Prevs!$C$7:$I$279,7,FALSE),0)-IFERROR(VLOOKUP($D11,Prevs!$C$7:$I$279,7,FALSE),0)-IFERROR(VLOOKUP($G11,Prevs!$C$7:$I$279,7,FALSE),0)-IFERROR(VLOOKUP($H11,Prevs!$C$7:$I$279,7,FALSE),0)-IFERROR(VLOOKUP($I11,Prevs!$C$7:$I$279,7,FALSE),0)-IFERROR(VLOOKUP($F11,Prevs!$C$7:$I$279,7,FALSE),0)</f>
        <v>84</v>
      </c>
      <c r="Q11" s="279">
        <f t="shared" si="2"/>
        <v>373.73310920164147</v>
      </c>
      <c r="R11" s="271">
        <f t="shared" si="3"/>
        <v>423.26400319222046</v>
      </c>
      <c r="S11" s="271">
        <f t="shared" si="4"/>
        <v>405.25276901382813</v>
      </c>
      <c r="T11" s="271">
        <f t="shared" si="5"/>
        <v>373.73310920164147</v>
      </c>
      <c r="U11" s="271">
        <f t="shared" si="6"/>
        <v>387.24153483543574</v>
      </c>
      <c r="V11" s="272">
        <f t="shared" si="7"/>
        <v>378.23591774623958</v>
      </c>
      <c r="X11" s="83"/>
      <c r="Y11" s="81"/>
      <c r="Z11" s="81"/>
      <c r="AA11" s="81"/>
      <c r="AB11" s="81"/>
      <c r="AC11" s="84"/>
      <c r="AD11" s="85"/>
      <c r="AE11" s="81"/>
      <c r="AF11" s="81"/>
      <c r="AG11" s="81"/>
      <c r="AH11" s="81"/>
      <c r="AI11" s="84"/>
    </row>
    <row r="12" spans="2:35" s="74" customFormat="1" ht="26.25" customHeight="1" x14ac:dyDescent="0.25">
      <c r="B12" s="151" t="s">
        <v>328</v>
      </c>
      <c r="C12" s="81">
        <v>207</v>
      </c>
      <c r="D12" s="92">
        <v>206</v>
      </c>
      <c r="E12" s="92">
        <v>0</v>
      </c>
      <c r="F12" s="92">
        <v>0</v>
      </c>
      <c r="G12" s="92">
        <v>0</v>
      </c>
      <c r="H12" s="92">
        <v>0</v>
      </c>
      <c r="I12" s="92">
        <v>0</v>
      </c>
      <c r="J12" s="259">
        <v>4.3054541957665098</v>
      </c>
      <c r="K12" s="83">
        <f>VLOOKUP($C12,Prevs!$C$7:$I$279,2,FALSE)-IFERROR(VLOOKUP($E12,Prevs!$C$7:$I$279,2,FALSE),0)-IFERROR(VLOOKUP($D12,Prevs!$C$7:$I$279,2,FALSE),0)-IFERROR(VLOOKUP($G12,Prevs!$C$7:$I$279,2,FALSE),0)-IFERROR(VLOOKUP($H12,Prevs!$C$7:$I$279,2,FALSE),0)-IFERROR(VLOOKUP($I12,Prevs!$C$7:$I$279,2,FALSE),0)-IFERROR(VLOOKUP($F12,Prevs!$C$7:$I$279,2,FALSE),0)</f>
        <v>1</v>
      </c>
      <c r="L12" s="81">
        <f>VLOOKUP($C12,Prevs!$C$7:$I$279,3,FALSE)-IFERROR(VLOOKUP($E12,Prevs!$C$7:$I$279,3,FALSE),0)-IFERROR(VLOOKUP($D12,Prevs!$C$7:$I$279,3,FALSE),0)-IFERROR(VLOOKUP($G12,Prevs!$C$7:$I$279,3,FALSE),0)-IFERROR(VLOOKUP($H12,Prevs!$C$7:$I$279,3,FALSE),0)-IFERROR(VLOOKUP($I12,Prevs!$C$7:$I$279,3,FALSE),0)-IFERROR(VLOOKUP($F12,Prevs!$C$7:$I$279,3,FALSE),0)</f>
        <v>3</v>
      </c>
      <c r="M12" s="81">
        <f>VLOOKUP($C12,Prevs!$C$7:$I$279,4,FALSE)-IFERROR(VLOOKUP($E12,Prevs!$C$7:$I$279,4,FALSE),0)-IFERROR(VLOOKUP($D12,Prevs!$C$7:$I$279,4,FALSE),0)-IFERROR(VLOOKUP($G12,Prevs!$C$7:$I$279,4,FALSE),0)-IFERROR(VLOOKUP($H12,Prevs!$C$7:$I$279,4,FALSE),0)-IFERROR(VLOOKUP($I12,Prevs!$C$7:$I$279,4,FALSE),0)-IFERROR(VLOOKUP($F12,Prevs!$C$7:$I$279,4,FALSE),0)</f>
        <v>3</v>
      </c>
      <c r="N12" s="81">
        <f>VLOOKUP($C12,Prevs!$C$7:$I$279,5,FALSE)-IFERROR(VLOOKUP($E12,Prevs!$C$7:$I$279,5,FALSE),0)-IFERROR(VLOOKUP($D12,Prevs!$C$7:$I$279,5,FALSE),0)-IFERROR(VLOOKUP($G12,Prevs!$C$7:$I$279,5,FALSE),0)-IFERROR(VLOOKUP($H12,Prevs!$C$7:$I$279,5,FALSE),0)-IFERROR(VLOOKUP($I12,Prevs!$C$7:$I$279,5,FALSE),0)-IFERROR(VLOOKUP($F12,Prevs!$C$7:$I$279,5,FALSE),0)</f>
        <v>3</v>
      </c>
      <c r="O12" s="81">
        <f>VLOOKUP($C12,Prevs!$C$7:$I$279,6,FALSE)-IFERROR(VLOOKUP($E12,Prevs!$C$7:$I$279,6,FALSE),0)-IFERROR(VLOOKUP($D12,Prevs!$C$7:$I$279,6,FALSE),0)-IFERROR(VLOOKUP($G12,Prevs!$C$7:$I$279,6,FALSE),0)-IFERROR(VLOOKUP($H12,Prevs!$C$7:$I$279,6,FALSE),0)-IFERROR(VLOOKUP($I12,Prevs!$C$7:$I$279,6,FALSE),0)-IFERROR(VLOOKUP($F12,Prevs!$C$7:$I$279,6,FALSE),0)</f>
        <v>2</v>
      </c>
      <c r="P12" s="84">
        <f>VLOOKUP($C12,Prevs!$C$7:$I$279,7,FALSE)-IFERROR(VLOOKUP($E12,Prevs!$C$7:$I$279,7,FALSE),0)-IFERROR(VLOOKUP($D12,Prevs!$C$7:$I$279,7,FALSE),0)-IFERROR(VLOOKUP($G12,Prevs!$C$7:$I$279,7,FALSE),0)-IFERROR(VLOOKUP($H12,Prevs!$C$7:$I$279,7,FALSE),0)-IFERROR(VLOOKUP($I12,Prevs!$C$7:$I$279,7,FALSE),0)-IFERROR(VLOOKUP($F12,Prevs!$C$7:$I$279,7,FALSE),0)</f>
        <v>3</v>
      </c>
      <c r="Q12" s="279">
        <f t="shared" si="2"/>
        <v>4.3054541957665098</v>
      </c>
      <c r="R12" s="271">
        <f t="shared" si="3"/>
        <v>12.916362587299529</v>
      </c>
      <c r="S12" s="271">
        <f t="shared" si="4"/>
        <v>12.916362587299529</v>
      </c>
      <c r="T12" s="271">
        <f t="shared" si="5"/>
        <v>12.916362587299529</v>
      </c>
      <c r="U12" s="271">
        <f t="shared" si="6"/>
        <v>8.6109083915330196</v>
      </c>
      <c r="V12" s="272">
        <f t="shared" si="7"/>
        <v>12.916362587299529</v>
      </c>
      <c r="X12" s="83"/>
      <c r="Y12" s="81"/>
      <c r="Z12" s="81"/>
      <c r="AA12" s="81"/>
      <c r="AB12" s="81"/>
      <c r="AC12" s="84"/>
      <c r="AD12" s="85"/>
      <c r="AE12" s="81"/>
      <c r="AF12" s="81"/>
      <c r="AG12" s="81"/>
      <c r="AH12" s="81"/>
      <c r="AI12" s="84"/>
    </row>
    <row r="13" spans="2:35" s="74" customFormat="1" ht="26.25" customHeight="1" x14ac:dyDescent="0.25">
      <c r="B13" s="151" t="s">
        <v>329</v>
      </c>
      <c r="C13" s="81">
        <v>28</v>
      </c>
      <c r="D13" s="92">
        <v>207</v>
      </c>
      <c r="E13" s="92">
        <v>0</v>
      </c>
      <c r="F13" s="92">
        <v>0</v>
      </c>
      <c r="G13" s="92">
        <v>0</v>
      </c>
      <c r="H13" s="92">
        <v>0</v>
      </c>
      <c r="I13" s="92">
        <v>0</v>
      </c>
      <c r="J13" s="259">
        <v>3.80188179322966</v>
      </c>
      <c r="K13" s="83">
        <f>VLOOKUP($C13,Prevs!$C$7:$I$279,2,FALSE)-IFERROR(VLOOKUP($E13,Prevs!$C$7:$I$279,2,FALSE),0)-IFERROR(VLOOKUP($D13,Prevs!$C$7:$I$279,2,FALSE),0)-IFERROR(VLOOKUP($G13,Prevs!$C$7:$I$279,2,FALSE),0)-IFERROR(VLOOKUP($H13,Prevs!$C$7:$I$279,2,FALSE),0)-IFERROR(VLOOKUP($I13,Prevs!$C$7:$I$279,2,FALSE),0)-IFERROR(VLOOKUP($F13,Prevs!$C$7:$I$279,2,FALSE),0)</f>
        <v>1</v>
      </c>
      <c r="L13" s="81">
        <f>VLOOKUP($C13,Prevs!$C$7:$I$279,3,FALSE)-IFERROR(VLOOKUP($E13,Prevs!$C$7:$I$279,3,FALSE),0)-IFERROR(VLOOKUP($D13,Prevs!$C$7:$I$279,3,FALSE),0)-IFERROR(VLOOKUP($G13,Prevs!$C$7:$I$279,3,FALSE),0)-IFERROR(VLOOKUP($H13,Prevs!$C$7:$I$279,3,FALSE),0)-IFERROR(VLOOKUP($I13,Prevs!$C$7:$I$279,3,FALSE),0)-IFERROR(VLOOKUP($F13,Prevs!$C$7:$I$279,3,FALSE),0)</f>
        <v>6</v>
      </c>
      <c r="M13" s="81">
        <f>VLOOKUP($C13,Prevs!$C$7:$I$279,4,FALSE)-IFERROR(VLOOKUP($E13,Prevs!$C$7:$I$279,4,FALSE),0)-IFERROR(VLOOKUP($D13,Prevs!$C$7:$I$279,4,FALSE),0)-IFERROR(VLOOKUP($G13,Prevs!$C$7:$I$279,4,FALSE),0)-IFERROR(VLOOKUP($H13,Prevs!$C$7:$I$279,4,FALSE),0)-IFERROR(VLOOKUP($I13,Prevs!$C$7:$I$279,4,FALSE),0)-IFERROR(VLOOKUP($F13,Prevs!$C$7:$I$279,4,FALSE),0)</f>
        <v>6</v>
      </c>
      <c r="N13" s="81">
        <f>VLOOKUP($C13,Prevs!$C$7:$I$279,5,FALSE)-IFERROR(VLOOKUP($E13,Prevs!$C$7:$I$279,5,FALSE),0)-IFERROR(VLOOKUP($D13,Prevs!$C$7:$I$279,5,FALSE),0)-IFERROR(VLOOKUP($G13,Prevs!$C$7:$I$279,5,FALSE),0)-IFERROR(VLOOKUP($H13,Prevs!$C$7:$I$279,5,FALSE),0)-IFERROR(VLOOKUP($I13,Prevs!$C$7:$I$279,5,FALSE),0)-IFERROR(VLOOKUP($F13,Prevs!$C$7:$I$279,5,FALSE),0)</f>
        <v>5</v>
      </c>
      <c r="O13" s="81">
        <f>VLOOKUP($C13,Prevs!$C$7:$I$279,6,FALSE)-IFERROR(VLOOKUP($E13,Prevs!$C$7:$I$279,6,FALSE),0)-IFERROR(VLOOKUP($D13,Prevs!$C$7:$I$279,6,FALSE),0)-IFERROR(VLOOKUP($G13,Prevs!$C$7:$I$279,6,FALSE),0)-IFERROR(VLOOKUP($H13,Prevs!$C$7:$I$279,6,FALSE),0)-IFERROR(VLOOKUP($I13,Prevs!$C$7:$I$279,6,FALSE),0)-IFERROR(VLOOKUP($F13,Prevs!$C$7:$I$279,6,FALSE),0)</f>
        <v>6</v>
      </c>
      <c r="P13" s="84">
        <f>VLOOKUP($C13,Prevs!$C$7:$I$279,7,FALSE)-IFERROR(VLOOKUP($E13,Prevs!$C$7:$I$279,7,FALSE),0)-IFERROR(VLOOKUP($D13,Prevs!$C$7:$I$279,7,FALSE),0)-IFERROR(VLOOKUP($G13,Prevs!$C$7:$I$279,7,FALSE),0)-IFERROR(VLOOKUP($H13,Prevs!$C$7:$I$279,7,FALSE),0)-IFERROR(VLOOKUP($I13,Prevs!$C$7:$I$279,7,FALSE),0)-IFERROR(VLOOKUP($F13,Prevs!$C$7:$I$279,7,FALSE),0)</f>
        <v>7</v>
      </c>
      <c r="Q13" s="279">
        <f t="shared" si="2"/>
        <v>3.80188179322966</v>
      </c>
      <c r="R13" s="271">
        <f t="shared" si="3"/>
        <v>22.811290759377961</v>
      </c>
      <c r="S13" s="271">
        <f t="shared" si="4"/>
        <v>22.811290759377961</v>
      </c>
      <c r="T13" s="271">
        <f t="shared" si="5"/>
        <v>19.0094089661483</v>
      </c>
      <c r="U13" s="271">
        <f t="shared" si="6"/>
        <v>22.811290759377961</v>
      </c>
      <c r="V13" s="272">
        <f t="shared" si="7"/>
        <v>26.613172552607619</v>
      </c>
      <c r="X13" s="83"/>
      <c r="Y13" s="81"/>
      <c r="Z13" s="81"/>
      <c r="AA13" s="81"/>
      <c r="AB13" s="81"/>
      <c r="AC13" s="84"/>
      <c r="AD13" s="85"/>
      <c r="AE13" s="81"/>
      <c r="AF13" s="81"/>
      <c r="AG13" s="81"/>
      <c r="AH13" s="81"/>
      <c r="AI13" s="84"/>
    </row>
    <row r="14" spans="2:35" s="74" customFormat="1" ht="26.25" customHeight="1" x14ac:dyDescent="0.25">
      <c r="B14" s="151" t="s">
        <v>60</v>
      </c>
      <c r="C14" s="81">
        <v>25</v>
      </c>
      <c r="D14" s="92">
        <v>0</v>
      </c>
      <c r="E14" s="92">
        <v>0</v>
      </c>
      <c r="F14" s="92">
        <v>0</v>
      </c>
      <c r="G14" s="92">
        <v>0</v>
      </c>
      <c r="H14" s="92">
        <v>0</v>
      </c>
      <c r="I14" s="92">
        <v>0</v>
      </c>
      <c r="J14" s="259">
        <v>5.9222358773738097</v>
      </c>
      <c r="K14" s="83">
        <f>VLOOKUP($C14,Prevs!$C$7:$I$279,2,FALSE)-IFERROR(VLOOKUP($E14,Prevs!$C$7:$I$279,2,FALSE),0)-IFERROR(VLOOKUP($D14,Prevs!$C$7:$I$279,2,FALSE),0)-IFERROR(VLOOKUP($G14,Prevs!$C$7:$I$279,2,FALSE),0)-IFERROR(VLOOKUP($H14,Prevs!$C$7:$I$279,2,FALSE),0)-IFERROR(VLOOKUP($I14,Prevs!$C$7:$I$279,2,FALSE),0)-IFERROR(VLOOKUP($F14,Prevs!$C$7:$I$279,2,FALSE),0)</f>
        <v>89</v>
      </c>
      <c r="L14" s="81">
        <f>VLOOKUP($C14,Prevs!$C$7:$I$279,3,FALSE)-IFERROR(VLOOKUP($E14,Prevs!$C$7:$I$279,3,FALSE),0)-IFERROR(VLOOKUP($D14,Prevs!$C$7:$I$279,3,FALSE),0)-IFERROR(VLOOKUP($G14,Prevs!$C$7:$I$279,3,FALSE),0)-IFERROR(VLOOKUP($H14,Prevs!$C$7:$I$279,3,FALSE),0)-IFERROR(VLOOKUP($I14,Prevs!$C$7:$I$279,3,FALSE),0)-IFERROR(VLOOKUP($F14,Prevs!$C$7:$I$279,3,FALSE),0)</f>
        <v>90</v>
      </c>
      <c r="M14" s="81">
        <f>VLOOKUP($C14,Prevs!$C$7:$I$279,4,FALSE)-IFERROR(VLOOKUP($E14,Prevs!$C$7:$I$279,4,FALSE),0)-IFERROR(VLOOKUP($D14,Prevs!$C$7:$I$279,4,FALSE),0)-IFERROR(VLOOKUP($G14,Prevs!$C$7:$I$279,4,FALSE),0)-IFERROR(VLOOKUP($H14,Prevs!$C$7:$I$279,4,FALSE),0)-IFERROR(VLOOKUP($I14,Prevs!$C$7:$I$279,4,FALSE),0)-IFERROR(VLOOKUP($F14,Prevs!$C$7:$I$279,4,FALSE),0)</f>
        <v>91</v>
      </c>
      <c r="N14" s="81">
        <f>VLOOKUP($C14,Prevs!$C$7:$I$279,5,FALSE)-IFERROR(VLOOKUP($E14,Prevs!$C$7:$I$279,5,FALSE),0)-IFERROR(VLOOKUP($D14,Prevs!$C$7:$I$279,5,FALSE),0)-IFERROR(VLOOKUP($G14,Prevs!$C$7:$I$279,5,FALSE),0)-IFERROR(VLOOKUP($H14,Prevs!$C$7:$I$279,5,FALSE),0)-IFERROR(VLOOKUP($I14,Prevs!$C$7:$I$279,5,FALSE),0)-IFERROR(VLOOKUP($F14,Prevs!$C$7:$I$279,5,FALSE),0)</f>
        <v>81</v>
      </c>
      <c r="O14" s="81">
        <f>VLOOKUP($C14,Prevs!$C$7:$I$279,6,FALSE)-IFERROR(VLOOKUP($E14,Prevs!$C$7:$I$279,6,FALSE),0)-IFERROR(VLOOKUP($D14,Prevs!$C$7:$I$279,6,FALSE),0)-IFERROR(VLOOKUP($G14,Prevs!$C$7:$I$279,6,FALSE),0)-IFERROR(VLOOKUP($H14,Prevs!$C$7:$I$279,6,FALSE),0)-IFERROR(VLOOKUP($I14,Prevs!$C$7:$I$279,6,FALSE),0)-IFERROR(VLOOKUP($F14,Prevs!$C$7:$I$279,6,FALSE),0)</f>
        <v>81</v>
      </c>
      <c r="P14" s="84">
        <f>VLOOKUP($C14,Prevs!$C$7:$I$279,7,FALSE)-IFERROR(VLOOKUP($E14,Prevs!$C$7:$I$279,7,FALSE),0)-IFERROR(VLOOKUP($D14,Prevs!$C$7:$I$279,7,FALSE),0)-IFERROR(VLOOKUP($G14,Prevs!$C$7:$I$279,7,FALSE),0)-IFERROR(VLOOKUP($H14,Prevs!$C$7:$I$279,7,FALSE),0)-IFERROR(VLOOKUP($I14,Prevs!$C$7:$I$279,7,FALSE),0)-IFERROR(VLOOKUP($F14,Prevs!$C$7:$I$279,7,FALSE),0)</f>
        <v>76</v>
      </c>
      <c r="Q14" s="279">
        <f t="shared" si="2"/>
        <v>527.07899308626907</v>
      </c>
      <c r="R14" s="271">
        <f t="shared" si="3"/>
        <v>533.00122896364292</v>
      </c>
      <c r="S14" s="271">
        <f t="shared" si="4"/>
        <v>538.92346484101665</v>
      </c>
      <c r="T14" s="271">
        <f t="shared" si="5"/>
        <v>479.7011060672786</v>
      </c>
      <c r="U14" s="271">
        <f t="shared" si="6"/>
        <v>479.7011060672786</v>
      </c>
      <c r="V14" s="272">
        <f t="shared" si="7"/>
        <v>450.08992668040952</v>
      </c>
      <c r="X14" s="83"/>
      <c r="Y14" s="81"/>
      <c r="Z14" s="81"/>
      <c r="AA14" s="81"/>
      <c r="AB14" s="81"/>
      <c r="AC14" s="84"/>
      <c r="AD14" s="85"/>
      <c r="AE14" s="81"/>
      <c r="AF14" s="81"/>
      <c r="AG14" s="81"/>
      <c r="AH14" s="81"/>
      <c r="AI14" s="84"/>
    </row>
    <row r="15" spans="2:35" s="74" customFormat="1" ht="26.25" customHeight="1" x14ac:dyDescent="0.25">
      <c r="B15" s="151" t="s">
        <v>106</v>
      </c>
      <c r="C15" s="81">
        <v>33</v>
      </c>
      <c r="D15" s="92">
        <v>32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259">
        <v>2.4362305334923602</v>
      </c>
      <c r="K15" s="83">
        <f>VLOOKUP($C15,Prevs!$C$7:$I$279,2,FALSE)-IFERROR(VLOOKUP($E15,Prevs!$C$7:$I$279,2,FALSE),0)-IFERROR(VLOOKUP($D15,Prevs!$C$7:$I$279,2,FALSE),0)-IFERROR(VLOOKUP($G15,Prevs!$C$7:$I$279,2,FALSE),0)-IFERROR(VLOOKUP($H15,Prevs!$C$7:$I$279,2,FALSE),0)-IFERROR(VLOOKUP($I15,Prevs!$C$7:$I$279,2,FALSE),0)-IFERROR(VLOOKUP($F15,Prevs!$C$7:$I$279,2,FALSE),0)</f>
        <v>479</v>
      </c>
      <c r="L15" s="81">
        <f>VLOOKUP($C15,Prevs!$C$7:$I$279,3,FALSE)-IFERROR(VLOOKUP($E15,Prevs!$C$7:$I$279,3,FALSE),0)-IFERROR(VLOOKUP($D15,Prevs!$C$7:$I$279,3,FALSE),0)-IFERROR(VLOOKUP($G15,Prevs!$C$7:$I$279,3,FALSE),0)-IFERROR(VLOOKUP($H15,Prevs!$C$7:$I$279,3,FALSE),0)-IFERROR(VLOOKUP($I15,Prevs!$C$7:$I$279,3,FALSE),0)-IFERROR(VLOOKUP($F15,Prevs!$C$7:$I$279,3,FALSE),0)</f>
        <v>451</v>
      </c>
      <c r="M15" s="81">
        <f>VLOOKUP($C15,Prevs!$C$7:$I$279,4,FALSE)-IFERROR(VLOOKUP($E15,Prevs!$C$7:$I$279,4,FALSE),0)-IFERROR(VLOOKUP($D15,Prevs!$C$7:$I$279,4,FALSE),0)-IFERROR(VLOOKUP($G15,Prevs!$C$7:$I$279,4,FALSE),0)-IFERROR(VLOOKUP($H15,Prevs!$C$7:$I$279,4,FALSE),0)-IFERROR(VLOOKUP($I15,Prevs!$C$7:$I$279,4,FALSE),0)-IFERROR(VLOOKUP($F15,Prevs!$C$7:$I$279,4,FALSE),0)</f>
        <v>444</v>
      </c>
      <c r="N15" s="81">
        <f>VLOOKUP($C15,Prevs!$C$7:$I$279,5,FALSE)-IFERROR(VLOOKUP($E15,Prevs!$C$7:$I$279,5,FALSE),0)-IFERROR(VLOOKUP($D15,Prevs!$C$7:$I$279,5,FALSE),0)-IFERROR(VLOOKUP($G15,Prevs!$C$7:$I$279,5,FALSE),0)-IFERROR(VLOOKUP($H15,Prevs!$C$7:$I$279,5,FALSE),0)-IFERROR(VLOOKUP($I15,Prevs!$C$7:$I$279,5,FALSE),0)-IFERROR(VLOOKUP($F15,Prevs!$C$7:$I$279,5,FALSE),0)</f>
        <v>413</v>
      </c>
      <c r="O15" s="81">
        <f>VLOOKUP($C15,Prevs!$C$7:$I$279,6,FALSE)-IFERROR(VLOOKUP($E15,Prevs!$C$7:$I$279,6,FALSE),0)-IFERROR(VLOOKUP($D15,Prevs!$C$7:$I$279,6,FALSE),0)-IFERROR(VLOOKUP($G15,Prevs!$C$7:$I$279,6,FALSE),0)-IFERROR(VLOOKUP($H15,Prevs!$C$7:$I$279,6,FALSE),0)-IFERROR(VLOOKUP($I15,Prevs!$C$7:$I$279,6,FALSE),0)-IFERROR(VLOOKUP($F15,Prevs!$C$7:$I$279,6,FALSE),0)</f>
        <v>464</v>
      </c>
      <c r="P15" s="84">
        <f>VLOOKUP($C15,Prevs!$C$7:$I$279,7,FALSE)-IFERROR(VLOOKUP($E15,Prevs!$C$7:$I$279,7,FALSE),0)-IFERROR(VLOOKUP($D15,Prevs!$C$7:$I$279,7,FALSE),0)-IFERROR(VLOOKUP($G15,Prevs!$C$7:$I$279,7,FALSE),0)-IFERROR(VLOOKUP($H15,Prevs!$C$7:$I$279,7,FALSE),0)-IFERROR(VLOOKUP($I15,Prevs!$C$7:$I$279,7,FALSE),0)-IFERROR(VLOOKUP($F15,Prevs!$C$7:$I$279,7,FALSE),0)</f>
        <v>402</v>
      </c>
      <c r="Q15" s="276">
        <f t="shared" si="2"/>
        <v>1166.9544255428405</v>
      </c>
      <c r="R15" s="271">
        <f t="shared" si="3"/>
        <v>1098.7399706050544</v>
      </c>
      <c r="S15" s="271">
        <f t="shared" si="4"/>
        <v>1081.6863568706078</v>
      </c>
      <c r="T15" s="271">
        <f t="shared" si="5"/>
        <v>1006.1632103323448</v>
      </c>
      <c r="U15" s="271">
        <f t="shared" si="6"/>
        <v>1130.4109675404552</v>
      </c>
      <c r="V15" s="272">
        <f t="shared" si="7"/>
        <v>979.36467446392885</v>
      </c>
      <c r="X15" s="83"/>
      <c r="Y15" s="81"/>
      <c r="Z15" s="81"/>
      <c r="AA15" s="81"/>
      <c r="AB15" s="81"/>
      <c r="AC15" s="84"/>
      <c r="AD15" s="85"/>
      <c r="AE15" s="81"/>
      <c r="AF15" s="81"/>
      <c r="AG15" s="81"/>
      <c r="AH15" s="81"/>
      <c r="AI15" s="84"/>
    </row>
    <row r="16" spans="2:35" s="74" customFormat="1" ht="26.25" customHeight="1" x14ac:dyDescent="0.25">
      <c r="B16" s="151" t="s">
        <v>330</v>
      </c>
      <c r="C16" s="81">
        <v>156</v>
      </c>
      <c r="D16" s="92">
        <v>155</v>
      </c>
      <c r="E16" s="92">
        <v>0</v>
      </c>
      <c r="F16" s="92">
        <v>0</v>
      </c>
      <c r="G16" s="92">
        <v>0</v>
      </c>
      <c r="H16" s="92">
        <v>0</v>
      </c>
      <c r="I16" s="92">
        <v>0</v>
      </c>
      <c r="J16" s="259">
        <v>0.43010226544180802</v>
      </c>
      <c r="K16" s="83">
        <f>VLOOKUP($C16,Prevs!$C$7:$I$279,2,FALSE)-IFERROR(VLOOKUP($E16,Prevs!$C$7:$I$279,2,FALSE),0)-IFERROR(VLOOKUP($D16,Prevs!$C$7:$I$279,2,FALSE),0)-IFERROR(VLOOKUP($G16,Prevs!$C$7:$I$279,2,FALSE),0)-IFERROR(VLOOKUP($H16,Prevs!$C$7:$I$279,2,FALSE),0)-IFERROR(VLOOKUP($I16,Prevs!$C$7:$I$279,2,FALSE),0)-IFERROR(VLOOKUP($F16,Prevs!$C$7:$I$279,2,FALSE),0)</f>
        <v>70</v>
      </c>
      <c r="L16" s="81">
        <f>VLOOKUP($C16,Prevs!$C$7:$I$279,3,FALSE)-IFERROR(VLOOKUP($E16,Prevs!$C$7:$I$279,3,FALSE),0)-IFERROR(VLOOKUP($D16,Prevs!$C$7:$I$279,3,FALSE),0)-IFERROR(VLOOKUP($G16,Prevs!$C$7:$I$279,3,FALSE),0)-IFERROR(VLOOKUP($H16,Prevs!$C$7:$I$279,3,FALSE),0)-IFERROR(VLOOKUP($I16,Prevs!$C$7:$I$279,3,FALSE),0)-IFERROR(VLOOKUP($F16,Prevs!$C$7:$I$279,3,FALSE),0)</f>
        <v>69</v>
      </c>
      <c r="M16" s="81">
        <f>VLOOKUP($C16,Prevs!$C$7:$I$279,4,FALSE)-IFERROR(VLOOKUP($E16,Prevs!$C$7:$I$279,4,FALSE),0)-IFERROR(VLOOKUP($D16,Prevs!$C$7:$I$279,4,FALSE),0)-IFERROR(VLOOKUP($G16,Prevs!$C$7:$I$279,4,FALSE),0)-IFERROR(VLOOKUP($H16,Prevs!$C$7:$I$279,4,FALSE),0)-IFERROR(VLOOKUP($I16,Prevs!$C$7:$I$279,4,FALSE),0)-IFERROR(VLOOKUP($F16,Prevs!$C$7:$I$279,4,FALSE),0)</f>
        <v>63</v>
      </c>
      <c r="N16" s="81">
        <f>VLOOKUP($C16,Prevs!$C$7:$I$279,5,FALSE)-IFERROR(VLOOKUP($E16,Prevs!$C$7:$I$279,5,FALSE),0)-IFERROR(VLOOKUP($D16,Prevs!$C$7:$I$279,5,FALSE),0)-IFERROR(VLOOKUP($G16,Prevs!$C$7:$I$279,5,FALSE),0)-IFERROR(VLOOKUP($H16,Prevs!$C$7:$I$279,5,FALSE),0)-IFERROR(VLOOKUP($I16,Prevs!$C$7:$I$279,5,FALSE),0)-IFERROR(VLOOKUP($F16,Prevs!$C$7:$I$279,5,FALSE),0)</f>
        <v>68</v>
      </c>
      <c r="O16" s="81">
        <f>VLOOKUP($C16,Prevs!$C$7:$I$279,6,FALSE)-IFERROR(VLOOKUP($E16,Prevs!$C$7:$I$279,6,FALSE),0)-IFERROR(VLOOKUP($D16,Prevs!$C$7:$I$279,6,FALSE),0)-IFERROR(VLOOKUP($G16,Prevs!$C$7:$I$279,6,FALSE),0)-IFERROR(VLOOKUP($H16,Prevs!$C$7:$I$279,6,FALSE),0)-IFERROR(VLOOKUP($I16,Prevs!$C$7:$I$279,6,FALSE),0)-IFERROR(VLOOKUP($F16,Prevs!$C$7:$I$279,6,FALSE),0)</f>
        <v>68</v>
      </c>
      <c r="P16" s="84">
        <f>VLOOKUP($C16,Prevs!$C$7:$I$279,7,FALSE)-IFERROR(VLOOKUP($E16,Prevs!$C$7:$I$279,7,FALSE),0)-IFERROR(VLOOKUP($D16,Prevs!$C$7:$I$279,7,FALSE),0)-IFERROR(VLOOKUP($G16,Prevs!$C$7:$I$279,7,FALSE),0)-IFERROR(VLOOKUP($H16,Prevs!$C$7:$I$279,7,FALSE),0)-IFERROR(VLOOKUP($I16,Prevs!$C$7:$I$279,7,FALSE),0)-IFERROR(VLOOKUP($F16,Prevs!$C$7:$I$279,7,FALSE),0)</f>
        <v>69</v>
      </c>
      <c r="Q16" s="276">
        <f t="shared" si="2"/>
        <v>30.107158580926562</v>
      </c>
      <c r="R16" s="271">
        <f t="shared" si="3"/>
        <v>29.677056315484752</v>
      </c>
      <c r="S16" s="271">
        <f t="shared" si="4"/>
        <v>27.096442722833906</v>
      </c>
      <c r="T16" s="271">
        <f t="shared" si="5"/>
        <v>29.246954050042945</v>
      </c>
      <c r="U16" s="271">
        <f t="shared" si="6"/>
        <v>29.246954050042945</v>
      </c>
      <c r="V16" s="272">
        <f t="shared" si="7"/>
        <v>29.677056315484752</v>
      </c>
      <c r="X16" s="83"/>
      <c r="Y16" s="81"/>
      <c r="Z16" s="81"/>
      <c r="AA16" s="81"/>
      <c r="AB16" s="81"/>
      <c r="AC16" s="84"/>
      <c r="AD16" s="85"/>
      <c r="AE16" s="81"/>
      <c r="AF16" s="81"/>
      <c r="AG16" s="81"/>
      <c r="AH16" s="81"/>
      <c r="AI16" s="84"/>
    </row>
    <row r="17" spans="2:35" s="74" customFormat="1" ht="26.25" customHeight="1" x14ac:dyDescent="0.25">
      <c r="B17" s="151" t="s">
        <v>83</v>
      </c>
      <c r="C17" s="81">
        <v>9</v>
      </c>
      <c r="D17" s="92">
        <v>8</v>
      </c>
      <c r="E17" s="92">
        <v>0</v>
      </c>
      <c r="F17" s="92">
        <v>0</v>
      </c>
      <c r="G17" s="92">
        <v>0</v>
      </c>
      <c r="H17" s="92">
        <v>0</v>
      </c>
      <c r="I17" s="92">
        <v>0</v>
      </c>
      <c r="J17" s="259">
        <v>3.7848919499248201</v>
      </c>
      <c r="K17" s="83">
        <f>VLOOKUP($C17,Prevs!$C$7:$I$279,2,FALSE)-IFERROR(VLOOKUP($E17,Prevs!$C$7:$I$279,2,FALSE),0)-IFERROR(VLOOKUP($D17,Prevs!$C$7:$I$279,2,FALSE),0)-IFERROR(VLOOKUP($G17,Prevs!$C$7:$I$279,2,FALSE),0)-IFERROR(VLOOKUP($H17,Prevs!$C$7:$I$279,2,FALSE),0)-IFERROR(VLOOKUP($I17,Prevs!$C$7:$I$279,2,FALSE),0)-IFERROR(VLOOKUP($F17,Prevs!$C$7:$I$279,2,FALSE),0)</f>
        <v>1</v>
      </c>
      <c r="L17" s="81">
        <f>VLOOKUP($C17,Prevs!$C$7:$I$279,3,FALSE)-IFERROR(VLOOKUP($E17,Prevs!$C$7:$I$279,3,FALSE),0)-IFERROR(VLOOKUP($D17,Prevs!$C$7:$I$279,3,FALSE),0)-IFERROR(VLOOKUP($G17,Prevs!$C$7:$I$279,3,FALSE),0)-IFERROR(VLOOKUP($H17,Prevs!$C$7:$I$279,3,FALSE),0)-IFERROR(VLOOKUP($I17,Prevs!$C$7:$I$279,3,FALSE),0)-IFERROR(VLOOKUP($F17,Prevs!$C$7:$I$279,3,FALSE),0)</f>
        <v>3</v>
      </c>
      <c r="M17" s="81">
        <f>VLOOKUP($C17,Prevs!$C$7:$I$279,4,FALSE)-IFERROR(VLOOKUP($E17,Prevs!$C$7:$I$279,4,FALSE),0)-IFERROR(VLOOKUP($D17,Prevs!$C$7:$I$279,4,FALSE),0)-IFERROR(VLOOKUP($G17,Prevs!$C$7:$I$279,4,FALSE),0)-IFERROR(VLOOKUP($H17,Prevs!$C$7:$I$279,4,FALSE),0)-IFERROR(VLOOKUP($I17,Prevs!$C$7:$I$279,4,FALSE),0)-IFERROR(VLOOKUP($F17,Prevs!$C$7:$I$279,4,FALSE),0)</f>
        <v>3</v>
      </c>
      <c r="N17" s="81">
        <f>VLOOKUP($C17,Prevs!$C$7:$I$279,5,FALSE)-IFERROR(VLOOKUP($E17,Prevs!$C$7:$I$279,5,FALSE),0)-IFERROR(VLOOKUP($D17,Prevs!$C$7:$I$279,5,FALSE),0)-IFERROR(VLOOKUP($G17,Prevs!$C$7:$I$279,5,FALSE),0)-IFERROR(VLOOKUP($H17,Prevs!$C$7:$I$279,5,FALSE),0)-IFERROR(VLOOKUP($I17,Prevs!$C$7:$I$279,5,FALSE),0)-IFERROR(VLOOKUP($F17,Prevs!$C$7:$I$279,5,FALSE),0)</f>
        <v>2</v>
      </c>
      <c r="O17" s="81">
        <f>VLOOKUP($C17,Prevs!$C$7:$I$279,6,FALSE)-IFERROR(VLOOKUP($E17,Prevs!$C$7:$I$279,6,FALSE),0)-IFERROR(VLOOKUP($D17,Prevs!$C$7:$I$279,6,FALSE),0)-IFERROR(VLOOKUP($G17,Prevs!$C$7:$I$279,6,FALSE),0)-IFERROR(VLOOKUP($H17,Prevs!$C$7:$I$279,6,FALSE),0)-IFERROR(VLOOKUP($I17,Prevs!$C$7:$I$279,6,FALSE),0)-IFERROR(VLOOKUP($F17,Prevs!$C$7:$I$279,6,FALSE),0)</f>
        <v>2</v>
      </c>
      <c r="P17" s="84">
        <f>VLOOKUP($C17,Prevs!$C$7:$I$279,7,FALSE)-IFERROR(VLOOKUP($E17,Prevs!$C$7:$I$279,7,FALSE),0)-IFERROR(VLOOKUP($D17,Prevs!$C$7:$I$279,7,FALSE),0)-IFERROR(VLOOKUP($G17,Prevs!$C$7:$I$279,7,FALSE),0)-IFERROR(VLOOKUP($H17,Prevs!$C$7:$I$279,7,FALSE),0)-IFERROR(VLOOKUP($I17,Prevs!$C$7:$I$279,7,FALSE),0)-IFERROR(VLOOKUP($F17,Prevs!$C$7:$I$279,7,FALSE),0)</f>
        <v>2</v>
      </c>
      <c r="Q17" s="276">
        <f t="shared" si="2"/>
        <v>3.7848919499248201</v>
      </c>
      <c r="R17" s="271">
        <f t="shared" si="3"/>
        <v>11.354675849774461</v>
      </c>
      <c r="S17" s="271">
        <f t="shared" si="4"/>
        <v>11.354675849774461</v>
      </c>
      <c r="T17" s="271">
        <f t="shared" si="5"/>
        <v>7.5697838998496403</v>
      </c>
      <c r="U17" s="271">
        <f t="shared" si="6"/>
        <v>7.5697838998496403</v>
      </c>
      <c r="V17" s="272">
        <f t="shared" si="7"/>
        <v>7.5697838998496403</v>
      </c>
      <c r="X17" s="83"/>
      <c r="Y17" s="81"/>
      <c r="Z17" s="81"/>
      <c r="AA17" s="81"/>
      <c r="AB17" s="81"/>
      <c r="AC17" s="84"/>
      <c r="AD17" s="85"/>
      <c r="AE17" s="81"/>
      <c r="AF17" s="81"/>
      <c r="AG17" s="81"/>
      <c r="AH17" s="81"/>
      <c r="AI17" s="84"/>
    </row>
    <row r="18" spans="2:35" s="74" customFormat="1" ht="26.25" customHeight="1" x14ac:dyDescent="0.25">
      <c r="B18" s="151" t="s">
        <v>85</v>
      </c>
      <c r="C18" s="81">
        <v>11</v>
      </c>
      <c r="D18" s="92">
        <v>10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259">
        <v>3.22809356552759</v>
      </c>
      <c r="K18" s="83">
        <f>VLOOKUP($C18,Prevs!$C$7:$I$279,2,FALSE)-IFERROR(VLOOKUP($E18,Prevs!$C$7:$I$279,2,FALSE),0)-IFERROR(VLOOKUP($D18,Prevs!$C$7:$I$279,2,FALSE),0)-IFERROR(VLOOKUP($G18,Prevs!$C$7:$I$279,2,FALSE),0)-IFERROR(VLOOKUP($H18,Prevs!$C$7:$I$279,2,FALSE),0)-IFERROR(VLOOKUP($I18,Prevs!$C$7:$I$279,2,FALSE),0)-IFERROR(VLOOKUP($F18,Prevs!$C$7:$I$279,2,FALSE),0)</f>
        <v>8</v>
      </c>
      <c r="L18" s="81">
        <f>VLOOKUP($C18,Prevs!$C$7:$I$279,3,FALSE)-IFERROR(VLOOKUP($E18,Prevs!$C$7:$I$279,3,FALSE),0)-IFERROR(VLOOKUP($D18,Prevs!$C$7:$I$279,3,FALSE),0)-IFERROR(VLOOKUP($G18,Prevs!$C$7:$I$279,3,FALSE),0)-IFERROR(VLOOKUP($H18,Prevs!$C$7:$I$279,3,FALSE),0)-IFERROR(VLOOKUP($I18,Prevs!$C$7:$I$279,3,FALSE),0)-IFERROR(VLOOKUP($F18,Prevs!$C$7:$I$279,3,FALSE),0)</f>
        <v>19</v>
      </c>
      <c r="M18" s="81">
        <f>VLOOKUP($C18,Prevs!$C$7:$I$279,4,FALSE)-IFERROR(VLOOKUP($E18,Prevs!$C$7:$I$279,4,FALSE),0)-IFERROR(VLOOKUP($D18,Prevs!$C$7:$I$279,4,FALSE),0)-IFERROR(VLOOKUP($G18,Prevs!$C$7:$I$279,4,FALSE),0)-IFERROR(VLOOKUP($H18,Prevs!$C$7:$I$279,4,FALSE),0)-IFERROR(VLOOKUP($I18,Prevs!$C$7:$I$279,4,FALSE),0)-IFERROR(VLOOKUP($F18,Prevs!$C$7:$I$279,4,FALSE),0)</f>
        <v>18</v>
      </c>
      <c r="N18" s="81">
        <f>VLOOKUP($C18,Prevs!$C$7:$I$279,5,FALSE)-IFERROR(VLOOKUP($E18,Prevs!$C$7:$I$279,5,FALSE),0)-IFERROR(VLOOKUP($D18,Prevs!$C$7:$I$279,5,FALSE),0)-IFERROR(VLOOKUP($G18,Prevs!$C$7:$I$279,5,FALSE),0)-IFERROR(VLOOKUP($H18,Prevs!$C$7:$I$279,5,FALSE),0)-IFERROR(VLOOKUP($I18,Prevs!$C$7:$I$279,5,FALSE),0)-IFERROR(VLOOKUP($F18,Prevs!$C$7:$I$279,5,FALSE),0)</f>
        <v>18</v>
      </c>
      <c r="O18" s="81">
        <f>VLOOKUP($C18,Prevs!$C$7:$I$279,6,FALSE)-IFERROR(VLOOKUP($E18,Prevs!$C$7:$I$279,6,FALSE),0)-IFERROR(VLOOKUP($D18,Prevs!$C$7:$I$279,6,FALSE),0)-IFERROR(VLOOKUP($G18,Prevs!$C$7:$I$279,6,FALSE),0)-IFERROR(VLOOKUP($H18,Prevs!$C$7:$I$279,6,FALSE),0)-IFERROR(VLOOKUP($I18,Prevs!$C$7:$I$279,6,FALSE),0)-IFERROR(VLOOKUP($F18,Prevs!$C$7:$I$279,6,FALSE),0)</f>
        <v>17</v>
      </c>
      <c r="P18" s="84">
        <f>VLOOKUP($C18,Prevs!$C$7:$I$279,7,FALSE)-IFERROR(VLOOKUP($E18,Prevs!$C$7:$I$279,7,FALSE),0)-IFERROR(VLOOKUP($D18,Prevs!$C$7:$I$279,7,FALSE),0)-IFERROR(VLOOKUP($G18,Prevs!$C$7:$I$279,7,FALSE),0)-IFERROR(VLOOKUP($H18,Prevs!$C$7:$I$279,7,FALSE),0)-IFERROR(VLOOKUP($I18,Prevs!$C$7:$I$279,7,FALSE),0)-IFERROR(VLOOKUP($F18,Prevs!$C$7:$I$279,7,FALSE),0)</f>
        <v>14</v>
      </c>
      <c r="Q18" s="276">
        <f t="shared" si="2"/>
        <v>25.82474852422072</v>
      </c>
      <c r="R18" s="271">
        <f t="shared" si="3"/>
        <v>61.333777745024207</v>
      </c>
      <c r="S18" s="271">
        <f t="shared" si="4"/>
        <v>58.10568417949662</v>
      </c>
      <c r="T18" s="271">
        <f t="shared" si="5"/>
        <v>58.10568417949662</v>
      </c>
      <c r="U18" s="271">
        <f t="shared" si="6"/>
        <v>54.877590613969026</v>
      </c>
      <c r="V18" s="272">
        <f t="shared" si="7"/>
        <v>45.193309917386259</v>
      </c>
      <c r="X18" s="83"/>
      <c r="Y18" s="81"/>
      <c r="Z18" s="81"/>
      <c r="AA18" s="81"/>
      <c r="AB18" s="81"/>
      <c r="AC18" s="84"/>
      <c r="AD18" s="85"/>
      <c r="AE18" s="81"/>
      <c r="AF18" s="81"/>
      <c r="AG18" s="81"/>
      <c r="AH18" s="81"/>
      <c r="AI18" s="84"/>
    </row>
    <row r="19" spans="2:35" s="74" customFormat="1" ht="26.25" customHeight="1" x14ac:dyDescent="0.25">
      <c r="B19" s="151" t="s">
        <v>166</v>
      </c>
      <c r="C19" s="81">
        <v>134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259">
        <v>1.7973820052989899</v>
      </c>
      <c r="K19" s="83">
        <f>VLOOKUP($C19,Prevs!$C$7:$I$279,2,FALSE)-IFERROR(VLOOKUP($E19,Prevs!$C$7:$I$279,2,FALSE),0)-IFERROR(VLOOKUP($D19,Prevs!$C$7:$I$279,2,FALSE),0)-IFERROR(VLOOKUP($G19,Prevs!$C$7:$I$279,2,FALSE),0)-IFERROR(VLOOKUP($H19,Prevs!$C$7:$I$279,2,FALSE),0)-IFERROR(VLOOKUP($I19,Prevs!$C$7:$I$279,2,FALSE),0)-IFERROR(VLOOKUP($F19,Prevs!$C$7:$I$279,2,FALSE),0)</f>
        <v>42</v>
      </c>
      <c r="L19" s="81">
        <f>VLOOKUP($C19,Prevs!$C$7:$I$279,3,FALSE)-IFERROR(VLOOKUP($E19,Prevs!$C$7:$I$279,3,FALSE),0)-IFERROR(VLOOKUP($D19,Prevs!$C$7:$I$279,3,FALSE),0)-IFERROR(VLOOKUP($G19,Prevs!$C$7:$I$279,3,FALSE),0)-IFERROR(VLOOKUP($H19,Prevs!$C$7:$I$279,3,FALSE),0)-IFERROR(VLOOKUP($I19,Prevs!$C$7:$I$279,3,FALSE),0)-IFERROR(VLOOKUP($F19,Prevs!$C$7:$I$279,3,FALSE),0)</f>
        <v>41</v>
      </c>
      <c r="M19" s="81">
        <f>VLOOKUP($C19,Prevs!$C$7:$I$279,4,FALSE)-IFERROR(VLOOKUP($E19,Prevs!$C$7:$I$279,4,FALSE),0)-IFERROR(VLOOKUP($D19,Prevs!$C$7:$I$279,4,FALSE),0)-IFERROR(VLOOKUP($G19,Prevs!$C$7:$I$279,4,FALSE),0)-IFERROR(VLOOKUP($H19,Prevs!$C$7:$I$279,4,FALSE),0)-IFERROR(VLOOKUP($I19,Prevs!$C$7:$I$279,4,FALSE),0)-IFERROR(VLOOKUP($F19,Prevs!$C$7:$I$279,4,FALSE),0)</f>
        <v>40</v>
      </c>
      <c r="N19" s="81">
        <f>VLOOKUP($C19,Prevs!$C$7:$I$279,5,FALSE)-IFERROR(VLOOKUP($E19,Prevs!$C$7:$I$279,5,FALSE),0)-IFERROR(VLOOKUP($D19,Prevs!$C$7:$I$279,5,FALSE),0)-IFERROR(VLOOKUP($G19,Prevs!$C$7:$I$279,5,FALSE),0)-IFERROR(VLOOKUP($H19,Prevs!$C$7:$I$279,5,FALSE),0)-IFERROR(VLOOKUP($I19,Prevs!$C$7:$I$279,5,FALSE),0)-IFERROR(VLOOKUP($F19,Prevs!$C$7:$I$279,5,FALSE),0)</f>
        <v>39</v>
      </c>
      <c r="O19" s="81">
        <f>VLOOKUP($C19,Prevs!$C$7:$I$279,6,FALSE)-IFERROR(VLOOKUP($E19,Prevs!$C$7:$I$279,6,FALSE),0)-IFERROR(VLOOKUP($D19,Prevs!$C$7:$I$279,6,FALSE),0)-IFERROR(VLOOKUP($G19,Prevs!$C$7:$I$279,6,FALSE),0)-IFERROR(VLOOKUP($H19,Prevs!$C$7:$I$279,6,FALSE),0)-IFERROR(VLOOKUP($I19,Prevs!$C$7:$I$279,6,FALSE),0)-IFERROR(VLOOKUP($F19,Prevs!$C$7:$I$279,6,FALSE),0)</f>
        <v>36</v>
      </c>
      <c r="P19" s="84">
        <f>VLOOKUP($C19,Prevs!$C$7:$I$279,7,FALSE)-IFERROR(VLOOKUP($E19,Prevs!$C$7:$I$279,7,FALSE),0)-IFERROR(VLOOKUP($D19,Prevs!$C$7:$I$279,7,FALSE),0)-IFERROR(VLOOKUP($G19,Prevs!$C$7:$I$279,7,FALSE),0)-IFERROR(VLOOKUP($H19,Prevs!$C$7:$I$279,7,FALSE),0)-IFERROR(VLOOKUP($I19,Prevs!$C$7:$I$279,7,FALSE),0)-IFERROR(VLOOKUP($F19,Prevs!$C$7:$I$279,7,FALSE),0)</f>
        <v>34</v>
      </c>
      <c r="Q19" s="276">
        <f t="shared" si="2"/>
        <v>75.490044222557572</v>
      </c>
      <c r="R19" s="271">
        <f t="shared" si="3"/>
        <v>73.692662217258587</v>
      </c>
      <c r="S19" s="271">
        <f t="shared" si="4"/>
        <v>71.895280211959602</v>
      </c>
      <c r="T19" s="271">
        <f t="shared" si="5"/>
        <v>70.097898206660602</v>
      </c>
      <c r="U19" s="271">
        <f t="shared" si="6"/>
        <v>64.705752190763633</v>
      </c>
      <c r="V19" s="272">
        <f t="shared" si="7"/>
        <v>61.110988180165656</v>
      </c>
      <c r="X19" s="83"/>
      <c r="Y19" s="81"/>
      <c r="Z19" s="81"/>
      <c r="AA19" s="81"/>
      <c r="AB19" s="81"/>
      <c r="AC19" s="84"/>
      <c r="AD19" s="85"/>
      <c r="AE19" s="81"/>
      <c r="AF19" s="81"/>
      <c r="AG19" s="81"/>
      <c r="AH19" s="81"/>
      <c r="AI19" s="84"/>
    </row>
    <row r="20" spans="2:35" s="74" customFormat="1" ht="26.25" customHeight="1" x14ac:dyDescent="0.25">
      <c r="B20" s="151" t="s">
        <v>98</v>
      </c>
      <c r="C20" s="81">
        <v>206</v>
      </c>
      <c r="D20" s="92">
        <v>25</v>
      </c>
      <c r="E20" s="92">
        <v>0</v>
      </c>
      <c r="F20" s="92">
        <v>0</v>
      </c>
      <c r="G20" s="92">
        <v>0</v>
      </c>
      <c r="H20" s="92">
        <v>0</v>
      </c>
      <c r="I20" s="92">
        <v>0</v>
      </c>
      <c r="J20" s="259">
        <v>4.9197220645246196</v>
      </c>
      <c r="K20" s="83">
        <f>VLOOKUP($C20,Prevs!$C$7:$I$279,2,FALSE)-IFERROR(VLOOKUP($E20,Prevs!$C$7:$I$279,2,FALSE),0)-IFERROR(VLOOKUP($D20,Prevs!$C$7:$I$279,2,FALSE),0)-IFERROR(VLOOKUP($G20,Prevs!$C$7:$I$279,2,FALSE),0)-IFERROR(VLOOKUP($H20,Prevs!$C$7:$I$279,2,FALSE),0)-IFERROR(VLOOKUP($I20,Prevs!$C$7:$I$279,2,FALSE),0)-IFERROR(VLOOKUP($F20,Prevs!$C$7:$I$279,2,FALSE),0)</f>
        <v>4</v>
      </c>
      <c r="L20" s="81">
        <f>VLOOKUP($C20,Prevs!$C$7:$I$279,3,FALSE)-IFERROR(VLOOKUP($E20,Prevs!$C$7:$I$279,3,FALSE),0)-IFERROR(VLOOKUP($D20,Prevs!$C$7:$I$279,3,FALSE),0)-IFERROR(VLOOKUP($G20,Prevs!$C$7:$I$279,3,FALSE),0)-IFERROR(VLOOKUP($H20,Prevs!$C$7:$I$279,3,FALSE),0)-IFERROR(VLOOKUP($I20,Prevs!$C$7:$I$279,3,FALSE),0)-IFERROR(VLOOKUP($F20,Prevs!$C$7:$I$279,3,FALSE),0)</f>
        <v>9</v>
      </c>
      <c r="M20" s="81">
        <f>VLOOKUP($C20,Prevs!$C$7:$I$279,4,FALSE)-IFERROR(VLOOKUP($E20,Prevs!$C$7:$I$279,4,FALSE),0)-IFERROR(VLOOKUP($D20,Prevs!$C$7:$I$279,4,FALSE),0)-IFERROR(VLOOKUP($G20,Prevs!$C$7:$I$279,4,FALSE),0)-IFERROR(VLOOKUP($H20,Prevs!$C$7:$I$279,4,FALSE),0)-IFERROR(VLOOKUP($I20,Prevs!$C$7:$I$279,4,FALSE),0)-IFERROR(VLOOKUP($F20,Prevs!$C$7:$I$279,4,FALSE),0)</f>
        <v>12</v>
      </c>
      <c r="N20" s="81">
        <f>VLOOKUP($C20,Prevs!$C$7:$I$279,5,FALSE)-IFERROR(VLOOKUP($E20,Prevs!$C$7:$I$279,5,FALSE),0)-IFERROR(VLOOKUP($D20,Prevs!$C$7:$I$279,5,FALSE),0)-IFERROR(VLOOKUP($G20,Prevs!$C$7:$I$279,5,FALSE),0)-IFERROR(VLOOKUP($H20,Prevs!$C$7:$I$279,5,FALSE),0)-IFERROR(VLOOKUP($I20,Prevs!$C$7:$I$279,5,FALSE),0)-IFERROR(VLOOKUP($F20,Prevs!$C$7:$I$279,5,FALSE),0)</f>
        <v>6</v>
      </c>
      <c r="O20" s="81">
        <f>VLOOKUP($C20,Prevs!$C$7:$I$279,6,FALSE)-IFERROR(VLOOKUP($E20,Prevs!$C$7:$I$279,6,FALSE),0)-IFERROR(VLOOKUP($D20,Prevs!$C$7:$I$279,6,FALSE),0)-IFERROR(VLOOKUP($G20,Prevs!$C$7:$I$279,6,FALSE),0)-IFERROR(VLOOKUP($H20,Prevs!$C$7:$I$279,6,FALSE),0)-IFERROR(VLOOKUP($I20,Prevs!$C$7:$I$279,6,FALSE),0)-IFERROR(VLOOKUP($F20,Prevs!$C$7:$I$279,6,FALSE),0)</f>
        <v>7</v>
      </c>
      <c r="P20" s="84">
        <f>VLOOKUP($C20,Prevs!$C$7:$I$279,7,FALSE)-IFERROR(VLOOKUP($E20,Prevs!$C$7:$I$279,7,FALSE),0)-IFERROR(VLOOKUP($D20,Prevs!$C$7:$I$279,7,FALSE),0)-IFERROR(VLOOKUP($G20,Prevs!$C$7:$I$279,7,FALSE),0)-IFERROR(VLOOKUP($H20,Prevs!$C$7:$I$279,7,FALSE),0)-IFERROR(VLOOKUP($I20,Prevs!$C$7:$I$279,7,FALSE),0)-IFERROR(VLOOKUP($F20,Prevs!$C$7:$I$279,7,FALSE),0)</f>
        <v>15</v>
      </c>
      <c r="Q20" s="276">
        <f t="shared" si="2"/>
        <v>19.678888258098478</v>
      </c>
      <c r="R20" s="271">
        <f t="shared" si="3"/>
        <v>44.277498580721577</v>
      </c>
      <c r="S20" s="271">
        <f t="shared" si="4"/>
        <v>59.036664774295431</v>
      </c>
      <c r="T20" s="271">
        <f t="shared" si="5"/>
        <v>29.518332387147716</v>
      </c>
      <c r="U20" s="271">
        <f t="shared" si="6"/>
        <v>34.438054451672336</v>
      </c>
      <c r="V20" s="272">
        <f t="shared" si="7"/>
        <v>73.795830967869293</v>
      </c>
      <c r="X20" s="83"/>
      <c r="Y20" s="81"/>
      <c r="Z20" s="81"/>
      <c r="AA20" s="81"/>
      <c r="AB20" s="81"/>
      <c r="AC20" s="84"/>
      <c r="AD20" s="85"/>
      <c r="AE20" s="81"/>
      <c r="AF20" s="81"/>
      <c r="AG20" s="81"/>
      <c r="AH20" s="81"/>
      <c r="AI20" s="84"/>
    </row>
    <row r="21" spans="2:35" s="74" customFormat="1" ht="26.25" customHeight="1" x14ac:dyDescent="0.25">
      <c r="B21" s="151" t="s">
        <v>84</v>
      </c>
      <c r="C21" s="81">
        <v>10</v>
      </c>
      <c r="D21" s="92">
        <v>9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259">
        <v>3.38063307564479</v>
      </c>
      <c r="K21" s="83">
        <f>VLOOKUP($C21,Prevs!$C$7:$I$279,2,FALSE)-IFERROR(VLOOKUP($E21,Prevs!$C$7:$I$279,2,FALSE),0)-IFERROR(VLOOKUP($D21,Prevs!$C$7:$I$279,2,FALSE),0)-IFERROR(VLOOKUP($G21,Prevs!$C$7:$I$279,2,FALSE),0)-IFERROR(VLOOKUP($H21,Prevs!$C$7:$I$279,2,FALSE),0)-IFERROR(VLOOKUP($I21,Prevs!$C$7:$I$279,2,FALSE),0)-IFERROR(VLOOKUP($F21,Prevs!$C$7:$I$279,2,FALSE),0)</f>
        <v>5</v>
      </c>
      <c r="L21" s="81">
        <f>VLOOKUP($C21,Prevs!$C$7:$I$279,3,FALSE)-IFERROR(VLOOKUP($E21,Prevs!$C$7:$I$279,3,FALSE),0)-IFERROR(VLOOKUP($D21,Prevs!$C$7:$I$279,3,FALSE),0)-IFERROR(VLOOKUP($G21,Prevs!$C$7:$I$279,3,FALSE),0)-IFERROR(VLOOKUP($H21,Prevs!$C$7:$I$279,3,FALSE),0)-IFERROR(VLOOKUP($I21,Prevs!$C$7:$I$279,3,FALSE),0)-IFERROR(VLOOKUP($F21,Prevs!$C$7:$I$279,3,FALSE),0)</f>
        <v>8</v>
      </c>
      <c r="M21" s="81">
        <f>VLOOKUP($C21,Prevs!$C$7:$I$279,4,FALSE)-IFERROR(VLOOKUP($E21,Prevs!$C$7:$I$279,4,FALSE),0)-IFERROR(VLOOKUP($D21,Prevs!$C$7:$I$279,4,FALSE),0)-IFERROR(VLOOKUP($G21,Prevs!$C$7:$I$279,4,FALSE),0)-IFERROR(VLOOKUP($H21,Prevs!$C$7:$I$279,4,FALSE),0)-IFERROR(VLOOKUP($I21,Prevs!$C$7:$I$279,4,FALSE),0)-IFERROR(VLOOKUP($F21,Prevs!$C$7:$I$279,4,FALSE),0)</f>
        <v>8</v>
      </c>
      <c r="N21" s="81">
        <f>VLOOKUP($C21,Prevs!$C$7:$I$279,5,FALSE)-IFERROR(VLOOKUP($E21,Prevs!$C$7:$I$279,5,FALSE),0)-IFERROR(VLOOKUP($D21,Prevs!$C$7:$I$279,5,FALSE),0)-IFERROR(VLOOKUP($G21,Prevs!$C$7:$I$279,5,FALSE),0)-IFERROR(VLOOKUP($H21,Prevs!$C$7:$I$279,5,FALSE),0)-IFERROR(VLOOKUP($I21,Prevs!$C$7:$I$279,5,FALSE),0)-IFERROR(VLOOKUP($F21,Prevs!$C$7:$I$279,5,FALSE),0)</f>
        <v>8</v>
      </c>
      <c r="O21" s="81">
        <f>VLOOKUP($C21,Prevs!$C$7:$I$279,6,FALSE)-IFERROR(VLOOKUP($E21,Prevs!$C$7:$I$279,6,FALSE),0)-IFERROR(VLOOKUP($D21,Prevs!$C$7:$I$279,6,FALSE),0)-IFERROR(VLOOKUP($G21,Prevs!$C$7:$I$279,6,FALSE),0)-IFERROR(VLOOKUP($H21,Prevs!$C$7:$I$279,6,FALSE),0)-IFERROR(VLOOKUP($I21,Prevs!$C$7:$I$279,6,FALSE),0)-IFERROR(VLOOKUP($F21,Prevs!$C$7:$I$279,6,FALSE),0)</f>
        <v>7</v>
      </c>
      <c r="P21" s="84">
        <f>VLOOKUP($C21,Prevs!$C$7:$I$279,7,FALSE)-IFERROR(VLOOKUP($E21,Prevs!$C$7:$I$279,7,FALSE),0)-IFERROR(VLOOKUP($D21,Prevs!$C$7:$I$279,7,FALSE),0)-IFERROR(VLOOKUP($G21,Prevs!$C$7:$I$279,7,FALSE),0)-IFERROR(VLOOKUP($H21,Prevs!$C$7:$I$279,7,FALSE),0)-IFERROR(VLOOKUP($I21,Prevs!$C$7:$I$279,7,FALSE),0)-IFERROR(VLOOKUP($F21,Prevs!$C$7:$I$279,7,FALSE),0)</f>
        <v>6</v>
      </c>
      <c r="Q21" s="276">
        <f t="shared" si="2"/>
        <v>16.903165378223949</v>
      </c>
      <c r="R21" s="271">
        <f t="shared" si="3"/>
        <v>27.04506460515832</v>
      </c>
      <c r="S21" s="271">
        <f t="shared" si="4"/>
        <v>27.04506460515832</v>
      </c>
      <c r="T21" s="271">
        <f t="shared" si="5"/>
        <v>27.04506460515832</v>
      </c>
      <c r="U21" s="271">
        <f t="shared" si="6"/>
        <v>23.664431529513529</v>
      </c>
      <c r="V21" s="272">
        <f t="shared" si="7"/>
        <v>20.283798453868741</v>
      </c>
      <c r="X21" s="83"/>
      <c r="Y21" s="81"/>
      <c r="Z21" s="81"/>
      <c r="AA21" s="81"/>
      <c r="AB21" s="81"/>
      <c r="AC21" s="84"/>
      <c r="AD21" s="85"/>
      <c r="AE21" s="81"/>
      <c r="AF21" s="81"/>
      <c r="AG21" s="81"/>
      <c r="AH21" s="81"/>
      <c r="AI21" s="84"/>
    </row>
    <row r="22" spans="2:35" s="74" customFormat="1" ht="26.25" customHeight="1" x14ac:dyDescent="0.25">
      <c r="B22" s="151" t="s">
        <v>331</v>
      </c>
      <c r="C22" s="81">
        <v>148</v>
      </c>
      <c r="D22" s="92">
        <v>141</v>
      </c>
      <c r="E22" s="92">
        <v>265</v>
      </c>
      <c r="F22" s="92">
        <v>0</v>
      </c>
      <c r="G22" s="92">
        <v>0</v>
      </c>
      <c r="H22" s="92">
        <v>0</v>
      </c>
      <c r="I22" s="92">
        <v>0</v>
      </c>
      <c r="J22" s="259">
        <v>0.427936346691627</v>
      </c>
      <c r="K22" s="83">
        <f>VLOOKUP($C22,Prevs!$C$7:$I$279,2,FALSE)-IFERROR(VLOOKUP($E22,Prevs!$C$7:$I$279,2,FALSE),0)-IFERROR(VLOOKUP($D22,Prevs!$C$7:$I$279,2,FALSE),0)-IFERROR(VLOOKUP($G22,Prevs!$C$7:$I$279,2,FALSE),0)-IFERROR(VLOOKUP($H22,Prevs!$C$7:$I$279,2,FALSE),0)-IFERROR(VLOOKUP($I22,Prevs!$C$7:$I$279,2,FALSE),0)-IFERROR(VLOOKUP($F22,Prevs!$C$7:$I$279,2,FALSE),0)</f>
        <v>39</v>
      </c>
      <c r="L22" s="81">
        <f>VLOOKUP($C22,Prevs!$C$7:$I$279,3,FALSE)-IFERROR(VLOOKUP($E22,Prevs!$C$7:$I$279,3,FALSE),0)-IFERROR(VLOOKUP($D22,Prevs!$C$7:$I$279,3,FALSE),0)-IFERROR(VLOOKUP($G22,Prevs!$C$7:$I$279,3,FALSE),0)-IFERROR(VLOOKUP($H22,Prevs!$C$7:$I$279,3,FALSE),0)-IFERROR(VLOOKUP($I22,Prevs!$C$7:$I$279,3,FALSE),0)-IFERROR(VLOOKUP($F22,Prevs!$C$7:$I$279,3,FALSE),0)</f>
        <v>40</v>
      </c>
      <c r="M22" s="81">
        <f>VLOOKUP($C22,Prevs!$C$7:$I$279,4,FALSE)-IFERROR(VLOOKUP($E22,Prevs!$C$7:$I$279,4,FALSE),0)-IFERROR(VLOOKUP($D22,Prevs!$C$7:$I$279,4,FALSE),0)-IFERROR(VLOOKUP($G22,Prevs!$C$7:$I$279,4,FALSE),0)-IFERROR(VLOOKUP($H22,Prevs!$C$7:$I$279,4,FALSE),0)-IFERROR(VLOOKUP($I22,Prevs!$C$7:$I$279,4,FALSE),0)-IFERROR(VLOOKUP($F22,Prevs!$C$7:$I$279,4,FALSE),0)</f>
        <v>32</v>
      </c>
      <c r="N22" s="81">
        <f>VLOOKUP($C22,Prevs!$C$7:$I$279,5,FALSE)-IFERROR(VLOOKUP($E22,Prevs!$C$7:$I$279,5,FALSE),0)-IFERROR(VLOOKUP($D22,Prevs!$C$7:$I$279,5,FALSE),0)-IFERROR(VLOOKUP($G22,Prevs!$C$7:$I$279,5,FALSE),0)-IFERROR(VLOOKUP($H22,Prevs!$C$7:$I$279,5,FALSE),0)-IFERROR(VLOOKUP($I22,Prevs!$C$7:$I$279,5,FALSE),0)-IFERROR(VLOOKUP($F22,Prevs!$C$7:$I$279,5,FALSE),0)</f>
        <v>29</v>
      </c>
      <c r="O22" s="81">
        <f>VLOOKUP($C22,Prevs!$C$7:$I$279,6,FALSE)-IFERROR(VLOOKUP($E22,Prevs!$C$7:$I$279,6,FALSE),0)-IFERROR(VLOOKUP($D22,Prevs!$C$7:$I$279,6,FALSE),0)-IFERROR(VLOOKUP($G22,Prevs!$C$7:$I$279,6,FALSE),0)-IFERROR(VLOOKUP($H22,Prevs!$C$7:$I$279,6,FALSE),0)-IFERROR(VLOOKUP($I22,Prevs!$C$7:$I$279,6,FALSE),0)-IFERROR(VLOOKUP($F22,Prevs!$C$7:$I$279,6,FALSE),0)</f>
        <v>26</v>
      </c>
      <c r="P22" s="84">
        <f>VLOOKUP($C22,Prevs!$C$7:$I$279,7,FALSE)-IFERROR(VLOOKUP($E22,Prevs!$C$7:$I$279,7,FALSE),0)-IFERROR(VLOOKUP($D22,Prevs!$C$7:$I$279,7,FALSE),0)-IFERROR(VLOOKUP($G22,Prevs!$C$7:$I$279,7,FALSE),0)-IFERROR(VLOOKUP($H22,Prevs!$C$7:$I$279,7,FALSE),0)-IFERROR(VLOOKUP($I22,Prevs!$C$7:$I$279,7,FALSE),0)-IFERROR(VLOOKUP($F22,Prevs!$C$7:$I$279,7,FALSE),0)</f>
        <v>32</v>
      </c>
      <c r="Q22" s="276">
        <f t="shared" si="2"/>
        <v>16.689517520973453</v>
      </c>
      <c r="R22" s="271">
        <f t="shared" si="3"/>
        <v>17.11745386766508</v>
      </c>
      <c r="S22" s="271">
        <f t="shared" si="4"/>
        <v>13.693963094132064</v>
      </c>
      <c r="T22" s="271">
        <f t="shared" si="5"/>
        <v>12.410154054057182</v>
      </c>
      <c r="U22" s="271">
        <f t="shared" si="6"/>
        <v>11.126345013982302</v>
      </c>
      <c r="V22" s="272">
        <f t="shared" si="7"/>
        <v>13.693963094132064</v>
      </c>
      <c r="X22" s="83"/>
      <c r="Y22" s="81"/>
      <c r="Z22" s="81"/>
      <c r="AA22" s="81"/>
      <c r="AB22" s="81"/>
      <c r="AC22" s="84"/>
      <c r="AD22" s="85"/>
      <c r="AE22" s="81"/>
      <c r="AF22" s="81"/>
      <c r="AG22" s="81"/>
      <c r="AH22" s="81"/>
      <c r="AI22" s="84"/>
    </row>
    <row r="23" spans="2:35" s="74" customFormat="1" ht="26.25" customHeight="1" x14ac:dyDescent="0.25">
      <c r="B23" s="151" t="s">
        <v>194</v>
      </c>
      <c r="C23" s="81">
        <v>158</v>
      </c>
      <c r="D23" s="92">
        <v>0</v>
      </c>
      <c r="E23" s="92">
        <v>0</v>
      </c>
      <c r="F23" s="92">
        <v>0</v>
      </c>
      <c r="G23" s="92">
        <v>0</v>
      </c>
      <c r="H23" s="92">
        <v>0</v>
      </c>
      <c r="I23" s="92">
        <v>0</v>
      </c>
      <c r="J23" s="259">
        <v>1.60387832049608</v>
      </c>
      <c r="K23" s="83">
        <f>VLOOKUP($C23,Prevs!$C$7:$I$279,2,FALSE)-IFERROR(VLOOKUP($E23,Prevs!$C$7:$I$279,2,FALSE),0)-IFERROR(VLOOKUP($D23,Prevs!$C$7:$I$279,2,FALSE),0)-IFERROR(VLOOKUP($G23,Prevs!$C$7:$I$279,2,FALSE),0)-IFERROR(VLOOKUP($H23,Prevs!$C$7:$I$279,2,FALSE),0)-IFERROR(VLOOKUP($I23,Prevs!$C$7:$I$279,2,FALSE),0)-IFERROR(VLOOKUP($F23,Prevs!$C$7:$I$279,2,FALSE),0)</f>
        <v>30</v>
      </c>
      <c r="L23" s="81">
        <f>VLOOKUP($C23,Prevs!$C$7:$I$279,3,FALSE)-IFERROR(VLOOKUP($E23,Prevs!$C$7:$I$279,3,FALSE),0)-IFERROR(VLOOKUP($D23,Prevs!$C$7:$I$279,3,FALSE),0)-IFERROR(VLOOKUP($G23,Prevs!$C$7:$I$279,3,FALSE),0)-IFERROR(VLOOKUP($H23,Prevs!$C$7:$I$279,3,FALSE),0)-IFERROR(VLOOKUP($I23,Prevs!$C$7:$I$279,3,FALSE),0)-IFERROR(VLOOKUP($F23,Prevs!$C$7:$I$279,3,FALSE),0)</f>
        <v>29</v>
      </c>
      <c r="M23" s="81">
        <f>VLOOKUP($C23,Prevs!$C$7:$I$279,4,FALSE)-IFERROR(VLOOKUP($E23,Prevs!$C$7:$I$279,4,FALSE),0)-IFERROR(VLOOKUP($D23,Prevs!$C$7:$I$279,4,FALSE),0)-IFERROR(VLOOKUP($G23,Prevs!$C$7:$I$279,4,FALSE),0)-IFERROR(VLOOKUP($H23,Prevs!$C$7:$I$279,4,FALSE),0)-IFERROR(VLOOKUP($I23,Prevs!$C$7:$I$279,4,FALSE),0)-IFERROR(VLOOKUP($F23,Prevs!$C$7:$I$279,4,FALSE),0)</f>
        <v>28</v>
      </c>
      <c r="N23" s="81">
        <f>VLOOKUP($C23,Prevs!$C$7:$I$279,5,FALSE)-IFERROR(VLOOKUP($E23,Prevs!$C$7:$I$279,5,FALSE),0)-IFERROR(VLOOKUP($D23,Prevs!$C$7:$I$279,5,FALSE),0)-IFERROR(VLOOKUP($G23,Prevs!$C$7:$I$279,5,FALSE),0)-IFERROR(VLOOKUP($H23,Prevs!$C$7:$I$279,5,FALSE),0)-IFERROR(VLOOKUP($I23,Prevs!$C$7:$I$279,5,FALSE),0)-IFERROR(VLOOKUP($F23,Prevs!$C$7:$I$279,5,FALSE),0)</f>
        <v>27</v>
      </c>
      <c r="O23" s="81">
        <f>VLOOKUP($C23,Prevs!$C$7:$I$279,6,FALSE)-IFERROR(VLOOKUP($E23,Prevs!$C$7:$I$279,6,FALSE),0)-IFERROR(VLOOKUP($D23,Prevs!$C$7:$I$279,6,FALSE),0)-IFERROR(VLOOKUP($G23,Prevs!$C$7:$I$279,6,FALSE),0)-IFERROR(VLOOKUP($H23,Prevs!$C$7:$I$279,6,FALSE),0)-IFERROR(VLOOKUP($I23,Prevs!$C$7:$I$279,6,FALSE),0)-IFERROR(VLOOKUP($F23,Prevs!$C$7:$I$279,6,FALSE),0)</f>
        <v>25</v>
      </c>
      <c r="P23" s="84">
        <f>VLOOKUP($C23,Prevs!$C$7:$I$279,7,FALSE)-IFERROR(VLOOKUP($E23,Prevs!$C$7:$I$279,7,FALSE),0)-IFERROR(VLOOKUP($D23,Prevs!$C$7:$I$279,7,FALSE),0)-IFERROR(VLOOKUP($G23,Prevs!$C$7:$I$279,7,FALSE),0)-IFERROR(VLOOKUP($H23,Prevs!$C$7:$I$279,7,FALSE),0)-IFERROR(VLOOKUP($I23,Prevs!$C$7:$I$279,7,FALSE),0)-IFERROR(VLOOKUP($F23,Prevs!$C$7:$I$279,7,FALSE),0)</f>
        <v>25</v>
      </c>
      <c r="Q23" s="276">
        <f t="shared" si="2"/>
        <v>48.116349614882402</v>
      </c>
      <c r="R23" s="271">
        <f t="shared" si="3"/>
        <v>46.512471294386323</v>
      </c>
      <c r="S23" s="271">
        <f t="shared" si="4"/>
        <v>44.908592973890244</v>
      </c>
      <c r="T23" s="271">
        <f t="shared" si="5"/>
        <v>43.304714653394164</v>
      </c>
      <c r="U23" s="271">
        <f t="shared" si="6"/>
        <v>40.096958012401998</v>
      </c>
      <c r="V23" s="272">
        <f t="shared" si="7"/>
        <v>40.096958012401998</v>
      </c>
      <c r="X23" s="83"/>
      <c r="Y23" s="81"/>
      <c r="Z23" s="81"/>
      <c r="AA23" s="81"/>
      <c r="AB23" s="81"/>
      <c r="AC23" s="84"/>
      <c r="AD23" s="85"/>
      <c r="AE23" s="81"/>
      <c r="AF23" s="81"/>
      <c r="AG23" s="81"/>
      <c r="AH23" s="81"/>
      <c r="AI23" s="84"/>
    </row>
    <row r="24" spans="2:35" s="74" customFormat="1" ht="26.25" customHeight="1" x14ac:dyDescent="0.25">
      <c r="B24" s="151" t="s">
        <v>266</v>
      </c>
      <c r="C24" s="81">
        <v>255</v>
      </c>
      <c r="D24" s="92">
        <v>0</v>
      </c>
      <c r="E24" s="92">
        <v>0</v>
      </c>
      <c r="F24" s="92">
        <v>0</v>
      </c>
      <c r="G24" s="92">
        <v>0</v>
      </c>
      <c r="H24" s="92">
        <v>0</v>
      </c>
      <c r="I24" s="92">
        <v>0</v>
      </c>
      <c r="J24" s="259">
        <v>1.4905524594248201</v>
      </c>
      <c r="K24" s="83">
        <f>VLOOKUP($C24,Prevs!$C$7:$I$279,2,FALSE)-IFERROR(VLOOKUP($E24,Prevs!$C$7:$I$279,2,FALSE),0)-IFERROR(VLOOKUP($D24,Prevs!$C$7:$I$279,2,FALSE),0)-IFERROR(VLOOKUP($G24,Prevs!$C$7:$I$279,2,FALSE),0)-IFERROR(VLOOKUP($H24,Prevs!$C$7:$I$279,2,FALSE),0)-IFERROR(VLOOKUP($I24,Prevs!$C$7:$I$279,2,FALSE),0)-IFERROR(VLOOKUP($F24,Prevs!$C$7:$I$279,2,FALSE),0)</f>
        <v>33</v>
      </c>
      <c r="L24" s="81">
        <f>VLOOKUP($C24,Prevs!$C$7:$I$279,3,FALSE)-IFERROR(VLOOKUP($E24,Prevs!$C$7:$I$279,3,FALSE),0)-IFERROR(VLOOKUP($D24,Prevs!$C$7:$I$279,3,FALSE),0)-IFERROR(VLOOKUP($G24,Prevs!$C$7:$I$279,3,FALSE),0)-IFERROR(VLOOKUP($H24,Prevs!$C$7:$I$279,3,FALSE),0)-IFERROR(VLOOKUP($I24,Prevs!$C$7:$I$279,3,FALSE),0)-IFERROR(VLOOKUP($F24,Prevs!$C$7:$I$279,3,FALSE),0)</f>
        <v>31</v>
      </c>
      <c r="M24" s="81">
        <f>VLOOKUP($C24,Prevs!$C$7:$I$279,4,FALSE)-IFERROR(VLOOKUP($E24,Prevs!$C$7:$I$279,4,FALSE),0)-IFERROR(VLOOKUP($D24,Prevs!$C$7:$I$279,4,FALSE),0)-IFERROR(VLOOKUP($G24,Prevs!$C$7:$I$279,4,FALSE),0)-IFERROR(VLOOKUP($H24,Prevs!$C$7:$I$279,4,FALSE),0)-IFERROR(VLOOKUP($I24,Prevs!$C$7:$I$279,4,FALSE),0)-IFERROR(VLOOKUP($F24,Prevs!$C$7:$I$279,4,FALSE),0)</f>
        <v>30</v>
      </c>
      <c r="N24" s="81">
        <f>VLOOKUP($C24,Prevs!$C$7:$I$279,5,FALSE)-IFERROR(VLOOKUP($E24,Prevs!$C$7:$I$279,5,FALSE),0)-IFERROR(VLOOKUP($D24,Prevs!$C$7:$I$279,5,FALSE),0)-IFERROR(VLOOKUP($G24,Prevs!$C$7:$I$279,5,FALSE),0)-IFERROR(VLOOKUP($H24,Prevs!$C$7:$I$279,5,FALSE),0)-IFERROR(VLOOKUP($I24,Prevs!$C$7:$I$279,5,FALSE),0)-IFERROR(VLOOKUP($F24,Prevs!$C$7:$I$279,5,FALSE),0)</f>
        <v>30</v>
      </c>
      <c r="O24" s="81">
        <f>VLOOKUP($C24,Prevs!$C$7:$I$279,6,FALSE)-IFERROR(VLOOKUP($E24,Prevs!$C$7:$I$279,6,FALSE),0)-IFERROR(VLOOKUP($D24,Prevs!$C$7:$I$279,6,FALSE),0)-IFERROR(VLOOKUP($G24,Prevs!$C$7:$I$279,6,FALSE),0)-IFERROR(VLOOKUP($H24,Prevs!$C$7:$I$279,6,FALSE),0)-IFERROR(VLOOKUP($I24,Prevs!$C$7:$I$279,6,FALSE),0)-IFERROR(VLOOKUP($F24,Prevs!$C$7:$I$279,6,FALSE),0)</f>
        <v>28</v>
      </c>
      <c r="P24" s="84">
        <f>VLOOKUP($C24,Prevs!$C$7:$I$279,7,FALSE)-IFERROR(VLOOKUP($E24,Prevs!$C$7:$I$279,7,FALSE),0)-IFERROR(VLOOKUP($D24,Prevs!$C$7:$I$279,7,FALSE),0)-IFERROR(VLOOKUP($G24,Prevs!$C$7:$I$279,7,FALSE),0)-IFERROR(VLOOKUP($H24,Prevs!$C$7:$I$279,7,FALSE),0)-IFERROR(VLOOKUP($I24,Prevs!$C$7:$I$279,7,FALSE),0)-IFERROR(VLOOKUP($F24,Prevs!$C$7:$I$279,7,FALSE),0)</f>
        <v>27</v>
      </c>
      <c r="Q24" s="276">
        <f t="shared" si="2"/>
        <v>49.188231161019061</v>
      </c>
      <c r="R24" s="271">
        <f t="shared" si="3"/>
        <v>46.207126242169423</v>
      </c>
      <c r="S24" s="271">
        <f t="shared" si="4"/>
        <v>44.716573782744604</v>
      </c>
      <c r="T24" s="271">
        <f t="shared" si="5"/>
        <v>44.716573782744604</v>
      </c>
      <c r="U24" s="271">
        <f t="shared" si="6"/>
        <v>41.735468863894965</v>
      </c>
      <c r="V24" s="272">
        <f t="shared" si="7"/>
        <v>40.244916404470139</v>
      </c>
      <c r="X24" s="83"/>
      <c r="Y24" s="81"/>
      <c r="Z24" s="81"/>
      <c r="AA24" s="81"/>
      <c r="AB24" s="81"/>
      <c r="AC24" s="84"/>
      <c r="AD24" s="85"/>
      <c r="AE24" s="81"/>
      <c r="AF24" s="81"/>
      <c r="AG24" s="81"/>
      <c r="AH24" s="81"/>
      <c r="AI24" s="84"/>
    </row>
    <row r="25" spans="2:35" s="74" customFormat="1" ht="26.25" customHeight="1" x14ac:dyDescent="0.25">
      <c r="B25" s="151" t="s">
        <v>158</v>
      </c>
      <c r="C25" s="81">
        <v>196</v>
      </c>
      <c r="D25" s="92">
        <v>0</v>
      </c>
      <c r="E25" s="92">
        <v>0</v>
      </c>
      <c r="F25" s="92">
        <v>0</v>
      </c>
      <c r="G25" s="92">
        <v>0</v>
      </c>
      <c r="H25" s="92">
        <v>0</v>
      </c>
      <c r="I25" s="92">
        <v>0</v>
      </c>
      <c r="J25" s="259">
        <v>1.6949660551135</v>
      </c>
      <c r="K25" s="83">
        <f>VLOOKUP($C25,Prevs!$C$7:$I$279,2,FALSE)-IFERROR(VLOOKUP($E25,Prevs!$C$7:$I$279,2,FALSE),0)-IFERROR(VLOOKUP($D25,Prevs!$C$7:$I$279,2,FALSE),0)-IFERROR(VLOOKUP($G25,Prevs!$C$7:$I$279,2,FALSE),0)-IFERROR(VLOOKUP($H25,Prevs!$C$7:$I$279,2,FALSE),0)-IFERROR(VLOOKUP($I25,Prevs!$C$7:$I$279,2,FALSE),0)-IFERROR(VLOOKUP($F25,Prevs!$C$7:$I$279,2,FALSE),0)</f>
        <v>13</v>
      </c>
      <c r="L25" s="81">
        <f>VLOOKUP($C25,Prevs!$C$7:$I$279,3,FALSE)-IFERROR(VLOOKUP($E25,Prevs!$C$7:$I$279,3,FALSE),0)-IFERROR(VLOOKUP($D25,Prevs!$C$7:$I$279,3,FALSE),0)-IFERROR(VLOOKUP($G25,Prevs!$C$7:$I$279,3,FALSE),0)-IFERROR(VLOOKUP($H25,Prevs!$C$7:$I$279,3,FALSE),0)-IFERROR(VLOOKUP($I25,Prevs!$C$7:$I$279,3,FALSE),0)-IFERROR(VLOOKUP($F25,Prevs!$C$7:$I$279,3,FALSE),0)</f>
        <v>14</v>
      </c>
      <c r="M25" s="81">
        <f>VLOOKUP($C25,Prevs!$C$7:$I$279,4,FALSE)-IFERROR(VLOOKUP($E25,Prevs!$C$7:$I$279,4,FALSE),0)-IFERROR(VLOOKUP($D25,Prevs!$C$7:$I$279,4,FALSE),0)-IFERROR(VLOOKUP($G25,Prevs!$C$7:$I$279,4,FALSE),0)-IFERROR(VLOOKUP($H25,Prevs!$C$7:$I$279,4,FALSE),0)-IFERROR(VLOOKUP($I25,Prevs!$C$7:$I$279,4,FALSE),0)-IFERROR(VLOOKUP($F25,Prevs!$C$7:$I$279,4,FALSE),0)</f>
        <v>14</v>
      </c>
      <c r="N25" s="81">
        <f>VLOOKUP($C25,Prevs!$C$7:$I$279,5,FALSE)-IFERROR(VLOOKUP($E25,Prevs!$C$7:$I$279,5,FALSE),0)-IFERROR(VLOOKUP($D25,Prevs!$C$7:$I$279,5,FALSE),0)-IFERROR(VLOOKUP($G25,Prevs!$C$7:$I$279,5,FALSE),0)-IFERROR(VLOOKUP($H25,Prevs!$C$7:$I$279,5,FALSE),0)-IFERROR(VLOOKUP($I25,Prevs!$C$7:$I$279,5,FALSE),0)-IFERROR(VLOOKUP($F25,Prevs!$C$7:$I$279,5,FALSE),0)</f>
        <v>14</v>
      </c>
      <c r="O25" s="81">
        <f>VLOOKUP($C25,Prevs!$C$7:$I$279,6,FALSE)-IFERROR(VLOOKUP($E25,Prevs!$C$7:$I$279,6,FALSE),0)-IFERROR(VLOOKUP($D25,Prevs!$C$7:$I$279,6,FALSE),0)-IFERROR(VLOOKUP($G25,Prevs!$C$7:$I$279,6,FALSE),0)-IFERROR(VLOOKUP($H25,Prevs!$C$7:$I$279,6,FALSE),0)-IFERROR(VLOOKUP($I25,Prevs!$C$7:$I$279,6,FALSE),0)-IFERROR(VLOOKUP($F25,Prevs!$C$7:$I$279,6,FALSE),0)</f>
        <v>13</v>
      </c>
      <c r="P25" s="84">
        <f>VLOOKUP($C25,Prevs!$C$7:$I$279,7,FALSE)-IFERROR(VLOOKUP($E25,Prevs!$C$7:$I$279,7,FALSE),0)-IFERROR(VLOOKUP($D25,Prevs!$C$7:$I$279,7,FALSE),0)-IFERROR(VLOOKUP($G25,Prevs!$C$7:$I$279,7,FALSE),0)-IFERROR(VLOOKUP($H25,Prevs!$C$7:$I$279,7,FALSE),0)-IFERROR(VLOOKUP($I25,Prevs!$C$7:$I$279,7,FALSE),0)-IFERROR(VLOOKUP($F25,Prevs!$C$7:$I$279,7,FALSE),0)</f>
        <v>12</v>
      </c>
      <c r="Q25" s="276">
        <f t="shared" si="2"/>
        <v>22.034558716475498</v>
      </c>
      <c r="R25" s="271">
        <f t="shared" si="3"/>
        <v>23.729524771588999</v>
      </c>
      <c r="S25" s="271">
        <f t="shared" si="4"/>
        <v>23.729524771588999</v>
      </c>
      <c r="T25" s="271">
        <f t="shared" si="5"/>
        <v>23.729524771588999</v>
      </c>
      <c r="U25" s="271">
        <f t="shared" si="6"/>
        <v>22.034558716475498</v>
      </c>
      <c r="V25" s="272">
        <f t="shared" si="7"/>
        <v>20.339592661361998</v>
      </c>
      <c r="X25" s="83"/>
      <c r="Y25" s="81"/>
      <c r="Z25" s="81"/>
      <c r="AA25" s="81"/>
      <c r="AB25" s="81"/>
      <c r="AC25" s="84"/>
      <c r="AD25" s="85"/>
      <c r="AE25" s="81"/>
      <c r="AF25" s="81"/>
      <c r="AG25" s="81"/>
      <c r="AH25" s="81"/>
      <c r="AI25" s="84"/>
    </row>
    <row r="26" spans="2:35" s="74" customFormat="1" ht="26.25" customHeight="1" x14ac:dyDescent="0.25">
      <c r="B26" s="151" t="s">
        <v>332</v>
      </c>
      <c r="C26" s="81">
        <v>262</v>
      </c>
      <c r="D26" s="92">
        <v>0</v>
      </c>
      <c r="E26" s="92">
        <v>0</v>
      </c>
      <c r="F26" s="92">
        <v>0</v>
      </c>
      <c r="G26" s="92">
        <v>0</v>
      </c>
      <c r="H26" s="92">
        <v>0</v>
      </c>
      <c r="I26" s="92">
        <v>0</v>
      </c>
      <c r="J26" s="259">
        <v>2.5519335392825702</v>
      </c>
      <c r="K26" s="83">
        <f>VLOOKUP($C26,Prevs!$C$7:$I$279,2,FALSE)-IFERROR(VLOOKUP($E26,Prevs!$C$7:$I$279,2,FALSE),0)-IFERROR(VLOOKUP($D26,Prevs!$C$7:$I$279,2,FALSE),0)-IFERROR(VLOOKUP($G26,Prevs!$C$7:$I$279,2,FALSE),0)-IFERROR(VLOOKUP($H26,Prevs!$C$7:$I$279,2,FALSE),0)-IFERROR(VLOOKUP($I26,Prevs!$C$7:$I$279,2,FALSE),0)-IFERROR(VLOOKUP($F26,Prevs!$C$7:$I$279,2,FALSE),0)</f>
        <v>33</v>
      </c>
      <c r="L26" s="81">
        <f>VLOOKUP($C26,Prevs!$C$7:$I$279,3,FALSE)-IFERROR(VLOOKUP($E26,Prevs!$C$7:$I$279,3,FALSE),0)-IFERROR(VLOOKUP($D26,Prevs!$C$7:$I$279,3,FALSE),0)-IFERROR(VLOOKUP($G26,Prevs!$C$7:$I$279,3,FALSE),0)-IFERROR(VLOOKUP($H26,Prevs!$C$7:$I$279,3,FALSE),0)-IFERROR(VLOOKUP($I26,Prevs!$C$7:$I$279,3,FALSE),0)-IFERROR(VLOOKUP($F26,Prevs!$C$7:$I$279,3,FALSE),0)</f>
        <v>33</v>
      </c>
      <c r="M26" s="81">
        <f>VLOOKUP($C26,Prevs!$C$7:$I$279,4,FALSE)-IFERROR(VLOOKUP($E26,Prevs!$C$7:$I$279,4,FALSE),0)-IFERROR(VLOOKUP($D26,Prevs!$C$7:$I$279,4,FALSE),0)-IFERROR(VLOOKUP($G26,Prevs!$C$7:$I$279,4,FALSE),0)-IFERROR(VLOOKUP($H26,Prevs!$C$7:$I$279,4,FALSE),0)-IFERROR(VLOOKUP($I26,Prevs!$C$7:$I$279,4,FALSE),0)-IFERROR(VLOOKUP($F26,Prevs!$C$7:$I$279,4,FALSE),0)</f>
        <v>32</v>
      </c>
      <c r="N26" s="81">
        <f>VLOOKUP($C26,Prevs!$C$7:$I$279,5,FALSE)-IFERROR(VLOOKUP($E26,Prevs!$C$7:$I$279,5,FALSE),0)-IFERROR(VLOOKUP($D26,Prevs!$C$7:$I$279,5,FALSE),0)-IFERROR(VLOOKUP($G26,Prevs!$C$7:$I$279,5,FALSE),0)-IFERROR(VLOOKUP($H26,Prevs!$C$7:$I$279,5,FALSE),0)-IFERROR(VLOOKUP($I26,Prevs!$C$7:$I$279,5,FALSE),0)-IFERROR(VLOOKUP($F26,Prevs!$C$7:$I$279,5,FALSE),0)</f>
        <v>31</v>
      </c>
      <c r="O26" s="81">
        <f>VLOOKUP($C26,Prevs!$C$7:$I$279,6,FALSE)-IFERROR(VLOOKUP($E26,Prevs!$C$7:$I$279,6,FALSE),0)-IFERROR(VLOOKUP($D26,Prevs!$C$7:$I$279,6,FALSE),0)-IFERROR(VLOOKUP($G26,Prevs!$C$7:$I$279,6,FALSE),0)-IFERROR(VLOOKUP($H26,Prevs!$C$7:$I$279,6,FALSE),0)-IFERROR(VLOOKUP($I26,Prevs!$C$7:$I$279,6,FALSE),0)-IFERROR(VLOOKUP($F26,Prevs!$C$7:$I$279,6,FALSE),0)</f>
        <v>31</v>
      </c>
      <c r="P26" s="84">
        <f>VLOOKUP($C26,Prevs!$C$7:$I$279,7,FALSE)-IFERROR(VLOOKUP($E26,Prevs!$C$7:$I$279,7,FALSE),0)-IFERROR(VLOOKUP($D26,Prevs!$C$7:$I$279,7,FALSE),0)-IFERROR(VLOOKUP($G26,Prevs!$C$7:$I$279,7,FALSE),0)-IFERROR(VLOOKUP($H26,Prevs!$C$7:$I$279,7,FALSE),0)-IFERROR(VLOOKUP($I26,Prevs!$C$7:$I$279,7,FALSE),0)-IFERROR(VLOOKUP($F26,Prevs!$C$7:$I$279,7,FALSE),0)</f>
        <v>31</v>
      </c>
      <c r="Q26" s="276">
        <f t="shared" si="2"/>
        <v>84.213806796324818</v>
      </c>
      <c r="R26" s="271">
        <f t="shared" si="3"/>
        <v>84.213806796324818</v>
      </c>
      <c r="S26" s="271">
        <f t="shared" si="4"/>
        <v>81.661873257042245</v>
      </c>
      <c r="T26" s="271">
        <f t="shared" si="5"/>
        <v>79.109939717759673</v>
      </c>
      <c r="U26" s="271">
        <f t="shared" si="6"/>
        <v>79.109939717759673</v>
      </c>
      <c r="V26" s="272">
        <f t="shared" si="7"/>
        <v>79.109939717759673</v>
      </c>
      <c r="X26" s="83"/>
      <c r="Y26" s="81"/>
      <c r="Z26" s="81"/>
      <c r="AA26" s="81"/>
      <c r="AB26" s="81"/>
      <c r="AC26" s="84"/>
      <c r="AD26" s="85"/>
      <c r="AE26" s="81"/>
      <c r="AF26" s="81"/>
      <c r="AG26" s="81"/>
      <c r="AH26" s="81"/>
      <c r="AI26" s="84"/>
    </row>
    <row r="27" spans="2:35" s="74" customFormat="1" ht="26.25" customHeight="1" x14ac:dyDescent="0.25">
      <c r="B27" s="151" t="s">
        <v>333</v>
      </c>
      <c r="C27" s="81">
        <v>183</v>
      </c>
      <c r="D27" s="92">
        <v>262</v>
      </c>
      <c r="E27" s="92">
        <v>0</v>
      </c>
      <c r="F27" s="92">
        <v>0</v>
      </c>
      <c r="G27" s="92">
        <v>0</v>
      </c>
      <c r="H27" s="92">
        <v>0</v>
      </c>
      <c r="I27" s="92">
        <v>0</v>
      </c>
      <c r="J27" s="259">
        <v>1.5277695392825701</v>
      </c>
      <c r="K27" s="83">
        <f>VLOOKUP($C27,Prevs!$C$7:$I$279,2,FALSE)-IFERROR(VLOOKUP($E27,Prevs!$C$7:$I$279,2,FALSE),0)-IFERROR(VLOOKUP($D27,Prevs!$C$7:$I$279,2,FALSE),0)-IFERROR(VLOOKUP($G27,Prevs!$C$7:$I$279,2,FALSE),0)-IFERROR(VLOOKUP($H27,Prevs!$C$7:$I$279,2,FALSE),0)-IFERROR(VLOOKUP($I27,Prevs!$C$7:$I$279,2,FALSE),0)-IFERROR(VLOOKUP($F27,Prevs!$C$7:$I$279,2,FALSE),0)</f>
        <v>2</v>
      </c>
      <c r="L27" s="81">
        <f>VLOOKUP($C27,Prevs!$C$7:$I$279,3,FALSE)-IFERROR(VLOOKUP($E27,Prevs!$C$7:$I$279,3,FALSE),0)-IFERROR(VLOOKUP($D27,Prevs!$C$7:$I$279,3,FALSE),0)-IFERROR(VLOOKUP($G27,Prevs!$C$7:$I$279,3,FALSE),0)-IFERROR(VLOOKUP($H27,Prevs!$C$7:$I$279,3,FALSE),0)-IFERROR(VLOOKUP($I27,Prevs!$C$7:$I$279,3,FALSE),0)-IFERROR(VLOOKUP($F27,Prevs!$C$7:$I$279,3,FALSE),0)</f>
        <v>2</v>
      </c>
      <c r="M27" s="81">
        <f>VLOOKUP($C27,Prevs!$C$7:$I$279,4,FALSE)-IFERROR(VLOOKUP($E27,Prevs!$C$7:$I$279,4,FALSE),0)-IFERROR(VLOOKUP($D27,Prevs!$C$7:$I$279,4,FALSE),0)-IFERROR(VLOOKUP($G27,Prevs!$C$7:$I$279,4,FALSE),0)-IFERROR(VLOOKUP($H27,Prevs!$C$7:$I$279,4,FALSE),0)-IFERROR(VLOOKUP($I27,Prevs!$C$7:$I$279,4,FALSE),0)-IFERROR(VLOOKUP($F27,Prevs!$C$7:$I$279,4,FALSE),0)</f>
        <v>2</v>
      </c>
      <c r="N27" s="81">
        <f>VLOOKUP($C27,Prevs!$C$7:$I$279,5,FALSE)-IFERROR(VLOOKUP($E27,Prevs!$C$7:$I$279,5,FALSE),0)-IFERROR(VLOOKUP($D27,Prevs!$C$7:$I$279,5,FALSE),0)-IFERROR(VLOOKUP($G27,Prevs!$C$7:$I$279,5,FALSE),0)-IFERROR(VLOOKUP($H27,Prevs!$C$7:$I$279,5,FALSE),0)-IFERROR(VLOOKUP($I27,Prevs!$C$7:$I$279,5,FALSE),0)-IFERROR(VLOOKUP($F27,Prevs!$C$7:$I$279,5,FALSE),0)</f>
        <v>3</v>
      </c>
      <c r="O27" s="81">
        <f>VLOOKUP($C27,Prevs!$C$7:$I$279,6,FALSE)-IFERROR(VLOOKUP($E27,Prevs!$C$7:$I$279,6,FALSE),0)-IFERROR(VLOOKUP($D27,Prevs!$C$7:$I$279,6,FALSE),0)-IFERROR(VLOOKUP($G27,Prevs!$C$7:$I$279,6,FALSE),0)-IFERROR(VLOOKUP($H27,Prevs!$C$7:$I$279,6,FALSE),0)-IFERROR(VLOOKUP($I27,Prevs!$C$7:$I$279,6,FALSE),0)-IFERROR(VLOOKUP($F27,Prevs!$C$7:$I$279,6,FALSE),0)</f>
        <v>2</v>
      </c>
      <c r="P27" s="84">
        <f>VLOOKUP($C27,Prevs!$C$7:$I$279,7,FALSE)-IFERROR(VLOOKUP($E27,Prevs!$C$7:$I$279,7,FALSE),0)-IFERROR(VLOOKUP($D27,Prevs!$C$7:$I$279,7,FALSE),0)-IFERROR(VLOOKUP($G27,Prevs!$C$7:$I$279,7,FALSE),0)-IFERROR(VLOOKUP($H27,Prevs!$C$7:$I$279,7,FALSE),0)-IFERROR(VLOOKUP($I27,Prevs!$C$7:$I$279,7,FALSE),0)-IFERROR(VLOOKUP($F27,Prevs!$C$7:$I$279,7,FALSE),0)</f>
        <v>2</v>
      </c>
      <c r="Q27" s="276">
        <f t="shared" si="2"/>
        <v>3.0555390785651402</v>
      </c>
      <c r="R27" s="271">
        <f t="shared" si="3"/>
        <v>3.0555390785651402</v>
      </c>
      <c r="S27" s="271">
        <f t="shared" si="4"/>
        <v>3.0555390785651402</v>
      </c>
      <c r="T27" s="271">
        <f t="shared" si="5"/>
        <v>4.5833086178477105</v>
      </c>
      <c r="U27" s="271">
        <f t="shared" si="6"/>
        <v>3.0555390785651402</v>
      </c>
      <c r="V27" s="272">
        <f t="shared" si="7"/>
        <v>3.0555390785651402</v>
      </c>
      <c r="X27" s="83"/>
      <c r="Y27" s="81"/>
      <c r="Z27" s="81"/>
      <c r="AA27" s="81"/>
      <c r="AB27" s="81"/>
      <c r="AC27" s="84"/>
      <c r="AD27" s="85"/>
      <c r="AE27" s="81"/>
      <c r="AF27" s="81"/>
      <c r="AG27" s="81"/>
      <c r="AH27" s="81"/>
      <c r="AI27" s="84"/>
    </row>
    <row r="28" spans="2:35" s="74" customFormat="1" ht="26.25" customHeight="1" x14ac:dyDescent="0.25">
      <c r="B28" s="151" t="s">
        <v>87</v>
      </c>
      <c r="C28" s="81">
        <v>14</v>
      </c>
      <c r="D28" s="92">
        <v>0</v>
      </c>
      <c r="E28" s="92">
        <v>0</v>
      </c>
      <c r="F28" s="92">
        <v>0</v>
      </c>
      <c r="G28" s="92">
        <v>0</v>
      </c>
      <c r="H28" s="92">
        <v>0</v>
      </c>
      <c r="I28" s="92">
        <v>0</v>
      </c>
      <c r="J28" s="259">
        <v>4.5441733707612002</v>
      </c>
      <c r="K28" s="83">
        <f>VLOOKUP($C28,Prevs!$C$7:$I$279,2,FALSE)-IFERROR(VLOOKUP($E28,Prevs!$C$7:$I$279,2,FALSE),0)-IFERROR(VLOOKUP($D28,Prevs!$C$7:$I$279,2,FALSE),0)-IFERROR(VLOOKUP($G28,Prevs!$C$7:$I$279,2,FALSE),0)-IFERROR(VLOOKUP($H28,Prevs!$C$7:$I$279,2,FALSE),0)-IFERROR(VLOOKUP($I28,Prevs!$C$7:$I$279,2,FALSE),0)-IFERROR(VLOOKUP($F28,Prevs!$C$7:$I$279,2,FALSE),0)</f>
        <v>14</v>
      </c>
      <c r="L28" s="81">
        <f>VLOOKUP($C28,Prevs!$C$7:$I$279,3,FALSE)-IFERROR(VLOOKUP($E28,Prevs!$C$7:$I$279,3,FALSE),0)-IFERROR(VLOOKUP($D28,Prevs!$C$7:$I$279,3,FALSE),0)-IFERROR(VLOOKUP($G28,Prevs!$C$7:$I$279,3,FALSE),0)-IFERROR(VLOOKUP($H28,Prevs!$C$7:$I$279,3,FALSE),0)-IFERROR(VLOOKUP($I28,Prevs!$C$7:$I$279,3,FALSE),0)-IFERROR(VLOOKUP($F28,Prevs!$C$7:$I$279,3,FALSE),0)</f>
        <v>15</v>
      </c>
      <c r="M28" s="81">
        <f>VLOOKUP($C28,Prevs!$C$7:$I$279,4,FALSE)-IFERROR(VLOOKUP($E28,Prevs!$C$7:$I$279,4,FALSE),0)-IFERROR(VLOOKUP($D28,Prevs!$C$7:$I$279,4,FALSE),0)-IFERROR(VLOOKUP($G28,Prevs!$C$7:$I$279,4,FALSE),0)-IFERROR(VLOOKUP($H28,Prevs!$C$7:$I$279,4,FALSE),0)-IFERROR(VLOOKUP($I28,Prevs!$C$7:$I$279,4,FALSE),0)-IFERROR(VLOOKUP($F28,Prevs!$C$7:$I$279,4,FALSE),0)</f>
        <v>15</v>
      </c>
      <c r="N28" s="81">
        <f>VLOOKUP($C28,Prevs!$C$7:$I$279,5,FALSE)-IFERROR(VLOOKUP($E28,Prevs!$C$7:$I$279,5,FALSE),0)-IFERROR(VLOOKUP($D28,Prevs!$C$7:$I$279,5,FALSE),0)-IFERROR(VLOOKUP($G28,Prevs!$C$7:$I$279,5,FALSE),0)-IFERROR(VLOOKUP($H28,Prevs!$C$7:$I$279,5,FALSE),0)-IFERROR(VLOOKUP($I28,Prevs!$C$7:$I$279,5,FALSE),0)-IFERROR(VLOOKUP($F28,Prevs!$C$7:$I$279,5,FALSE),0)</f>
        <v>14</v>
      </c>
      <c r="O28" s="81">
        <f>VLOOKUP($C28,Prevs!$C$7:$I$279,6,FALSE)-IFERROR(VLOOKUP($E28,Prevs!$C$7:$I$279,6,FALSE),0)-IFERROR(VLOOKUP($D28,Prevs!$C$7:$I$279,6,FALSE),0)-IFERROR(VLOOKUP($G28,Prevs!$C$7:$I$279,6,FALSE),0)-IFERROR(VLOOKUP($H28,Prevs!$C$7:$I$279,6,FALSE),0)-IFERROR(VLOOKUP($I28,Prevs!$C$7:$I$279,6,FALSE),0)-IFERROR(VLOOKUP($F28,Prevs!$C$7:$I$279,6,FALSE),0)</f>
        <v>14</v>
      </c>
      <c r="P28" s="84">
        <f>VLOOKUP($C28,Prevs!$C$7:$I$279,7,FALSE)-IFERROR(VLOOKUP($E28,Prevs!$C$7:$I$279,7,FALSE),0)-IFERROR(VLOOKUP($D28,Prevs!$C$7:$I$279,7,FALSE),0)-IFERROR(VLOOKUP($G28,Prevs!$C$7:$I$279,7,FALSE),0)-IFERROR(VLOOKUP($H28,Prevs!$C$7:$I$279,7,FALSE),0)-IFERROR(VLOOKUP($I28,Prevs!$C$7:$I$279,7,FALSE),0)-IFERROR(VLOOKUP($F28,Prevs!$C$7:$I$279,7,FALSE),0)</f>
        <v>15</v>
      </c>
      <c r="Q28" s="276">
        <f t="shared" si="2"/>
        <v>63.618427190656803</v>
      </c>
      <c r="R28" s="271">
        <f t="shared" si="3"/>
        <v>68.162600561418003</v>
      </c>
      <c r="S28" s="271">
        <f t="shared" si="4"/>
        <v>68.162600561418003</v>
      </c>
      <c r="T28" s="271">
        <f t="shared" si="5"/>
        <v>63.618427190656803</v>
      </c>
      <c r="U28" s="271">
        <f t="shared" si="6"/>
        <v>63.618427190656803</v>
      </c>
      <c r="V28" s="272">
        <f t="shared" si="7"/>
        <v>68.162600561418003</v>
      </c>
      <c r="X28" s="83"/>
      <c r="Y28" s="81"/>
      <c r="Z28" s="81"/>
      <c r="AA28" s="81"/>
      <c r="AB28" s="81"/>
      <c r="AC28" s="84"/>
      <c r="AD28" s="85"/>
      <c r="AE28" s="81"/>
      <c r="AF28" s="81"/>
      <c r="AG28" s="81"/>
      <c r="AH28" s="81"/>
      <c r="AI28" s="84"/>
    </row>
    <row r="29" spans="2:35" s="74" customFormat="1" ht="26.25" customHeight="1" x14ac:dyDescent="0.25">
      <c r="B29" s="151" t="s">
        <v>375</v>
      </c>
      <c r="C29" s="81">
        <v>18</v>
      </c>
      <c r="D29" s="92">
        <v>17</v>
      </c>
      <c r="E29" s="92">
        <v>0</v>
      </c>
      <c r="F29" s="92">
        <v>0</v>
      </c>
      <c r="G29" s="92">
        <v>0</v>
      </c>
      <c r="H29" s="92">
        <v>0</v>
      </c>
      <c r="I29" s="92">
        <v>0</v>
      </c>
      <c r="J29" s="259">
        <v>2.2831146756341698</v>
      </c>
      <c r="K29" s="83">
        <f>VLOOKUP($C29,Prevs!$C$7:$I$279,2,FALSE)-IFERROR(VLOOKUP($E29,Prevs!$C$7:$I$279,2,FALSE),0)-IFERROR(VLOOKUP($D29,Prevs!$C$7:$I$279,2,FALSE),0)-IFERROR(VLOOKUP($G29,Prevs!$C$7:$I$279,2,FALSE),0)-IFERROR(VLOOKUP($H29,Prevs!$C$7:$I$279,2,FALSE),0)-IFERROR(VLOOKUP($I29,Prevs!$C$7:$I$279,2,FALSE),0)-IFERROR(VLOOKUP($F29,Prevs!$C$7:$I$279,2,FALSE),0)</f>
        <v>137</v>
      </c>
      <c r="L29" s="81">
        <f>VLOOKUP($C29,Prevs!$C$7:$I$279,3,FALSE)-IFERROR(VLOOKUP($E29,Prevs!$C$7:$I$279,3,FALSE),0)-IFERROR(VLOOKUP($D29,Prevs!$C$7:$I$279,3,FALSE),0)-IFERROR(VLOOKUP($G29,Prevs!$C$7:$I$279,3,FALSE),0)-IFERROR(VLOOKUP($H29,Prevs!$C$7:$I$279,3,FALSE),0)-IFERROR(VLOOKUP($I29,Prevs!$C$7:$I$279,3,FALSE),0)-IFERROR(VLOOKUP($F29,Prevs!$C$7:$I$279,3,FALSE),0)</f>
        <v>152</v>
      </c>
      <c r="M29" s="81">
        <f>VLOOKUP($C29,Prevs!$C$7:$I$279,4,FALSE)-IFERROR(VLOOKUP($E29,Prevs!$C$7:$I$279,4,FALSE),0)-IFERROR(VLOOKUP($D29,Prevs!$C$7:$I$279,4,FALSE),0)-IFERROR(VLOOKUP($G29,Prevs!$C$7:$I$279,4,FALSE),0)-IFERROR(VLOOKUP($H29,Prevs!$C$7:$I$279,4,FALSE),0)-IFERROR(VLOOKUP($I29,Prevs!$C$7:$I$279,4,FALSE),0)-IFERROR(VLOOKUP($F29,Prevs!$C$7:$I$279,4,FALSE),0)</f>
        <v>159</v>
      </c>
      <c r="N29" s="81">
        <f>VLOOKUP($C29,Prevs!$C$7:$I$279,5,FALSE)-IFERROR(VLOOKUP($E29,Prevs!$C$7:$I$279,5,FALSE),0)-IFERROR(VLOOKUP($D29,Prevs!$C$7:$I$279,5,FALSE),0)-IFERROR(VLOOKUP($G29,Prevs!$C$7:$I$279,5,FALSE),0)-IFERROR(VLOOKUP($H29,Prevs!$C$7:$I$279,5,FALSE),0)-IFERROR(VLOOKUP($I29,Prevs!$C$7:$I$279,5,FALSE),0)-IFERROR(VLOOKUP($F29,Prevs!$C$7:$I$279,5,FALSE),0)</f>
        <v>148</v>
      </c>
      <c r="O29" s="81">
        <f>VLOOKUP($C29,Prevs!$C$7:$I$279,6,FALSE)-IFERROR(VLOOKUP($E29,Prevs!$C$7:$I$279,6,FALSE),0)-IFERROR(VLOOKUP($D29,Prevs!$C$7:$I$279,6,FALSE),0)-IFERROR(VLOOKUP($G29,Prevs!$C$7:$I$279,6,FALSE),0)-IFERROR(VLOOKUP($H29,Prevs!$C$7:$I$279,6,FALSE),0)-IFERROR(VLOOKUP($I29,Prevs!$C$7:$I$279,6,FALSE),0)-IFERROR(VLOOKUP($F29,Prevs!$C$7:$I$279,6,FALSE),0)</f>
        <v>136</v>
      </c>
      <c r="P29" s="84">
        <f>VLOOKUP($C29,Prevs!$C$7:$I$279,7,FALSE)-IFERROR(VLOOKUP($E29,Prevs!$C$7:$I$279,7,FALSE),0)-IFERROR(VLOOKUP($D29,Prevs!$C$7:$I$279,7,FALSE),0)-IFERROR(VLOOKUP($G29,Prevs!$C$7:$I$279,7,FALSE),0)-IFERROR(VLOOKUP($H29,Prevs!$C$7:$I$279,7,FALSE),0)-IFERROR(VLOOKUP($I29,Prevs!$C$7:$I$279,7,FALSE),0)-IFERROR(VLOOKUP($F29,Prevs!$C$7:$I$279,7,FALSE),0)</f>
        <v>168</v>
      </c>
      <c r="Q29" s="276">
        <f t="shared" si="2"/>
        <v>312.78671056188125</v>
      </c>
      <c r="R29" s="271">
        <f t="shared" si="3"/>
        <v>347.03343069639379</v>
      </c>
      <c r="S29" s="271">
        <f t="shared" si="4"/>
        <v>363.015233425833</v>
      </c>
      <c r="T29" s="271">
        <f t="shared" si="5"/>
        <v>337.90097199385713</v>
      </c>
      <c r="U29" s="271">
        <f t="shared" si="6"/>
        <v>310.50359588624707</v>
      </c>
      <c r="V29" s="272">
        <f t="shared" si="7"/>
        <v>383.56326550654052</v>
      </c>
      <c r="X29" s="83"/>
      <c r="Y29" s="81"/>
      <c r="Z29" s="81"/>
      <c r="AA29" s="81"/>
      <c r="AB29" s="81"/>
      <c r="AC29" s="84"/>
      <c r="AD29" s="85"/>
      <c r="AE29" s="81"/>
      <c r="AF29" s="81"/>
      <c r="AG29" s="81"/>
      <c r="AH29" s="81"/>
      <c r="AI29" s="84"/>
    </row>
    <row r="30" spans="2:35" s="74" customFormat="1" ht="26.25" customHeight="1" x14ac:dyDescent="0.25">
      <c r="B30" s="151" t="s">
        <v>118</v>
      </c>
      <c r="C30" s="81">
        <v>237</v>
      </c>
      <c r="D30" s="92">
        <v>161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259">
        <v>2.8257182968614898</v>
      </c>
      <c r="K30" s="83">
        <f>VLOOKUP($C30,Prevs!$C$7:$I$279,2,FALSE)-IFERROR(VLOOKUP($E30,Prevs!$C$7:$I$279,2,FALSE),0)-IFERROR(VLOOKUP($D30,Prevs!$C$7:$I$279,2,FALSE),0)-IFERROR(VLOOKUP($G30,Prevs!$C$7:$I$279,2,FALSE),0)-IFERROR(VLOOKUP($H30,Prevs!$C$7:$I$279,2,FALSE),0)-IFERROR(VLOOKUP($I30,Prevs!$C$7:$I$279,2,FALSE),0)-IFERROR(VLOOKUP($F30,Prevs!$C$7:$I$279,2,FALSE),0)</f>
        <v>111</v>
      </c>
      <c r="L30" s="81">
        <f>VLOOKUP($C30,Prevs!$C$7:$I$279,3,FALSE)-IFERROR(VLOOKUP($E30,Prevs!$C$7:$I$279,3,FALSE),0)-IFERROR(VLOOKUP($D30,Prevs!$C$7:$I$279,3,FALSE),0)-IFERROR(VLOOKUP($G30,Prevs!$C$7:$I$279,3,FALSE),0)-IFERROR(VLOOKUP($H30,Prevs!$C$7:$I$279,3,FALSE),0)-IFERROR(VLOOKUP($I30,Prevs!$C$7:$I$279,3,FALSE),0)-IFERROR(VLOOKUP($F30,Prevs!$C$7:$I$279,3,FALSE),0)</f>
        <v>135</v>
      </c>
      <c r="M30" s="81">
        <f>VLOOKUP($C30,Prevs!$C$7:$I$279,4,FALSE)-IFERROR(VLOOKUP($E30,Prevs!$C$7:$I$279,4,FALSE),0)-IFERROR(VLOOKUP($D30,Prevs!$C$7:$I$279,4,FALSE),0)-IFERROR(VLOOKUP($G30,Prevs!$C$7:$I$279,4,FALSE),0)-IFERROR(VLOOKUP($H30,Prevs!$C$7:$I$279,4,FALSE),0)-IFERROR(VLOOKUP($I30,Prevs!$C$7:$I$279,4,FALSE),0)-IFERROR(VLOOKUP($F30,Prevs!$C$7:$I$279,4,FALSE),0)</f>
        <v>114</v>
      </c>
      <c r="N30" s="81">
        <f>VLOOKUP($C30,Prevs!$C$7:$I$279,5,FALSE)-IFERROR(VLOOKUP($E30,Prevs!$C$7:$I$279,5,FALSE),0)-IFERROR(VLOOKUP($D30,Prevs!$C$7:$I$279,5,FALSE),0)-IFERROR(VLOOKUP($G30,Prevs!$C$7:$I$279,5,FALSE),0)-IFERROR(VLOOKUP($H30,Prevs!$C$7:$I$279,5,FALSE),0)-IFERROR(VLOOKUP($I30,Prevs!$C$7:$I$279,5,FALSE),0)-IFERROR(VLOOKUP($F30,Prevs!$C$7:$I$279,5,FALSE),0)</f>
        <v>120</v>
      </c>
      <c r="O30" s="81">
        <f>VLOOKUP($C30,Prevs!$C$7:$I$279,6,FALSE)-IFERROR(VLOOKUP($E30,Prevs!$C$7:$I$279,6,FALSE),0)-IFERROR(VLOOKUP($D30,Prevs!$C$7:$I$279,6,FALSE),0)-IFERROR(VLOOKUP($G30,Prevs!$C$7:$I$279,6,FALSE),0)-IFERROR(VLOOKUP($H30,Prevs!$C$7:$I$279,6,FALSE),0)-IFERROR(VLOOKUP($I30,Prevs!$C$7:$I$279,6,FALSE),0)-IFERROR(VLOOKUP($F30,Prevs!$C$7:$I$279,6,FALSE),0)</f>
        <v>147</v>
      </c>
      <c r="P30" s="84">
        <f>VLOOKUP($C30,Prevs!$C$7:$I$279,7,FALSE)-IFERROR(VLOOKUP($E30,Prevs!$C$7:$I$279,7,FALSE),0)-IFERROR(VLOOKUP($D30,Prevs!$C$7:$I$279,7,FALSE),0)-IFERROR(VLOOKUP($G30,Prevs!$C$7:$I$279,7,FALSE),0)-IFERROR(VLOOKUP($H30,Prevs!$C$7:$I$279,7,FALSE),0)-IFERROR(VLOOKUP($I30,Prevs!$C$7:$I$279,7,FALSE),0)-IFERROR(VLOOKUP($F30,Prevs!$C$7:$I$279,7,FALSE),0)</f>
        <v>116</v>
      </c>
      <c r="Q30" s="276">
        <f t="shared" si="2"/>
        <v>313.65473095162537</v>
      </c>
      <c r="R30" s="271">
        <f t="shared" si="3"/>
        <v>381.47197007630115</v>
      </c>
      <c r="S30" s="271">
        <f t="shared" si="4"/>
        <v>322.13188584220984</v>
      </c>
      <c r="T30" s="271">
        <f t="shared" si="5"/>
        <v>339.08619562337879</v>
      </c>
      <c r="U30" s="271">
        <f t="shared" si="6"/>
        <v>415.38058963863898</v>
      </c>
      <c r="V30" s="272">
        <f t="shared" si="7"/>
        <v>327.7833224359328</v>
      </c>
      <c r="X30" s="83"/>
      <c r="Y30" s="81"/>
      <c r="Z30" s="81"/>
      <c r="AA30" s="81"/>
      <c r="AB30" s="81"/>
      <c r="AC30" s="84"/>
      <c r="AD30" s="85"/>
      <c r="AE30" s="81"/>
      <c r="AF30" s="81"/>
      <c r="AG30" s="81"/>
      <c r="AH30" s="81"/>
      <c r="AI30" s="84"/>
    </row>
    <row r="31" spans="2:35" s="74" customFormat="1" ht="26.25" customHeight="1" x14ac:dyDescent="0.25">
      <c r="B31" s="151" t="s">
        <v>121</v>
      </c>
      <c r="C31" s="81">
        <v>240</v>
      </c>
      <c r="D31" s="92">
        <v>239</v>
      </c>
      <c r="E31" s="92">
        <v>0</v>
      </c>
      <c r="F31" s="92">
        <v>0</v>
      </c>
      <c r="G31" s="92">
        <v>0</v>
      </c>
      <c r="H31" s="92">
        <v>0</v>
      </c>
      <c r="I31" s="92">
        <v>0</v>
      </c>
      <c r="J31" s="259">
        <v>2.2781695568674798</v>
      </c>
      <c r="K31" s="83">
        <f>VLOOKUP($C31,Prevs!$C$7:$I$279,2,FALSE)-IFERROR(VLOOKUP($E31,Prevs!$C$7:$I$279,2,FALSE),0)-IFERROR(VLOOKUP($D31,Prevs!$C$7:$I$279,2,FALSE),0)-IFERROR(VLOOKUP($G31,Prevs!$C$7:$I$279,2,FALSE),0)-IFERROR(VLOOKUP($H31,Prevs!$C$7:$I$279,2,FALSE),0)-IFERROR(VLOOKUP($I31,Prevs!$C$7:$I$279,2,FALSE),0)-IFERROR(VLOOKUP($F31,Prevs!$C$7:$I$279,2,FALSE),0)</f>
        <v>58</v>
      </c>
      <c r="L31" s="81">
        <f>VLOOKUP($C31,Prevs!$C$7:$I$279,3,FALSE)-IFERROR(VLOOKUP($E31,Prevs!$C$7:$I$279,3,FALSE),0)-IFERROR(VLOOKUP($D31,Prevs!$C$7:$I$279,3,FALSE),0)-IFERROR(VLOOKUP($G31,Prevs!$C$7:$I$279,3,FALSE),0)-IFERROR(VLOOKUP($H31,Prevs!$C$7:$I$279,3,FALSE),0)-IFERROR(VLOOKUP($I31,Prevs!$C$7:$I$279,3,FALSE),0)-IFERROR(VLOOKUP($F31,Prevs!$C$7:$I$279,3,FALSE),0)</f>
        <v>76</v>
      </c>
      <c r="M31" s="81">
        <f>VLOOKUP($C31,Prevs!$C$7:$I$279,4,FALSE)-IFERROR(VLOOKUP($E31,Prevs!$C$7:$I$279,4,FALSE),0)-IFERROR(VLOOKUP($D31,Prevs!$C$7:$I$279,4,FALSE),0)-IFERROR(VLOOKUP($G31,Prevs!$C$7:$I$279,4,FALSE),0)-IFERROR(VLOOKUP($H31,Prevs!$C$7:$I$279,4,FALSE),0)-IFERROR(VLOOKUP($I31,Prevs!$C$7:$I$279,4,FALSE),0)-IFERROR(VLOOKUP($F31,Prevs!$C$7:$I$279,4,FALSE),0)</f>
        <v>85</v>
      </c>
      <c r="N31" s="81">
        <f>VLOOKUP($C31,Prevs!$C$7:$I$279,5,FALSE)-IFERROR(VLOOKUP($E31,Prevs!$C$7:$I$279,5,FALSE),0)-IFERROR(VLOOKUP($D31,Prevs!$C$7:$I$279,5,FALSE),0)-IFERROR(VLOOKUP($G31,Prevs!$C$7:$I$279,5,FALSE),0)-IFERROR(VLOOKUP($H31,Prevs!$C$7:$I$279,5,FALSE),0)-IFERROR(VLOOKUP($I31,Prevs!$C$7:$I$279,5,FALSE),0)-IFERROR(VLOOKUP($F31,Prevs!$C$7:$I$279,5,FALSE),0)</f>
        <v>72</v>
      </c>
      <c r="O31" s="81">
        <f>VLOOKUP($C31,Prevs!$C$7:$I$279,6,FALSE)-IFERROR(VLOOKUP($E31,Prevs!$C$7:$I$279,6,FALSE),0)-IFERROR(VLOOKUP($D31,Prevs!$C$7:$I$279,6,FALSE),0)-IFERROR(VLOOKUP($G31,Prevs!$C$7:$I$279,6,FALSE),0)-IFERROR(VLOOKUP($H31,Prevs!$C$7:$I$279,6,FALSE),0)-IFERROR(VLOOKUP($I31,Prevs!$C$7:$I$279,6,FALSE),0)-IFERROR(VLOOKUP($F31,Prevs!$C$7:$I$279,6,FALSE),0)</f>
        <v>38</v>
      </c>
      <c r="P31" s="84">
        <f>VLOOKUP($C31,Prevs!$C$7:$I$279,7,FALSE)-IFERROR(VLOOKUP($E31,Prevs!$C$7:$I$279,7,FALSE),0)-IFERROR(VLOOKUP($D31,Prevs!$C$7:$I$279,7,FALSE),0)-IFERROR(VLOOKUP($G31,Prevs!$C$7:$I$279,7,FALSE),0)-IFERROR(VLOOKUP($H31,Prevs!$C$7:$I$279,7,FALSE),0)-IFERROR(VLOOKUP($I31,Prevs!$C$7:$I$279,7,FALSE),0)-IFERROR(VLOOKUP($F31,Prevs!$C$7:$I$279,7,FALSE),0)</f>
        <v>148</v>
      </c>
      <c r="Q31" s="276">
        <f t="shared" si="2"/>
        <v>132.13383429831381</v>
      </c>
      <c r="R31" s="271">
        <f t="shared" si="3"/>
        <v>173.14088632192846</v>
      </c>
      <c r="S31" s="271">
        <f t="shared" si="4"/>
        <v>193.64441233373577</v>
      </c>
      <c r="T31" s="271">
        <f t="shared" si="5"/>
        <v>164.02820809445853</v>
      </c>
      <c r="U31" s="271">
        <f t="shared" si="6"/>
        <v>86.570443160964231</v>
      </c>
      <c r="V31" s="272">
        <f t="shared" si="7"/>
        <v>337.169094416387</v>
      </c>
      <c r="X31" s="83"/>
      <c r="Y31" s="81"/>
      <c r="Z31" s="81"/>
      <c r="AA31" s="81"/>
      <c r="AB31" s="81"/>
      <c r="AC31" s="84"/>
      <c r="AD31" s="85"/>
      <c r="AE31" s="81"/>
      <c r="AF31" s="81"/>
      <c r="AG31" s="81"/>
      <c r="AH31" s="81"/>
      <c r="AI31" s="84"/>
    </row>
    <row r="32" spans="2:35" s="74" customFormat="1" ht="26.25" customHeight="1" x14ac:dyDescent="0.25">
      <c r="B32" s="151" t="s">
        <v>334</v>
      </c>
      <c r="C32" s="81">
        <v>242</v>
      </c>
      <c r="D32" s="92">
        <v>240</v>
      </c>
      <c r="E32" s="92">
        <v>0</v>
      </c>
      <c r="F32" s="92">
        <v>0</v>
      </c>
      <c r="G32" s="92">
        <v>0</v>
      </c>
      <c r="H32" s="92">
        <v>0</v>
      </c>
      <c r="I32" s="92">
        <v>0</v>
      </c>
      <c r="J32" s="259">
        <v>2.0722797583488899</v>
      </c>
      <c r="K32" s="83">
        <f>VLOOKUP($C32,Prevs!$C$7:$I$279,2,FALSE)-IFERROR(VLOOKUP($E32,Prevs!$C$7:$I$279,2,FALSE),0)-IFERROR(VLOOKUP($D32,Prevs!$C$7:$I$279,2,FALSE),0)-IFERROR(VLOOKUP($G32,Prevs!$C$7:$I$279,2,FALSE),0)-IFERROR(VLOOKUP($H32,Prevs!$C$7:$I$279,2,FALSE),0)-IFERROR(VLOOKUP($I32,Prevs!$C$7:$I$279,2,FALSE),0)-IFERROR(VLOOKUP($F32,Prevs!$C$7:$I$279,2,FALSE),0)</f>
        <v>16</v>
      </c>
      <c r="L32" s="81">
        <f>VLOOKUP($C32,Prevs!$C$7:$I$279,3,FALSE)-IFERROR(VLOOKUP($E32,Prevs!$C$7:$I$279,3,FALSE),0)-IFERROR(VLOOKUP($D32,Prevs!$C$7:$I$279,3,FALSE),0)-IFERROR(VLOOKUP($G32,Prevs!$C$7:$I$279,3,FALSE),0)-IFERROR(VLOOKUP($H32,Prevs!$C$7:$I$279,3,FALSE),0)-IFERROR(VLOOKUP($I32,Prevs!$C$7:$I$279,3,FALSE),0)-IFERROR(VLOOKUP($F32,Prevs!$C$7:$I$279,3,FALSE),0)</f>
        <v>20</v>
      </c>
      <c r="M32" s="81">
        <f>VLOOKUP($C32,Prevs!$C$7:$I$279,4,FALSE)-IFERROR(VLOOKUP($E32,Prevs!$C$7:$I$279,4,FALSE),0)-IFERROR(VLOOKUP($D32,Prevs!$C$7:$I$279,4,FALSE),0)-IFERROR(VLOOKUP($G32,Prevs!$C$7:$I$279,4,FALSE),0)-IFERROR(VLOOKUP($H32,Prevs!$C$7:$I$279,4,FALSE),0)-IFERROR(VLOOKUP($I32,Prevs!$C$7:$I$279,4,FALSE),0)-IFERROR(VLOOKUP($F32,Prevs!$C$7:$I$279,4,FALSE),0)</f>
        <v>9</v>
      </c>
      <c r="N32" s="81">
        <f>VLOOKUP($C32,Prevs!$C$7:$I$279,5,FALSE)-IFERROR(VLOOKUP($E32,Prevs!$C$7:$I$279,5,FALSE),0)-IFERROR(VLOOKUP($D32,Prevs!$C$7:$I$279,5,FALSE),0)-IFERROR(VLOOKUP($G32,Prevs!$C$7:$I$279,5,FALSE),0)-IFERROR(VLOOKUP($H32,Prevs!$C$7:$I$279,5,FALSE),0)-IFERROR(VLOOKUP($I32,Prevs!$C$7:$I$279,5,FALSE),0)-IFERROR(VLOOKUP($F32,Prevs!$C$7:$I$279,5,FALSE),0)</f>
        <v>9</v>
      </c>
      <c r="O32" s="81">
        <f>VLOOKUP($C32,Prevs!$C$7:$I$279,6,FALSE)-IFERROR(VLOOKUP($E32,Prevs!$C$7:$I$279,6,FALSE),0)-IFERROR(VLOOKUP($D32,Prevs!$C$7:$I$279,6,FALSE),0)-IFERROR(VLOOKUP($G32,Prevs!$C$7:$I$279,6,FALSE),0)-IFERROR(VLOOKUP($H32,Prevs!$C$7:$I$279,6,FALSE),0)-IFERROR(VLOOKUP($I32,Prevs!$C$7:$I$279,6,FALSE),0)-IFERROR(VLOOKUP($F32,Prevs!$C$7:$I$279,6,FALSE),0)</f>
        <v>7</v>
      </c>
      <c r="P32" s="84">
        <f>VLOOKUP($C32,Prevs!$C$7:$I$279,7,FALSE)-IFERROR(VLOOKUP($E32,Prevs!$C$7:$I$279,7,FALSE),0)-IFERROR(VLOOKUP($D32,Prevs!$C$7:$I$279,7,FALSE),0)-IFERROR(VLOOKUP($G32,Prevs!$C$7:$I$279,7,FALSE),0)-IFERROR(VLOOKUP($H32,Prevs!$C$7:$I$279,7,FALSE),0)-IFERROR(VLOOKUP($I32,Prevs!$C$7:$I$279,7,FALSE),0)-IFERROR(VLOOKUP($F32,Prevs!$C$7:$I$279,7,FALSE),0)</f>
        <v>23</v>
      </c>
      <c r="Q32" s="276">
        <f t="shared" si="2"/>
        <v>33.156476133582238</v>
      </c>
      <c r="R32" s="271">
        <f t="shared" si="3"/>
        <v>41.445595166977796</v>
      </c>
      <c r="S32" s="271">
        <f t="shared" si="4"/>
        <v>18.65051782514001</v>
      </c>
      <c r="T32" s="271">
        <f t="shared" si="5"/>
        <v>18.65051782514001</v>
      </c>
      <c r="U32" s="271">
        <f t="shared" si="6"/>
        <v>14.50595830844223</v>
      </c>
      <c r="V32" s="272">
        <f t="shared" si="7"/>
        <v>47.66243444202447</v>
      </c>
      <c r="X32" s="83"/>
      <c r="Y32" s="81"/>
      <c r="Z32" s="81"/>
      <c r="AA32" s="81"/>
      <c r="AB32" s="81"/>
      <c r="AC32" s="84"/>
      <c r="AD32" s="85"/>
      <c r="AE32" s="81"/>
      <c r="AF32" s="81"/>
      <c r="AG32" s="81"/>
      <c r="AH32" s="81"/>
      <c r="AI32" s="84"/>
    </row>
    <row r="33" spans="2:35" s="74" customFormat="1" ht="26.25" customHeight="1" x14ac:dyDescent="0.25">
      <c r="B33" s="151" t="s">
        <v>376</v>
      </c>
      <c r="C33" s="81">
        <v>15</v>
      </c>
      <c r="D33" s="92">
        <v>14</v>
      </c>
      <c r="E33" s="92">
        <v>0</v>
      </c>
      <c r="F33" s="92">
        <v>0</v>
      </c>
      <c r="G33" s="92">
        <v>0</v>
      </c>
      <c r="H33" s="92">
        <v>0</v>
      </c>
      <c r="I33" s="92">
        <v>0</v>
      </c>
      <c r="J33" s="259">
        <v>3.7295753170383299</v>
      </c>
      <c r="K33" s="83">
        <f>VLOOKUP($C33,Prevs!$C$7:$I$279,2,FALSE)-IFERROR(VLOOKUP($E33,Prevs!$C$7:$I$279,2,FALSE),0)-IFERROR(VLOOKUP($D33,Prevs!$C$7:$I$279,2,FALSE),0)-IFERROR(VLOOKUP($G33,Prevs!$C$7:$I$279,2,FALSE),0)-IFERROR(VLOOKUP($H33,Prevs!$C$7:$I$279,2,FALSE),0)-IFERROR(VLOOKUP($I33,Prevs!$C$7:$I$279,2,FALSE),0)-IFERROR(VLOOKUP($F33,Prevs!$C$7:$I$279,2,FALSE),0)</f>
        <v>8</v>
      </c>
      <c r="L33" s="81">
        <f>VLOOKUP($C33,Prevs!$C$7:$I$279,3,FALSE)-IFERROR(VLOOKUP($E33,Prevs!$C$7:$I$279,3,FALSE),0)-IFERROR(VLOOKUP($D33,Prevs!$C$7:$I$279,3,FALSE),0)-IFERROR(VLOOKUP($G33,Prevs!$C$7:$I$279,3,FALSE),0)-IFERROR(VLOOKUP($H33,Prevs!$C$7:$I$279,3,FALSE),0)-IFERROR(VLOOKUP($I33,Prevs!$C$7:$I$279,3,FALSE),0)-IFERROR(VLOOKUP($F33,Prevs!$C$7:$I$279,3,FALSE),0)</f>
        <v>11</v>
      </c>
      <c r="M33" s="81">
        <f>VLOOKUP($C33,Prevs!$C$7:$I$279,4,FALSE)-IFERROR(VLOOKUP($E33,Prevs!$C$7:$I$279,4,FALSE),0)-IFERROR(VLOOKUP($D33,Prevs!$C$7:$I$279,4,FALSE),0)-IFERROR(VLOOKUP($G33,Prevs!$C$7:$I$279,4,FALSE),0)-IFERROR(VLOOKUP($H33,Prevs!$C$7:$I$279,4,FALSE),0)-IFERROR(VLOOKUP($I33,Prevs!$C$7:$I$279,4,FALSE),0)-IFERROR(VLOOKUP($F33,Prevs!$C$7:$I$279,4,FALSE),0)</f>
        <v>11</v>
      </c>
      <c r="N33" s="81">
        <f>VLOOKUP($C33,Prevs!$C$7:$I$279,5,FALSE)-IFERROR(VLOOKUP($E33,Prevs!$C$7:$I$279,5,FALSE),0)-IFERROR(VLOOKUP($D33,Prevs!$C$7:$I$279,5,FALSE),0)-IFERROR(VLOOKUP($G33,Prevs!$C$7:$I$279,5,FALSE),0)-IFERROR(VLOOKUP($H33,Prevs!$C$7:$I$279,5,FALSE),0)-IFERROR(VLOOKUP($I33,Prevs!$C$7:$I$279,5,FALSE),0)-IFERROR(VLOOKUP($F33,Prevs!$C$7:$I$279,5,FALSE),0)</f>
        <v>10</v>
      </c>
      <c r="O33" s="81">
        <f>VLOOKUP($C33,Prevs!$C$7:$I$279,6,FALSE)-IFERROR(VLOOKUP($E33,Prevs!$C$7:$I$279,6,FALSE),0)-IFERROR(VLOOKUP($D33,Prevs!$C$7:$I$279,6,FALSE),0)-IFERROR(VLOOKUP($G33,Prevs!$C$7:$I$279,6,FALSE),0)-IFERROR(VLOOKUP($H33,Prevs!$C$7:$I$279,6,FALSE),0)-IFERROR(VLOOKUP($I33,Prevs!$C$7:$I$279,6,FALSE),0)-IFERROR(VLOOKUP($F33,Prevs!$C$7:$I$279,6,FALSE),0)</f>
        <v>10</v>
      </c>
      <c r="P33" s="84">
        <f>VLOOKUP($C33,Prevs!$C$7:$I$279,7,FALSE)-IFERROR(VLOOKUP($E33,Prevs!$C$7:$I$279,7,FALSE),0)-IFERROR(VLOOKUP($D33,Prevs!$C$7:$I$279,7,FALSE),0)-IFERROR(VLOOKUP($G33,Prevs!$C$7:$I$279,7,FALSE),0)-IFERROR(VLOOKUP($H33,Prevs!$C$7:$I$279,7,FALSE),0)-IFERROR(VLOOKUP($I33,Prevs!$C$7:$I$279,7,FALSE),0)-IFERROR(VLOOKUP($F33,Prevs!$C$7:$I$279,7,FALSE),0)</f>
        <v>11</v>
      </c>
      <c r="Q33" s="276">
        <f t="shared" si="2"/>
        <v>29.836602536306639</v>
      </c>
      <c r="R33" s="271">
        <f t="shared" si="3"/>
        <v>41.025328487421632</v>
      </c>
      <c r="S33" s="271">
        <f t="shared" si="4"/>
        <v>41.025328487421632</v>
      </c>
      <c r="T33" s="271">
        <f t="shared" si="5"/>
        <v>37.2957531703833</v>
      </c>
      <c r="U33" s="271">
        <f t="shared" si="6"/>
        <v>37.2957531703833</v>
      </c>
      <c r="V33" s="272">
        <f t="shared" si="7"/>
        <v>41.025328487421632</v>
      </c>
      <c r="X33" s="83"/>
      <c r="Y33" s="81"/>
      <c r="Z33" s="81"/>
      <c r="AA33" s="81"/>
      <c r="AB33" s="81"/>
      <c r="AC33" s="84"/>
      <c r="AD33" s="85"/>
      <c r="AE33" s="81"/>
      <c r="AF33" s="81"/>
      <c r="AG33" s="81"/>
      <c r="AH33" s="81"/>
      <c r="AI33" s="84"/>
    </row>
    <row r="34" spans="2:35" s="74" customFormat="1" ht="26.25" customHeight="1" x14ac:dyDescent="0.25">
      <c r="B34" s="151" t="s">
        <v>377</v>
      </c>
      <c r="C34" s="81">
        <v>16</v>
      </c>
      <c r="D34" s="92">
        <v>15</v>
      </c>
      <c r="E34" s="92">
        <v>0</v>
      </c>
      <c r="F34" s="92">
        <v>0</v>
      </c>
      <c r="G34" s="92">
        <v>0</v>
      </c>
      <c r="H34" s="92">
        <v>0</v>
      </c>
      <c r="I34" s="92">
        <v>0</v>
      </c>
      <c r="J34" s="259">
        <v>2.9834958277383299</v>
      </c>
      <c r="K34" s="83">
        <f>VLOOKUP($C34,Prevs!$C$7:$I$279,2,FALSE)-IFERROR(VLOOKUP($E34,Prevs!$C$7:$I$279,2,FALSE),0)-IFERROR(VLOOKUP($D34,Prevs!$C$7:$I$279,2,FALSE),0)-IFERROR(VLOOKUP($G34,Prevs!$C$7:$I$279,2,FALSE),0)-IFERROR(VLOOKUP($H34,Prevs!$C$7:$I$279,2,FALSE),0)-IFERROR(VLOOKUP($I34,Prevs!$C$7:$I$279,2,FALSE),0)-IFERROR(VLOOKUP($F34,Prevs!$C$7:$I$279,2,FALSE),0)</f>
        <v>0</v>
      </c>
      <c r="L34" s="81">
        <f>VLOOKUP($C34,Prevs!$C$7:$I$279,3,FALSE)-IFERROR(VLOOKUP($E34,Prevs!$C$7:$I$279,3,FALSE),0)-IFERROR(VLOOKUP($D34,Prevs!$C$7:$I$279,3,FALSE),0)-IFERROR(VLOOKUP($G34,Prevs!$C$7:$I$279,3,FALSE),0)-IFERROR(VLOOKUP($H34,Prevs!$C$7:$I$279,3,FALSE),0)-IFERROR(VLOOKUP($I34,Prevs!$C$7:$I$279,3,FALSE),0)-IFERROR(VLOOKUP($F34,Prevs!$C$7:$I$279,3,FALSE),0)</f>
        <v>0</v>
      </c>
      <c r="M34" s="81">
        <f>VLOOKUP($C34,Prevs!$C$7:$I$279,4,FALSE)-IFERROR(VLOOKUP($E34,Prevs!$C$7:$I$279,4,FALSE),0)-IFERROR(VLOOKUP($D34,Prevs!$C$7:$I$279,4,FALSE),0)-IFERROR(VLOOKUP($G34,Prevs!$C$7:$I$279,4,FALSE),0)-IFERROR(VLOOKUP($H34,Prevs!$C$7:$I$279,4,FALSE),0)-IFERROR(VLOOKUP($I34,Prevs!$C$7:$I$279,4,FALSE),0)-IFERROR(VLOOKUP($F34,Prevs!$C$7:$I$279,4,FALSE),0)</f>
        <v>1</v>
      </c>
      <c r="N34" s="81">
        <f>VLOOKUP($C34,Prevs!$C$7:$I$279,5,FALSE)-IFERROR(VLOOKUP($E34,Prevs!$C$7:$I$279,5,FALSE),0)-IFERROR(VLOOKUP($D34,Prevs!$C$7:$I$279,5,FALSE),0)-IFERROR(VLOOKUP($G34,Prevs!$C$7:$I$279,5,FALSE),0)-IFERROR(VLOOKUP($H34,Prevs!$C$7:$I$279,5,FALSE),0)-IFERROR(VLOOKUP($I34,Prevs!$C$7:$I$279,5,FALSE),0)-IFERROR(VLOOKUP($F34,Prevs!$C$7:$I$279,5,FALSE),0)</f>
        <v>0</v>
      </c>
      <c r="O34" s="81">
        <f>VLOOKUP($C34,Prevs!$C$7:$I$279,6,FALSE)-IFERROR(VLOOKUP($E34,Prevs!$C$7:$I$279,6,FALSE),0)-IFERROR(VLOOKUP($D34,Prevs!$C$7:$I$279,6,FALSE),0)-IFERROR(VLOOKUP($G34,Prevs!$C$7:$I$279,6,FALSE),0)-IFERROR(VLOOKUP($H34,Prevs!$C$7:$I$279,6,FALSE),0)-IFERROR(VLOOKUP($I34,Prevs!$C$7:$I$279,6,FALSE),0)-IFERROR(VLOOKUP($F34,Prevs!$C$7:$I$279,6,FALSE),0)</f>
        <v>0</v>
      </c>
      <c r="P34" s="84">
        <f>VLOOKUP($C34,Prevs!$C$7:$I$279,7,FALSE)-IFERROR(VLOOKUP($E34,Prevs!$C$7:$I$279,7,FALSE),0)-IFERROR(VLOOKUP($D34,Prevs!$C$7:$I$279,7,FALSE),0)-IFERROR(VLOOKUP($G34,Prevs!$C$7:$I$279,7,FALSE),0)-IFERROR(VLOOKUP($H34,Prevs!$C$7:$I$279,7,FALSE),0)-IFERROR(VLOOKUP($I34,Prevs!$C$7:$I$279,7,FALSE),0)-IFERROR(VLOOKUP($F34,Prevs!$C$7:$I$279,7,FALSE),0)</f>
        <v>1</v>
      </c>
      <c r="Q34" s="276">
        <f t="shared" si="2"/>
        <v>0</v>
      </c>
      <c r="R34" s="271">
        <f t="shared" si="3"/>
        <v>0</v>
      </c>
      <c r="S34" s="271">
        <f t="shared" si="4"/>
        <v>2.9834958277383299</v>
      </c>
      <c r="T34" s="271">
        <f t="shared" si="5"/>
        <v>0</v>
      </c>
      <c r="U34" s="271">
        <f t="shared" si="6"/>
        <v>0</v>
      </c>
      <c r="V34" s="272">
        <f t="shared" si="7"/>
        <v>2.9834958277383299</v>
      </c>
      <c r="X34" s="83"/>
      <c r="Y34" s="81"/>
      <c r="Z34" s="81"/>
      <c r="AA34" s="81"/>
      <c r="AB34" s="81"/>
      <c r="AC34" s="84"/>
      <c r="AD34" s="85"/>
      <c r="AE34" s="81"/>
      <c r="AF34" s="81"/>
      <c r="AG34" s="81"/>
      <c r="AH34" s="81"/>
      <c r="AI34" s="84"/>
    </row>
    <row r="35" spans="2:35" s="74" customFormat="1" ht="26.25" customHeight="1" x14ac:dyDescent="0.25">
      <c r="B35" s="151" t="s">
        <v>378</v>
      </c>
      <c r="C35" s="81">
        <v>238</v>
      </c>
      <c r="D35" s="92">
        <v>237</v>
      </c>
      <c r="E35" s="92">
        <v>0</v>
      </c>
      <c r="F35" s="92">
        <v>0</v>
      </c>
      <c r="G35" s="92">
        <v>0</v>
      </c>
      <c r="H35" s="92">
        <v>0</v>
      </c>
      <c r="I35" s="92">
        <v>0</v>
      </c>
      <c r="J35" s="259">
        <v>2.6534595353674799</v>
      </c>
      <c r="K35" s="83">
        <f>VLOOKUP($C35,Prevs!$C$7:$I$279,2,FALSE)-IFERROR(VLOOKUP($E35,Prevs!$C$7:$I$279,2,FALSE),0)-IFERROR(VLOOKUP($D35,Prevs!$C$7:$I$279,2,FALSE),0)-IFERROR(VLOOKUP($G35,Prevs!$C$7:$I$279,2,FALSE),0)-IFERROR(VLOOKUP($H35,Prevs!$C$7:$I$279,2,FALSE),0)-IFERROR(VLOOKUP($I35,Prevs!$C$7:$I$279,2,FALSE),0)-IFERROR(VLOOKUP($F35,Prevs!$C$7:$I$279,2,FALSE),0)</f>
        <v>27</v>
      </c>
      <c r="L35" s="81">
        <f>VLOOKUP($C35,Prevs!$C$7:$I$279,3,FALSE)-IFERROR(VLOOKUP($E35,Prevs!$C$7:$I$279,3,FALSE),0)-IFERROR(VLOOKUP($D35,Prevs!$C$7:$I$279,3,FALSE),0)-IFERROR(VLOOKUP($G35,Prevs!$C$7:$I$279,3,FALSE),0)-IFERROR(VLOOKUP($H35,Prevs!$C$7:$I$279,3,FALSE),0)-IFERROR(VLOOKUP($I35,Prevs!$C$7:$I$279,3,FALSE),0)-IFERROR(VLOOKUP($F35,Prevs!$C$7:$I$279,3,FALSE),0)</f>
        <v>27</v>
      </c>
      <c r="M35" s="81">
        <f>VLOOKUP($C35,Prevs!$C$7:$I$279,4,FALSE)-IFERROR(VLOOKUP($E35,Prevs!$C$7:$I$279,4,FALSE),0)-IFERROR(VLOOKUP($D35,Prevs!$C$7:$I$279,4,FALSE),0)-IFERROR(VLOOKUP($G35,Prevs!$C$7:$I$279,4,FALSE),0)-IFERROR(VLOOKUP($H35,Prevs!$C$7:$I$279,4,FALSE),0)-IFERROR(VLOOKUP($I35,Prevs!$C$7:$I$279,4,FALSE),0)-IFERROR(VLOOKUP($F35,Prevs!$C$7:$I$279,4,FALSE),0)</f>
        <v>26</v>
      </c>
      <c r="N35" s="81">
        <f>VLOOKUP($C35,Prevs!$C$7:$I$279,5,FALSE)-IFERROR(VLOOKUP($E35,Prevs!$C$7:$I$279,5,FALSE),0)-IFERROR(VLOOKUP($D35,Prevs!$C$7:$I$279,5,FALSE),0)-IFERROR(VLOOKUP($G35,Prevs!$C$7:$I$279,5,FALSE),0)-IFERROR(VLOOKUP($H35,Prevs!$C$7:$I$279,5,FALSE),0)-IFERROR(VLOOKUP($I35,Prevs!$C$7:$I$279,5,FALSE),0)-IFERROR(VLOOKUP($F35,Prevs!$C$7:$I$279,5,FALSE),0)</f>
        <v>26</v>
      </c>
      <c r="O35" s="81">
        <f>VLOOKUP($C35,Prevs!$C$7:$I$279,6,FALSE)-IFERROR(VLOOKUP($E35,Prevs!$C$7:$I$279,6,FALSE),0)-IFERROR(VLOOKUP($D35,Prevs!$C$7:$I$279,6,FALSE),0)-IFERROR(VLOOKUP($G35,Prevs!$C$7:$I$279,6,FALSE),0)-IFERROR(VLOOKUP($H35,Prevs!$C$7:$I$279,6,FALSE),0)-IFERROR(VLOOKUP($I35,Prevs!$C$7:$I$279,6,FALSE),0)-IFERROR(VLOOKUP($F35,Prevs!$C$7:$I$279,6,FALSE),0)</f>
        <v>28</v>
      </c>
      <c r="P35" s="84">
        <f>VLOOKUP($C35,Prevs!$C$7:$I$279,7,FALSE)-IFERROR(VLOOKUP($E35,Prevs!$C$7:$I$279,7,FALSE),0)-IFERROR(VLOOKUP($D35,Prevs!$C$7:$I$279,7,FALSE),0)-IFERROR(VLOOKUP($G35,Prevs!$C$7:$I$279,7,FALSE),0)-IFERROR(VLOOKUP($H35,Prevs!$C$7:$I$279,7,FALSE),0)-IFERROR(VLOOKUP($I35,Prevs!$C$7:$I$279,7,FALSE),0)-IFERROR(VLOOKUP($F35,Prevs!$C$7:$I$279,7,FALSE),0)</f>
        <v>25</v>
      </c>
      <c r="Q35" s="276">
        <f t="shared" si="2"/>
        <v>71.643407454921956</v>
      </c>
      <c r="R35" s="271">
        <f t="shared" si="3"/>
        <v>71.643407454921956</v>
      </c>
      <c r="S35" s="271">
        <f t="shared" si="4"/>
        <v>68.989947919554481</v>
      </c>
      <c r="T35" s="271">
        <f t="shared" si="5"/>
        <v>68.989947919554481</v>
      </c>
      <c r="U35" s="271">
        <f t="shared" si="6"/>
        <v>74.296866990289431</v>
      </c>
      <c r="V35" s="272">
        <f t="shared" si="7"/>
        <v>66.336488384186993</v>
      </c>
      <c r="X35" s="83"/>
      <c r="Y35" s="81"/>
      <c r="Z35" s="81"/>
      <c r="AA35" s="81"/>
      <c r="AB35" s="81"/>
      <c r="AC35" s="84"/>
      <c r="AD35" s="85"/>
      <c r="AE35" s="81"/>
      <c r="AF35" s="81"/>
      <c r="AG35" s="81"/>
      <c r="AH35" s="81"/>
      <c r="AI35" s="84"/>
    </row>
    <row r="36" spans="2:35" s="74" customFormat="1" ht="26.25" customHeight="1" x14ac:dyDescent="0.25">
      <c r="B36" s="151" t="s">
        <v>120</v>
      </c>
      <c r="C36" s="81">
        <v>239</v>
      </c>
      <c r="D36" s="92">
        <v>238</v>
      </c>
      <c r="E36" s="92">
        <v>0</v>
      </c>
      <c r="F36" s="92">
        <v>0</v>
      </c>
      <c r="G36" s="92">
        <v>0</v>
      </c>
      <c r="H36" s="92">
        <v>0</v>
      </c>
      <c r="I36" s="92">
        <v>0</v>
      </c>
      <c r="J36" s="259">
        <v>2.46533552786748</v>
      </c>
      <c r="K36" s="83">
        <f>VLOOKUP($C36,Prevs!$C$7:$I$279,2,FALSE)-IFERROR(VLOOKUP($E36,Prevs!$C$7:$I$279,2,FALSE),0)-IFERROR(VLOOKUP($D36,Prevs!$C$7:$I$279,2,FALSE),0)-IFERROR(VLOOKUP($G36,Prevs!$C$7:$I$279,2,FALSE),0)-IFERROR(VLOOKUP($H36,Prevs!$C$7:$I$279,2,FALSE),0)-IFERROR(VLOOKUP($I36,Prevs!$C$7:$I$279,2,FALSE),0)-IFERROR(VLOOKUP($F36,Prevs!$C$7:$I$279,2,FALSE),0)</f>
        <v>55</v>
      </c>
      <c r="L36" s="81">
        <f>VLOOKUP($C36,Prevs!$C$7:$I$279,3,FALSE)-IFERROR(VLOOKUP($E36,Prevs!$C$7:$I$279,3,FALSE),0)-IFERROR(VLOOKUP($D36,Prevs!$C$7:$I$279,3,FALSE),0)-IFERROR(VLOOKUP($G36,Prevs!$C$7:$I$279,3,FALSE),0)-IFERROR(VLOOKUP($H36,Prevs!$C$7:$I$279,3,FALSE),0)-IFERROR(VLOOKUP($I36,Prevs!$C$7:$I$279,3,FALSE),0)-IFERROR(VLOOKUP($F36,Prevs!$C$7:$I$279,3,FALSE),0)</f>
        <v>58</v>
      </c>
      <c r="M36" s="81">
        <f>VLOOKUP($C36,Prevs!$C$7:$I$279,4,FALSE)-IFERROR(VLOOKUP($E36,Prevs!$C$7:$I$279,4,FALSE),0)-IFERROR(VLOOKUP($D36,Prevs!$C$7:$I$279,4,FALSE),0)-IFERROR(VLOOKUP($G36,Prevs!$C$7:$I$279,4,FALSE),0)-IFERROR(VLOOKUP($H36,Prevs!$C$7:$I$279,4,FALSE),0)-IFERROR(VLOOKUP($I36,Prevs!$C$7:$I$279,4,FALSE),0)-IFERROR(VLOOKUP($F36,Prevs!$C$7:$I$279,4,FALSE),0)</f>
        <v>56</v>
      </c>
      <c r="N36" s="81">
        <f>VLOOKUP($C36,Prevs!$C$7:$I$279,5,FALSE)-IFERROR(VLOOKUP($E36,Prevs!$C$7:$I$279,5,FALSE),0)-IFERROR(VLOOKUP($D36,Prevs!$C$7:$I$279,5,FALSE),0)-IFERROR(VLOOKUP($G36,Prevs!$C$7:$I$279,5,FALSE),0)-IFERROR(VLOOKUP($H36,Prevs!$C$7:$I$279,5,FALSE),0)-IFERROR(VLOOKUP($I36,Prevs!$C$7:$I$279,5,FALSE),0)-IFERROR(VLOOKUP($F36,Prevs!$C$7:$I$279,5,FALSE),0)</f>
        <v>56</v>
      </c>
      <c r="O36" s="81">
        <f>VLOOKUP($C36,Prevs!$C$7:$I$279,6,FALSE)-IFERROR(VLOOKUP($E36,Prevs!$C$7:$I$279,6,FALSE),0)-IFERROR(VLOOKUP($D36,Prevs!$C$7:$I$279,6,FALSE),0)-IFERROR(VLOOKUP($G36,Prevs!$C$7:$I$279,6,FALSE),0)-IFERROR(VLOOKUP($H36,Prevs!$C$7:$I$279,6,FALSE),0)-IFERROR(VLOOKUP($I36,Prevs!$C$7:$I$279,6,FALSE),0)-IFERROR(VLOOKUP($F36,Prevs!$C$7:$I$279,6,FALSE),0)</f>
        <v>60</v>
      </c>
      <c r="P36" s="84">
        <f>VLOOKUP($C36,Prevs!$C$7:$I$279,7,FALSE)-IFERROR(VLOOKUP($E36,Prevs!$C$7:$I$279,7,FALSE),0)-IFERROR(VLOOKUP($D36,Prevs!$C$7:$I$279,7,FALSE),0)-IFERROR(VLOOKUP($G36,Prevs!$C$7:$I$279,7,FALSE),0)-IFERROR(VLOOKUP($H36,Prevs!$C$7:$I$279,7,FALSE),0)-IFERROR(VLOOKUP($I36,Prevs!$C$7:$I$279,7,FALSE),0)-IFERROR(VLOOKUP($F36,Prevs!$C$7:$I$279,7,FALSE),0)</f>
        <v>54</v>
      </c>
      <c r="Q36" s="276">
        <f t="shared" si="2"/>
        <v>135.59345403271141</v>
      </c>
      <c r="R36" s="271">
        <f t="shared" si="3"/>
        <v>142.98946061631383</v>
      </c>
      <c r="S36" s="271">
        <f t="shared" si="4"/>
        <v>138.05878956057887</v>
      </c>
      <c r="T36" s="271">
        <f t="shared" si="5"/>
        <v>138.05878956057887</v>
      </c>
      <c r="U36" s="271">
        <f t="shared" si="6"/>
        <v>147.9201316720488</v>
      </c>
      <c r="V36" s="272">
        <f t="shared" si="7"/>
        <v>133.12811850484391</v>
      </c>
      <c r="X36" s="83"/>
      <c r="Y36" s="81"/>
      <c r="Z36" s="81"/>
      <c r="AA36" s="81"/>
      <c r="AB36" s="81"/>
      <c r="AC36" s="84"/>
      <c r="AD36" s="85"/>
      <c r="AE36" s="81"/>
      <c r="AF36" s="81"/>
      <c r="AG36" s="81"/>
      <c r="AH36" s="81"/>
      <c r="AI36" s="84"/>
    </row>
    <row r="37" spans="2:35" s="74" customFormat="1" ht="26.25" customHeight="1" x14ac:dyDescent="0.25">
      <c r="B37" s="151" t="s">
        <v>335</v>
      </c>
      <c r="C37" s="81">
        <v>62</v>
      </c>
      <c r="D37" s="92">
        <v>61</v>
      </c>
      <c r="E37" s="92">
        <v>0</v>
      </c>
      <c r="F37" s="92">
        <v>0</v>
      </c>
      <c r="G37" s="92">
        <v>0</v>
      </c>
      <c r="H37" s="92">
        <v>0</v>
      </c>
      <c r="I37" s="92">
        <v>0</v>
      </c>
      <c r="J37" s="259">
        <v>1.4753096181770999</v>
      </c>
      <c r="K37" s="83">
        <f>VLOOKUP($C37,Prevs!$C$7:$I$279,2,FALSE)-IFERROR(VLOOKUP($E37,Prevs!$C$7:$I$279,2,FALSE),0)-IFERROR(VLOOKUP($D37,Prevs!$C$7:$I$279,2,FALSE),0)-IFERROR(VLOOKUP($G37,Prevs!$C$7:$I$279,2,FALSE),0)-IFERROR(VLOOKUP($H37,Prevs!$C$7:$I$279,2,FALSE),0)-IFERROR(VLOOKUP($I37,Prevs!$C$7:$I$279,2,FALSE),0)-IFERROR(VLOOKUP($F37,Prevs!$C$7:$I$279,2,FALSE),0)</f>
        <v>51</v>
      </c>
      <c r="L37" s="81">
        <f>VLOOKUP($C37,Prevs!$C$7:$I$279,3,FALSE)-IFERROR(VLOOKUP($E37,Prevs!$C$7:$I$279,3,FALSE),0)-IFERROR(VLOOKUP($D37,Prevs!$C$7:$I$279,3,FALSE),0)-IFERROR(VLOOKUP($G37,Prevs!$C$7:$I$279,3,FALSE),0)-IFERROR(VLOOKUP($H37,Prevs!$C$7:$I$279,3,FALSE),0)-IFERROR(VLOOKUP($I37,Prevs!$C$7:$I$279,3,FALSE),0)-IFERROR(VLOOKUP($F37,Prevs!$C$7:$I$279,3,FALSE),0)</f>
        <v>78</v>
      </c>
      <c r="M37" s="81">
        <f>VLOOKUP($C37,Prevs!$C$7:$I$279,4,FALSE)-IFERROR(VLOOKUP($E37,Prevs!$C$7:$I$279,4,FALSE),0)-IFERROR(VLOOKUP($D37,Prevs!$C$7:$I$279,4,FALSE),0)-IFERROR(VLOOKUP($G37,Prevs!$C$7:$I$279,4,FALSE),0)-IFERROR(VLOOKUP($H37,Prevs!$C$7:$I$279,4,FALSE),0)-IFERROR(VLOOKUP($I37,Prevs!$C$7:$I$279,4,FALSE),0)-IFERROR(VLOOKUP($F37,Prevs!$C$7:$I$279,4,FALSE),0)</f>
        <v>76</v>
      </c>
      <c r="N37" s="81">
        <f>VLOOKUP($C37,Prevs!$C$7:$I$279,5,FALSE)-IFERROR(VLOOKUP($E37,Prevs!$C$7:$I$279,5,FALSE),0)-IFERROR(VLOOKUP($D37,Prevs!$C$7:$I$279,5,FALSE),0)-IFERROR(VLOOKUP($G37,Prevs!$C$7:$I$279,5,FALSE),0)-IFERROR(VLOOKUP($H37,Prevs!$C$7:$I$279,5,FALSE),0)-IFERROR(VLOOKUP($I37,Prevs!$C$7:$I$279,5,FALSE),0)-IFERROR(VLOOKUP($F37,Prevs!$C$7:$I$279,5,FALSE),0)</f>
        <v>74</v>
      </c>
      <c r="O37" s="81">
        <f>VLOOKUP($C37,Prevs!$C$7:$I$279,6,FALSE)-IFERROR(VLOOKUP($E37,Prevs!$C$7:$I$279,6,FALSE),0)-IFERROR(VLOOKUP($D37,Prevs!$C$7:$I$279,6,FALSE),0)-IFERROR(VLOOKUP($G37,Prevs!$C$7:$I$279,6,FALSE),0)-IFERROR(VLOOKUP($H37,Prevs!$C$7:$I$279,6,FALSE),0)-IFERROR(VLOOKUP($I37,Prevs!$C$7:$I$279,6,FALSE),0)-IFERROR(VLOOKUP($F37,Prevs!$C$7:$I$279,6,FALSE),0)</f>
        <v>66</v>
      </c>
      <c r="P37" s="84">
        <f>VLOOKUP($C37,Prevs!$C$7:$I$279,7,FALSE)-IFERROR(VLOOKUP($E37,Prevs!$C$7:$I$279,7,FALSE),0)-IFERROR(VLOOKUP($D37,Prevs!$C$7:$I$279,7,FALSE),0)-IFERROR(VLOOKUP($G37,Prevs!$C$7:$I$279,7,FALSE),0)-IFERROR(VLOOKUP($H37,Prevs!$C$7:$I$279,7,FALSE),0)-IFERROR(VLOOKUP($I37,Prevs!$C$7:$I$279,7,FALSE),0)-IFERROR(VLOOKUP($F37,Prevs!$C$7:$I$279,7,FALSE),0)</f>
        <v>59</v>
      </c>
      <c r="Q37" s="276">
        <f t="shared" si="2"/>
        <v>75.24079052703209</v>
      </c>
      <c r="R37" s="271">
        <f t="shared" si="3"/>
        <v>115.07415021781379</v>
      </c>
      <c r="S37" s="271">
        <f t="shared" si="4"/>
        <v>112.1235309814596</v>
      </c>
      <c r="T37" s="271">
        <f t="shared" si="5"/>
        <v>109.1729117451054</v>
      </c>
      <c r="U37" s="271">
        <f t="shared" si="6"/>
        <v>97.370434799688596</v>
      </c>
      <c r="V37" s="272">
        <f t="shared" si="7"/>
        <v>87.043267472448889</v>
      </c>
      <c r="X37" s="83"/>
      <c r="Y37" s="81"/>
      <c r="Z37" s="81"/>
      <c r="AA37" s="81"/>
      <c r="AB37" s="81"/>
      <c r="AC37" s="84"/>
      <c r="AD37" s="85"/>
      <c r="AE37" s="81"/>
      <c r="AF37" s="81"/>
      <c r="AG37" s="81"/>
      <c r="AH37" s="81"/>
      <c r="AI37" s="84"/>
    </row>
    <row r="38" spans="2:35" s="74" customFormat="1" ht="26.25" customHeight="1" x14ac:dyDescent="0.25">
      <c r="B38" s="151" t="s">
        <v>336</v>
      </c>
      <c r="C38" s="81">
        <v>63</v>
      </c>
      <c r="D38" s="92">
        <v>62</v>
      </c>
      <c r="E38" s="92">
        <v>0</v>
      </c>
      <c r="F38" s="92">
        <v>0</v>
      </c>
      <c r="G38" s="92">
        <v>0</v>
      </c>
      <c r="H38" s="92">
        <v>0</v>
      </c>
      <c r="I38" s="92">
        <v>0</v>
      </c>
      <c r="J38" s="259">
        <v>1.2510317056608999</v>
      </c>
      <c r="K38" s="83">
        <f>VLOOKUP($C38,Prevs!$C$7:$I$279,2,FALSE)-IFERROR(VLOOKUP($E38,Prevs!$C$7:$I$279,2,FALSE),0)-IFERROR(VLOOKUP($D38,Prevs!$C$7:$I$279,2,FALSE),0)-IFERROR(VLOOKUP($G38,Prevs!$C$7:$I$279,2,FALSE),0)-IFERROR(VLOOKUP($H38,Prevs!$C$7:$I$279,2,FALSE),0)-IFERROR(VLOOKUP($I38,Prevs!$C$7:$I$279,2,FALSE),0)-IFERROR(VLOOKUP($F38,Prevs!$C$7:$I$279,2,FALSE),0)</f>
        <v>123</v>
      </c>
      <c r="L38" s="81">
        <f>VLOOKUP($C38,Prevs!$C$7:$I$279,3,FALSE)-IFERROR(VLOOKUP($E38,Prevs!$C$7:$I$279,3,FALSE),0)-IFERROR(VLOOKUP($D38,Prevs!$C$7:$I$279,3,FALSE),0)-IFERROR(VLOOKUP($G38,Prevs!$C$7:$I$279,3,FALSE),0)-IFERROR(VLOOKUP($H38,Prevs!$C$7:$I$279,3,FALSE),0)-IFERROR(VLOOKUP($I38,Prevs!$C$7:$I$279,3,FALSE),0)-IFERROR(VLOOKUP($F38,Prevs!$C$7:$I$279,3,FALSE),0)</f>
        <v>41</v>
      </c>
      <c r="M38" s="81">
        <f>VLOOKUP($C38,Prevs!$C$7:$I$279,4,FALSE)-IFERROR(VLOOKUP($E38,Prevs!$C$7:$I$279,4,FALSE),0)-IFERROR(VLOOKUP($D38,Prevs!$C$7:$I$279,4,FALSE),0)-IFERROR(VLOOKUP($G38,Prevs!$C$7:$I$279,4,FALSE),0)-IFERROR(VLOOKUP($H38,Prevs!$C$7:$I$279,4,FALSE),0)-IFERROR(VLOOKUP($I38,Prevs!$C$7:$I$279,4,FALSE),0)-IFERROR(VLOOKUP($F38,Prevs!$C$7:$I$279,4,FALSE),0)</f>
        <v>252</v>
      </c>
      <c r="N38" s="81">
        <f>VLOOKUP($C38,Prevs!$C$7:$I$279,5,FALSE)-IFERROR(VLOOKUP($E38,Prevs!$C$7:$I$279,5,FALSE),0)-IFERROR(VLOOKUP($D38,Prevs!$C$7:$I$279,5,FALSE),0)-IFERROR(VLOOKUP($G38,Prevs!$C$7:$I$279,5,FALSE),0)-IFERROR(VLOOKUP($H38,Prevs!$C$7:$I$279,5,FALSE),0)-IFERROR(VLOOKUP($I38,Prevs!$C$7:$I$279,5,FALSE),0)-IFERROR(VLOOKUP($F38,Prevs!$C$7:$I$279,5,FALSE),0)</f>
        <v>177</v>
      </c>
      <c r="O38" s="81">
        <f>VLOOKUP($C38,Prevs!$C$7:$I$279,6,FALSE)-IFERROR(VLOOKUP($E38,Prevs!$C$7:$I$279,6,FALSE),0)-IFERROR(VLOOKUP($D38,Prevs!$C$7:$I$279,6,FALSE),0)-IFERROR(VLOOKUP($G38,Prevs!$C$7:$I$279,6,FALSE),0)-IFERROR(VLOOKUP($H38,Prevs!$C$7:$I$279,6,FALSE),0)-IFERROR(VLOOKUP($I38,Prevs!$C$7:$I$279,6,FALSE),0)-IFERROR(VLOOKUP($F38,Prevs!$C$7:$I$279,6,FALSE),0)</f>
        <v>96</v>
      </c>
      <c r="P38" s="84">
        <f>VLOOKUP($C38,Prevs!$C$7:$I$279,7,FALSE)-IFERROR(VLOOKUP($E38,Prevs!$C$7:$I$279,7,FALSE),0)-IFERROR(VLOOKUP($D38,Prevs!$C$7:$I$279,7,FALSE),0)-IFERROR(VLOOKUP($G38,Prevs!$C$7:$I$279,7,FALSE),0)-IFERROR(VLOOKUP($H38,Prevs!$C$7:$I$279,7,FALSE),0)-IFERROR(VLOOKUP($I38,Prevs!$C$7:$I$279,7,FALSE),0)-IFERROR(VLOOKUP($F38,Prevs!$C$7:$I$279,7,FALSE),0)</f>
        <v>152</v>
      </c>
      <c r="Q38" s="276">
        <f t="shared" si="2"/>
        <v>153.8768997962907</v>
      </c>
      <c r="R38" s="271">
        <f t="shared" si="3"/>
        <v>51.292299932096896</v>
      </c>
      <c r="S38" s="271">
        <f t="shared" si="4"/>
        <v>315.25998982654676</v>
      </c>
      <c r="T38" s="271">
        <f t="shared" si="5"/>
        <v>221.4326119019793</v>
      </c>
      <c r="U38" s="271">
        <f t="shared" si="6"/>
        <v>120.0990437434464</v>
      </c>
      <c r="V38" s="272">
        <f t="shared" si="7"/>
        <v>190.15681926045679</v>
      </c>
      <c r="X38" s="83"/>
      <c r="Y38" s="81"/>
      <c r="Z38" s="81"/>
      <c r="AA38" s="81"/>
      <c r="AB38" s="81"/>
      <c r="AC38" s="84"/>
      <c r="AD38" s="85"/>
      <c r="AE38" s="81"/>
      <c r="AF38" s="81"/>
      <c r="AG38" s="81"/>
      <c r="AH38" s="81"/>
      <c r="AI38" s="84"/>
    </row>
    <row r="39" spans="2:35" s="74" customFormat="1" ht="26.25" customHeight="1" x14ac:dyDescent="0.25">
      <c r="B39" s="151" t="s">
        <v>337</v>
      </c>
      <c r="C39" s="81">
        <v>52</v>
      </c>
      <c r="D39" s="92">
        <v>51</v>
      </c>
      <c r="E39" s="92">
        <v>0</v>
      </c>
      <c r="F39" s="92">
        <v>0</v>
      </c>
      <c r="G39" s="92">
        <v>0</v>
      </c>
      <c r="H39" s="92">
        <v>0</v>
      </c>
      <c r="I39" s="92">
        <v>0</v>
      </c>
      <c r="J39" s="259">
        <v>1.997415997364</v>
      </c>
      <c r="K39" s="83">
        <f>VLOOKUP($C39,Prevs!$C$7:$I$279,2,FALSE)-IFERROR(VLOOKUP($E39,Prevs!$C$7:$I$279,2,FALSE),0)-IFERROR(VLOOKUP($D39,Prevs!$C$7:$I$279,2,FALSE),0)-IFERROR(VLOOKUP($G39,Prevs!$C$7:$I$279,2,FALSE),0)-IFERROR(VLOOKUP($H39,Prevs!$C$7:$I$279,2,FALSE),0)-IFERROR(VLOOKUP($I39,Prevs!$C$7:$I$279,2,FALSE),0)-IFERROR(VLOOKUP($F39,Prevs!$C$7:$I$279,2,FALSE),0)</f>
        <v>13</v>
      </c>
      <c r="L39" s="81">
        <f>VLOOKUP($C39,Prevs!$C$7:$I$279,3,FALSE)-IFERROR(VLOOKUP($E39,Prevs!$C$7:$I$279,3,FALSE),0)-IFERROR(VLOOKUP($D39,Prevs!$C$7:$I$279,3,FALSE),0)-IFERROR(VLOOKUP($G39,Prevs!$C$7:$I$279,3,FALSE),0)-IFERROR(VLOOKUP($H39,Prevs!$C$7:$I$279,3,FALSE),0)-IFERROR(VLOOKUP($I39,Prevs!$C$7:$I$279,3,FALSE),0)-IFERROR(VLOOKUP($F39,Prevs!$C$7:$I$279,3,FALSE),0)</f>
        <v>15</v>
      </c>
      <c r="M39" s="81">
        <f>VLOOKUP($C39,Prevs!$C$7:$I$279,4,FALSE)-IFERROR(VLOOKUP($E39,Prevs!$C$7:$I$279,4,FALSE),0)-IFERROR(VLOOKUP($D39,Prevs!$C$7:$I$279,4,FALSE),0)-IFERROR(VLOOKUP($G39,Prevs!$C$7:$I$279,4,FALSE),0)-IFERROR(VLOOKUP($H39,Prevs!$C$7:$I$279,4,FALSE),0)-IFERROR(VLOOKUP($I39,Prevs!$C$7:$I$279,4,FALSE),0)-IFERROR(VLOOKUP($F39,Prevs!$C$7:$I$279,4,FALSE),0)</f>
        <v>15</v>
      </c>
      <c r="N39" s="81">
        <f>VLOOKUP($C39,Prevs!$C$7:$I$279,5,FALSE)-IFERROR(VLOOKUP($E39,Prevs!$C$7:$I$279,5,FALSE),0)-IFERROR(VLOOKUP($D39,Prevs!$C$7:$I$279,5,FALSE),0)-IFERROR(VLOOKUP($G39,Prevs!$C$7:$I$279,5,FALSE),0)-IFERROR(VLOOKUP($H39,Prevs!$C$7:$I$279,5,FALSE),0)-IFERROR(VLOOKUP($I39,Prevs!$C$7:$I$279,5,FALSE),0)-IFERROR(VLOOKUP($F39,Prevs!$C$7:$I$279,5,FALSE),0)</f>
        <v>15</v>
      </c>
      <c r="O39" s="81">
        <f>VLOOKUP($C39,Prevs!$C$7:$I$279,6,FALSE)-IFERROR(VLOOKUP($E39,Prevs!$C$7:$I$279,6,FALSE),0)-IFERROR(VLOOKUP($D39,Prevs!$C$7:$I$279,6,FALSE),0)-IFERROR(VLOOKUP($G39,Prevs!$C$7:$I$279,6,FALSE),0)-IFERROR(VLOOKUP($H39,Prevs!$C$7:$I$279,6,FALSE),0)-IFERROR(VLOOKUP($I39,Prevs!$C$7:$I$279,6,FALSE),0)-IFERROR(VLOOKUP($F39,Prevs!$C$7:$I$279,6,FALSE),0)</f>
        <v>15</v>
      </c>
      <c r="P39" s="84">
        <f>VLOOKUP($C39,Prevs!$C$7:$I$279,7,FALSE)-IFERROR(VLOOKUP($E39,Prevs!$C$7:$I$279,7,FALSE),0)-IFERROR(VLOOKUP($D39,Prevs!$C$7:$I$279,7,FALSE),0)-IFERROR(VLOOKUP($G39,Prevs!$C$7:$I$279,7,FALSE),0)-IFERROR(VLOOKUP($H39,Prevs!$C$7:$I$279,7,FALSE),0)-IFERROR(VLOOKUP($I39,Prevs!$C$7:$I$279,7,FALSE),0)-IFERROR(VLOOKUP($F39,Prevs!$C$7:$I$279,7,FALSE),0)</f>
        <v>13</v>
      </c>
      <c r="Q39" s="276">
        <f t="shared" si="2"/>
        <v>25.966407965731999</v>
      </c>
      <c r="R39" s="271">
        <f t="shared" si="3"/>
        <v>29.961239960459999</v>
      </c>
      <c r="S39" s="271">
        <f t="shared" si="4"/>
        <v>29.961239960459999</v>
      </c>
      <c r="T39" s="271">
        <f t="shared" si="5"/>
        <v>29.961239960459999</v>
      </c>
      <c r="U39" s="271">
        <f t="shared" si="6"/>
        <v>29.961239960459999</v>
      </c>
      <c r="V39" s="272">
        <f t="shared" si="7"/>
        <v>25.966407965731999</v>
      </c>
      <c r="X39" s="83"/>
      <c r="Y39" s="81"/>
      <c r="Z39" s="81"/>
      <c r="AA39" s="81"/>
      <c r="AB39" s="81"/>
      <c r="AC39" s="84"/>
      <c r="AD39" s="85"/>
      <c r="AE39" s="81"/>
      <c r="AF39" s="81"/>
      <c r="AG39" s="81"/>
      <c r="AH39" s="81"/>
      <c r="AI39" s="84"/>
    </row>
    <row r="40" spans="2:35" s="74" customFormat="1" ht="26.25" customHeight="1" x14ac:dyDescent="0.25">
      <c r="B40" s="151" t="s">
        <v>338</v>
      </c>
      <c r="C40" s="81">
        <v>51</v>
      </c>
      <c r="D40" s="92">
        <v>50</v>
      </c>
      <c r="E40" s="92">
        <v>0</v>
      </c>
      <c r="F40" s="92">
        <v>0</v>
      </c>
      <c r="G40" s="92">
        <v>0</v>
      </c>
      <c r="H40" s="92">
        <v>0</v>
      </c>
      <c r="I40" s="92">
        <v>0</v>
      </c>
      <c r="J40" s="259">
        <v>2.1263193435071002</v>
      </c>
      <c r="K40" s="83">
        <f>VLOOKUP($C40,Prevs!$C$7:$I$279,2,FALSE)-IFERROR(VLOOKUP($E40,Prevs!$C$7:$I$279,2,FALSE),0)-IFERROR(VLOOKUP($D40,Prevs!$C$7:$I$279,2,FALSE),0)-IFERROR(VLOOKUP($G40,Prevs!$C$7:$I$279,2,FALSE),0)-IFERROR(VLOOKUP($H40,Prevs!$C$7:$I$279,2,FALSE),0)-IFERROR(VLOOKUP($I40,Prevs!$C$7:$I$279,2,FALSE),0)-IFERROR(VLOOKUP($F40,Prevs!$C$7:$I$279,2,FALSE),0)</f>
        <v>6</v>
      </c>
      <c r="L40" s="81">
        <f>VLOOKUP($C40,Prevs!$C$7:$I$279,3,FALSE)-IFERROR(VLOOKUP($E40,Prevs!$C$7:$I$279,3,FALSE),0)-IFERROR(VLOOKUP($D40,Prevs!$C$7:$I$279,3,FALSE),0)-IFERROR(VLOOKUP($G40,Prevs!$C$7:$I$279,3,FALSE),0)-IFERROR(VLOOKUP($H40,Prevs!$C$7:$I$279,3,FALSE),0)-IFERROR(VLOOKUP($I40,Prevs!$C$7:$I$279,3,FALSE),0)-IFERROR(VLOOKUP($F40,Prevs!$C$7:$I$279,3,FALSE),0)</f>
        <v>8</v>
      </c>
      <c r="M40" s="81">
        <f>VLOOKUP($C40,Prevs!$C$7:$I$279,4,FALSE)-IFERROR(VLOOKUP($E40,Prevs!$C$7:$I$279,4,FALSE),0)-IFERROR(VLOOKUP($D40,Prevs!$C$7:$I$279,4,FALSE),0)-IFERROR(VLOOKUP($G40,Prevs!$C$7:$I$279,4,FALSE),0)-IFERROR(VLOOKUP($H40,Prevs!$C$7:$I$279,4,FALSE),0)-IFERROR(VLOOKUP($I40,Prevs!$C$7:$I$279,4,FALSE),0)-IFERROR(VLOOKUP($F40,Prevs!$C$7:$I$279,4,FALSE),0)</f>
        <v>8</v>
      </c>
      <c r="N40" s="81">
        <f>VLOOKUP($C40,Prevs!$C$7:$I$279,5,FALSE)-IFERROR(VLOOKUP($E40,Prevs!$C$7:$I$279,5,FALSE),0)-IFERROR(VLOOKUP($D40,Prevs!$C$7:$I$279,5,FALSE),0)-IFERROR(VLOOKUP($G40,Prevs!$C$7:$I$279,5,FALSE),0)-IFERROR(VLOOKUP($H40,Prevs!$C$7:$I$279,5,FALSE),0)-IFERROR(VLOOKUP($I40,Prevs!$C$7:$I$279,5,FALSE),0)-IFERROR(VLOOKUP($F40,Prevs!$C$7:$I$279,5,FALSE),0)</f>
        <v>6</v>
      </c>
      <c r="O40" s="81">
        <f>VLOOKUP($C40,Prevs!$C$7:$I$279,6,FALSE)-IFERROR(VLOOKUP($E40,Prevs!$C$7:$I$279,6,FALSE),0)-IFERROR(VLOOKUP($D40,Prevs!$C$7:$I$279,6,FALSE),0)-IFERROR(VLOOKUP($G40,Prevs!$C$7:$I$279,6,FALSE),0)-IFERROR(VLOOKUP($H40,Prevs!$C$7:$I$279,6,FALSE),0)-IFERROR(VLOOKUP($I40,Prevs!$C$7:$I$279,6,FALSE),0)-IFERROR(VLOOKUP($F40,Prevs!$C$7:$I$279,6,FALSE),0)</f>
        <v>6</v>
      </c>
      <c r="P40" s="84">
        <f>VLOOKUP($C40,Prevs!$C$7:$I$279,7,FALSE)-IFERROR(VLOOKUP($E40,Prevs!$C$7:$I$279,7,FALSE),0)-IFERROR(VLOOKUP($D40,Prevs!$C$7:$I$279,7,FALSE),0)-IFERROR(VLOOKUP($G40,Prevs!$C$7:$I$279,7,FALSE),0)-IFERROR(VLOOKUP($H40,Prevs!$C$7:$I$279,7,FALSE),0)-IFERROR(VLOOKUP($I40,Prevs!$C$7:$I$279,7,FALSE),0)-IFERROR(VLOOKUP($F40,Prevs!$C$7:$I$279,7,FALSE),0)</f>
        <v>6</v>
      </c>
      <c r="Q40" s="276">
        <f t="shared" si="2"/>
        <v>12.7579160610426</v>
      </c>
      <c r="R40" s="271">
        <f t="shared" si="3"/>
        <v>17.010554748056801</v>
      </c>
      <c r="S40" s="271">
        <f t="shared" si="4"/>
        <v>17.010554748056801</v>
      </c>
      <c r="T40" s="271">
        <f t="shared" si="5"/>
        <v>12.7579160610426</v>
      </c>
      <c r="U40" s="271">
        <f t="shared" si="6"/>
        <v>12.7579160610426</v>
      </c>
      <c r="V40" s="272">
        <f t="shared" si="7"/>
        <v>12.7579160610426</v>
      </c>
      <c r="X40" s="83"/>
      <c r="Y40" s="81"/>
      <c r="Z40" s="81"/>
      <c r="AA40" s="81"/>
      <c r="AB40" s="81"/>
      <c r="AC40" s="84"/>
      <c r="AD40" s="85"/>
      <c r="AE40" s="81"/>
      <c r="AF40" s="81"/>
      <c r="AG40" s="81"/>
      <c r="AH40" s="81"/>
      <c r="AI40" s="84"/>
    </row>
    <row r="41" spans="2:35" s="74" customFormat="1" ht="26.25" customHeight="1" x14ac:dyDescent="0.25">
      <c r="B41" s="151" t="s">
        <v>379</v>
      </c>
      <c r="C41" s="81">
        <v>47</v>
      </c>
      <c r="D41" s="92">
        <v>0</v>
      </c>
      <c r="E41" s="92">
        <v>0</v>
      </c>
      <c r="F41" s="92">
        <v>0</v>
      </c>
      <c r="G41" s="92">
        <v>0</v>
      </c>
      <c r="H41" s="92">
        <v>0</v>
      </c>
      <c r="I41" s="92">
        <v>0</v>
      </c>
      <c r="J41" s="259">
        <v>3.5172747075633199</v>
      </c>
      <c r="K41" s="83">
        <f>VLOOKUP($C41,Prevs!$C$7:$I$279,2,FALSE)-IFERROR(VLOOKUP($E41,Prevs!$C$7:$I$279,2,FALSE),0)-IFERROR(VLOOKUP($D41,Prevs!$C$7:$I$279,2,FALSE),0)-IFERROR(VLOOKUP($G41,Prevs!$C$7:$I$279,2,FALSE),0)-IFERROR(VLOOKUP($H41,Prevs!$C$7:$I$279,2,FALSE),0)-IFERROR(VLOOKUP($I41,Prevs!$C$7:$I$279,2,FALSE),0)-IFERROR(VLOOKUP($F41,Prevs!$C$7:$I$279,2,FALSE),0)</f>
        <v>155</v>
      </c>
      <c r="L41" s="81">
        <f>VLOOKUP($C41,Prevs!$C$7:$I$279,3,FALSE)-IFERROR(VLOOKUP($E41,Prevs!$C$7:$I$279,3,FALSE),0)-IFERROR(VLOOKUP($D41,Prevs!$C$7:$I$279,3,FALSE),0)-IFERROR(VLOOKUP($G41,Prevs!$C$7:$I$279,3,FALSE),0)-IFERROR(VLOOKUP($H41,Prevs!$C$7:$I$279,3,FALSE),0)-IFERROR(VLOOKUP($I41,Prevs!$C$7:$I$279,3,FALSE),0)-IFERROR(VLOOKUP($F41,Prevs!$C$7:$I$279,3,FALSE),0)</f>
        <v>173</v>
      </c>
      <c r="M41" s="81">
        <f>VLOOKUP($C41,Prevs!$C$7:$I$279,4,FALSE)-IFERROR(VLOOKUP($E41,Prevs!$C$7:$I$279,4,FALSE),0)-IFERROR(VLOOKUP($D41,Prevs!$C$7:$I$279,4,FALSE),0)-IFERROR(VLOOKUP($G41,Prevs!$C$7:$I$279,4,FALSE),0)-IFERROR(VLOOKUP($H41,Prevs!$C$7:$I$279,4,FALSE),0)-IFERROR(VLOOKUP($I41,Prevs!$C$7:$I$279,4,FALSE),0)-IFERROR(VLOOKUP($F41,Prevs!$C$7:$I$279,4,FALSE),0)</f>
        <v>167</v>
      </c>
      <c r="N41" s="81">
        <f>VLOOKUP($C41,Prevs!$C$7:$I$279,5,FALSE)-IFERROR(VLOOKUP($E41,Prevs!$C$7:$I$279,5,FALSE),0)-IFERROR(VLOOKUP($D41,Prevs!$C$7:$I$279,5,FALSE),0)-IFERROR(VLOOKUP($G41,Prevs!$C$7:$I$279,5,FALSE),0)-IFERROR(VLOOKUP($H41,Prevs!$C$7:$I$279,5,FALSE),0)-IFERROR(VLOOKUP($I41,Prevs!$C$7:$I$279,5,FALSE),0)-IFERROR(VLOOKUP($F41,Prevs!$C$7:$I$279,5,FALSE),0)</f>
        <v>165</v>
      </c>
      <c r="O41" s="81">
        <f>VLOOKUP($C41,Prevs!$C$7:$I$279,6,FALSE)-IFERROR(VLOOKUP($E41,Prevs!$C$7:$I$279,6,FALSE),0)-IFERROR(VLOOKUP($D41,Prevs!$C$7:$I$279,6,FALSE),0)-IFERROR(VLOOKUP($G41,Prevs!$C$7:$I$279,6,FALSE),0)-IFERROR(VLOOKUP($H41,Prevs!$C$7:$I$279,6,FALSE),0)-IFERROR(VLOOKUP($I41,Prevs!$C$7:$I$279,6,FALSE),0)-IFERROR(VLOOKUP($F41,Prevs!$C$7:$I$279,6,FALSE),0)</f>
        <v>162</v>
      </c>
      <c r="P41" s="84">
        <f>VLOOKUP($C41,Prevs!$C$7:$I$279,7,FALSE)-IFERROR(VLOOKUP($E41,Prevs!$C$7:$I$279,7,FALSE),0)-IFERROR(VLOOKUP($D41,Prevs!$C$7:$I$279,7,FALSE),0)-IFERROR(VLOOKUP($G41,Prevs!$C$7:$I$279,7,FALSE),0)-IFERROR(VLOOKUP($H41,Prevs!$C$7:$I$279,7,FALSE),0)-IFERROR(VLOOKUP($I41,Prevs!$C$7:$I$279,7,FALSE),0)-IFERROR(VLOOKUP($F41,Prevs!$C$7:$I$279,7,FALSE),0)</f>
        <v>151</v>
      </c>
      <c r="Q41" s="276">
        <f t="shared" si="2"/>
        <v>545.17757967231455</v>
      </c>
      <c r="R41" s="271">
        <f t="shared" si="3"/>
        <v>608.4885244084544</v>
      </c>
      <c r="S41" s="271">
        <f t="shared" si="4"/>
        <v>587.38487616307441</v>
      </c>
      <c r="T41" s="271">
        <f t="shared" si="5"/>
        <v>580.35032674794775</v>
      </c>
      <c r="U41" s="271">
        <f t="shared" si="6"/>
        <v>569.79850262525781</v>
      </c>
      <c r="V41" s="272">
        <f t="shared" si="7"/>
        <v>531.10848084206134</v>
      </c>
      <c r="X41" s="83"/>
      <c r="Y41" s="81"/>
      <c r="Z41" s="81"/>
      <c r="AA41" s="81"/>
      <c r="AB41" s="81"/>
      <c r="AC41" s="84"/>
      <c r="AD41" s="85"/>
      <c r="AE41" s="81"/>
      <c r="AF41" s="81"/>
      <c r="AG41" s="81"/>
      <c r="AH41" s="81"/>
      <c r="AI41" s="84"/>
    </row>
    <row r="42" spans="2:35" s="74" customFormat="1" ht="26.25" customHeight="1" x14ac:dyDescent="0.25">
      <c r="B42" s="151" t="s">
        <v>128</v>
      </c>
      <c r="C42" s="81">
        <v>49</v>
      </c>
      <c r="D42" s="92">
        <v>48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259">
        <v>2.9951000173034199</v>
      </c>
      <c r="K42" s="83">
        <f>VLOOKUP($C42,Prevs!$C$7:$I$279,2,FALSE)-IFERROR(VLOOKUP($E42,Prevs!$C$7:$I$279,2,FALSE),0)-IFERROR(VLOOKUP($D42,Prevs!$C$7:$I$279,2,FALSE),0)-IFERROR(VLOOKUP($G42,Prevs!$C$7:$I$279,2,FALSE),0)-IFERROR(VLOOKUP($H42,Prevs!$C$7:$I$279,2,FALSE),0)-IFERROR(VLOOKUP($I42,Prevs!$C$7:$I$279,2,FALSE),0)-IFERROR(VLOOKUP($F42,Prevs!$C$7:$I$279,2,FALSE),0)</f>
        <v>93</v>
      </c>
      <c r="L42" s="81">
        <f>VLOOKUP($C42,Prevs!$C$7:$I$279,3,FALSE)-IFERROR(VLOOKUP($E42,Prevs!$C$7:$I$279,3,FALSE),0)-IFERROR(VLOOKUP($D42,Prevs!$C$7:$I$279,3,FALSE),0)-IFERROR(VLOOKUP($G42,Prevs!$C$7:$I$279,3,FALSE),0)-IFERROR(VLOOKUP($H42,Prevs!$C$7:$I$279,3,FALSE),0)-IFERROR(VLOOKUP($I42,Prevs!$C$7:$I$279,3,FALSE),0)-IFERROR(VLOOKUP($F42,Prevs!$C$7:$I$279,3,FALSE),0)</f>
        <v>93</v>
      </c>
      <c r="M42" s="81">
        <f>VLOOKUP($C42,Prevs!$C$7:$I$279,4,FALSE)-IFERROR(VLOOKUP($E42,Prevs!$C$7:$I$279,4,FALSE),0)-IFERROR(VLOOKUP($D42,Prevs!$C$7:$I$279,4,FALSE),0)-IFERROR(VLOOKUP($G42,Prevs!$C$7:$I$279,4,FALSE),0)-IFERROR(VLOOKUP($H42,Prevs!$C$7:$I$279,4,FALSE),0)-IFERROR(VLOOKUP($I42,Prevs!$C$7:$I$279,4,FALSE),0)-IFERROR(VLOOKUP($F42,Prevs!$C$7:$I$279,4,FALSE),0)</f>
        <v>91</v>
      </c>
      <c r="N42" s="81">
        <f>VLOOKUP($C42,Prevs!$C$7:$I$279,5,FALSE)-IFERROR(VLOOKUP($E42,Prevs!$C$7:$I$279,5,FALSE),0)-IFERROR(VLOOKUP($D42,Prevs!$C$7:$I$279,5,FALSE),0)-IFERROR(VLOOKUP($G42,Prevs!$C$7:$I$279,5,FALSE),0)-IFERROR(VLOOKUP($H42,Prevs!$C$7:$I$279,5,FALSE),0)-IFERROR(VLOOKUP($I42,Prevs!$C$7:$I$279,5,FALSE),0)-IFERROR(VLOOKUP($F42,Prevs!$C$7:$I$279,5,FALSE),0)</f>
        <v>89</v>
      </c>
      <c r="O42" s="81">
        <f>VLOOKUP($C42,Prevs!$C$7:$I$279,6,FALSE)-IFERROR(VLOOKUP($E42,Prevs!$C$7:$I$279,6,FALSE),0)-IFERROR(VLOOKUP($D42,Prevs!$C$7:$I$279,6,FALSE),0)-IFERROR(VLOOKUP($G42,Prevs!$C$7:$I$279,6,FALSE),0)-IFERROR(VLOOKUP($H42,Prevs!$C$7:$I$279,6,FALSE),0)-IFERROR(VLOOKUP($I42,Prevs!$C$7:$I$279,6,FALSE),0)-IFERROR(VLOOKUP($F42,Prevs!$C$7:$I$279,6,FALSE),0)</f>
        <v>87</v>
      </c>
      <c r="P42" s="84">
        <f>VLOOKUP($C42,Prevs!$C$7:$I$279,7,FALSE)-IFERROR(VLOOKUP($E42,Prevs!$C$7:$I$279,7,FALSE),0)-IFERROR(VLOOKUP($D42,Prevs!$C$7:$I$279,7,FALSE),0)-IFERROR(VLOOKUP($G42,Prevs!$C$7:$I$279,7,FALSE),0)-IFERROR(VLOOKUP($H42,Prevs!$C$7:$I$279,7,FALSE),0)-IFERROR(VLOOKUP($I42,Prevs!$C$7:$I$279,7,FALSE),0)-IFERROR(VLOOKUP($F42,Prevs!$C$7:$I$279,7,FALSE),0)</f>
        <v>80</v>
      </c>
      <c r="Q42" s="276">
        <f t="shared" si="2"/>
        <v>278.54430160921805</v>
      </c>
      <c r="R42" s="271">
        <f t="shared" si="3"/>
        <v>278.54430160921805</v>
      </c>
      <c r="S42" s="271">
        <f t="shared" si="4"/>
        <v>272.5541015746112</v>
      </c>
      <c r="T42" s="271">
        <f t="shared" si="5"/>
        <v>266.56390154000439</v>
      </c>
      <c r="U42" s="271">
        <f t="shared" si="6"/>
        <v>260.57370150539754</v>
      </c>
      <c r="V42" s="272">
        <f t="shared" si="7"/>
        <v>239.60800138427359</v>
      </c>
      <c r="X42" s="83"/>
      <c r="Y42" s="81"/>
      <c r="Z42" s="81"/>
      <c r="AA42" s="81"/>
      <c r="AB42" s="81"/>
      <c r="AC42" s="84"/>
      <c r="AD42" s="85"/>
      <c r="AE42" s="81"/>
      <c r="AF42" s="81"/>
      <c r="AG42" s="81"/>
      <c r="AH42" s="81"/>
      <c r="AI42" s="84"/>
    </row>
    <row r="43" spans="2:35" s="74" customFormat="1" ht="26.25" customHeight="1" x14ac:dyDescent="0.25">
      <c r="B43" s="151" t="s">
        <v>339</v>
      </c>
      <c r="C43" s="81">
        <v>61</v>
      </c>
      <c r="D43" s="282">
        <v>57</v>
      </c>
      <c r="E43" s="92">
        <v>52</v>
      </c>
      <c r="F43" s="92">
        <v>0</v>
      </c>
      <c r="G43" s="92">
        <v>0</v>
      </c>
      <c r="H43" s="92">
        <v>0</v>
      </c>
      <c r="I43" s="92">
        <v>0</v>
      </c>
      <c r="J43" s="259">
        <v>1.8465326884424</v>
      </c>
      <c r="K43" s="83">
        <f>VLOOKUP($C43,Prevs!$C$7:$I$279,2,FALSE)-IFERROR(VLOOKUP($E43,Prevs!$C$7:$I$279,2,FALSE),0)-IFERROR(VLOOKUP($D43,Prevs!$C$7:$I$279,2,FALSE),0)-IFERROR(VLOOKUP($G43,Prevs!$C$7:$I$279,2,FALSE),0)-IFERROR(VLOOKUP($H43,Prevs!$C$7:$I$279,2,FALSE),0)-IFERROR(VLOOKUP($I43,Prevs!$C$7:$I$279,2,FALSE),0)-IFERROR(VLOOKUP($F43,Prevs!$C$7:$I$279,2,FALSE),0)</f>
        <v>265</v>
      </c>
      <c r="L43" s="81">
        <f>VLOOKUP($C43,Prevs!$C$7:$I$279,3,FALSE)-IFERROR(VLOOKUP($E43,Prevs!$C$7:$I$279,3,FALSE),0)-IFERROR(VLOOKUP($D43,Prevs!$C$7:$I$279,3,FALSE),0)-IFERROR(VLOOKUP($G43,Prevs!$C$7:$I$279,3,FALSE),0)-IFERROR(VLOOKUP($H43,Prevs!$C$7:$I$279,3,FALSE),0)-IFERROR(VLOOKUP($I43,Prevs!$C$7:$I$279,3,FALSE),0)-IFERROR(VLOOKUP($F43,Prevs!$C$7:$I$279,3,FALSE),0)</f>
        <v>295</v>
      </c>
      <c r="M43" s="81">
        <f>VLOOKUP($C43,Prevs!$C$7:$I$279,4,FALSE)-IFERROR(VLOOKUP($E43,Prevs!$C$7:$I$279,4,FALSE),0)-IFERROR(VLOOKUP($D43,Prevs!$C$7:$I$279,4,FALSE),0)-IFERROR(VLOOKUP($G43,Prevs!$C$7:$I$279,4,FALSE),0)-IFERROR(VLOOKUP($H43,Prevs!$C$7:$I$279,4,FALSE),0)-IFERROR(VLOOKUP($I43,Prevs!$C$7:$I$279,4,FALSE),0)-IFERROR(VLOOKUP($F43,Prevs!$C$7:$I$279,4,FALSE),0)</f>
        <v>364</v>
      </c>
      <c r="N43" s="81">
        <f>VLOOKUP($C43,Prevs!$C$7:$I$279,5,FALSE)-IFERROR(VLOOKUP($E43,Prevs!$C$7:$I$279,5,FALSE),0)-IFERROR(VLOOKUP($D43,Prevs!$C$7:$I$279,5,FALSE),0)-IFERROR(VLOOKUP($G43,Prevs!$C$7:$I$279,5,FALSE),0)-IFERROR(VLOOKUP($H43,Prevs!$C$7:$I$279,5,FALSE),0)-IFERROR(VLOOKUP($I43,Prevs!$C$7:$I$279,5,FALSE),0)-IFERROR(VLOOKUP($F43,Prevs!$C$7:$I$279,5,FALSE),0)</f>
        <v>357</v>
      </c>
      <c r="O43" s="81">
        <f>VLOOKUP($C43,Prevs!$C$7:$I$279,6,FALSE)-IFERROR(VLOOKUP($E43,Prevs!$C$7:$I$279,6,FALSE),0)-IFERROR(VLOOKUP($D43,Prevs!$C$7:$I$279,6,FALSE),0)-IFERROR(VLOOKUP($G43,Prevs!$C$7:$I$279,6,FALSE),0)-IFERROR(VLOOKUP($H43,Prevs!$C$7:$I$279,6,FALSE),0)-IFERROR(VLOOKUP($I43,Prevs!$C$7:$I$279,6,FALSE),0)-IFERROR(VLOOKUP($F43,Prevs!$C$7:$I$279,6,FALSE),0)</f>
        <v>167</v>
      </c>
      <c r="P43" s="84">
        <f>VLOOKUP($C43,Prevs!$C$7:$I$279,7,FALSE)-IFERROR(VLOOKUP($E43,Prevs!$C$7:$I$279,7,FALSE),0)-IFERROR(VLOOKUP($D43,Prevs!$C$7:$I$279,7,FALSE),0)-IFERROR(VLOOKUP($G43,Prevs!$C$7:$I$279,7,FALSE),0)-IFERROR(VLOOKUP($H43,Prevs!$C$7:$I$279,7,FALSE),0)-IFERROR(VLOOKUP($I43,Prevs!$C$7:$I$279,7,FALSE),0)-IFERROR(VLOOKUP($F43,Prevs!$C$7:$I$279,7,FALSE),0)</f>
        <v>253</v>
      </c>
      <c r="Q43" s="276">
        <f t="shared" si="2"/>
        <v>489.331162437236</v>
      </c>
      <c r="R43" s="271">
        <f t="shared" si="3"/>
        <v>544.72714309050798</v>
      </c>
      <c r="S43" s="271">
        <f t="shared" si="4"/>
        <v>672.13789859303358</v>
      </c>
      <c r="T43" s="271">
        <f t="shared" si="5"/>
        <v>659.21216977393681</v>
      </c>
      <c r="U43" s="271">
        <f t="shared" si="6"/>
        <v>308.3709589698808</v>
      </c>
      <c r="V43" s="272">
        <f t="shared" si="7"/>
        <v>467.17277017592721</v>
      </c>
      <c r="X43" s="83"/>
      <c r="Y43" s="81"/>
      <c r="Z43" s="81"/>
      <c r="AA43" s="81"/>
      <c r="AB43" s="81"/>
      <c r="AC43" s="84"/>
      <c r="AD43" s="85"/>
      <c r="AE43" s="81"/>
      <c r="AF43" s="81"/>
      <c r="AG43" s="81"/>
      <c r="AH43" s="81"/>
      <c r="AI43" s="84"/>
    </row>
    <row r="44" spans="2:35" s="74" customFormat="1" ht="26.25" customHeight="1" x14ac:dyDescent="0.25">
      <c r="B44" s="151" t="s">
        <v>380</v>
      </c>
      <c r="C44" s="81">
        <v>50</v>
      </c>
      <c r="D44" s="92">
        <v>249</v>
      </c>
      <c r="E44" s="92">
        <v>0</v>
      </c>
      <c r="F44" s="92">
        <v>0</v>
      </c>
      <c r="G44" s="92">
        <v>0</v>
      </c>
      <c r="H44" s="92">
        <v>0</v>
      </c>
      <c r="I44" s="92">
        <v>0</v>
      </c>
      <c r="J44" s="259">
        <v>2.2760067132121802</v>
      </c>
      <c r="K44" s="83">
        <f>VLOOKUP($C44,Prevs!$C$7:$I$279,2,FALSE)-IFERROR(VLOOKUP($E44,Prevs!$C$7:$I$279,2,FALSE),0)-IFERROR(VLOOKUP($D44,Prevs!$C$7:$I$279,2,FALSE),0)-IFERROR(VLOOKUP($G44,Prevs!$C$7:$I$279,2,FALSE),0)-IFERROR(VLOOKUP($H44,Prevs!$C$7:$I$279,2,FALSE),0)-IFERROR(VLOOKUP($I44,Prevs!$C$7:$I$279,2,FALSE),0)-IFERROR(VLOOKUP($F44,Prevs!$C$7:$I$279,2,FALSE),0)</f>
        <v>74</v>
      </c>
      <c r="L44" s="81">
        <f>VLOOKUP($C44,Prevs!$C$7:$I$279,3,FALSE)-IFERROR(VLOOKUP($E44,Prevs!$C$7:$I$279,3,FALSE),0)-IFERROR(VLOOKUP($D44,Prevs!$C$7:$I$279,3,FALSE),0)-IFERROR(VLOOKUP($G44,Prevs!$C$7:$I$279,3,FALSE),0)-IFERROR(VLOOKUP($H44,Prevs!$C$7:$I$279,3,FALSE),0)-IFERROR(VLOOKUP($I44,Prevs!$C$7:$I$279,3,FALSE),0)-IFERROR(VLOOKUP($F44,Prevs!$C$7:$I$279,3,FALSE),0)</f>
        <v>89</v>
      </c>
      <c r="M44" s="81">
        <f>VLOOKUP($C44,Prevs!$C$7:$I$279,4,FALSE)-IFERROR(VLOOKUP($E44,Prevs!$C$7:$I$279,4,FALSE),0)-IFERROR(VLOOKUP($D44,Prevs!$C$7:$I$279,4,FALSE),0)-IFERROR(VLOOKUP($G44,Prevs!$C$7:$I$279,4,FALSE),0)-IFERROR(VLOOKUP($H44,Prevs!$C$7:$I$279,4,FALSE),0)-IFERROR(VLOOKUP($I44,Prevs!$C$7:$I$279,4,FALSE),0)-IFERROR(VLOOKUP($F44,Prevs!$C$7:$I$279,4,FALSE),0)</f>
        <v>86</v>
      </c>
      <c r="N44" s="81">
        <f>VLOOKUP($C44,Prevs!$C$7:$I$279,5,FALSE)-IFERROR(VLOOKUP($E44,Prevs!$C$7:$I$279,5,FALSE),0)-IFERROR(VLOOKUP($D44,Prevs!$C$7:$I$279,5,FALSE),0)-IFERROR(VLOOKUP($G44,Prevs!$C$7:$I$279,5,FALSE),0)-IFERROR(VLOOKUP($H44,Prevs!$C$7:$I$279,5,FALSE),0)-IFERROR(VLOOKUP($I44,Prevs!$C$7:$I$279,5,FALSE),0)-IFERROR(VLOOKUP($F44,Prevs!$C$7:$I$279,5,FALSE),0)</f>
        <v>87</v>
      </c>
      <c r="O44" s="81">
        <f>VLOOKUP($C44,Prevs!$C$7:$I$279,6,FALSE)-IFERROR(VLOOKUP($E44,Prevs!$C$7:$I$279,6,FALSE),0)-IFERROR(VLOOKUP($D44,Prevs!$C$7:$I$279,6,FALSE),0)-IFERROR(VLOOKUP($G44,Prevs!$C$7:$I$279,6,FALSE),0)-IFERROR(VLOOKUP($H44,Prevs!$C$7:$I$279,6,FALSE),0)-IFERROR(VLOOKUP($I44,Prevs!$C$7:$I$279,6,FALSE),0)-IFERROR(VLOOKUP($F44,Prevs!$C$7:$I$279,6,FALSE),0)</f>
        <v>86</v>
      </c>
      <c r="P44" s="84">
        <f>VLOOKUP($C44,Prevs!$C$7:$I$279,7,FALSE)-IFERROR(VLOOKUP($E44,Prevs!$C$7:$I$279,7,FALSE),0)-IFERROR(VLOOKUP($D44,Prevs!$C$7:$I$279,7,FALSE),0)-IFERROR(VLOOKUP($G44,Prevs!$C$7:$I$279,7,FALSE),0)-IFERROR(VLOOKUP($H44,Prevs!$C$7:$I$279,7,FALSE),0)-IFERROR(VLOOKUP($I44,Prevs!$C$7:$I$279,7,FALSE),0)-IFERROR(VLOOKUP($F44,Prevs!$C$7:$I$279,7,FALSE),0)</f>
        <v>80</v>
      </c>
      <c r="Q44" s="276">
        <f t="shared" si="2"/>
        <v>168.42449677770134</v>
      </c>
      <c r="R44" s="271">
        <f t="shared" si="3"/>
        <v>202.56459747588403</v>
      </c>
      <c r="S44" s="271">
        <f t="shared" si="4"/>
        <v>195.73657733624751</v>
      </c>
      <c r="T44" s="271">
        <f t="shared" si="5"/>
        <v>198.01258404945966</v>
      </c>
      <c r="U44" s="271">
        <f t="shared" si="6"/>
        <v>195.73657733624751</v>
      </c>
      <c r="V44" s="272">
        <f t="shared" si="7"/>
        <v>182.08053705697441</v>
      </c>
      <c r="X44" s="83"/>
      <c r="Y44" s="81"/>
      <c r="Z44" s="81"/>
      <c r="AA44" s="81"/>
      <c r="AB44" s="81"/>
      <c r="AC44" s="84"/>
      <c r="AD44" s="85"/>
      <c r="AE44" s="81"/>
      <c r="AF44" s="81"/>
      <c r="AG44" s="81"/>
      <c r="AH44" s="81"/>
      <c r="AI44" s="84"/>
    </row>
    <row r="45" spans="2:35" s="74" customFormat="1" ht="26.25" customHeight="1" x14ac:dyDescent="0.25">
      <c r="B45" s="151" t="s">
        <v>139</v>
      </c>
      <c r="C45" s="81">
        <v>245</v>
      </c>
      <c r="D45" s="92">
        <v>244</v>
      </c>
      <c r="E45" s="92">
        <v>0</v>
      </c>
      <c r="F45" s="92">
        <v>0</v>
      </c>
      <c r="G45" s="92">
        <v>0</v>
      </c>
      <c r="H45" s="92">
        <v>0</v>
      </c>
      <c r="I45" s="92">
        <v>0</v>
      </c>
      <c r="J45" s="259">
        <v>1.42203349807558</v>
      </c>
      <c r="K45" s="83">
        <f>VLOOKUP($C45,Prevs!$C$7:$I$279,2,FALSE)-IFERROR(VLOOKUP($E45,Prevs!$C$7:$I$279,2,FALSE),0)-IFERROR(VLOOKUP($D45,Prevs!$C$7:$I$279,2,FALSE),0)-IFERROR(VLOOKUP($G45,Prevs!$C$7:$I$279,2,FALSE),0)-IFERROR(VLOOKUP($H45,Prevs!$C$7:$I$279,2,FALSE),0)-IFERROR(VLOOKUP($I45,Prevs!$C$7:$I$279,2,FALSE),0)-IFERROR(VLOOKUP($F45,Prevs!$C$7:$I$279,2,FALSE),0)</f>
        <v>508</v>
      </c>
      <c r="L45" s="81">
        <f>VLOOKUP($C45,Prevs!$C$7:$I$279,3,FALSE)-IFERROR(VLOOKUP($E45,Prevs!$C$7:$I$279,3,FALSE),0)-IFERROR(VLOOKUP($D45,Prevs!$C$7:$I$279,3,FALSE),0)-IFERROR(VLOOKUP($G45,Prevs!$C$7:$I$279,3,FALSE),0)-IFERROR(VLOOKUP($H45,Prevs!$C$7:$I$279,3,FALSE),0)-IFERROR(VLOOKUP($I45,Prevs!$C$7:$I$279,3,FALSE),0)-IFERROR(VLOOKUP($F45,Prevs!$C$7:$I$279,3,FALSE),0)</f>
        <v>462</v>
      </c>
      <c r="M45" s="81">
        <f>VLOOKUP($C45,Prevs!$C$7:$I$279,4,FALSE)-IFERROR(VLOOKUP($E45,Prevs!$C$7:$I$279,4,FALSE),0)-IFERROR(VLOOKUP($D45,Prevs!$C$7:$I$279,4,FALSE),0)-IFERROR(VLOOKUP($G45,Prevs!$C$7:$I$279,4,FALSE),0)-IFERROR(VLOOKUP($H45,Prevs!$C$7:$I$279,4,FALSE),0)-IFERROR(VLOOKUP($I45,Prevs!$C$7:$I$279,4,FALSE),0)-IFERROR(VLOOKUP($F45,Prevs!$C$7:$I$279,4,FALSE),0)</f>
        <v>502</v>
      </c>
      <c r="N45" s="81">
        <f>VLOOKUP($C45,Prevs!$C$7:$I$279,5,FALSE)-IFERROR(VLOOKUP($E45,Prevs!$C$7:$I$279,5,FALSE),0)-IFERROR(VLOOKUP($D45,Prevs!$C$7:$I$279,5,FALSE),0)-IFERROR(VLOOKUP($G45,Prevs!$C$7:$I$279,5,FALSE),0)-IFERROR(VLOOKUP($H45,Prevs!$C$7:$I$279,5,FALSE),0)-IFERROR(VLOOKUP($I45,Prevs!$C$7:$I$279,5,FALSE),0)-IFERROR(VLOOKUP($F45,Prevs!$C$7:$I$279,5,FALSE),0)</f>
        <v>494</v>
      </c>
      <c r="O45" s="81">
        <f>VLOOKUP($C45,Prevs!$C$7:$I$279,6,FALSE)-IFERROR(VLOOKUP($E45,Prevs!$C$7:$I$279,6,FALSE),0)-IFERROR(VLOOKUP($D45,Prevs!$C$7:$I$279,6,FALSE),0)-IFERROR(VLOOKUP($G45,Prevs!$C$7:$I$279,6,FALSE),0)-IFERROR(VLOOKUP($H45,Prevs!$C$7:$I$279,6,FALSE),0)-IFERROR(VLOOKUP($I45,Prevs!$C$7:$I$279,6,FALSE),0)-IFERROR(VLOOKUP($F45,Prevs!$C$7:$I$279,6,FALSE),0)</f>
        <v>429</v>
      </c>
      <c r="P45" s="84">
        <f>VLOOKUP($C45,Prevs!$C$7:$I$279,7,FALSE)-IFERROR(VLOOKUP($E45,Prevs!$C$7:$I$279,7,FALSE),0)-IFERROR(VLOOKUP($D45,Prevs!$C$7:$I$279,7,FALSE),0)-IFERROR(VLOOKUP($G45,Prevs!$C$7:$I$279,7,FALSE),0)-IFERROR(VLOOKUP($H45,Prevs!$C$7:$I$279,7,FALSE),0)-IFERROR(VLOOKUP($I45,Prevs!$C$7:$I$279,7,FALSE),0)-IFERROR(VLOOKUP($F45,Prevs!$C$7:$I$279,7,FALSE),0)</f>
        <v>371</v>
      </c>
      <c r="Q45" s="276">
        <f t="shared" si="2"/>
        <v>722.39301702239459</v>
      </c>
      <c r="R45" s="271">
        <f t="shared" si="3"/>
        <v>656.97947611091797</v>
      </c>
      <c r="S45" s="271">
        <f t="shared" si="4"/>
        <v>713.86081603394121</v>
      </c>
      <c r="T45" s="271">
        <f t="shared" si="5"/>
        <v>702.48454804933647</v>
      </c>
      <c r="U45" s="271">
        <f t="shared" si="6"/>
        <v>610.05237067442386</v>
      </c>
      <c r="V45" s="272">
        <f t="shared" si="7"/>
        <v>527.57442778604013</v>
      </c>
      <c r="X45" s="83"/>
      <c r="Y45" s="81"/>
      <c r="Z45" s="81"/>
      <c r="AA45" s="81"/>
      <c r="AB45" s="81"/>
      <c r="AC45" s="84"/>
      <c r="AD45" s="85"/>
      <c r="AE45" s="81"/>
      <c r="AF45" s="81"/>
      <c r="AG45" s="81"/>
      <c r="AH45" s="81"/>
      <c r="AI45" s="84"/>
    </row>
    <row r="46" spans="2:35" s="74" customFormat="1" ht="26.25" customHeight="1" x14ac:dyDescent="0.25">
      <c r="B46" s="151" t="s">
        <v>381</v>
      </c>
      <c r="C46" s="81">
        <v>244</v>
      </c>
      <c r="D46" s="92">
        <v>242</v>
      </c>
      <c r="E46" s="92">
        <v>99</v>
      </c>
      <c r="F46" s="92">
        <v>18</v>
      </c>
      <c r="G46" s="92">
        <v>33</v>
      </c>
      <c r="H46" s="92">
        <v>241</v>
      </c>
      <c r="I46" s="92">
        <v>261</v>
      </c>
      <c r="J46" s="259">
        <v>1.8121509313488899</v>
      </c>
      <c r="K46" s="83">
        <f>VLOOKUP($C46,Prevs!$C$7:$I$279,2,FALSE)-IFERROR(VLOOKUP($E46,Prevs!$C$7:$I$279,2,FALSE),0)-IFERROR(VLOOKUP($D46,Prevs!$C$7:$I$279,2,FALSE),0)-IFERROR(VLOOKUP($G46,Prevs!$C$7:$I$279,2,FALSE),0)-IFERROR(VLOOKUP($H46,Prevs!$C$7:$I$279,2,FALSE),0)-IFERROR(VLOOKUP($I46,Prevs!$C$7:$I$279,2,FALSE),0)-IFERROR(VLOOKUP($F46,Prevs!$C$7:$I$279,2,FALSE),0)</f>
        <v>109</v>
      </c>
      <c r="L46" s="81">
        <f>VLOOKUP($C46,Prevs!$C$7:$I$279,3,FALSE)-IFERROR(VLOOKUP($E46,Prevs!$C$7:$I$279,3,FALSE),0)-IFERROR(VLOOKUP($D46,Prevs!$C$7:$I$279,3,FALSE),0)-IFERROR(VLOOKUP($G46,Prevs!$C$7:$I$279,3,FALSE),0)-IFERROR(VLOOKUP($H46,Prevs!$C$7:$I$279,3,FALSE),0)-IFERROR(VLOOKUP($I46,Prevs!$C$7:$I$279,3,FALSE),0)-IFERROR(VLOOKUP($F46,Prevs!$C$7:$I$279,3,FALSE),0)</f>
        <v>93</v>
      </c>
      <c r="M46" s="81">
        <f>VLOOKUP($C46,Prevs!$C$7:$I$279,4,FALSE)-IFERROR(VLOOKUP($E46,Prevs!$C$7:$I$279,4,FALSE),0)-IFERROR(VLOOKUP($D46,Prevs!$C$7:$I$279,4,FALSE),0)-IFERROR(VLOOKUP($G46,Prevs!$C$7:$I$279,4,FALSE),0)-IFERROR(VLOOKUP($H46,Prevs!$C$7:$I$279,4,FALSE),0)-IFERROR(VLOOKUP($I46,Prevs!$C$7:$I$279,4,FALSE),0)-IFERROR(VLOOKUP($F46,Prevs!$C$7:$I$279,4,FALSE),0)</f>
        <v>67</v>
      </c>
      <c r="N46" s="81">
        <f>VLOOKUP($C46,Prevs!$C$7:$I$279,5,FALSE)-IFERROR(VLOOKUP($E46,Prevs!$C$7:$I$279,5,FALSE),0)-IFERROR(VLOOKUP($D46,Prevs!$C$7:$I$279,5,FALSE),0)-IFERROR(VLOOKUP($G46,Prevs!$C$7:$I$279,5,FALSE),0)-IFERROR(VLOOKUP($H46,Prevs!$C$7:$I$279,5,FALSE),0)-IFERROR(VLOOKUP($I46,Prevs!$C$7:$I$279,5,FALSE),0)-IFERROR(VLOOKUP($F46,Prevs!$C$7:$I$279,5,FALSE),0)</f>
        <v>116</v>
      </c>
      <c r="O46" s="81">
        <f>VLOOKUP($C46,Prevs!$C$7:$I$279,6,FALSE)-IFERROR(VLOOKUP($E46,Prevs!$C$7:$I$279,6,FALSE),0)-IFERROR(VLOOKUP($D46,Prevs!$C$7:$I$279,6,FALSE),0)-IFERROR(VLOOKUP($G46,Prevs!$C$7:$I$279,6,FALSE),0)-IFERROR(VLOOKUP($H46,Prevs!$C$7:$I$279,6,FALSE),0)-IFERROR(VLOOKUP($I46,Prevs!$C$7:$I$279,6,FALSE),0)-IFERROR(VLOOKUP($F46,Prevs!$C$7:$I$279,6,FALSE),0)</f>
        <v>98</v>
      </c>
      <c r="P46" s="84">
        <f>VLOOKUP($C46,Prevs!$C$7:$I$279,7,FALSE)-IFERROR(VLOOKUP($E46,Prevs!$C$7:$I$279,7,FALSE),0)-IFERROR(VLOOKUP($D46,Prevs!$C$7:$I$279,7,FALSE),0)-IFERROR(VLOOKUP($G46,Prevs!$C$7:$I$279,7,FALSE),0)-IFERROR(VLOOKUP($H46,Prevs!$C$7:$I$279,7,FALSE),0)-IFERROR(VLOOKUP($I46,Prevs!$C$7:$I$279,7,FALSE),0)-IFERROR(VLOOKUP($F46,Prevs!$C$7:$I$279,7,FALSE),0)</f>
        <v>72</v>
      </c>
      <c r="Q46" s="276">
        <f t="shared" si="2"/>
        <v>197.52445151702901</v>
      </c>
      <c r="R46" s="271">
        <f t="shared" si="3"/>
        <v>168.53003661544676</v>
      </c>
      <c r="S46" s="271">
        <f t="shared" si="4"/>
        <v>121.41411240037563</v>
      </c>
      <c r="T46" s="271">
        <f t="shared" si="5"/>
        <v>210.20950803647122</v>
      </c>
      <c r="U46" s="271">
        <f t="shared" si="6"/>
        <v>177.59079127219121</v>
      </c>
      <c r="V46" s="272">
        <f t="shared" si="7"/>
        <v>130.47486705712006</v>
      </c>
      <c r="X46" s="83"/>
      <c r="Y46" s="81"/>
      <c r="Z46" s="81"/>
      <c r="AA46" s="81"/>
      <c r="AB46" s="81"/>
      <c r="AC46" s="84"/>
      <c r="AD46" s="85"/>
      <c r="AE46" s="81"/>
      <c r="AF46" s="81"/>
      <c r="AG46" s="81"/>
      <c r="AH46" s="81"/>
      <c r="AI46" s="84"/>
    </row>
    <row r="47" spans="2:35" s="74" customFormat="1" ht="26.25" customHeight="1" x14ac:dyDescent="0.25">
      <c r="B47" s="151" t="s">
        <v>382</v>
      </c>
      <c r="C47" s="81">
        <v>246</v>
      </c>
      <c r="D47" s="92">
        <v>245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259">
        <v>1.22401179676745</v>
      </c>
      <c r="K47" s="83">
        <f>VLOOKUP($C47,Prevs!$C$7:$I$279,2,FALSE)-IFERROR(VLOOKUP($E47,Prevs!$C$7:$I$279,2,FALSE),0)-IFERROR(VLOOKUP($D47,Prevs!$C$7:$I$279,2,FALSE),0)-IFERROR(VLOOKUP($G47,Prevs!$C$7:$I$279,2,FALSE),0)-IFERROR(VLOOKUP($H47,Prevs!$C$7:$I$279,2,FALSE),0)-IFERROR(VLOOKUP($I47,Prevs!$C$7:$I$279,2,FALSE),0)-IFERROR(VLOOKUP($F47,Prevs!$C$7:$I$279,2,FALSE),0)</f>
        <v>778</v>
      </c>
      <c r="L47" s="81">
        <f>VLOOKUP($C47,Prevs!$C$7:$I$279,3,FALSE)-IFERROR(VLOOKUP($E47,Prevs!$C$7:$I$279,3,FALSE),0)-IFERROR(VLOOKUP($D47,Prevs!$C$7:$I$279,3,FALSE),0)-IFERROR(VLOOKUP($G47,Prevs!$C$7:$I$279,3,FALSE),0)-IFERROR(VLOOKUP($H47,Prevs!$C$7:$I$279,3,FALSE),0)-IFERROR(VLOOKUP($I47,Prevs!$C$7:$I$279,3,FALSE),0)-IFERROR(VLOOKUP($F47,Prevs!$C$7:$I$279,3,FALSE),0)</f>
        <v>787</v>
      </c>
      <c r="M47" s="81">
        <f>VLOOKUP($C47,Prevs!$C$7:$I$279,4,FALSE)-IFERROR(VLOOKUP($E47,Prevs!$C$7:$I$279,4,FALSE),0)-IFERROR(VLOOKUP($D47,Prevs!$C$7:$I$279,4,FALSE),0)-IFERROR(VLOOKUP($G47,Prevs!$C$7:$I$279,4,FALSE),0)-IFERROR(VLOOKUP($H47,Prevs!$C$7:$I$279,4,FALSE),0)-IFERROR(VLOOKUP($I47,Prevs!$C$7:$I$279,4,FALSE),0)-IFERROR(VLOOKUP($F47,Prevs!$C$7:$I$279,4,FALSE),0)</f>
        <v>815</v>
      </c>
      <c r="N47" s="81">
        <f>VLOOKUP($C47,Prevs!$C$7:$I$279,5,FALSE)-IFERROR(VLOOKUP($E47,Prevs!$C$7:$I$279,5,FALSE),0)-IFERROR(VLOOKUP($D47,Prevs!$C$7:$I$279,5,FALSE),0)-IFERROR(VLOOKUP($G47,Prevs!$C$7:$I$279,5,FALSE),0)-IFERROR(VLOOKUP($H47,Prevs!$C$7:$I$279,5,FALSE),0)-IFERROR(VLOOKUP($I47,Prevs!$C$7:$I$279,5,FALSE),0)-IFERROR(VLOOKUP($F47,Prevs!$C$7:$I$279,5,FALSE),0)</f>
        <v>735</v>
      </c>
      <c r="O47" s="81">
        <f>VLOOKUP($C47,Prevs!$C$7:$I$279,6,FALSE)-IFERROR(VLOOKUP($E47,Prevs!$C$7:$I$279,6,FALSE),0)-IFERROR(VLOOKUP($D47,Prevs!$C$7:$I$279,6,FALSE),0)-IFERROR(VLOOKUP($G47,Prevs!$C$7:$I$279,6,FALSE),0)-IFERROR(VLOOKUP($H47,Prevs!$C$7:$I$279,6,FALSE),0)-IFERROR(VLOOKUP($I47,Prevs!$C$7:$I$279,6,FALSE),0)-IFERROR(VLOOKUP($F47,Prevs!$C$7:$I$279,6,FALSE),0)</f>
        <v>704</v>
      </c>
      <c r="P47" s="84">
        <f>VLOOKUP($C47,Prevs!$C$7:$I$279,7,FALSE)-IFERROR(VLOOKUP($E47,Prevs!$C$7:$I$279,7,FALSE),0)-IFERROR(VLOOKUP($D47,Prevs!$C$7:$I$279,7,FALSE),0)-IFERROR(VLOOKUP($G47,Prevs!$C$7:$I$279,7,FALSE),0)-IFERROR(VLOOKUP($H47,Prevs!$C$7:$I$279,7,FALSE),0)-IFERROR(VLOOKUP($I47,Prevs!$C$7:$I$279,7,FALSE),0)-IFERROR(VLOOKUP($F47,Prevs!$C$7:$I$279,7,FALSE),0)</f>
        <v>743</v>
      </c>
      <c r="Q47" s="276">
        <f t="shared" si="2"/>
        <v>952.28117788507609</v>
      </c>
      <c r="R47" s="271">
        <f t="shared" si="3"/>
        <v>963.29728405598314</v>
      </c>
      <c r="S47" s="271">
        <f t="shared" si="4"/>
        <v>997.56961436547169</v>
      </c>
      <c r="T47" s="271">
        <f t="shared" si="5"/>
        <v>899.64867062407575</v>
      </c>
      <c r="U47" s="271">
        <f t="shared" si="6"/>
        <v>861.70430492428477</v>
      </c>
      <c r="V47" s="272">
        <f t="shared" si="7"/>
        <v>909.44076499821529</v>
      </c>
      <c r="X47" s="83"/>
      <c r="Y47" s="81"/>
      <c r="Z47" s="81"/>
      <c r="AA47" s="81"/>
      <c r="AB47" s="81"/>
      <c r="AC47" s="84"/>
      <c r="AD47" s="85"/>
      <c r="AE47" s="81"/>
      <c r="AF47" s="81"/>
      <c r="AG47" s="81"/>
      <c r="AH47" s="81"/>
      <c r="AI47" s="84"/>
    </row>
    <row r="48" spans="2:35" s="74" customFormat="1" ht="26.25" customHeight="1" x14ac:dyDescent="0.25">
      <c r="B48" s="151" t="s">
        <v>146</v>
      </c>
      <c r="C48" s="81">
        <v>120</v>
      </c>
      <c r="D48" s="92">
        <v>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259">
        <v>3.9842983602857802</v>
      </c>
      <c r="K48" s="83">
        <f>VLOOKUP($C48,Prevs!$C$7:$I$279,2,FALSE)-IFERROR(VLOOKUP($E48,Prevs!$C$7:$I$279,2,FALSE),0)-IFERROR(VLOOKUP($D48,Prevs!$C$7:$I$279,2,FALSE),0)-IFERROR(VLOOKUP($G48,Prevs!$C$7:$I$279,2,FALSE),0)-IFERROR(VLOOKUP($H48,Prevs!$C$7:$I$279,2,FALSE),0)-IFERROR(VLOOKUP($I48,Prevs!$C$7:$I$279,2,FALSE),0)-IFERROR(VLOOKUP($F48,Prevs!$C$7:$I$279,2,FALSE),0)</f>
        <v>11</v>
      </c>
      <c r="L48" s="81">
        <f>VLOOKUP($C48,Prevs!$C$7:$I$279,3,FALSE)-IFERROR(VLOOKUP($E48,Prevs!$C$7:$I$279,3,FALSE),0)-IFERROR(VLOOKUP($D48,Prevs!$C$7:$I$279,3,FALSE),0)-IFERROR(VLOOKUP($G48,Prevs!$C$7:$I$279,3,FALSE),0)-IFERROR(VLOOKUP($H48,Prevs!$C$7:$I$279,3,FALSE),0)-IFERROR(VLOOKUP($I48,Prevs!$C$7:$I$279,3,FALSE),0)-IFERROR(VLOOKUP($F48,Prevs!$C$7:$I$279,3,FALSE),0)</f>
        <v>12</v>
      </c>
      <c r="M48" s="81">
        <f>VLOOKUP($C48,Prevs!$C$7:$I$279,4,FALSE)-IFERROR(VLOOKUP($E48,Prevs!$C$7:$I$279,4,FALSE),0)-IFERROR(VLOOKUP($D48,Prevs!$C$7:$I$279,4,FALSE),0)-IFERROR(VLOOKUP($G48,Prevs!$C$7:$I$279,4,FALSE),0)-IFERROR(VLOOKUP($H48,Prevs!$C$7:$I$279,4,FALSE),0)-IFERROR(VLOOKUP($I48,Prevs!$C$7:$I$279,4,FALSE),0)-IFERROR(VLOOKUP($F48,Prevs!$C$7:$I$279,4,FALSE),0)</f>
        <v>11</v>
      </c>
      <c r="N48" s="81">
        <f>VLOOKUP($C48,Prevs!$C$7:$I$279,5,FALSE)-IFERROR(VLOOKUP($E48,Prevs!$C$7:$I$279,5,FALSE),0)-IFERROR(VLOOKUP($D48,Prevs!$C$7:$I$279,5,FALSE),0)-IFERROR(VLOOKUP($G48,Prevs!$C$7:$I$279,5,FALSE),0)-IFERROR(VLOOKUP($H48,Prevs!$C$7:$I$279,5,FALSE),0)-IFERROR(VLOOKUP($I48,Prevs!$C$7:$I$279,5,FALSE),0)-IFERROR(VLOOKUP($F48,Prevs!$C$7:$I$279,5,FALSE),0)</f>
        <v>12</v>
      </c>
      <c r="O48" s="81">
        <f>VLOOKUP($C48,Prevs!$C$7:$I$279,6,FALSE)-IFERROR(VLOOKUP($E48,Prevs!$C$7:$I$279,6,FALSE),0)-IFERROR(VLOOKUP($D48,Prevs!$C$7:$I$279,6,FALSE),0)-IFERROR(VLOOKUP($G48,Prevs!$C$7:$I$279,6,FALSE),0)-IFERROR(VLOOKUP($H48,Prevs!$C$7:$I$279,6,FALSE),0)-IFERROR(VLOOKUP($I48,Prevs!$C$7:$I$279,6,FALSE),0)-IFERROR(VLOOKUP($F48,Prevs!$C$7:$I$279,6,FALSE),0)</f>
        <v>13</v>
      </c>
      <c r="P48" s="84">
        <f>VLOOKUP($C48,Prevs!$C$7:$I$279,7,FALSE)-IFERROR(VLOOKUP($E48,Prevs!$C$7:$I$279,7,FALSE),0)-IFERROR(VLOOKUP($D48,Prevs!$C$7:$I$279,7,FALSE),0)-IFERROR(VLOOKUP($G48,Prevs!$C$7:$I$279,7,FALSE),0)-IFERROR(VLOOKUP($H48,Prevs!$C$7:$I$279,7,FALSE),0)-IFERROR(VLOOKUP($I48,Prevs!$C$7:$I$279,7,FALSE),0)-IFERROR(VLOOKUP($F48,Prevs!$C$7:$I$279,7,FALSE),0)</f>
        <v>11</v>
      </c>
      <c r="Q48" s="276">
        <f t="shared" si="2"/>
        <v>43.827281963143584</v>
      </c>
      <c r="R48" s="271">
        <f t="shared" si="3"/>
        <v>47.811580323429361</v>
      </c>
      <c r="S48" s="271">
        <f t="shared" si="4"/>
        <v>43.827281963143584</v>
      </c>
      <c r="T48" s="271">
        <f t="shared" si="5"/>
        <v>47.811580323429361</v>
      </c>
      <c r="U48" s="271">
        <f t="shared" si="6"/>
        <v>51.795878683715145</v>
      </c>
      <c r="V48" s="272">
        <f t="shared" si="7"/>
        <v>43.827281963143584</v>
      </c>
      <c r="X48" s="83"/>
      <c r="Y48" s="81"/>
      <c r="Z48" s="81"/>
      <c r="AA48" s="81"/>
      <c r="AB48" s="81"/>
      <c r="AC48" s="84"/>
      <c r="AD48" s="85"/>
      <c r="AE48" s="81"/>
      <c r="AF48" s="81"/>
      <c r="AG48" s="81"/>
      <c r="AH48" s="81"/>
      <c r="AI48" s="84"/>
    </row>
    <row r="49" spans="2:35" s="74" customFormat="1" ht="26.25" customHeight="1" x14ac:dyDescent="0.25">
      <c r="B49" s="151" t="s">
        <v>340</v>
      </c>
      <c r="C49" s="81">
        <v>121</v>
      </c>
      <c r="D49" s="92">
        <v>0</v>
      </c>
      <c r="E49" s="92">
        <v>0</v>
      </c>
      <c r="F49" s="92">
        <v>0</v>
      </c>
      <c r="G49" s="92">
        <v>0</v>
      </c>
      <c r="H49" s="92">
        <v>0</v>
      </c>
      <c r="I49" s="92">
        <v>0</v>
      </c>
      <c r="J49" s="259">
        <v>4.53239359655712</v>
      </c>
      <c r="K49" s="83">
        <f>VLOOKUP($C49,Prevs!$C$7:$I$279,2,FALSE)-IFERROR(VLOOKUP($E49,Prevs!$C$7:$I$279,2,FALSE),0)-IFERROR(VLOOKUP($D49,Prevs!$C$7:$I$279,2,FALSE),0)-IFERROR(VLOOKUP($G49,Prevs!$C$7:$I$279,2,FALSE),0)-IFERROR(VLOOKUP($H49,Prevs!$C$7:$I$279,2,FALSE),0)-IFERROR(VLOOKUP($I49,Prevs!$C$7:$I$279,2,FALSE),0)-IFERROR(VLOOKUP($F49,Prevs!$C$7:$I$279,2,FALSE),0)</f>
        <v>33</v>
      </c>
      <c r="L49" s="81">
        <f>VLOOKUP($C49,Prevs!$C$7:$I$279,3,FALSE)-IFERROR(VLOOKUP($E49,Prevs!$C$7:$I$279,3,FALSE),0)-IFERROR(VLOOKUP($D49,Prevs!$C$7:$I$279,3,FALSE),0)-IFERROR(VLOOKUP($G49,Prevs!$C$7:$I$279,3,FALSE),0)-IFERROR(VLOOKUP($H49,Prevs!$C$7:$I$279,3,FALSE),0)-IFERROR(VLOOKUP($I49,Prevs!$C$7:$I$279,3,FALSE),0)-IFERROR(VLOOKUP($F49,Prevs!$C$7:$I$279,3,FALSE),0)</f>
        <v>34</v>
      </c>
      <c r="M49" s="81">
        <f>VLOOKUP($C49,Prevs!$C$7:$I$279,4,FALSE)-IFERROR(VLOOKUP($E49,Prevs!$C$7:$I$279,4,FALSE),0)-IFERROR(VLOOKUP($D49,Prevs!$C$7:$I$279,4,FALSE),0)-IFERROR(VLOOKUP($G49,Prevs!$C$7:$I$279,4,FALSE),0)-IFERROR(VLOOKUP($H49,Prevs!$C$7:$I$279,4,FALSE),0)-IFERROR(VLOOKUP($I49,Prevs!$C$7:$I$279,4,FALSE),0)-IFERROR(VLOOKUP($F49,Prevs!$C$7:$I$279,4,FALSE),0)</f>
        <v>35</v>
      </c>
      <c r="N49" s="81">
        <f>VLOOKUP($C49,Prevs!$C$7:$I$279,5,FALSE)-IFERROR(VLOOKUP($E49,Prevs!$C$7:$I$279,5,FALSE),0)-IFERROR(VLOOKUP($D49,Prevs!$C$7:$I$279,5,FALSE),0)-IFERROR(VLOOKUP($G49,Prevs!$C$7:$I$279,5,FALSE),0)-IFERROR(VLOOKUP($H49,Prevs!$C$7:$I$279,5,FALSE),0)-IFERROR(VLOOKUP($I49,Prevs!$C$7:$I$279,5,FALSE),0)-IFERROR(VLOOKUP($F49,Prevs!$C$7:$I$279,5,FALSE),0)</f>
        <v>32</v>
      </c>
      <c r="O49" s="81">
        <f>VLOOKUP($C49,Prevs!$C$7:$I$279,6,FALSE)-IFERROR(VLOOKUP($E49,Prevs!$C$7:$I$279,6,FALSE),0)-IFERROR(VLOOKUP($D49,Prevs!$C$7:$I$279,6,FALSE),0)-IFERROR(VLOOKUP($G49,Prevs!$C$7:$I$279,6,FALSE),0)-IFERROR(VLOOKUP($H49,Prevs!$C$7:$I$279,6,FALSE),0)-IFERROR(VLOOKUP($I49,Prevs!$C$7:$I$279,6,FALSE),0)-IFERROR(VLOOKUP($F49,Prevs!$C$7:$I$279,6,FALSE),0)</f>
        <v>39</v>
      </c>
      <c r="P49" s="84">
        <f>VLOOKUP($C49,Prevs!$C$7:$I$279,7,FALSE)-IFERROR(VLOOKUP($E49,Prevs!$C$7:$I$279,7,FALSE),0)-IFERROR(VLOOKUP($D49,Prevs!$C$7:$I$279,7,FALSE),0)-IFERROR(VLOOKUP($G49,Prevs!$C$7:$I$279,7,FALSE),0)-IFERROR(VLOOKUP($H49,Prevs!$C$7:$I$279,7,FALSE),0)-IFERROR(VLOOKUP($I49,Prevs!$C$7:$I$279,7,FALSE),0)-IFERROR(VLOOKUP($F49,Prevs!$C$7:$I$279,7,FALSE),0)</f>
        <v>36</v>
      </c>
      <c r="Q49" s="276">
        <f t="shared" si="2"/>
        <v>149.56898868638496</v>
      </c>
      <c r="R49" s="271">
        <f t="shared" si="3"/>
        <v>154.10138228294207</v>
      </c>
      <c r="S49" s="271">
        <f t="shared" si="4"/>
        <v>158.63377587949921</v>
      </c>
      <c r="T49" s="271">
        <f t="shared" si="5"/>
        <v>145.03659508982784</v>
      </c>
      <c r="U49" s="271">
        <f t="shared" si="6"/>
        <v>176.76335026572769</v>
      </c>
      <c r="V49" s="272">
        <f t="shared" si="7"/>
        <v>163.16616947605633</v>
      </c>
      <c r="X49" s="83"/>
      <c r="Y49" s="81"/>
      <c r="Z49" s="81"/>
      <c r="AA49" s="81"/>
      <c r="AB49" s="81"/>
      <c r="AC49" s="84"/>
      <c r="AD49" s="85"/>
      <c r="AE49" s="81"/>
      <c r="AF49" s="81"/>
      <c r="AG49" s="81"/>
      <c r="AH49" s="81"/>
      <c r="AI49" s="84"/>
    </row>
    <row r="50" spans="2:35" s="74" customFormat="1" ht="26.25" customHeight="1" x14ac:dyDescent="0.25">
      <c r="B50" s="151" t="s">
        <v>58</v>
      </c>
      <c r="C50" s="81">
        <v>6</v>
      </c>
      <c r="D50" s="92">
        <v>211</v>
      </c>
      <c r="E50" s="92">
        <v>0</v>
      </c>
      <c r="F50" s="92">
        <v>0</v>
      </c>
      <c r="G50" s="92">
        <v>0</v>
      </c>
      <c r="H50" s="92">
        <v>0</v>
      </c>
      <c r="I50" s="92">
        <v>0</v>
      </c>
      <c r="J50" s="259">
        <v>5.4539173140673398</v>
      </c>
      <c r="K50" s="83">
        <f>VLOOKUP($C50,Prevs!$C$7:$I$279,2,FALSE)-IFERROR(VLOOKUP($E50,Prevs!$C$7:$I$279,2,FALSE),0)-IFERROR(VLOOKUP($D50,Prevs!$C$7:$I$279,2,FALSE),0)-IFERROR(VLOOKUP($G50,Prevs!$C$7:$I$279,2,FALSE),0)-IFERROR(VLOOKUP($H50,Prevs!$C$7:$I$279,2,FALSE),0)-IFERROR(VLOOKUP($I50,Prevs!$C$7:$I$279,2,FALSE),0)-IFERROR(VLOOKUP($F50,Prevs!$C$7:$I$279,2,FALSE),0)</f>
        <v>143</v>
      </c>
      <c r="L50" s="81">
        <f>VLOOKUP($C50,Prevs!$C$7:$I$279,3,FALSE)-IFERROR(VLOOKUP($E50,Prevs!$C$7:$I$279,3,FALSE),0)-IFERROR(VLOOKUP($D50,Prevs!$C$7:$I$279,3,FALSE),0)-IFERROR(VLOOKUP($G50,Prevs!$C$7:$I$279,3,FALSE),0)-IFERROR(VLOOKUP($H50,Prevs!$C$7:$I$279,3,FALSE),0)-IFERROR(VLOOKUP($I50,Prevs!$C$7:$I$279,3,FALSE),0)-IFERROR(VLOOKUP($F50,Prevs!$C$7:$I$279,3,FALSE),0)</f>
        <v>134</v>
      </c>
      <c r="M50" s="81">
        <f>VLOOKUP($C50,Prevs!$C$7:$I$279,4,FALSE)-IFERROR(VLOOKUP($E50,Prevs!$C$7:$I$279,4,FALSE),0)-IFERROR(VLOOKUP($D50,Prevs!$C$7:$I$279,4,FALSE),0)-IFERROR(VLOOKUP($G50,Prevs!$C$7:$I$279,4,FALSE),0)-IFERROR(VLOOKUP($H50,Prevs!$C$7:$I$279,4,FALSE),0)-IFERROR(VLOOKUP($I50,Prevs!$C$7:$I$279,4,FALSE),0)-IFERROR(VLOOKUP($F50,Prevs!$C$7:$I$279,4,FALSE),0)</f>
        <v>122</v>
      </c>
      <c r="N50" s="81">
        <f>VLOOKUP($C50,Prevs!$C$7:$I$279,5,FALSE)-IFERROR(VLOOKUP($E50,Prevs!$C$7:$I$279,5,FALSE),0)-IFERROR(VLOOKUP($D50,Prevs!$C$7:$I$279,5,FALSE),0)-IFERROR(VLOOKUP($G50,Prevs!$C$7:$I$279,5,FALSE),0)-IFERROR(VLOOKUP($H50,Prevs!$C$7:$I$279,5,FALSE),0)-IFERROR(VLOOKUP($I50,Prevs!$C$7:$I$279,5,FALSE),0)-IFERROR(VLOOKUP($F50,Prevs!$C$7:$I$279,5,FALSE),0)</f>
        <v>116</v>
      </c>
      <c r="O50" s="81">
        <f>VLOOKUP($C50,Prevs!$C$7:$I$279,6,FALSE)-IFERROR(VLOOKUP($E50,Prevs!$C$7:$I$279,6,FALSE),0)-IFERROR(VLOOKUP($D50,Prevs!$C$7:$I$279,6,FALSE),0)-IFERROR(VLOOKUP($G50,Prevs!$C$7:$I$279,6,FALSE),0)-IFERROR(VLOOKUP($H50,Prevs!$C$7:$I$279,6,FALSE),0)-IFERROR(VLOOKUP($I50,Prevs!$C$7:$I$279,6,FALSE),0)-IFERROR(VLOOKUP($F50,Prevs!$C$7:$I$279,6,FALSE),0)</f>
        <v>120</v>
      </c>
      <c r="P50" s="84">
        <f>VLOOKUP($C50,Prevs!$C$7:$I$279,7,FALSE)-IFERROR(VLOOKUP($E50,Prevs!$C$7:$I$279,7,FALSE),0)-IFERROR(VLOOKUP($D50,Prevs!$C$7:$I$279,7,FALSE),0)-IFERROR(VLOOKUP($G50,Prevs!$C$7:$I$279,7,FALSE),0)-IFERROR(VLOOKUP($H50,Prevs!$C$7:$I$279,7,FALSE),0)-IFERROR(VLOOKUP($I50,Prevs!$C$7:$I$279,7,FALSE),0)-IFERROR(VLOOKUP($F50,Prevs!$C$7:$I$279,7,FALSE),0)</f>
        <v>77</v>
      </c>
      <c r="Q50" s="276">
        <f t="shared" si="2"/>
        <v>779.91017591162961</v>
      </c>
      <c r="R50" s="271">
        <f t="shared" si="3"/>
        <v>730.82492008502356</v>
      </c>
      <c r="S50" s="271">
        <f t="shared" si="4"/>
        <v>665.37791231621543</v>
      </c>
      <c r="T50" s="271">
        <f t="shared" si="5"/>
        <v>632.65440843181136</v>
      </c>
      <c r="U50" s="271">
        <f t="shared" si="6"/>
        <v>654.47007768808078</v>
      </c>
      <c r="V50" s="272">
        <f t="shared" si="7"/>
        <v>419.95163318318515</v>
      </c>
      <c r="X50" s="83"/>
      <c r="Y50" s="81"/>
      <c r="Z50" s="81"/>
      <c r="AA50" s="81"/>
      <c r="AB50" s="81"/>
      <c r="AC50" s="84"/>
      <c r="AD50" s="85"/>
      <c r="AE50" s="81"/>
      <c r="AF50" s="81"/>
      <c r="AG50" s="81"/>
      <c r="AH50" s="81"/>
      <c r="AI50" s="84"/>
    </row>
    <row r="51" spans="2:35" s="74" customFormat="1" ht="26.25" customHeight="1" x14ac:dyDescent="0.25">
      <c r="B51" s="151" t="s">
        <v>383</v>
      </c>
      <c r="C51" s="81">
        <v>7</v>
      </c>
      <c r="D51" s="92">
        <v>6</v>
      </c>
      <c r="E51" s="92">
        <v>0</v>
      </c>
      <c r="F51" s="92">
        <v>0</v>
      </c>
      <c r="G51" s="92">
        <v>0</v>
      </c>
      <c r="H51" s="92">
        <v>0</v>
      </c>
      <c r="I51" s="92">
        <v>0</v>
      </c>
      <c r="J51" s="259">
        <v>4.6812891170264699</v>
      </c>
      <c r="K51" s="83">
        <f>VLOOKUP($C51,Prevs!$C$7:$I$279,2,FALSE)-IFERROR(VLOOKUP($E51,Prevs!$C$7:$I$279,2,FALSE),0)-IFERROR(VLOOKUP($D51,Prevs!$C$7:$I$279,2,FALSE),0)-IFERROR(VLOOKUP($G51,Prevs!$C$7:$I$279,2,FALSE),0)-IFERROR(VLOOKUP($H51,Prevs!$C$7:$I$279,2,FALSE),0)-IFERROR(VLOOKUP($I51,Prevs!$C$7:$I$279,2,FALSE),0)-IFERROR(VLOOKUP($F51,Prevs!$C$7:$I$279,2,FALSE),0)</f>
        <v>14</v>
      </c>
      <c r="L51" s="81">
        <f>VLOOKUP($C51,Prevs!$C$7:$I$279,3,FALSE)-IFERROR(VLOOKUP($E51,Prevs!$C$7:$I$279,3,FALSE),0)-IFERROR(VLOOKUP($D51,Prevs!$C$7:$I$279,3,FALSE),0)-IFERROR(VLOOKUP($G51,Prevs!$C$7:$I$279,3,FALSE),0)-IFERROR(VLOOKUP($H51,Prevs!$C$7:$I$279,3,FALSE),0)-IFERROR(VLOOKUP($I51,Prevs!$C$7:$I$279,3,FALSE),0)-IFERROR(VLOOKUP($F51,Prevs!$C$7:$I$279,3,FALSE),0)</f>
        <v>33</v>
      </c>
      <c r="M51" s="81">
        <f>VLOOKUP($C51,Prevs!$C$7:$I$279,4,FALSE)-IFERROR(VLOOKUP($E51,Prevs!$C$7:$I$279,4,FALSE),0)-IFERROR(VLOOKUP($D51,Prevs!$C$7:$I$279,4,FALSE),0)-IFERROR(VLOOKUP($G51,Prevs!$C$7:$I$279,4,FALSE),0)-IFERROR(VLOOKUP($H51,Prevs!$C$7:$I$279,4,FALSE),0)-IFERROR(VLOOKUP($I51,Prevs!$C$7:$I$279,4,FALSE),0)-IFERROR(VLOOKUP($F51,Prevs!$C$7:$I$279,4,FALSE),0)</f>
        <v>30</v>
      </c>
      <c r="N51" s="81">
        <f>VLOOKUP($C51,Prevs!$C$7:$I$279,5,FALSE)-IFERROR(VLOOKUP($E51,Prevs!$C$7:$I$279,5,FALSE),0)-IFERROR(VLOOKUP($D51,Prevs!$C$7:$I$279,5,FALSE),0)-IFERROR(VLOOKUP($G51,Prevs!$C$7:$I$279,5,FALSE),0)-IFERROR(VLOOKUP($H51,Prevs!$C$7:$I$279,5,FALSE),0)-IFERROR(VLOOKUP($I51,Prevs!$C$7:$I$279,5,FALSE),0)-IFERROR(VLOOKUP($F51,Prevs!$C$7:$I$279,5,FALSE),0)</f>
        <v>29</v>
      </c>
      <c r="O51" s="81">
        <f>VLOOKUP($C51,Prevs!$C$7:$I$279,6,FALSE)-IFERROR(VLOOKUP($E51,Prevs!$C$7:$I$279,6,FALSE),0)-IFERROR(VLOOKUP($D51,Prevs!$C$7:$I$279,6,FALSE),0)-IFERROR(VLOOKUP($G51,Prevs!$C$7:$I$279,6,FALSE),0)-IFERROR(VLOOKUP($H51,Prevs!$C$7:$I$279,6,FALSE),0)-IFERROR(VLOOKUP($I51,Prevs!$C$7:$I$279,6,FALSE),0)-IFERROR(VLOOKUP($F51,Prevs!$C$7:$I$279,6,FALSE),0)</f>
        <v>30</v>
      </c>
      <c r="P51" s="84">
        <f>VLOOKUP($C51,Prevs!$C$7:$I$279,7,FALSE)-IFERROR(VLOOKUP($E51,Prevs!$C$7:$I$279,7,FALSE),0)-IFERROR(VLOOKUP($D51,Prevs!$C$7:$I$279,7,FALSE),0)-IFERROR(VLOOKUP($G51,Prevs!$C$7:$I$279,7,FALSE),0)-IFERROR(VLOOKUP($H51,Prevs!$C$7:$I$279,7,FALSE),0)-IFERROR(VLOOKUP($I51,Prevs!$C$7:$I$279,7,FALSE),0)-IFERROR(VLOOKUP($F51,Prevs!$C$7:$I$279,7,FALSE),0)</f>
        <v>32</v>
      </c>
      <c r="Q51" s="276">
        <f t="shared" si="2"/>
        <v>65.538047638370585</v>
      </c>
      <c r="R51" s="271">
        <f t="shared" si="3"/>
        <v>154.4825408618735</v>
      </c>
      <c r="S51" s="271">
        <f t="shared" si="4"/>
        <v>140.4386735107941</v>
      </c>
      <c r="T51" s="271">
        <f t="shared" si="5"/>
        <v>135.75738439376764</v>
      </c>
      <c r="U51" s="271">
        <f t="shared" si="6"/>
        <v>140.4386735107941</v>
      </c>
      <c r="V51" s="272">
        <f t="shared" si="7"/>
        <v>149.80125174484704</v>
      </c>
      <c r="X51" s="83"/>
      <c r="Y51" s="81"/>
      <c r="Z51" s="81"/>
      <c r="AA51" s="81"/>
      <c r="AB51" s="81"/>
      <c r="AC51" s="84"/>
      <c r="AD51" s="85"/>
      <c r="AE51" s="81"/>
      <c r="AF51" s="81"/>
      <c r="AG51" s="81"/>
      <c r="AH51" s="81"/>
      <c r="AI51" s="84"/>
    </row>
    <row r="52" spans="2:35" s="74" customFormat="1" ht="26.25" customHeight="1" x14ac:dyDescent="0.25">
      <c r="B52" s="151" t="s">
        <v>341</v>
      </c>
      <c r="C52" s="81">
        <v>8</v>
      </c>
      <c r="D52" s="92">
        <v>7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259">
        <v>4.3476235410349302</v>
      </c>
      <c r="K52" s="83">
        <f>VLOOKUP($C52,Prevs!$C$7:$I$279,2,FALSE)-IFERROR(VLOOKUP($E52,Prevs!$C$7:$I$279,2,FALSE),0)-IFERROR(VLOOKUP($D52,Prevs!$C$7:$I$279,2,FALSE),0)-IFERROR(VLOOKUP($G52,Prevs!$C$7:$I$279,2,FALSE),0)-IFERROR(VLOOKUP($H52,Prevs!$C$7:$I$279,2,FALSE),0)-IFERROR(VLOOKUP($I52,Prevs!$C$7:$I$279,2,FALSE),0)-IFERROR(VLOOKUP($F52,Prevs!$C$7:$I$279,2,FALSE),0)</f>
        <v>3</v>
      </c>
      <c r="L52" s="81">
        <f>VLOOKUP($C52,Prevs!$C$7:$I$279,3,FALSE)-IFERROR(VLOOKUP($E52,Prevs!$C$7:$I$279,3,FALSE),0)-IFERROR(VLOOKUP($D52,Prevs!$C$7:$I$279,3,FALSE),0)-IFERROR(VLOOKUP($G52,Prevs!$C$7:$I$279,3,FALSE),0)-IFERROR(VLOOKUP($H52,Prevs!$C$7:$I$279,3,FALSE),0)-IFERROR(VLOOKUP($I52,Prevs!$C$7:$I$279,3,FALSE),0)-IFERROR(VLOOKUP($F52,Prevs!$C$7:$I$279,3,FALSE),0)</f>
        <v>6</v>
      </c>
      <c r="M52" s="81">
        <f>VLOOKUP($C52,Prevs!$C$7:$I$279,4,FALSE)-IFERROR(VLOOKUP($E52,Prevs!$C$7:$I$279,4,FALSE),0)-IFERROR(VLOOKUP($D52,Prevs!$C$7:$I$279,4,FALSE),0)-IFERROR(VLOOKUP($G52,Prevs!$C$7:$I$279,4,FALSE),0)-IFERROR(VLOOKUP($H52,Prevs!$C$7:$I$279,4,FALSE),0)-IFERROR(VLOOKUP($I52,Prevs!$C$7:$I$279,4,FALSE),0)-IFERROR(VLOOKUP($F52,Prevs!$C$7:$I$279,4,FALSE),0)</f>
        <v>6</v>
      </c>
      <c r="N52" s="81">
        <f>VLOOKUP($C52,Prevs!$C$7:$I$279,5,FALSE)-IFERROR(VLOOKUP($E52,Prevs!$C$7:$I$279,5,FALSE),0)-IFERROR(VLOOKUP($D52,Prevs!$C$7:$I$279,5,FALSE),0)-IFERROR(VLOOKUP($G52,Prevs!$C$7:$I$279,5,FALSE),0)-IFERROR(VLOOKUP($H52,Prevs!$C$7:$I$279,5,FALSE),0)-IFERROR(VLOOKUP($I52,Prevs!$C$7:$I$279,5,FALSE),0)-IFERROR(VLOOKUP($F52,Prevs!$C$7:$I$279,5,FALSE),0)</f>
        <v>7</v>
      </c>
      <c r="O52" s="81">
        <f>VLOOKUP($C52,Prevs!$C$7:$I$279,6,FALSE)-IFERROR(VLOOKUP($E52,Prevs!$C$7:$I$279,6,FALSE),0)-IFERROR(VLOOKUP($D52,Prevs!$C$7:$I$279,6,FALSE),0)-IFERROR(VLOOKUP($G52,Prevs!$C$7:$I$279,6,FALSE),0)-IFERROR(VLOOKUP($H52,Prevs!$C$7:$I$279,6,FALSE),0)-IFERROR(VLOOKUP($I52,Prevs!$C$7:$I$279,6,FALSE),0)-IFERROR(VLOOKUP($F52,Prevs!$C$7:$I$279,6,FALSE),0)</f>
        <v>7</v>
      </c>
      <c r="P52" s="84">
        <f>VLOOKUP($C52,Prevs!$C$7:$I$279,7,FALSE)-IFERROR(VLOOKUP($E52,Prevs!$C$7:$I$279,7,FALSE),0)-IFERROR(VLOOKUP($D52,Prevs!$C$7:$I$279,7,FALSE),0)-IFERROR(VLOOKUP($G52,Prevs!$C$7:$I$279,7,FALSE),0)-IFERROR(VLOOKUP($H52,Prevs!$C$7:$I$279,7,FALSE),0)-IFERROR(VLOOKUP($I52,Prevs!$C$7:$I$279,7,FALSE),0)-IFERROR(VLOOKUP($F52,Prevs!$C$7:$I$279,7,FALSE),0)</f>
        <v>5</v>
      </c>
      <c r="Q52" s="276">
        <f t="shared" si="2"/>
        <v>13.04287062310479</v>
      </c>
      <c r="R52" s="271">
        <f t="shared" si="3"/>
        <v>26.085741246209579</v>
      </c>
      <c r="S52" s="271">
        <f t="shared" si="4"/>
        <v>26.085741246209579</v>
      </c>
      <c r="T52" s="271">
        <f t="shared" si="5"/>
        <v>30.433364787244511</v>
      </c>
      <c r="U52" s="271">
        <f t="shared" si="6"/>
        <v>30.433364787244511</v>
      </c>
      <c r="V52" s="272">
        <f t="shared" si="7"/>
        <v>21.738117705174652</v>
      </c>
      <c r="X52" s="83"/>
      <c r="Y52" s="81"/>
      <c r="Z52" s="81"/>
      <c r="AA52" s="81"/>
      <c r="AB52" s="81"/>
      <c r="AC52" s="84"/>
      <c r="AD52" s="85"/>
      <c r="AE52" s="81"/>
      <c r="AF52" s="81"/>
      <c r="AG52" s="81"/>
      <c r="AH52" s="81"/>
      <c r="AI52" s="84"/>
    </row>
    <row r="53" spans="2:35" s="74" customFormat="1" ht="26.25" customHeight="1" x14ac:dyDescent="0.25">
      <c r="B53" s="151" t="s">
        <v>384</v>
      </c>
      <c r="C53" s="81">
        <v>12</v>
      </c>
      <c r="D53" s="92">
        <v>11</v>
      </c>
      <c r="E53" s="92">
        <v>0</v>
      </c>
      <c r="F53" s="92">
        <v>0</v>
      </c>
      <c r="G53" s="92">
        <v>0</v>
      </c>
      <c r="H53" s="92">
        <v>0</v>
      </c>
      <c r="I53" s="92">
        <v>0</v>
      </c>
      <c r="J53" s="259">
        <v>2.9808725058004901</v>
      </c>
      <c r="K53" s="83">
        <f>VLOOKUP($C53,Prevs!$C$7:$I$279,2,FALSE)-IFERROR(VLOOKUP($E53,Prevs!$C$7:$I$279,2,FALSE),0)-IFERROR(VLOOKUP($D53,Prevs!$C$7:$I$279,2,FALSE),0)-IFERROR(VLOOKUP($G53,Prevs!$C$7:$I$279,2,FALSE),0)-IFERROR(VLOOKUP($H53,Prevs!$C$7:$I$279,2,FALSE),0)-IFERROR(VLOOKUP($I53,Prevs!$C$7:$I$279,2,FALSE),0)-IFERROR(VLOOKUP($F53,Prevs!$C$7:$I$279,2,FALSE),0)</f>
        <v>32</v>
      </c>
      <c r="L53" s="81">
        <f>VLOOKUP($C53,Prevs!$C$7:$I$279,3,FALSE)-IFERROR(VLOOKUP($E53,Prevs!$C$7:$I$279,3,FALSE),0)-IFERROR(VLOOKUP($D53,Prevs!$C$7:$I$279,3,FALSE),0)-IFERROR(VLOOKUP($G53,Prevs!$C$7:$I$279,3,FALSE),0)-IFERROR(VLOOKUP($H53,Prevs!$C$7:$I$279,3,FALSE),0)-IFERROR(VLOOKUP($I53,Prevs!$C$7:$I$279,3,FALSE),0)-IFERROR(VLOOKUP($F53,Prevs!$C$7:$I$279,3,FALSE),0)</f>
        <v>44</v>
      </c>
      <c r="M53" s="81">
        <f>VLOOKUP($C53,Prevs!$C$7:$I$279,4,FALSE)-IFERROR(VLOOKUP($E53,Prevs!$C$7:$I$279,4,FALSE),0)-IFERROR(VLOOKUP($D53,Prevs!$C$7:$I$279,4,FALSE),0)-IFERROR(VLOOKUP($G53,Prevs!$C$7:$I$279,4,FALSE),0)-IFERROR(VLOOKUP($H53,Prevs!$C$7:$I$279,4,FALSE),0)-IFERROR(VLOOKUP($I53,Prevs!$C$7:$I$279,4,FALSE),0)-IFERROR(VLOOKUP($F53,Prevs!$C$7:$I$279,4,FALSE),0)</f>
        <v>42</v>
      </c>
      <c r="N53" s="81">
        <f>VLOOKUP($C53,Prevs!$C$7:$I$279,5,FALSE)-IFERROR(VLOOKUP($E53,Prevs!$C$7:$I$279,5,FALSE),0)-IFERROR(VLOOKUP($D53,Prevs!$C$7:$I$279,5,FALSE),0)-IFERROR(VLOOKUP($G53,Prevs!$C$7:$I$279,5,FALSE),0)-IFERROR(VLOOKUP($H53,Prevs!$C$7:$I$279,5,FALSE),0)-IFERROR(VLOOKUP($I53,Prevs!$C$7:$I$279,5,FALSE),0)-IFERROR(VLOOKUP($F53,Prevs!$C$7:$I$279,5,FALSE),0)</f>
        <v>42</v>
      </c>
      <c r="O53" s="81">
        <f>VLOOKUP($C53,Prevs!$C$7:$I$279,6,FALSE)-IFERROR(VLOOKUP($E53,Prevs!$C$7:$I$279,6,FALSE),0)-IFERROR(VLOOKUP($D53,Prevs!$C$7:$I$279,6,FALSE),0)-IFERROR(VLOOKUP($G53,Prevs!$C$7:$I$279,6,FALSE),0)-IFERROR(VLOOKUP($H53,Prevs!$C$7:$I$279,6,FALSE),0)-IFERROR(VLOOKUP($I53,Prevs!$C$7:$I$279,6,FALSE),0)-IFERROR(VLOOKUP($F53,Prevs!$C$7:$I$279,6,FALSE),0)</f>
        <v>42</v>
      </c>
      <c r="P53" s="84">
        <f>VLOOKUP($C53,Prevs!$C$7:$I$279,7,FALSE)-IFERROR(VLOOKUP($E53,Prevs!$C$7:$I$279,7,FALSE),0)-IFERROR(VLOOKUP($D53,Prevs!$C$7:$I$279,7,FALSE),0)-IFERROR(VLOOKUP($G53,Prevs!$C$7:$I$279,7,FALSE),0)-IFERROR(VLOOKUP($H53,Prevs!$C$7:$I$279,7,FALSE),0)-IFERROR(VLOOKUP($I53,Prevs!$C$7:$I$279,7,FALSE),0)-IFERROR(VLOOKUP($F53,Prevs!$C$7:$I$279,7,FALSE),0)</f>
        <v>30</v>
      </c>
      <c r="Q53" s="276">
        <f t="shared" si="2"/>
        <v>95.387920185615684</v>
      </c>
      <c r="R53" s="271">
        <f t="shared" si="3"/>
        <v>131.15839025522158</v>
      </c>
      <c r="S53" s="271">
        <f t="shared" si="4"/>
        <v>125.19664524362058</v>
      </c>
      <c r="T53" s="271">
        <f t="shared" si="5"/>
        <v>125.19664524362058</v>
      </c>
      <c r="U53" s="271">
        <f t="shared" si="6"/>
        <v>125.19664524362058</v>
      </c>
      <c r="V53" s="272">
        <f t="shared" si="7"/>
        <v>89.426175174014702</v>
      </c>
      <c r="X53" s="83"/>
      <c r="Y53" s="81"/>
      <c r="Z53" s="81"/>
      <c r="AA53" s="81"/>
      <c r="AB53" s="81"/>
      <c r="AC53" s="84"/>
      <c r="AD53" s="85"/>
      <c r="AE53" s="81"/>
      <c r="AF53" s="81"/>
      <c r="AG53" s="81"/>
      <c r="AH53" s="81"/>
      <c r="AI53" s="84"/>
    </row>
    <row r="54" spans="2:35" s="74" customFormat="1" ht="26.25" customHeight="1" x14ac:dyDescent="0.25">
      <c r="B54" s="151" t="s">
        <v>90</v>
      </c>
      <c r="C54" s="81">
        <v>17</v>
      </c>
      <c r="D54" s="92">
        <v>16</v>
      </c>
      <c r="E54" s="92">
        <v>12</v>
      </c>
      <c r="F54" s="92">
        <v>0</v>
      </c>
      <c r="G54" s="92">
        <v>0</v>
      </c>
      <c r="H54" s="92">
        <v>0</v>
      </c>
      <c r="I54" s="92">
        <v>0</v>
      </c>
      <c r="J54" s="259">
        <v>2.7770460550166902</v>
      </c>
      <c r="K54" s="83">
        <f>VLOOKUP($C54,Prevs!$C$7:$I$279,2,FALSE)-IFERROR(VLOOKUP($E54,Prevs!$C$7:$I$279,2,FALSE),0)-IFERROR(VLOOKUP($D54,Prevs!$C$7:$I$279,2,FALSE),0)-IFERROR(VLOOKUP($G54,Prevs!$C$7:$I$279,2,FALSE),0)-IFERROR(VLOOKUP($H54,Prevs!$C$7:$I$279,2,FALSE),0)-IFERROR(VLOOKUP($I54,Prevs!$C$7:$I$279,2,FALSE),0)-IFERROR(VLOOKUP($F54,Prevs!$C$7:$I$279,2,FALSE),0)</f>
        <v>172</v>
      </c>
      <c r="L54" s="81">
        <f>VLOOKUP($C54,Prevs!$C$7:$I$279,3,FALSE)-IFERROR(VLOOKUP($E54,Prevs!$C$7:$I$279,3,FALSE),0)-IFERROR(VLOOKUP($D54,Prevs!$C$7:$I$279,3,FALSE),0)-IFERROR(VLOOKUP($G54,Prevs!$C$7:$I$279,3,FALSE),0)-IFERROR(VLOOKUP($H54,Prevs!$C$7:$I$279,3,FALSE),0)-IFERROR(VLOOKUP($I54,Prevs!$C$7:$I$279,3,FALSE),0)-IFERROR(VLOOKUP($F54,Prevs!$C$7:$I$279,3,FALSE),0)</f>
        <v>130</v>
      </c>
      <c r="M54" s="81">
        <f>VLOOKUP($C54,Prevs!$C$7:$I$279,4,FALSE)-IFERROR(VLOOKUP($E54,Prevs!$C$7:$I$279,4,FALSE),0)-IFERROR(VLOOKUP($D54,Prevs!$C$7:$I$279,4,FALSE),0)-IFERROR(VLOOKUP($G54,Prevs!$C$7:$I$279,4,FALSE),0)-IFERROR(VLOOKUP($H54,Prevs!$C$7:$I$279,4,FALSE),0)-IFERROR(VLOOKUP($I54,Prevs!$C$7:$I$279,4,FALSE),0)-IFERROR(VLOOKUP($F54,Prevs!$C$7:$I$279,4,FALSE),0)</f>
        <v>138</v>
      </c>
      <c r="N54" s="81">
        <f>VLOOKUP($C54,Prevs!$C$7:$I$279,5,FALSE)-IFERROR(VLOOKUP($E54,Prevs!$C$7:$I$279,5,FALSE),0)-IFERROR(VLOOKUP($D54,Prevs!$C$7:$I$279,5,FALSE),0)-IFERROR(VLOOKUP($G54,Prevs!$C$7:$I$279,5,FALSE),0)-IFERROR(VLOOKUP($H54,Prevs!$C$7:$I$279,5,FALSE),0)-IFERROR(VLOOKUP($I54,Prevs!$C$7:$I$279,5,FALSE),0)-IFERROR(VLOOKUP($F54,Prevs!$C$7:$I$279,5,FALSE),0)</f>
        <v>138</v>
      </c>
      <c r="O54" s="81">
        <f>VLOOKUP($C54,Prevs!$C$7:$I$279,6,FALSE)-IFERROR(VLOOKUP($E54,Prevs!$C$7:$I$279,6,FALSE),0)-IFERROR(VLOOKUP($D54,Prevs!$C$7:$I$279,6,FALSE),0)-IFERROR(VLOOKUP($G54,Prevs!$C$7:$I$279,6,FALSE),0)-IFERROR(VLOOKUP($H54,Prevs!$C$7:$I$279,6,FALSE),0)-IFERROR(VLOOKUP($I54,Prevs!$C$7:$I$279,6,FALSE),0)-IFERROR(VLOOKUP($F54,Prevs!$C$7:$I$279,6,FALSE),0)</f>
        <v>148</v>
      </c>
      <c r="P54" s="84">
        <f>VLOOKUP($C54,Prevs!$C$7:$I$279,7,FALSE)-IFERROR(VLOOKUP($E54,Prevs!$C$7:$I$279,7,FALSE),0)-IFERROR(VLOOKUP($D54,Prevs!$C$7:$I$279,7,FALSE),0)-IFERROR(VLOOKUP($G54,Prevs!$C$7:$I$279,7,FALSE),0)-IFERROR(VLOOKUP($H54,Prevs!$C$7:$I$279,7,FALSE),0)-IFERROR(VLOOKUP($I54,Prevs!$C$7:$I$279,7,FALSE),0)-IFERROR(VLOOKUP($F54,Prevs!$C$7:$I$279,7,FALSE),0)</f>
        <v>197</v>
      </c>
      <c r="Q54" s="276">
        <f t="shared" si="2"/>
        <v>477.65192146287075</v>
      </c>
      <c r="R54" s="271">
        <f t="shared" si="3"/>
        <v>361.01598715216971</v>
      </c>
      <c r="S54" s="271">
        <f t="shared" si="4"/>
        <v>383.23235559230324</v>
      </c>
      <c r="T54" s="271">
        <f t="shared" si="5"/>
        <v>383.23235559230324</v>
      </c>
      <c r="U54" s="271">
        <f t="shared" si="6"/>
        <v>411.00281614247012</v>
      </c>
      <c r="V54" s="272">
        <f t="shared" si="7"/>
        <v>547.07807283828799</v>
      </c>
      <c r="X54" s="83"/>
      <c r="Y54" s="81"/>
      <c r="Z54" s="81"/>
      <c r="AA54" s="81"/>
      <c r="AB54" s="81"/>
      <c r="AC54" s="84"/>
      <c r="AD54" s="85"/>
      <c r="AE54" s="81"/>
      <c r="AF54" s="81"/>
      <c r="AG54" s="81"/>
      <c r="AH54" s="81"/>
      <c r="AI54" s="84"/>
    </row>
    <row r="55" spans="2:35" s="74" customFormat="1" ht="26.25" customHeight="1" x14ac:dyDescent="0.25">
      <c r="B55" s="151" t="s">
        <v>104</v>
      </c>
      <c r="C55" s="81">
        <v>31</v>
      </c>
      <c r="D55" s="92">
        <v>24</v>
      </c>
      <c r="E55" s="92">
        <v>28</v>
      </c>
      <c r="F55" s="92">
        <v>209</v>
      </c>
      <c r="G55" s="92">
        <v>0</v>
      </c>
      <c r="H55" s="92">
        <v>0</v>
      </c>
      <c r="I55" s="92">
        <v>0</v>
      </c>
      <c r="J55" s="259">
        <v>3.4001215337026398</v>
      </c>
      <c r="K55" s="83">
        <f>VLOOKUP($C55,Prevs!$C$7:$I$279,2,FALSE)-IFERROR(VLOOKUP($E55,Prevs!$C$7:$I$279,2,FALSE),0)-IFERROR(VLOOKUP($D55,Prevs!$C$7:$I$279,2,FALSE),0)-IFERROR(VLOOKUP($G55,Prevs!$C$7:$I$279,2,FALSE),0)-IFERROR(VLOOKUP($H55,Prevs!$C$7:$I$279,2,FALSE),0)-IFERROR(VLOOKUP($I55,Prevs!$C$7:$I$279,2,FALSE),0)-IFERROR(VLOOKUP($F55,Prevs!$C$7:$I$279,2,FALSE),0)</f>
        <v>95</v>
      </c>
      <c r="L55" s="81">
        <f>VLOOKUP($C55,Prevs!$C$7:$I$279,3,FALSE)-IFERROR(VLOOKUP($E55,Prevs!$C$7:$I$279,3,FALSE),0)-IFERROR(VLOOKUP($D55,Prevs!$C$7:$I$279,3,FALSE),0)-IFERROR(VLOOKUP($G55,Prevs!$C$7:$I$279,3,FALSE),0)-IFERROR(VLOOKUP($H55,Prevs!$C$7:$I$279,3,FALSE),0)-IFERROR(VLOOKUP($I55,Prevs!$C$7:$I$279,3,FALSE),0)-IFERROR(VLOOKUP($F55,Prevs!$C$7:$I$279,3,FALSE),0)</f>
        <v>101</v>
      </c>
      <c r="M55" s="81">
        <f>VLOOKUP($C55,Prevs!$C$7:$I$279,4,FALSE)-IFERROR(VLOOKUP($E55,Prevs!$C$7:$I$279,4,FALSE),0)-IFERROR(VLOOKUP($D55,Prevs!$C$7:$I$279,4,FALSE),0)-IFERROR(VLOOKUP($G55,Prevs!$C$7:$I$279,4,FALSE),0)-IFERROR(VLOOKUP($H55,Prevs!$C$7:$I$279,4,FALSE),0)-IFERROR(VLOOKUP($I55,Prevs!$C$7:$I$279,4,FALSE),0)-IFERROR(VLOOKUP($F55,Prevs!$C$7:$I$279,4,FALSE),0)</f>
        <v>80</v>
      </c>
      <c r="N55" s="81">
        <f>VLOOKUP($C55,Prevs!$C$7:$I$279,5,FALSE)-IFERROR(VLOOKUP($E55,Prevs!$C$7:$I$279,5,FALSE),0)-IFERROR(VLOOKUP($D55,Prevs!$C$7:$I$279,5,FALSE),0)-IFERROR(VLOOKUP($G55,Prevs!$C$7:$I$279,5,FALSE),0)-IFERROR(VLOOKUP($H55,Prevs!$C$7:$I$279,5,FALSE),0)-IFERROR(VLOOKUP($I55,Prevs!$C$7:$I$279,5,FALSE),0)-IFERROR(VLOOKUP($F55,Prevs!$C$7:$I$279,5,FALSE),0)</f>
        <v>92</v>
      </c>
      <c r="O55" s="81">
        <f>VLOOKUP($C55,Prevs!$C$7:$I$279,6,FALSE)-IFERROR(VLOOKUP($E55,Prevs!$C$7:$I$279,6,FALSE),0)-IFERROR(VLOOKUP($D55,Prevs!$C$7:$I$279,6,FALSE),0)-IFERROR(VLOOKUP($G55,Prevs!$C$7:$I$279,6,FALSE),0)-IFERROR(VLOOKUP($H55,Prevs!$C$7:$I$279,6,FALSE),0)-IFERROR(VLOOKUP($I55,Prevs!$C$7:$I$279,6,FALSE),0)-IFERROR(VLOOKUP($F55,Prevs!$C$7:$I$279,6,FALSE),0)</f>
        <v>88</v>
      </c>
      <c r="P55" s="84">
        <f>VLOOKUP($C55,Prevs!$C$7:$I$279,7,FALSE)-IFERROR(VLOOKUP($E55,Prevs!$C$7:$I$279,7,FALSE),0)-IFERROR(VLOOKUP($D55,Prevs!$C$7:$I$279,7,FALSE),0)-IFERROR(VLOOKUP($G55,Prevs!$C$7:$I$279,7,FALSE),0)-IFERROR(VLOOKUP($H55,Prevs!$C$7:$I$279,7,FALSE),0)-IFERROR(VLOOKUP($I55,Prevs!$C$7:$I$279,7,FALSE),0)-IFERROR(VLOOKUP($F55,Prevs!$C$7:$I$279,7,FALSE),0)</f>
        <v>79</v>
      </c>
      <c r="Q55" s="276">
        <f>K55*$J55</f>
        <v>323.01154570175078</v>
      </c>
      <c r="R55" s="271">
        <f t="shared" si="3"/>
        <v>343.41227490396665</v>
      </c>
      <c r="S55" s="271">
        <f t="shared" si="4"/>
        <v>272.00972269621116</v>
      </c>
      <c r="T55" s="271">
        <f t="shared" si="5"/>
        <v>312.81118110064284</v>
      </c>
      <c r="U55" s="271">
        <f t="shared" si="6"/>
        <v>299.21069496583232</v>
      </c>
      <c r="V55" s="272">
        <f t="shared" si="7"/>
        <v>268.60960116250857</v>
      </c>
      <c r="X55" s="83"/>
      <c r="Y55" s="81"/>
      <c r="Z55" s="81"/>
      <c r="AA55" s="81"/>
      <c r="AB55" s="81"/>
      <c r="AC55" s="84"/>
      <c r="AD55" s="85"/>
      <c r="AE55" s="81"/>
      <c r="AF55" s="81"/>
      <c r="AG55" s="81"/>
      <c r="AH55" s="81"/>
      <c r="AI55" s="84"/>
    </row>
    <row r="56" spans="2:35" s="74" customFormat="1" ht="26.25" customHeight="1" x14ac:dyDescent="0.25">
      <c r="B56" s="151" t="s">
        <v>103</v>
      </c>
      <c r="C56" s="81">
        <v>209</v>
      </c>
      <c r="D56" s="92">
        <v>23</v>
      </c>
      <c r="E56" s="92">
        <v>0</v>
      </c>
      <c r="F56" s="92">
        <v>0</v>
      </c>
      <c r="G56" s="92">
        <v>0</v>
      </c>
      <c r="H56" s="92">
        <v>0</v>
      </c>
      <c r="I56" s="92">
        <v>0</v>
      </c>
      <c r="J56" s="259">
        <v>4.0107442113956102</v>
      </c>
      <c r="K56" s="83">
        <f>VLOOKUP($C56,Prevs!$C$7:$I$279,2,FALSE)-IFERROR(VLOOKUP($E56,Prevs!$C$7:$I$279,2,FALSE),0)-IFERROR(VLOOKUP($D56,Prevs!$C$7:$I$279,2,FALSE),0)-IFERROR(VLOOKUP($G56,Prevs!$C$7:$I$279,2,FALSE),0)-IFERROR(VLOOKUP($H56,Prevs!$C$7:$I$279,2,FALSE),0)-IFERROR(VLOOKUP($I56,Prevs!$C$7:$I$279,2,FALSE),0)-IFERROR(VLOOKUP($F56,Prevs!$C$7:$I$279,2,FALSE),0)</f>
        <v>141</v>
      </c>
      <c r="L56" s="81">
        <f>VLOOKUP($C56,Prevs!$C$7:$I$279,3,FALSE)-IFERROR(VLOOKUP($E56,Prevs!$C$7:$I$279,3,FALSE),0)-IFERROR(VLOOKUP($D56,Prevs!$C$7:$I$279,3,FALSE),0)-IFERROR(VLOOKUP($G56,Prevs!$C$7:$I$279,3,FALSE),0)-IFERROR(VLOOKUP($H56,Prevs!$C$7:$I$279,3,FALSE),0)-IFERROR(VLOOKUP($I56,Prevs!$C$7:$I$279,3,FALSE),0)-IFERROR(VLOOKUP($F56,Prevs!$C$7:$I$279,3,FALSE),0)</f>
        <v>131</v>
      </c>
      <c r="M56" s="81">
        <f>VLOOKUP($C56,Prevs!$C$7:$I$279,4,FALSE)-IFERROR(VLOOKUP($E56,Prevs!$C$7:$I$279,4,FALSE),0)-IFERROR(VLOOKUP($D56,Prevs!$C$7:$I$279,4,FALSE),0)-IFERROR(VLOOKUP($G56,Prevs!$C$7:$I$279,4,FALSE),0)-IFERROR(VLOOKUP($H56,Prevs!$C$7:$I$279,4,FALSE),0)-IFERROR(VLOOKUP($I56,Prevs!$C$7:$I$279,4,FALSE),0)-IFERROR(VLOOKUP($F56,Prevs!$C$7:$I$279,4,FALSE),0)</f>
        <v>130</v>
      </c>
      <c r="N56" s="81">
        <f>VLOOKUP($C56,Prevs!$C$7:$I$279,5,FALSE)-IFERROR(VLOOKUP($E56,Prevs!$C$7:$I$279,5,FALSE),0)-IFERROR(VLOOKUP($D56,Prevs!$C$7:$I$279,5,FALSE),0)-IFERROR(VLOOKUP($G56,Prevs!$C$7:$I$279,5,FALSE),0)-IFERROR(VLOOKUP($H56,Prevs!$C$7:$I$279,5,FALSE),0)-IFERROR(VLOOKUP($I56,Prevs!$C$7:$I$279,5,FALSE),0)-IFERROR(VLOOKUP($F56,Prevs!$C$7:$I$279,5,FALSE),0)</f>
        <v>118</v>
      </c>
      <c r="O56" s="81">
        <f>VLOOKUP($C56,Prevs!$C$7:$I$279,6,FALSE)-IFERROR(VLOOKUP($E56,Prevs!$C$7:$I$279,6,FALSE),0)-IFERROR(VLOOKUP($D56,Prevs!$C$7:$I$279,6,FALSE),0)-IFERROR(VLOOKUP($G56,Prevs!$C$7:$I$279,6,FALSE),0)-IFERROR(VLOOKUP($H56,Prevs!$C$7:$I$279,6,FALSE),0)-IFERROR(VLOOKUP($I56,Prevs!$C$7:$I$279,6,FALSE),0)-IFERROR(VLOOKUP($F56,Prevs!$C$7:$I$279,6,FALSE),0)</f>
        <v>120</v>
      </c>
      <c r="P56" s="84">
        <f>VLOOKUP($C56,Prevs!$C$7:$I$279,7,FALSE)-IFERROR(VLOOKUP($E56,Prevs!$C$7:$I$279,7,FALSE),0)-IFERROR(VLOOKUP($D56,Prevs!$C$7:$I$279,7,FALSE),0)-IFERROR(VLOOKUP($G56,Prevs!$C$7:$I$279,7,FALSE),0)-IFERROR(VLOOKUP($H56,Prevs!$C$7:$I$279,7,FALSE),0)-IFERROR(VLOOKUP($I56,Prevs!$C$7:$I$279,7,FALSE),0)-IFERROR(VLOOKUP($F56,Prevs!$C$7:$I$279,7,FALSE),0)</f>
        <v>113</v>
      </c>
      <c r="Q56" s="276">
        <f t="shared" si="2"/>
        <v>565.51493380678107</v>
      </c>
      <c r="R56" s="271">
        <f t="shared" si="3"/>
        <v>525.40749169282492</v>
      </c>
      <c r="S56" s="271">
        <f t="shared" si="4"/>
        <v>521.39674748142932</v>
      </c>
      <c r="T56" s="271">
        <f t="shared" si="5"/>
        <v>473.26781694468201</v>
      </c>
      <c r="U56" s="271">
        <f t="shared" si="6"/>
        <v>481.28930536747322</v>
      </c>
      <c r="V56" s="272">
        <f t="shared" si="7"/>
        <v>453.21409588770393</v>
      </c>
      <c r="X56" s="83"/>
      <c r="Y56" s="81"/>
      <c r="Z56" s="81"/>
      <c r="AA56" s="81"/>
      <c r="AB56" s="81"/>
      <c r="AC56" s="84"/>
      <c r="AD56" s="85"/>
      <c r="AE56" s="81"/>
      <c r="AF56" s="81"/>
      <c r="AG56" s="81"/>
      <c r="AH56" s="81"/>
      <c r="AI56" s="84"/>
    </row>
    <row r="57" spans="2:35" s="74" customFormat="1" ht="26.25" customHeight="1" x14ac:dyDescent="0.25">
      <c r="B57" s="151" t="s">
        <v>342</v>
      </c>
      <c r="C57" s="81">
        <v>270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259">
        <v>2.20016847126255</v>
      </c>
      <c r="K57" s="83">
        <f>VLOOKUP($C57,Prevs!$C$7:$I$279,2,FALSE)-IFERROR(VLOOKUP($E57,Prevs!$C$7:$I$279,2,FALSE),0)-IFERROR(VLOOKUP($D57,Prevs!$C$7:$I$279,2,FALSE),0)-IFERROR(VLOOKUP($G57,Prevs!$C$7:$I$279,2,FALSE),0)-IFERROR(VLOOKUP($H57,Prevs!$C$7:$I$279,2,FALSE),0)-IFERROR(VLOOKUP($I57,Prevs!$C$7:$I$279,2,FALSE),0)-IFERROR(VLOOKUP($F57,Prevs!$C$7:$I$279,2,FALSE),0)</f>
        <v>287</v>
      </c>
      <c r="L57" s="81">
        <f>VLOOKUP($C57,Prevs!$C$7:$I$279,3,FALSE)-IFERROR(VLOOKUP($E57,Prevs!$C$7:$I$279,3,FALSE),0)-IFERROR(VLOOKUP($D57,Prevs!$C$7:$I$279,3,FALSE),0)-IFERROR(VLOOKUP($G57,Prevs!$C$7:$I$279,3,FALSE),0)-IFERROR(VLOOKUP($H57,Prevs!$C$7:$I$279,3,FALSE),0)-IFERROR(VLOOKUP($I57,Prevs!$C$7:$I$279,3,FALSE),0)-IFERROR(VLOOKUP($F57,Prevs!$C$7:$I$279,3,FALSE),0)</f>
        <v>271</v>
      </c>
      <c r="M57" s="81">
        <f>VLOOKUP($C57,Prevs!$C$7:$I$279,4,FALSE)-IFERROR(VLOOKUP($E57,Prevs!$C$7:$I$279,4,FALSE),0)-IFERROR(VLOOKUP($D57,Prevs!$C$7:$I$279,4,FALSE),0)-IFERROR(VLOOKUP($G57,Prevs!$C$7:$I$279,4,FALSE),0)-IFERROR(VLOOKUP($H57,Prevs!$C$7:$I$279,4,FALSE),0)-IFERROR(VLOOKUP($I57,Prevs!$C$7:$I$279,4,FALSE),0)-IFERROR(VLOOKUP($F57,Prevs!$C$7:$I$279,4,FALSE),0)</f>
        <v>233</v>
      </c>
      <c r="N57" s="81">
        <f>VLOOKUP($C57,Prevs!$C$7:$I$279,5,FALSE)-IFERROR(VLOOKUP($E57,Prevs!$C$7:$I$279,5,FALSE),0)-IFERROR(VLOOKUP($D57,Prevs!$C$7:$I$279,5,FALSE),0)-IFERROR(VLOOKUP($G57,Prevs!$C$7:$I$279,5,FALSE),0)-IFERROR(VLOOKUP($H57,Prevs!$C$7:$I$279,5,FALSE),0)-IFERROR(VLOOKUP($I57,Prevs!$C$7:$I$279,5,FALSE),0)-IFERROR(VLOOKUP($F57,Prevs!$C$7:$I$279,5,FALSE),0)</f>
        <v>226</v>
      </c>
      <c r="O57" s="81">
        <f>VLOOKUP($C57,Prevs!$C$7:$I$279,6,FALSE)-IFERROR(VLOOKUP($E57,Prevs!$C$7:$I$279,6,FALSE),0)-IFERROR(VLOOKUP($D57,Prevs!$C$7:$I$279,6,FALSE),0)-IFERROR(VLOOKUP($G57,Prevs!$C$7:$I$279,6,FALSE),0)-IFERROR(VLOOKUP($H57,Prevs!$C$7:$I$279,6,FALSE),0)-IFERROR(VLOOKUP($I57,Prevs!$C$7:$I$279,6,FALSE),0)-IFERROR(VLOOKUP($F57,Prevs!$C$7:$I$279,6,FALSE),0)</f>
        <v>211</v>
      </c>
      <c r="P57" s="84">
        <f>VLOOKUP($C57,Prevs!$C$7:$I$279,7,FALSE)-IFERROR(VLOOKUP($E57,Prevs!$C$7:$I$279,7,FALSE),0)-IFERROR(VLOOKUP($D57,Prevs!$C$7:$I$279,7,FALSE),0)-IFERROR(VLOOKUP($G57,Prevs!$C$7:$I$279,7,FALSE),0)-IFERROR(VLOOKUP($H57,Prevs!$C$7:$I$279,7,FALSE),0)-IFERROR(VLOOKUP($I57,Prevs!$C$7:$I$279,7,FALSE),0)-IFERROR(VLOOKUP($F57,Prevs!$C$7:$I$279,7,FALSE),0)</f>
        <v>211</v>
      </c>
      <c r="Q57" s="276">
        <f t="shared" si="2"/>
        <v>631.44835125235181</v>
      </c>
      <c r="R57" s="271">
        <f t="shared" si="3"/>
        <v>596.24565571215101</v>
      </c>
      <c r="S57" s="271">
        <f t="shared" si="4"/>
        <v>512.63925380417413</v>
      </c>
      <c r="T57" s="271">
        <f t="shared" si="5"/>
        <v>497.23807450533627</v>
      </c>
      <c r="U57" s="271">
        <f t="shared" si="6"/>
        <v>464.23554743639806</v>
      </c>
      <c r="V57" s="272">
        <f t="shared" si="7"/>
        <v>464.23554743639806</v>
      </c>
      <c r="X57" s="83"/>
      <c r="Y57" s="81"/>
      <c r="Z57" s="81"/>
      <c r="AA57" s="81"/>
      <c r="AB57" s="81"/>
      <c r="AC57" s="84"/>
      <c r="AD57" s="85"/>
      <c r="AE57" s="81"/>
      <c r="AF57" s="81"/>
      <c r="AG57" s="81"/>
      <c r="AH57" s="81"/>
      <c r="AI57" s="84"/>
    </row>
    <row r="58" spans="2:35" s="74" customFormat="1" ht="26.25" customHeight="1" x14ac:dyDescent="0.25">
      <c r="B58" s="151" t="s">
        <v>174</v>
      </c>
      <c r="C58" s="81">
        <v>278</v>
      </c>
      <c r="D58" s="92">
        <v>0</v>
      </c>
      <c r="E58" s="92">
        <v>0</v>
      </c>
      <c r="F58" s="92">
        <v>0</v>
      </c>
      <c r="G58" s="92">
        <v>0</v>
      </c>
      <c r="H58" s="92">
        <v>0</v>
      </c>
      <c r="I58" s="92">
        <v>0</v>
      </c>
      <c r="J58" s="259">
        <v>0.51454749682795597</v>
      </c>
      <c r="K58" s="83">
        <f>VLOOKUP($C58,Prevs!$C$7:$I$279,2,FALSE)-IFERROR(VLOOKUP($E58,Prevs!$C$7:$I$279,2,FALSE),0)-IFERROR(VLOOKUP($D58,Prevs!$C$7:$I$279,2,FALSE),0)-IFERROR(VLOOKUP($G58,Prevs!$C$7:$I$279,2,FALSE),0)-IFERROR(VLOOKUP($H58,Prevs!$C$7:$I$279,2,FALSE),0)-IFERROR(VLOOKUP($I58,Prevs!$C$7:$I$279,2,FALSE),0)-IFERROR(VLOOKUP($F58,Prevs!$C$7:$I$279,2,FALSE),0)</f>
        <v>66</v>
      </c>
      <c r="L58" s="81">
        <f>VLOOKUP($C58,Prevs!$C$7:$I$279,3,FALSE)-IFERROR(VLOOKUP($E58,Prevs!$C$7:$I$279,3,FALSE),0)-IFERROR(VLOOKUP($D58,Prevs!$C$7:$I$279,3,FALSE),0)-IFERROR(VLOOKUP($G58,Prevs!$C$7:$I$279,3,FALSE),0)-IFERROR(VLOOKUP($H58,Prevs!$C$7:$I$279,3,FALSE),0)-IFERROR(VLOOKUP($I58,Prevs!$C$7:$I$279,3,FALSE),0)-IFERROR(VLOOKUP($F58,Prevs!$C$7:$I$279,3,FALSE),0)</f>
        <v>64</v>
      </c>
      <c r="M58" s="81">
        <f>VLOOKUP($C58,Prevs!$C$7:$I$279,4,FALSE)-IFERROR(VLOOKUP($E58,Prevs!$C$7:$I$279,4,FALSE),0)-IFERROR(VLOOKUP($D58,Prevs!$C$7:$I$279,4,FALSE),0)-IFERROR(VLOOKUP($G58,Prevs!$C$7:$I$279,4,FALSE),0)-IFERROR(VLOOKUP($H58,Prevs!$C$7:$I$279,4,FALSE),0)-IFERROR(VLOOKUP($I58,Prevs!$C$7:$I$279,4,FALSE),0)-IFERROR(VLOOKUP($F58,Prevs!$C$7:$I$279,4,FALSE),0)</f>
        <v>62</v>
      </c>
      <c r="N58" s="81">
        <f>VLOOKUP($C58,Prevs!$C$7:$I$279,5,FALSE)-IFERROR(VLOOKUP($E58,Prevs!$C$7:$I$279,5,FALSE),0)-IFERROR(VLOOKUP($D58,Prevs!$C$7:$I$279,5,FALSE),0)-IFERROR(VLOOKUP($G58,Prevs!$C$7:$I$279,5,FALSE),0)-IFERROR(VLOOKUP($H58,Prevs!$C$7:$I$279,5,FALSE),0)-IFERROR(VLOOKUP($I58,Prevs!$C$7:$I$279,5,FALSE),0)-IFERROR(VLOOKUP($F58,Prevs!$C$7:$I$279,5,FALSE),0)</f>
        <v>60</v>
      </c>
      <c r="O58" s="81">
        <f>VLOOKUP($C58,Prevs!$C$7:$I$279,6,FALSE)-IFERROR(VLOOKUP($E58,Prevs!$C$7:$I$279,6,FALSE),0)-IFERROR(VLOOKUP($D58,Prevs!$C$7:$I$279,6,FALSE),0)-IFERROR(VLOOKUP($G58,Prevs!$C$7:$I$279,6,FALSE),0)-IFERROR(VLOOKUP($H58,Prevs!$C$7:$I$279,6,FALSE),0)-IFERROR(VLOOKUP($I58,Prevs!$C$7:$I$279,6,FALSE),0)-IFERROR(VLOOKUP($F58,Prevs!$C$7:$I$279,6,FALSE),0)</f>
        <v>59</v>
      </c>
      <c r="P58" s="84">
        <f>VLOOKUP($C58,Prevs!$C$7:$I$279,7,FALSE)-IFERROR(VLOOKUP($E58,Prevs!$C$7:$I$279,7,FALSE),0)-IFERROR(VLOOKUP($D58,Prevs!$C$7:$I$279,7,FALSE),0)-IFERROR(VLOOKUP($G58,Prevs!$C$7:$I$279,7,FALSE),0)-IFERROR(VLOOKUP($H58,Prevs!$C$7:$I$279,7,FALSE),0)-IFERROR(VLOOKUP($I58,Prevs!$C$7:$I$279,7,FALSE),0)-IFERROR(VLOOKUP($F58,Prevs!$C$7:$I$279,7,FALSE),0)</f>
        <v>66</v>
      </c>
      <c r="Q58" s="276">
        <f t="shared" si="2"/>
        <v>33.960134790645093</v>
      </c>
      <c r="R58" s="271">
        <f t="shared" si="3"/>
        <v>32.931039796989182</v>
      </c>
      <c r="S58" s="271">
        <f t="shared" si="4"/>
        <v>31.901944803333272</v>
      </c>
      <c r="T58" s="271">
        <f t="shared" si="5"/>
        <v>30.872849809677358</v>
      </c>
      <c r="U58" s="271">
        <f t="shared" si="6"/>
        <v>30.358302312849403</v>
      </c>
      <c r="V58" s="272">
        <f t="shared" si="7"/>
        <v>33.960134790645093</v>
      </c>
      <c r="X58" s="83"/>
      <c r="Y58" s="81"/>
      <c r="Z58" s="81"/>
      <c r="AA58" s="81"/>
      <c r="AB58" s="81"/>
      <c r="AC58" s="84"/>
      <c r="AD58" s="85"/>
      <c r="AE58" s="81"/>
      <c r="AF58" s="81"/>
      <c r="AG58" s="81"/>
      <c r="AH58" s="81"/>
      <c r="AI58" s="84"/>
    </row>
    <row r="59" spans="2:35" s="74" customFormat="1" ht="26.25" customHeight="1" x14ac:dyDescent="0.25">
      <c r="B59" s="151" t="s">
        <v>149</v>
      </c>
      <c r="C59" s="81">
        <v>123</v>
      </c>
      <c r="D59" s="92">
        <v>122</v>
      </c>
      <c r="E59" s="92">
        <v>120</v>
      </c>
      <c r="F59" s="92">
        <v>0</v>
      </c>
      <c r="G59" s="92">
        <v>0</v>
      </c>
      <c r="H59" s="92">
        <v>0</v>
      </c>
      <c r="I59" s="92">
        <v>0</v>
      </c>
      <c r="J59" s="259">
        <v>3.47973923094828</v>
      </c>
      <c r="K59" s="83">
        <f>VLOOKUP($C59,Prevs!$C$7:$I$279,2,FALSE)-IFERROR(VLOOKUP($E59,Prevs!$C$7:$I$279,2,FALSE),0)-IFERROR(VLOOKUP($D59,Prevs!$C$7:$I$279,2,FALSE),0)-IFERROR(VLOOKUP($G59,Prevs!$C$7:$I$279,2,FALSE),0)-IFERROR(VLOOKUP($H59,Prevs!$C$7:$I$279,2,FALSE),0)-IFERROR(VLOOKUP($I59,Prevs!$C$7:$I$279,2,FALSE),0)-IFERROR(VLOOKUP($F59,Prevs!$C$7:$I$279,2,FALSE),0)</f>
        <v>43</v>
      </c>
      <c r="L59" s="81">
        <f>VLOOKUP($C59,Prevs!$C$7:$I$279,3,FALSE)-IFERROR(VLOOKUP($E59,Prevs!$C$7:$I$279,3,FALSE),0)-IFERROR(VLOOKUP($D59,Prevs!$C$7:$I$279,3,FALSE),0)-IFERROR(VLOOKUP($G59,Prevs!$C$7:$I$279,3,FALSE),0)-IFERROR(VLOOKUP($H59,Prevs!$C$7:$I$279,3,FALSE),0)-IFERROR(VLOOKUP($I59,Prevs!$C$7:$I$279,3,FALSE),0)-IFERROR(VLOOKUP($F59,Prevs!$C$7:$I$279,3,FALSE),0)</f>
        <v>43</v>
      </c>
      <c r="M59" s="81">
        <f>VLOOKUP($C59,Prevs!$C$7:$I$279,4,FALSE)-IFERROR(VLOOKUP($E59,Prevs!$C$7:$I$279,4,FALSE),0)-IFERROR(VLOOKUP($D59,Prevs!$C$7:$I$279,4,FALSE),0)-IFERROR(VLOOKUP($G59,Prevs!$C$7:$I$279,4,FALSE),0)-IFERROR(VLOOKUP($H59,Prevs!$C$7:$I$279,4,FALSE),0)-IFERROR(VLOOKUP($I59,Prevs!$C$7:$I$279,4,FALSE),0)-IFERROR(VLOOKUP($F59,Prevs!$C$7:$I$279,4,FALSE),0)</f>
        <v>42</v>
      </c>
      <c r="N59" s="81">
        <f>VLOOKUP($C59,Prevs!$C$7:$I$279,5,FALSE)-IFERROR(VLOOKUP($E59,Prevs!$C$7:$I$279,5,FALSE),0)-IFERROR(VLOOKUP($D59,Prevs!$C$7:$I$279,5,FALSE),0)-IFERROR(VLOOKUP($G59,Prevs!$C$7:$I$279,5,FALSE),0)-IFERROR(VLOOKUP($H59,Prevs!$C$7:$I$279,5,FALSE),0)-IFERROR(VLOOKUP($I59,Prevs!$C$7:$I$279,5,FALSE),0)-IFERROR(VLOOKUP($F59,Prevs!$C$7:$I$279,5,FALSE),0)</f>
        <v>18</v>
      </c>
      <c r="O59" s="81">
        <f>VLOOKUP($C59,Prevs!$C$7:$I$279,6,FALSE)-IFERROR(VLOOKUP($E59,Prevs!$C$7:$I$279,6,FALSE),0)-IFERROR(VLOOKUP($D59,Prevs!$C$7:$I$279,6,FALSE),0)-IFERROR(VLOOKUP($G59,Prevs!$C$7:$I$279,6,FALSE),0)-IFERROR(VLOOKUP($H59,Prevs!$C$7:$I$279,6,FALSE),0)-IFERROR(VLOOKUP($I59,Prevs!$C$7:$I$279,6,FALSE),0)-IFERROR(VLOOKUP($F59,Prevs!$C$7:$I$279,6,FALSE),0)</f>
        <v>46</v>
      </c>
      <c r="P59" s="84">
        <f>VLOOKUP($C59,Prevs!$C$7:$I$279,7,FALSE)-IFERROR(VLOOKUP($E59,Prevs!$C$7:$I$279,7,FALSE),0)-IFERROR(VLOOKUP($D59,Prevs!$C$7:$I$279,7,FALSE),0)-IFERROR(VLOOKUP($G59,Prevs!$C$7:$I$279,7,FALSE),0)-IFERROR(VLOOKUP($H59,Prevs!$C$7:$I$279,7,FALSE),0)-IFERROR(VLOOKUP($I59,Prevs!$C$7:$I$279,7,FALSE),0)-IFERROR(VLOOKUP($F59,Prevs!$C$7:$I$279,7,FALSE),0)</f>
        <v>52</v>
      </c>
      <c r="Q59" s="276">
        <f t="shared" si="2"/>
        <v>149.62878693077604</v>
      </c>
      <c r="R59" s="271">
        <f t="shared" si="3"/>
        <v>149.62878693077604</v>
      </c>
      <c r="S59" s="271">
        <f t="shared" si="4"/>
        <v>146.14904769982775</v>
      </c>
      <c r="T59" s="271">
        <f t="shared" si="5"/>
        <v>62.635306157069039</v>
      </c>
      <c r="U59" s="271">
        <f t="shared" si="6"/>
        <v>160.06800462362088</v>
      </c>
      <c r="V59" s="272">
        <f t="shared" si="7"/>
        <v>180.94644000931055</v>
      </c>
      <c r="X59" s="83"/>
      <c r="Y59" s="81"/>
      <c r="Z59" s="81"/>
      <c r="AA59" s="81"/>
      <c r="AB59" s="81"/>
      <c r="AC59" s="84"/>
      <c r="AD59" s="85"/>
      <c r="AE59" s="81"/>
      <c r="AF59" s="81"/>
      <c r="AG59" s="81"/>
      <c r="AH59" s="81"/>
      <c r="AI59" s="84"/>
    </row>
    <row r="60" spans="2:35" s="74" customFormat="1" ht="26.25" customHeight="1" x14ac:dyDescent="0.25">
      <c r="B60" s="151" t="s">
        <v>343</v>
      </c>
      <c r="C60" s="81">
        <v>129</v>
      </c>
      <c r="D60" s="92">
        <v>203</v>
      </c>
      <c r="E60" s="92">
        <v>198</v>
      </c>
      <c r="F60" s="92">
        <v>125</v>
      </c>
      <c r="G60" s="92">
        <v>0</v>
      </c>
      <c r="H60" s="92">
        <v>0</v>
      </c>
      <c r="I60" s="92">
        <v>0</v>
      </c>
      <c r="J60" s="259">
        <v>1.1862821410792901</v>
      </c>
      <c r="K60" s="83">
        <f>VLOOKUP($C60,Prevs!$C$7:$I$279,2,FALSE)-IFERROR(VLOOKUP($E60,Prevs!$C$7:$I$279,2,FALSE),0)-IFERROR(VLOOKUP($D60,Prevs!$C$7:$I$279,2,FALSE),0)-IFERROR(VLOOKUP($G60,Prevs!$C$7:$I$279,2,FALSE),0)-IFERROR(VLOOKUP($H60,Prevs!$C$7:$I$279,2,FALSE),0)-IFERROR(VLOOKUP($I60,Prevs!$C$7:$I$279,2,FALSE),0)-IFERROR(VLOOKUP($F60,Prevs!$C$7:$I$279,2,FALSE),0)</f>
        <v>85</v>
      </c>
      <c r="L60" s="81">
        <f>VLOOKUP($C60,Prevs!$C$7:$I$279,3,FALSE)-IFERROR(VLOOKUP($E60,Prevs!$C$7:$I$279,3,FALSE),0)-IFERROR(VLOOKUP($D60,Prevs!$C$7:$I$279,3,FALSE),0)-IFERROR(VLOOKUP($G60,Prevs!$C$7:$I$279,3,FALSE),0)-IFERROR(VLOOKUP($H60,Prevs!$C$7:$I$279,3,FALSE),0)-IFERROR(VLOOKUP($I60,Prevs!$C$7:$I$279,3,FALSE),0)-IFERROR(VLOOKUP($F60,Prevs!$C$7:$I$279,3,FALSE),0)</f>
        <v>84</v>
      </c>
      <c r="M60" s="81">
        <f>VLOOKUP($C60,Prevs!$C$7:$I$279,4,FALSE)-IFERROR(VLOOKUP($E60,Prevs!$C$7:$I$279,4,FALSE),0)-IFERROR(VLOOKUP($D60,Prevs!$C$7:$I$279,4,FALSE),0)-IFERROR(VLOOKUP($G60,Prevs!$C$7:$I$279,4,FALSE),0)-IFERROR(VLOOKUP($H60,Prevs!$C$7:$I$279,4,FALSE),0)-IFERROR(VLOOKUP($I60,Prevs!$C$7:$I$279,4,FALSE),0)-IFERROR(VLOOKUP($F60,Prevs!$C$7:$I$279,4,FALSE),0)</f>
        <v>92</v>
      </c>
      <c r="N60" s="81">
        <f>VLOOKUP($C60,Prevs!$C$7:$I$279,5,FALSE)-IFERROR(VLOOKUP($E60,Prevs!$C$7:$I$279,5,FALSE),0)-IFERROR(VLOOKUP($D60,Prevs!$C$7:$I$279,5,FALSE),0)-IFERROR(VLOOKUP($G60,Prevs!$C$7:$I$279,5,FALSE),0)-IFERROR(VLOOKUP($H60,Prevs!$C$7:$I$279,5,FALSE),0)-IFERROR(VLOOKUP($I60,Prevs!$C$7:$I$279,5,FALSE),0)-IFERROR(VLOOKUP($F60,Prevs!$C$7:$I$279,5,FALSE),0)</f>
        <v>107</v>
      </c>
      <c r="O60" s="81">
        <f>VLOOKUP($C60,Prevs!$C$7:$I$279,6,FALSE)-IFERROR(VLOOKUP($E60,Prevs!$C$7:$I$279,6,FALSE),0)-IFERROR(VLOOKUP($D60,Prevs!$C$7:$I$279,6,FALSE),0)-IFERROR(VLOOKUP($G60,Prevs!$C$7:$I$279,6,FALSE),0)-IFERROR(VLOOKUP($H60,Prevs!$C$7:$I$279,6,FALSE),0)-IFERROR(VLOOKUP($I60,Prevs!$C$7:$I$279,6,FALSE),0)-IFERROR(VLOOKUP($F60,Prevs!$C$7:$I$279,6,FALSE),0)</f>
        <v>80</v>
      </c>
      <c r="P60" s="84">
        <f>VLOOKUP($C60,Prevs!$C$7:$I$279,7,FALSE)-IFERROR(VLOOKUP($E60,Prevs!$C$7:$I$279,7,FALSE),0)-IFERROR(VLOOKUP($D60,Prevs!$C$7:$I$279,7,FALSE),0)-IFERROR(VLOOKUP($G60,Prevs!$C$7:$I$279,7,FALSE),0)-IFERROR(VLOOKUP($H60,Prevs!$C$7:$I$279,7,FALSE),0)-IFERROR(VLOOKUP($I60,Prevs!$C$7:$I$279,7,FALSE),0)-IFERROR(VLOOKUP($F60,Prevs!$C$7:$I$279,7,FALSE),0)</f>
        <v>57</v>
      </c>
      <c r="Q60" s="276">
        <f t="shared" si="2"/>
        <v>100.83398199173966</v>
      </c>
      <c r="R60" s="271">
        <f t="shared" si="3"/>
        <v>99.647699850660373</v>
      </c>
      <c r="S60" s="271">
        <f t="shared" si="4"/>
        <v>109.13795697929469</v>
      </c>
      <c r="T60" s="271">
        <f t="shared" si="5"/>
        <v>126.93218909548403</v>
      </c>
      <c r="U60" s="271">
        <f t="shared" si="6"/>
        <v>94.902571286343203</v>
      </c>
      <c r="V60" s="272">
        <f t="shared" si="7"/>
        <v>67.618082041519529</v>
      </c>
      <c r="X60" s="83"/>
      <c r="Y60" s="81"/>
      <c r="Z60" s="81"/>
      <c r="AA60" s="81"/>
      <c r="AB60" s="81"/>
      <c r="AC60" s="84"/>
      <c r="AD60" s="85"/>
      <c r="AE60" s="81"/>
      <c r="AF60" s="81"/>
      <c r="AG60" s="81"/>
      <c r="AH60" s="81"/>
      <c r="AI60" s="84"/>
    </row>
    <row r="61" spans="2:35" s="74" customFormat="1" ht="26.25" customHeight="1" x14ac:dyDescent="0.25">
      <c r="B61" s="151" t="s">
        <v>344</v>
      </c>
      <c r="C61" s="81">
        <v>287</v>
      </c>
      <c r="D61" s="92">
        <v>285</v>
      </c>
      <c r="E61" s="92">
        <v>0</v>
      </c>
      <c r="F61" s="92">
        <v>0</v>
      </c>
      <c r="G61" s="92">
        <v>0</v>
      </c>
      <c r="H61" s="92">
        <v>0</v>
      </c>
      <c r="I61" s="92">
        <v>0</v>
      </c>
      <c r="J61" s="259">
        <v>0</v>
      </c>
      <c r="K61" s="83">
        <f>VLOOKUP($C61,Prevs!$C$7:$I$279,2,FALSE)-IFERROR(VLOOKUP($E61,Prevs!$C$7:$I$279,2,FALSE),0)-IFERROR(VLOOKUP($D61,Prevs!$C$7:$I$279,2,FALSE),0)-IFERROR(VLOOKUP($G61,Prevs!$C$7:$I$279,2,FALSE),0)-IFERROR(VLOOKUP($H61,Prevs!$C$7:$I$279,2,FALSE),0)-IFERROR(VLOOKUP($I61,Prevs!$C$7:$I$279,2,FALSE),0)-IFERROR(VLOOKUP($F61,Prevs!$C$7:$I$279,2,FALSE),0)</f>
        <v>408</v>
      </c>
      <c r="L61" s="81">
        <f>VLOOKUP($C61,Prevs!$C$7:$I$279,3,FALSE)-IFERROR(VLOOKUP($E61,Prevs!$C$7:$I$279,3,FALSE),0)-IFERROR(VLOOKUP($D61,Prevs!$C$7:$I$279,3,FALSE),0)-IFERROR(VLOOKUP($G61,Prevs!$C$7:$I$279,3,FALSE),0)-IFERROR(VLOOKUP($H61,Prevs!$C$7:$I$279,3,FALSE),0)-IFERROR(VLOOKUP($I61,Prevs!$C$7:$I$279,3,FALSE),0)-IFERROR(VLOOKUP($F61,Prevs!$C$7:$I$279,3,FALSE),0)</f>
        <v>380</v>
      </c>
      <c r="M61" s="81">
        <f>VLOOKUP($C61,Prevs!$C$7:$I$279,4,FALSE)-IFERROR(VLOOKUP($E61,Prevs!$C$7:$I$279,4,FALSE),0)-IFERROR(VLOOKUP($D61,Prevs!$C$7:$I$279,4,FALSE),0)-IFERROR(VLOOKUP($G61,Prevs!$C$7:$I$279,4,FALSE),0)-IFERROR(VLOOKUP($H61,Prevs!$C$7:$I$279,4,FALSE),0)-IFERROR(VLOOKUP($I61,Prevs!$C$7:$I$279,4,FALSE),0)-IFERROR(VLOOKUP($F61,Prevs!$C$7:$I$279,4,FALSE),0)</f>
        <v>358</v>
      </c>
      <c r="N61" s="81">
        <f>VLOOKUP($C61,Prevs!$C$7:$I$279,5,FALSE)-IFERROR(VLOOKUP($E61,Prevs!$C$7:$I$279,5,FALSE),0)-IFERROR(VLOOKUP($D61,Prevs!$C$7:$I$279,5,FALSE),0)-IFERROR(VLOOKUP($G61,Prevs!$C$7:$I$279,5,FALSE),0)-IFERROR(VLOOKUP($H61,Prevs!$C$7:$I$279,5,FALSE),0)-IFERROR(VLOOKUP($I61,Prevs!$C$7:$I$279,5,FALSE),0)-IFERROR(VLOOKUP($F61,Prevs!$C$7:$I$279,5,FALSE),0)</f>
        <v>361</v>
      </c>
      <c r="O61" s="81">
        <f>VLOOKUP($C61,Prevs!$C$7:$I$279,6,FALSE)-IFERROR(VLOOKUP($E61,Prevs!$C$7:$I$279,6,FALSE),0)-IFERROR(VLOOKUP($D61,Prevs!$C$7:$I$279,6,FALSE),0)-IFERROR(VLOOKUP($G61,Prevs!$C$7:$I$279,6,FALSE),0)-IFERROR(VLOOKUP($H61,Prevs!$C$7:$I$279,6,FALSE),0)-IFERROR(VLOOKUP($I61,Prevs!$C$7:$I$279,6,FALSE),0)-IFERROR(VLOOKUP($F61,Prevs!$C$7:$I$279,6,FALSE),0)</f>
        <v>238</v>
      </c>
      <c r="P61" s="84">
        <f>VLOOKUP($C61,Prevs!$C$7:$I$279,7,FALSE)-IFERROR(VLOOKUP($E61,Prevs!$C$7:$I$279,7,FALSE),0)-IFERROR(VLOOKUP($D61,Prevs!$C$7:$I$279,7,FALSE),0)-IFERROR(VLOOKUP($G61,Prevs!$C$7:$I$279,7,FALSE),0)-IFERROR(VLOOKUP($H61,Prevs!$C$7:$I$279,7,FALSE),0)-IFERROR(VLOOKUP($I61,Prevs!$C$7:$I$279,7,FALSE),0)-IFERROR(VLOOKUP($F61,Prevs!$C$7:$I$279,7,FALSE),0)</f>
        <v>202</v>
      </c>
      <c r="Q61" s="276">
        <f t="shared" si="2"/>
        <v>0</v>
      </c>
      <c r="R61" s="271">
        <f t="shared" si="3"/>
        <v>0</v>
      </c>
      <c r="S61" s="271">
        <f t="shared" si="4"/>
        <v>0</v>
      </c>
      <c r="T61" s="271">
        <f t="shared" si="5"/>
        <v>0</v>
      </c>
      <c r="U61" s="271">
        <f t="shared" si="6"/>
        <v>0</v>
      </c>
      <c r="V61" s="272">
        <f t="shared" si="7"/>
        <v>0</v>
      </c>
      <c r="X61" s="83"/>
      <c r="Y61" s="81"/>
      <c r="Z61" s="81"/>
      <c r="AA61" s="81"/>
      <c r="AB61" s="81"/>
      <c r="AC61" s="84"/>
      <c r="AD61" s="85"/>
      <c r="AE61" s="81"/>
      <c r="AF61" s="81"/>
      <c r="AG61" s="81"/>
      <c r="AH61" s="81"/>
      <c r="AI61" s="84"/>
    </row>
    <row r="62" spans="2:35" s="74" customFormat="1" ht="26.25" customHeight="1" x14ac:dyDescent="0.25">
      <c r="B62" s="151" t="s">
        <v>267</v>
      </c>
      <c r="C62" s="81">
        <v>257</v>
      </c>
      <c r="D62" s="92">
        <v>253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259">
        <v>0.56616951273221305</v>
      </c>
      <c r="K62" s="83">
        <f>VLOOKUP($C62,Prevs!$C$7:$I$279,2,FALSE)-IFERROR(VLOOKUP($E62,Prevs!$C$7:$I$279,2,FALSE),0)-IFERROR(VLOOKUP($D62,Prevs!$C$7:$I$279,2,FALSE),0)-IFERROR(VLOOKUP($G62,Prevs!$C$7:$I$279,2,FALSE),0)-IFERROR(VLOOKUP($H62,Prevs!$C$7:$I$279,2,FALSE),0)-IFERROR(VLOOKUP($I62,Prevs!$C$7:$I$279,2,FALSE),0)-IFERROR(VLOOKUP($F62,Prevs!$C$7:$I$279,2,FALSE),0)</f>
        <v>212</v>
      </c>
      <c r="L62" s="81">
        <f>VLOOKUP($C62,Prevs!$C$7:$I$279,3,FALSE)-IFERROR(VLOOKUP($E62,Prevs!$C$7:$I$279,3,FALSE),0)-IFERROR(VLOOKUP($D62,Prevs!$C$7:$I$279,3,FALSE),0)-IFERROR(VLOOKUP($G62,Prevs!$C$7:$I$279,3,FALSE),0)-IFERROR(VLOOKUP($H62,Prevs!$C$7:$I$279,3,FALSE),0)-IFERROR(VLOOKUP($I62,Prevs!$C$7:$I$279,3,FALSE),0)-IFERROR(VLOOKUP($F62,Prevs!$C$7:$I$279,3,FALSE),0)</f>
        <v>192</v>
      </c>
      <c r="M62" s="81">
        <f>VLOOKUP($C62,Prevs!$C$7:$I$279,4,FALSE)-IFERROR(VLOOKUP($E62,Prevs!$C$7:$I$279,4,FALSE),0)-IFERROR(VLOOKUP($D62,Prevs!$C$7:$I$279,4,FALSE),0)-IFERROR(VLOOKUP($G62,Prevs!$C$7:$I$279,4,FALSE),0)-IFERROR(VLOOKUP($H62,Prevs!$C$7:$I$279,4,FALSE),0)-IFERROR(VLOOKUP($I62,Prevs!$C$7:$I$279,4,FALSE),0)-IFERROR(VLOOKUP($F62,Prevs!$C$7:$I$279,4,FALSE),0)</f>
        <v>210</v>
      </c>
      <c r="N62" s="81">
        <f>VLOOKUP($C62,Prevs!$C$7:$I$279,5,FALSE)-IFERROR(VLOOKUP($E62,Prevs!$C$7:$I$279,5,FALSE),0)-IFERROR(VLOOKUP($D62,Prevs!$C$7:$I$279,5,FALSE),0)-IFERROR(VLOOKUP($G62,Prevs!$C$7:$I$279,5,FALSE),0)-IFERROR(VLOOKUP($H62,Prevs!$C$7:$I$279,5,FALSE),0)-IFERROR(VLOOKUP($I62,Prevs!$C$7:$I$279,5,FALSE),0)-IFERROR(VLOOKUP($F62,Prevs!$C$7:$I$279,5,FALSE),0)</f>
        <v>188</v>
      </c>
      <c r="O62" s="81">
        <f>VLOOKUP($C62,Prevs!$C$7:$I$279,6,FALSE)-IFERROR(VLOOKUP($E62,Prevs!$C$7:$I$279,6,FALSE),0)-IFERROR(VLOOKUP($D62,Prevs!$C$7:$I$279,6,FALSE),0)-IFERROR(VLOOKUP($G62,Prevs!$C$7:$I$279,6,FALSE),0)-IFERROR(VLOOKUP($H62,Prevs!$C$7:$I$279,6,FALSE),0)-IFERROR(VLOOKUP($I62,Prevs!$C$7:$I$279,6,FALSE),0)-IFERROR(VLOOKUP($F62,Prevs!$C$7:$I$279,6,FALSE),0)</f>
        <v>173</v>
      </c>
      <c r="P62" s="84">
        <f>VLOOKUP($C62,Prevs!$C$7:$I$279,7,FALSE)-IFERROR(VLOOKUP($E62,Prevs!$C$7:$I$279,7,FALSE),0)-IFERROR(VLOOKUP($D62,Prevs!$C$7:$I$279,7,FALSE),0)-IFERROR(VLOOKUP($G62,Prevs!$C$7:$I$279,7,FALSE),0)-IFERROR(VLOOKUP($H62,Prevs!$C$7:$I$279,7,FALSE),0)-IFERROR(VLOOKUP($I62,Prevs!$C$7:$I$279,7,FALSE),0)-IFERROR(VLOOKUP($F62,Prevs!$C$7:$I$279,7,FALSE),0)</f>
        <v>163</v>
      </c>
      <c r="Q62" s="276">
        <f t="shared" si="2"/>
        <v>120.02793669922917</v>
      </c>
      <c r="R62" s="271">
        <f t="shared" si="3"/>
        <v>108.70454644458491</v>
      </c>
      <c r="S62" s="271">
        <f t="shared" si="4"/>
        <v>118.89559767376474</v>
      </c>
      <c r="T62" s="271">
        <f t="shared" si="5"/>
        <v>106.43986839365606</v>
      </c>
      <c r="U62" s="271">
        <f t="shared" si="6"/>
        <v>97.947325702672856</v>
      </c>
      <c r="V62" s="272">
        <f t="shared" si="7"/>
        <v>92.285630575350723</v>
      </c>
      <c r="X62" s="83"/>
      <c r="Y62" s="81"/>
      <c r="Z62" s="81"/>
      <c r="AA62" s="81"/>
      <c r="AB62" s="81"/>
      <c r="AC62" s="84"/>
      <c r="AD62" s="85"/>
      <c r="AE62" s="81"/>
      <c r="AF62" s="81"/>
      <c r="AG62" s="81"/>
      <c r="AH62" s="81"/>
      <c r="AI62" s="84"/>
    </row>
    <row r="63" spans="2:35" s="74" customFormat="1" ht="26.25" customHeight="1" x14ac:dyDescent="0.25">
      <c r="B63" s="151" t="s">
        <v>345</v>
      </c>
      <c r="C63" s="81">
        <v>122</v>
      </c>
      <c r="D63" s="92">
        <v>121</v>
      </c>
      <c r="E63" s="92">
        <v>0</v>
      </c>
      <c r="F63" s="92">
        <v>0</v>
      </c>
      <c r="G63" s="92">
        <v>0</v>
      </c>
      <c r="H63" s="92">
        <v>0</v>
      </c>
      <c r="I63" s="92">
        <v>0</v>
      </c>
      <c r="J63" s="259">
        <v>3.8321241621510498</v>
      </c>
      <c r="K63" s="83">
        <f>VLOOKUP($C63,Prevs!$C$7:$I$279,2,FALSE)-IFERROR(VLOOKUP($E63,Prevs!$C$7:$I$279,2,FALSE),0)-IFERROR(VLOOKUP($D63,Prevs!$C$7:$I$279,2,FALSE),0)-IFERROR(VLOOKUP($G63,Prevs!$C$7:$I$279,2,FALSE),0)-IFERROR(VLOOKUP($H63,Prevs!$C$7:$I$279,2,FALSE),0)-IFERROR(VLOOKUP($I63,Prevs!$C$7:$I$279,2,FALSE),0)-IFERROR(VLOOKUP($F63,Prevs!$C$7:$I$279,2,FALSE),0)</f>
        <v>8</v>
      </c>
      <c r="L63" s="81">
        <f>VLOOKUP($C63,Prevs!$C$7:$I$279,3,FALSE)-IFERROR(VLOOKUP($E63,Prevs!$C$7:$I$279,3,FALSE),0)-IFERROR(VLOOKUP($D63,Prevs!$C$7:$I$279,3,FALSE),0)-IFERROR(VLOOKUP($G63,Prevs!$C$7:$I$279,3,FALSE),0)-IFERROR(VLOOKUP($H63,Prevs!$C$7:$I$279,3,FALSE),0)-IFERROR(VLOOKUP($I63,Prevs!$C$7:$I$279,3,FALSE),0)-IFERROR(VLOOKUP($F63,Prevs!$C$7:$I$279,3,FALSE),0)</f>
        <v>7</v>
      </c>
      <c r="M63" s="81">
        <f>VLOOKUP($C63,Prevs!$C$7:$I$279,4,FALSE)-IFERROR(VLOOKUP($E63,Prevs!$C$7:$I$279,4,FALSE),0)-IFERROR(VLOOKUP($D63,Prevs!$C$7:$I$279,4,FALSE),0)-IFERROR(VLOOKUP($G63,Prevs!$C$7:$I$279,4,FALSE),0)-IFERROR(VLOOKUP($H63,Prevs!$C$7:$I$279,4,FALSE),0)-IFERROR(VLOOKUP($I63,Prevs!$C$7:$I$279,4,FALSE),0)-IFERROR(VLOOKUP($F63,Prevs!$C$7:$I$279,4,FALSE),0)</f>
        <v>8</v>
      </c>
      <c r="N63" s="81">
        <f>VLOOKUP($C63,Prevs!$C$7:$I$279,5,FALSE)-IFERROR(VLOOKUP($E63,Prevs!$C$7:$I$279,5,FALSE),0)-IFERROR(VLOOKUP($D63,Prevs!$C$7:$I$279,5,FALSE),0)-IFERROR(VLOOKUP($G63,Prevs!$C$7:$I$279,5,FALSE),0)-IFERROR(VLOOKUP($H63,Prevs!$C$7:$I$279,5,FALSE),0)-IFERROR(VLOOKUP($I63,Prevs!$C$7:$I$279,5,FALSE),0)-IFERROR(VLOOKUP($F63,Prevs!$C$7:$I$279,5,FALSE),0)</f>
        <v>7</v>
      </c>
      <c r="O63" s="81">
        <f>VLOOKUP($C63,Prevs!$C$7:$I$279,6,FALSE)-IFERROR(VLOOKUP($E63,Prevs!$C$7:$I$279,6,FALSE),0)-IFERROR(VLOOKUP($D63,Prevs!$C$7:$I$279,6,FALSE),0)-IFERROR(VLOOKUP($G63,Prevs!$C$7:$I$279,6,FALSE),0)-IFERROR(VLOOKUP($H63,Prevs!$C$7:$I$279,6,FALSE),0)-IFERROR(VLOOKUP($I63,Prevs!$C$7:$I$279,6,FALSE),0)-IFERROR(VLOOKUP($F63,Prevs!$C$7:$I$279,6,FALSE),0)</f>
        <v>7</v>
      </c>
      <c r="P63" s="84">
        <f>VLOOKUP($C63,Prevs!$C$7:$I$279,7,FALSE)-IFERROR(VLOOKUP($E63,Prevs!$C$7:$I$279,7,FALSE),0)-IFERROR(VLOOKUP($D63,Prevs!$C$7:$I$279,7,FALSE),0)-IFERROR(VLOOKUP($G63,Prevs!$C$7:$I$279,7,FALSE),0)-IFERROR(VLOOKUP($H63,Prevs!$C$7:$I$279,7,FALSE),0)-IFERROR(VLOOKUP($I63,Prevs!$C$7:$I$279,7,FALSE),0)-IFERROR(VLOOKUP($F63,Prevs!$C$7:$I$279,7,FALSE),0)</f>
        <v>7</v>
      </c>
      <c r="Q63" s="276">
        <f t="shared" si="2"/>
        <v>30.656993297208398</v>
      </c>
      <c r="R63" s="271">
        <f t="shared" si="3"/>
        <v>26.824869135057348</v>
      </c>
      <c r="S63" s="271">
        <f t="shared" si="4"/>
        <v>30.656993297208398</v>
      </c>
      <c r="T63" s="271">
        <f t="shared" si="5"/>
        <v>26.824869135057348</v>
      </c>
      <c r="U63" s="271">
        <f t="shared" si="6"/>
        <v>26.824869135057348</v>
      </c>
      <c r="V63" s="272">
        <f t="shared" si="7"/>
        <v>26.824869135057348</v>
      </c>
      <c r="X63" s="83"/>
      <c r="Y63" s="81"/>
      <c r="Z63" s="81"/>
      <c r="AA63" s="81"/>
      <c r="AB63" s="81"/>
      <c r="AC63" s="84"/>
      <c r="AD63" s="85"/>
      <c r="AE63" s="81"/>
      <c r="AF63" s="81"/>
      <c r="AG63" s="81"/>
      <c r="AH63" s="81"/>
      <c r="AI63" s="84"/>
    </row>
    <row r="64" spans="2:35" s="74" customFormat="1" ht="26.25" customHeight="1" x14ac:dyDescent="0.25">
      <c r="B64" s="151" t="s">
        <v>346</v>
      </c>
      <c r="C64" s="81">
        <v>202</v>
      </c>
      <c r="D64" s="92">
        <v>0</v>
      </c>
      <c r="E64" s="92">
        <v>0</v>
      </c>
      <c r="F64" s="92">
        <v>0</v>
      </c>
      <c r="G64" s="92">
        <v>0</v>
      </c>
      <c r="H64" s="92">
        <v>0</v>
      </c>
      <c r="I64" s="92">
        <v>0</v>
      </c>
      <c r="J64" s="259">
        <v>2.8434819774819999</v>
      </c>
      <c r="K64" s="83">
        <f>VLOOKUP($C64,Prevs!$C$7:$I$279,2,FALSE)-IFERROR(VLOOKUP($E64,Prevs!$C$7:$I$279,2,FALSE),0)-IFERROR(VLOOKUP($D64,Prevs!$C$7:$I$279,2,FALSE),0)-IFERROR(VLOOKUP($G64,Prevs!$C$7:$I$279,2,FALSE),0)-IFERROR(VLOOKUP($H64,Prevs!$C$7:$I$279,2,FALSE),0)-IFERROR(VLOOKUP($I64,Prevs!$C$7:$I$279,2,FALSE),0)-IFERROR(VLOOKUP($F64,Prevs!$C$7:$I$279,2,FALSE),0)</f>
        <v>2</v>
      </c>
      <c r="L64" s="81">
        <f>VLOOKUP($C64,Prevs!$C$7:$I$279,3,FALSE)-IFERROR(VLOOKUP($E64,Prevs!$C$7:$I$279,3,FALSE),0)-IFERROR(VLOOKUP($D64,Prevs!$C$7:$I$279,3,FALSE),0)-IFERROR(VLOOKUP($G64,Prevs!$C$7:$I$279,3,FALSE),0)-IFERROR(VLOOKUP($H64,Prevs!$C$7:$I$279,3,FALSE),0)-IFERROR(VLOOKUP($I64,Prevs!$C$7:$I$279,3,FALSE),0)-IFERROR(VLOOKUP($F64,Prevs!$C$7:$I$279,3,FALSE),0)</f>
        <v>2</v>
      </c>
      <c r="M64" s="81">
        <f>VLOOKUP($C64,Prevs!$C$7:$I$279,4,FALSE)-IFERROR(VLOOKUP($E64,Prevs!$C$7:$I$279,4,FALSE),0)-IFERROR(VLOOKUP($D64,Prevs!$C$7:$I$279,4,FALSE),0)-IFERROR(VLOOKUP($G64,Prevs!$C$7:$I$279,4,FALSE),0)-IFERROR(VLOOKUP($H64,Prevs!$C$7:$I$279,4,FALSE),0)-IFERROR(VLOOKUP($I64,Prevs!$C$7:$I$279,4,FALSE),0)-IFERROR(VLOOKUP($F64,Prevs!$C$7:$I$279,4,FALSE),0)</f>
        <v>2</v>
      </c>
      <c r="N64" s="81">
        <f>VLOOKUP($C64,Prevs!$C$7:$I$279,5,FALSE)-IFERROR(VLOOKUP($E64,Prevs!$C$7:$I$279,5,FALSE),0)-IFERROR(VLOOKUP($D64,Prevs!$C$7:$I$279,5,FALSE),0)-IFERROR(VLOOKUP($G64,Prevs!$C$7:$I$279,5,FALSE),0)-IFERROR(VLOOKUP($H64,Prevs!$C$7:$I$279,5,FALSE),0)-IFERROR(VLOOKUP($I64,Prevs!$C$7:$I$279,5,FALSE),0)-IFERROR(VLOOKUP($F64,Prevs!$C$7:$I$279,5,FALSE),0)</f>
        <v>2</v>
      </c>
      <c r="O64" s="81">
        <f>VLOOKUP($C64,Prevs!$C$7:$I$279,6,FALSE)-IFERROR(VLOOKUP($E64,Prevs!$C$7:$I$279,6,FALSE),0)-IFERROR(VLOOKUP($D64,Prevs!$C$7:$I$279,6,FALSE),0)-IFERROR(VLOOKUP($G64,Prevs!$C$7:$I$279,6,FALSE),0)-IFERROR(VLOOKUP($H64,Prevs!$C$7:$I$279,6,FALSE),0)-IFERROR(VLOOKUP($I64,Prevs!$C$7:$I$279,6,FALSE),0)-IFERROR(VLOOKUP($F64,Prevs!$C$7:$I$279,6,FALSE),0)</f>
        <v>1</v>
      </c>
      <c r="P64" s="84">
        <f>VLOOKUP($C64,Prevs!$C$7:$I$279,7,FALSE)-IFERROR(VLOOKUP($E64,Prevs!$C$7:$I$279,7,FALSE),0)-IFERROR(VLOOKUP($D64,Prevs!$C$7:$I$279,7,FALSE),0)-IFERROR(VLOOKUP($G64,Prevs!$C$7:$I$279,7,FALSE),0)-IFERROR(VLOOKUP($H64,Prevs!$C$7:$I$279,7,FALSE),0)-IFERROR(VLOOKUP($I64,Prevs!$C$7:$I$279,7,FALSE),0)-IFERROR(VLOOKUP($F64,Prevs!$C$7:$I$279,7,FALSE),0)</f>
        <v>2</v>
      </c>
      <c r="Q64" s="276">
        <f t="shared" si="2"/>
        <v>5.6869639549639999</v>
      </c>
      <c r="R64" s="271">
        <f t="shared" si="3"/>
        <v>5.6869639549639999</v>
      </c>
      <c r="S64" s="271">
        <f t="shared" si="4"/>
        <v>5.6869639549639999</v>
      </c>
      <c r="T64" s="271">
        <f t="shared" si="5"/>
        <v>5.6869639549639999</v>
      </c>
      <c r="U64" s="271">
        <f t="shared" si="6"/>
        <v>2.8434819774819999</v>
      </c>
      <c r="V64" s="272">
        <f t="shared" si="7"/>
        <v>5.6869639549639999</v>
      </c>
      <c r="X64" s="83"/>
      <c r="Y64" s="81"/>
      <c r="Z64" s="81"/>
      <c r="AA64" s="81"/>
      <c r="AB64" s="81"/>
      <c r="AC64" s="84"/>
      <c r="AD64" s="85"/>
      <c r="AE64" s="81"/>
      <c r="AF64" s="81"/>
      <c r="AG64" s="81"/>
      <c r="AH64" s="81"/>
      <c r="AI64" s="84"/>
    </row>
    <row r="65" spans="2:35" s="74" customFormat="1" ht="26.25" customHeight="1" x14ac:dyDescent="0.25">
      <c r="B65" s="151" t="s">
        <v>156</v>
      </c>
      <c r="C65" s="81">
        <v>130</v>
      </c>
      <c r="D65" s="282">
        <v>129</v>
      </c>
      <c r="E65" s="92">
        <v>0</v>
      </c>
      <c r="F65" s="92">
        <v>0</v>
      </c>
      <c r="G65" s="92">
        <v>0</v>
      </c>
      <c r="H65" s="92">
        <v>0</v>
      </c>
      <c r="I65" s="92">
        <v>0</v>
      </c>
      <c r="J65" s="259">
        <v>0.25881845107929202</v>
      </c>
      <c r="K65" s="83">
        <f>VLOOKUP($C65,Prevs!$C$7:$I$279,2,FALSE)-IFERROR(VLOOKUP($E65,Prevs!$C$7:$I$279,2,FALSE),0)-IFERROR(VLOOKUP($D65,Prevs!$C$7:$I$279,2,FALSE),0)-IFERROR(VLOOKUP($G65,Prevs!$C$7:$I$279,2,FALSE),0)-IFERROR(VLOOKUP($H65,Prevs!$C$7:$I$279,2,FALSE),0)-IFERROR(VLOOKUP($I65,Prevs!$C$7:$I$279,2,FALSE),0)-IFERROR(VLOOKUP($F65,Prevs!$C$7:$I$279,2,FALSE),0)</f>
        <v>8</v>
      </c>
      <c r="L65" s="81">
        <f>VLOOKUP($C65,Prevs!$C$7:$I$279,3,FALSE)-IFERROR(VLOOKUP($E65,Prevs!$C$7:$I$279,3,FALSE),0)-IFERROR(VLOOKUP($D65,Prevs!$C$7:$I$279,3,FALSE),0)-IFERROR(VLOOKUP($G65,Prevs!$C$7:$I$279,3,FALSE),0)-IFERROR(VLOOKUP($H65,Prevs!$C$7:$I$279,3,FALSE),0)-IFERROR(VLOOKUP($I65,Prevs!$C$7:$I$279,3,FALSE),0)-IFERROR(VLOOKUP($F65,Prevs!$C$7:$I$279,3,FALSE),0)</f>
        <v>8</v>
      </c>
      <c r="M65" s="81">
        <f>VLOOKUP($C65,Prevs!$C$7:$I$279,4,FALSE)-IFERROR(VLOOKUP($E65,Prevs!$C$7:$I$279,4,FALSE),0)-IFERROR(VLOOKUP($D65,Prevs!$C$7:$I$279,4,FALSE),0)-IFERROR(VLOOKUP($G65,Prevs!$C$7:$I$279,4,FALSE),0)-IFERROR(VLOOKUP($H65,Prevs!$C$7:$I$279,4,FALSE),0)-IFERROR(VLOOKUP($I65,Prevs!$C$7:$I$279,4,FALSE),0)-IFERROR(VLOOKUP($F65,Prevs!$C$7:$I$279,4,FALSE),0)</f>
        <v>9</v>
      </c>
      <c r="N65" s="81">
        <f>VLOOKUP($C65,Prevs!$C$7:$I$279,5,FALSE)-IFERROR(VLOOKUP($E65,Prevs!$C$7:$I$279,5,FALSE),0)-IFERROR(VLOOKUP($D65,Prevs!$C$7:$I$279,5,FALSE),0)-IFERROR(VLOOKUP($G65,Prevs!$C$7:$I$279,5,FALSE),0)-IFERROR(VLOOKUP($H65,Prevs!$C$7:$I$279,5,FALSE),0)-IFERROR(VLOOKUP($I65,Prevs!$C$7:$I$279,5,FALSE),0)-IFERROR(VLOOKUP($F65,Prevs!$C$7:$I$279,5,FALSE),0)</f>
        <v>6</v>
      </c>
      <c r="O65" s="81">
        <f>VLOOKUP($C65,Prevs!$C$7:$I$279,6,FALSE)-IFERROR(VLOOKUP($E65,Prevs!$C$7:$I$279,6,FALSE),0)-IFERROR(VLOOKUP($D65,Prevs!$C$7:$I$279,6,FALSE),0)-IFERROR(VLOOKUP($G65,Prevs!$C$7:$I$279,6,FALSE),0)-IFERROR(VLOOKUP($H65,Prevs!$C$7:$I$279,6,FALSE),0)-IFERROR(VLOOKUP($I65,Prevs!$C$7:$I$279,6,FALSE),0)-IFERROR(VLOOKUP($F65,Prevs!$C$7:$I$279,6,FALSE),0)</f>
        <v>8</v>
      </c>
      <c r="P65" s="84">
        <f>VLOOKUP($C65,Prevs!$C$7:$I$279,7,FALSE)-IFERROR(VLOOKUP($E65,Prevs!$C$7:$I$279,7,FALSE),0)-IFERROR(VLOOKUP($D65,Prevs!$C$7:$I$279,7,FALSE),0)-IFERROR(VLOOKUP($G65,Prevs!$C$7:$I$279,7,FALSE),0)-IFERROR(VLOOKUP($H65,Prevs!$C$7:$I$279,7,FALSE),0)-IFERROR(VLOOKUP($I65,Prevs!$C$7:$I$279,7,FALSE),0)-IFERROR(VLOOKUP($F65,Prevs!$C$7:$I$279,7,FALSE),0)</f>
        <v>9</v>
      </c>
      <c r="Q65" s="276">
        <f t="shared" si="2"/>
        <v>2.0705476086343362</v>
      </c>
      <c r="R65" s="271">
        <f t="shared" si="3"/>
        <v>2.0705476086343362</v>
      </c>
      <c r="S65" s="271">
        <f t="shared" si="4"/>
        <v>2.3293660597136281</v>
      </c>
      <c r="T65" s="271">
        <f t="shared" si="5"/>
        <v>1.5529107064757521</v>
      </c>
      <c r="U65" s="271">
        <f t="shared" si="6"/>
        <v>2.0705476086343362</v>
      </c>
      <c r="V65" s="272">
        <f t="shared" si="7"/>
        <v>2.3293660597136281</v>
      </c>
      <c r="X65" s="83"/>
      <c r="Y65" s="81"/>
      <c r="Z65" s="81"/>
      <c r="AA65" s="81"/>
      <c r="AB65" s="81"/>
      <c r="AC65" s="84"/>
      <c r="AD65" s="85"/>
      <c r="AE65" s="81"/>
      <c r="AF65" s="81"/>
      <c r="AG65" s="81"/>
      <c r="AH65" s="81"/>
      <c r="AI65" s="84"/>
    </row>
    <row r="66" spans="2:35" s="74" customFormat="1" ht="26.25" customHeight="1" x14ac:dyDescent="0.25">
      <c r="B66" s="151" t="s">
        <v>347</v>
      </c>
      <c r="C66" s="81">
        <v>125</v>
      </c>
      <c r="D66" s="92">
        <v>123</v>
      </c>
      <c r="E66" s="92">
        <v>0</v>
      </c>
      <c r="F66" s="92">
        <v>0</v>
      </c>
      <c r="G66" s="92">
        <v>0</v>
      </c>
      <c r="H66" s="92">
        <v>0</v>
      </c>
      <c r="I66" s="92">
        <v>0</v>
      </c>
      <c r="J66" s="259">
        <v>2.9470074880510002</v>
      </c>
      <c r="K66" s="83">
        <f>VLOOKUP($C66,Prevs!$C$7:$I$279,2,FALSE)-IFERROR(VLOOKUP($E66,Prevs!$C$7:$I$279,2,FALSE),0)-IFERROR(VLOOKUP($D66,Prevs!$C$7:$I$279,2,FALSE),0)-IFERROR(VLOOKUP($G66,Prevs!$C$7:$I$279,2,FALSE),0)-IFERROR(VLOOKUP($H66,Prevs!$C$7:$I$279,2,FALSE),0)-IFERROR(VLOOKUP($I66,Prevs!$C$7:$I$279,2,FALSE),0)-IFERROR(VLOOKUP($F66,Prevs!$C$7:$I$279,2,FALSE),0)</f>
        <v>30</v>
      </c>
      <c r="L66" s="81">
        <f>VLOOKUP($C66,Prevs!$C$7:$I$279,3,FALSE)-IFERROR(VLOOKUP($E66,Prevs!$C$7:$I$279,3,FALSE),0)-IFERROR(VLOOKUP($D66,Prevs!$C$7:$I$279,3,FALSE),0)-IFERROR(VLOOKUP($G66,Prevs!$C$7:$I$279,3,FALSE),0)-IFERROR(VLOOKUP($H66,Prevs!$C$7:$I$279,3,FALSE),0)-IFERROR(VLOOKUP($I66,Prevs!$C$7:$I$279,3,FALSE),0)-IFERROR(VLOOKUP($F66,Prevs!$C$7:$I$279,3,FALSE),0)</f>
        <v>30</v>
      </c>
      <c r="M66" s="81">
        <f>VLOOKUP($C66,Prevs!$C$7:$I$279,4,FALSE)-IFERROR(VLOOKUP($E66,Prevs!$C$7:$I$279,4,FALSE),0)-IFERROR(VLOOKUP($D66,Prevs!$C$7:$I$279,4,FALSE),0)-IFERROR(VLOOKUP($G66,Prevs!$C$7:$I$279,4,FALSE),0)-IFERROR(VLOOKUP($H66,Prevs!$C$7:$I$279,4,FALSE),0)-IFERROR(VLOOKUP($I66,Prevs!$C$7:$I$279,4,FALSE),0)-IFERROR(VLOOKUP($F66,Prevs!$C$7:$I$279,4,FALSE),0)</f>
        <v>31</v>
      </c>
      <c r="N66" s="81">
        <f>VLOOKUP($C66,Prevs!$C$7:$I$279,5,FALSE)-IFERROR(VLOOKUP($E66,Prevs!$C$7:$I$279,5,FALSE),0)-IFERROR(VLOOKUP($D66,Prevs!$C$7:$I$279,5,FALSE),0)-IFERROR(VLOOKUP($G66,Prevs!$C$7:$I$279,5,FALSE),0)-IFERROR(VLOOKUP($H66,Prevs!$C$7:$I$279,5,FALSE),0)-IFERROR(VLOOKUP($I66,Prevs!$C$7:$I$279,5,FALSE),0)-IFERROR(VLOOKUP($F66,Prevs!$C$7:$I$279,5,FALSE),0)</f>
        <v>23</v>
      </c>
      <c r="O66" s="81">
        <f>VLOOKUP($C66,Prevs!$C$7:$I$279,6,FALSE)-IFERROR(VLOOKUP($E66,Prevs!$C$7:$I$279,6,FALSE),0)-IFERROR(VLOOKUP($D66,Prevs!$C$7:$I$279,6,FALSE),0)-IFERROR(VLOOKUP($G66,Prevs!$C$7:$I$279,6,FALSE),0)-IFERROR(VLOOKUP($H66,Prevs!$C$7:$I$279,6,FALSE),0)-IFERROR(VLOOKUP($I66,Prevs!$C$7:$I$279,6,FALSE),0)-IFERROR(VLOOKUP($F66,Prevs!$C$7:$I$279,6,FALSE),0)</f>
        <v>32</v>
      </c>
      <c r="P66" s="84">
        <f>VLOOKUP($C66,Prevs!$C$7:$I$279,7,FALSE)-IFERROR(VLOOKUP($E66,Prevs!$C$7:$I$279,7,FALSE),0)-IFERROR(VLOOKUP($D66,Prevs!$C$7:$I$279,7,FALSE),0)-IFERROR(VLOOKUP($G66,Prevs!$C$7:$I$279,7,FALSE),0)-IFERROR(VLOOKUP($H66,Prevs!$C$7:$I$279,7,FALSE),0)-IFERROR(VLOOKUP($I66,Prevs!$C$7:$I$279,7,FALSE),0)-IFERROR(VLOOKUP($F66,Prevs!$C$7:$I$279,7,FALSE),0)</f>
        <v>31</v>
      </c>
      <c r="Q66" s="276">
        <f t="shared" si="2"/>
        <v>88.410224641530007</v>
      </c>
      <c r="R66" s="271">
        <f t="shared" si="3"/>
        <v>88.410224641530007</v>
      </c>
      <c r="S66" s="271">
        <f t="shared" si="4"/>
        <v>91.357232129581007</v>
      </c>
      <c r="T66" s="271">
        <f t="shared" si="5"/>
        <v>67.781172225173009</v>
      </c>
      <c r="U66" s="271">
        <f t="shared" si="6"/>
        <v>94.304239617632007</v>
      </c>
      <c r="V66" s="272">
        <f t="shared" si="7"/>
        <v>91.357232129581007</v>
      </c>
      <c r="X66" s="83"/>
      <c r="Y66" s="81"/>
      <c r="Z66" s="81"/>
      <c r="AA66" s="81"/>
      <c r="AB66" s="81"/>
      <c r="AC66" s="84"/>
      <c r="AD66" s="85"/>
      <c r="AE66" s="81"/>
      <c r="AF66" s="81"/>
      <c r="AG66" s="81"/>
      <c r="AH66" s="81"/>
      <c r="AI66" s="84"/>
    </row>
    <row r="67" spans="2:35" s="74" customFormat="1" ht="26.25" customHeight="1" x14ac:dyDescent="0.25">
      <c r="B67" s="151" t="s">
        <v>268</v>
      </c>
      <c r="C67" s="81">
        <v>201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259">
        <v>1.1862821410792901</v>
      </c>
      <c r="K67" s="83">
        <f>VLOOKUP($C67,Prevs!$C$7:$I$279,2,FALSE)-IFERROR(VLOOKUP($E67,Prevs!$C$7:$I$279,2,FALSE),0)-IFERROR(VLOOKUP($D67,Prevs!$C$7:$I$279,2,FALSE),0)-IFERROR(VLOOKUP($G67,Prevs!$C$7:$I$279,2,FALSE),0)-IFERROR(VLOOKUP($H67,Prevs!$C$7:$I$279,2,FALSE),0)-IFERROR(VLOOKUP($I67,Prevs!$C$7:$I$279,2,FALSE),0)-IFERROR(VLOOKUP($F67,Prevs!$C$7:$I$279,2,FALSE),0)</f>
        <v>5</v>
      </c>
      <c r="L67" s="81">
        <f>VLOOKUP($C67,Prevs!$C$7:$I$279,3,FALSE)-IFERROR(VLOOKUP($E67,Prevs!$C$7:$I$279,3,FALSE),0)-IFERROR(VLOOKUP($D67,Prevs!$C$7:$I$279,3,FALSE),0)-IFERROR(VLOOKUP($G67,Prevs!$C$7:$I$279,3,FALSE),0)-IFERROR(VLOOKUP($H67,Prevs!$C$7:$I$279,3,FALSE),0)-IFERROR(VLOOKUP($I67,Prevs!$C$7:$I$279,3,FALSE),0)-IFERROR(VLOOKUP($F67,Prevs!$C$7:$I$279,3,FALSE),0)</f>
        <v>6</v>
      </c>
      <c r="M67" s="81">
        <f>VLOOKUP($C67,Prevs!$C$7:$I$279,4,FALSE)-IFERROR(VLOOKUP($E67,Prevs!$C$7:$I$279,4,FALSE),0)-IFERROR(VLOOKUP($D67,Prevs!$C$7:$I$279,4,FALSE),0)-IFERROR(VLOOKUP($G67,Prevs!$C$7:$I$279,4,FALSE),0)-IFERROR(VLOOKUP($H67,Prevs!$C$7:$I$279,4,FALSE),0)-IFERROR(VLOOKUP($I67,Prevs!$C$7:$I$279,4,FALSE),0)-IFERROR(VLOOKUP($F67,Prevs!$C$7:$I$279,4,FALSE),0)</f>
        <v>5</v>
      </c>
      <c r="N67" s="81">
        <f>VLOOKUP($C67,Prevs!$C$7:$I$279,5,FALSE)-IFERROR(VLOOKUP($E67,Prevs!$C$7:$I$279,5,FALSE),0)-IFERROR(VLOOKUP($D67,Prevs!$C$7:$I$279,5,FALSE),0)-IFERROR(VLOOKUP($G67,Prevs!$C$7:$I$279,5,FALSE),0)-IFERROR(VLOOKUP($H67,Prevs!$C$7:$I$279,5,FALSE),0)-IFERROR(VLOOKUP($I67,Prevs!$C$7:$I$279,5,FALSE),0)-IFERROR(VLOOKUP($F67,Prevs!$C$7:$I$279,5,FALSE),0)</f>
        <v>5</v>
      </c>
      <c r="O67" s="81">
        <f>VLOOKUP($C67,Prevs!$C$7:$I$279,6,FALSE)-IFERROR(VLOOKUP($E67,Prevs!$C$7:$I$279,6,FALSE),0)-IFERROR(VLOOKUP($D67,Prevs!$C$7:$I$279,6,FALSE),0)-IFERROR(VLOOKUP($G67,Prevs!$C$7:$I$279,6,FALSE),0)-IFERROR(VLOOKUP($H67,Prevs!$C$7:$I$279,6,FALSE),0)-IFERROR(VLOOKUP($I67,Prevs!$C$7:$I$279,6,FALSE),0)-IFERROR(VLOOKUP($F67,Prevs!$C$7:$I$279,6,FALSE),0)</f>
        <v>5</v>
      </c>
      <c r="P67" s="84">
        <f>VLOOKUP($C67,Prevs!$C$7:$I$279,7,FALSE)-IFERROR(VLOOKUP($E67,Prevs!$C$7:$I$279,7,FALSE),0)-IFERROR(VLOOKUP($D67,Prevs!$C$7:$I$279,7,FALSE),0)-IFERROR(VLOOKUP($G67,Prevs!$C$7:$I$279,7,FALSE),0)-IFERROR(VLOOKUP($H67,Prevs!$C$7:$I$279,7,FALSE),0)-IFERROR(VLOOKUP($I67,Prevs!$C$7:$I$279,7,FALSE),0)-IFERROR(VLOOKUP($F67,Prevs!$C$7:$I$279,7,FALSE),0)</f>
        <v>5</v>
      </c>
      <c r="Q67" s="276">
        <f t="shared" si="2"/>
        <v>5.9314107053964502</v>
      </c>
      <c r="R67" s="271">
        <f t="shared" si="3"/>
        <v>7.117692846475741</v>
      </c>
      <c r="S67" s="271">
        <f t="shared" si="4"/>
        <v>5.9314107053964502</v>
      </c>
      <c r="T67" s="271">
        <f t="shared" si="5"/>
        <v>5.9314107053964502</v>
      </c>
      <c r="U67" s="271">
        <f t="shared" si="6"/>
        <v>5.9314107053964502</v>
      </c>
      <c r="V67" s="272">
        <f t="shared" si="7"/>
        <v>5.9314107053964502</v>
      </c>
      <c r="X67" s="83"/>
      <c r="Y67" s="81"/>
      <c r="Z67" s="81"/>
      <c r="AA67" s="81"/>
      <c r="AB67" s="81"/>
      <c r="AC67" s="84"/>
      <c r="AD67" s="85"/>
      <c r="AE67" s="81"/>
      <c r="AF67" s="81"/>
      <c r="AG67" s="81"/>
      <c r="AH67" s="81"/>
      <c r="AI67" s="84"/>
    </row>
    <row r="68" spans="2:35" s="74" customFormat="1" ht="26.25" customHeight="1" x14ac:dyDescent="0.25">
      <c r="B68" s="151" t="s">
        <v>348</v>
      </c>
      <c r="C68" s="81">
        <v>203</v>
      </c>
      <c r="D68" s="92">
        <v>201</v>
      </c>
      <c r="E68" s="92">
        <v>0</v>
      </c>
      <c r="F68" s="92">
        <v>0</v>
      </c>
      <c r="G68" s="92">
        <v>0</v>
      </c>
      <c r="H68" s="92">
        <v>0</v>
      </c>
      <c r="I68" s="92">
        <v>0</v>
      </c>
      <c r="J68" s="259">
        <v>1.1862821410792901</v>
      </c>
      <c r="K68" s="83">
        <f>VLOOKUP($C68,Prevs!$C$7:$I$279,2,FALSE)-IFERROR(VLOOKUP($E68,Prevs!$C$7:$I$279,2,FALSE),0)-IFERROR(VLOOKUP($D68,Prevs!$C$7:$I$279,2,FALSE),0)-IFERROR(VLOOKUP($G68,Prevs!$C$7:$I$279,2,FALSE),0)-IFERROR(VLOOKUP($H68,Prevs!$C$7:$I$279,2,FALSE),0)-IFERROR(VLOOKUP($I68,Prevs!$C$7:$I$279,2,FALSE),0)-IFERROR(VLOOKUP($F68,Prevs!$C$7:$I$279,2,FALSE),0)</f>
        <v>4</v>
      </c>
      <c r="L68" s="81">
        <f>VLOOKUP($C68,Prevs!$C$7:$I$279,3,FALSE)-IFERROR(VLOOKUP($E68,Prevs!$C$7:$I$279,3,FALSE),0)-IFERROR(VLOOKUP($D68,Prevs!$C$7:$I$279,3,FALSE),0)-IFERROR(VLOOKUP($G68,Prevs!$C$7:$I$279,3,FALSE),0)-IFERROR(VLOOKUP($H68,Prevs!$C$7:$I$279,3,FALSE),0)-IFERROR(VLOOKUP($I68,Prevs!$C$7:$I$279,3,FALSE),0)-IFERROR(VLOOKUP($F68,Prevs!$C$7:$I$279,3,FALSE),0)</f>
        <v>4</v>
      </c>
      <c r="M68" s="81">
        <f>VLOOKUP($C68,Prevs!$C$7:$I$279,4,FALSE)-IFERROR(VLOOKUP($E68,Prevs!$C$7:$I$279,4,FALSE),0)-IFERROR(VLOOKUP($D68,Prevs!$C$7:$I$279,4,FALSE),0)-IFERROR(VLOOKUP($G68,Prevs!$C$7:$I$279,4,FALSE),0)-IFERROR(VLOOKUP($H68,Prevs!$C$7:$I$279,4,FALSE),0)-IFERROR(VLOOKUP($I68,Prevs!$C$7:$I$279,4,FALSE),0)-IFERROR(VLOOKUP($F68,Prevs!$C$7:$I$279,4,FALSE),0)</f>
        <v>4</v>
      </c>
      <c r="N68" s="81">
        <f>VLOOKUP($C68,Prevs!$C$7:$I$279,5,FALSE)-IFERROR(VLOOKUP($E68,Prevs!$C$7:$I$279,5,FALSE),0)-IFERROR(VLOOKUP($D68,Prevs!$C$7:$I$279,5,FALSE),0)-IFERROR(VLOOKUP($G68,Prevs!$C$7:$I$279,5,FALSE),0)-IFERROR(VLOOKUP($H68,Prevs!$C$7:$I$279,5,FALSE),0)-IFERROR(VLOOKUP($I68,Prevs!$C$7:$I$279,5,FALSE),0)-IFERROR(VLOOKUP($F68,Prevs!$C$7:$I$279,5,FALSE),0)</f>
        <v>2</v>
      </c>
      <c r="O68" s="81">
        <f>VLOOKUP($C68,Prevs!$C$7:$I$279,6,FALSE)-IFERROR(VLOOKUP($E68,Prevs!$C$7:$I$279,6,FALSE),0)-IFERROR(VLOOKUP($D68,Prevs!$C$7:$I$279,6,FALSE),0)-IFERROR(VLOOKUP($G68,Prevs!$C$7:$I$279,6,FALSE),0)-IFERROR(VLOOKUP($H68,Prevs!$C$7:$I$279,6,FALSE),0)-IFERROR(VLOOKUP($I68,Prevs!$C$7:$I$279,6,FALSE),0)-IFERROR(VLOOKUP($F68,Prevs!$C$7:$I$279,6,FALSE),0)</f>
        <v>2</v>
      </c>
      <c r="P68" s="84">
        <f>VLOOKUP($C68,Prevs!$C$7:$I$279,7,FALSE)-IFERROR(VLOOKUP($E68,Prevs!$C$7:$I$279,7,FALSE),0)-IFERROR(VLOOKUP($D68,Prevs!$C$7:$I$279,7,FALSE),0)-IFERROR(VLOOKUP($G68,Prevs!$C$7:$I$279,7,FALSE),0)-IFERROR(VLOOKUP($H68,Prevs!$C$7:$I$279,7,FALSE),0)-IFERROR(VLOOKUP($I68,Prevs!$C$7:$I$279,7,FALSE),0)-IFERROR(VLOOKUP($F68,Prevs!$C$7:$I$279,7,FALSE),0)</f>
        <v>4</v>
      </c>
      <c r="Q68" s="276">
        <f t="shared" si="2"/>
        <v>4.7451285643171603</v>
      </c>
      <c r="R68" s="271">
        <f t="shared" si="3"/>
        <v>4.7451285643171603</v>
      </c>
      <c r="S68" s="271">
        <f t="shared" si="4"/>
        <v>4.7451285643171603</v>
      </c>
      <c r="T68" s="271">
        <f t="shared" si="5"/>
        <v>2.3725642821585802</v>
      </c>
      <c r="U68" s="271">
        <f t="shared" si="6"/>
        <v>2.3725642821585802</v>
      </c>
      <c r="V68" s="272">
        <f t="shared" si="7"/>
        <v>4.7451285643171603</v>
      </c>
      <c r="X68" s="83"/>
      <c r="Y68" s="81"/>
      <c r="Z68" s="81"/>
      <c r="AA68" s="81"/>
      <c r="AB68" s="81"/>
      <c r="AC68" s="84"/>
      <c r="AD68" s="85"/>
      <c r="AE68" s="81"/>
      <c r="AF68" s="81"/>
      <c r="AG68" s="81"/>
      <c r="AH68" s="81"/>
      <c r="AI68" s="84"/>
    </row>
    <row r="69" spans="2:35" s="74" customFormat="1" ht="26.25" customHeight="1" x14ac:dyDescent="0.25">
      <c r="B69" s="151" t="s">
        <v>349</v>
      </c>
      <c r="C69" s="81">
        <v>161</v>
      </c>
      <c r="D69" s="92">
        <v>104</v>
      </c>
      <c r="E69" s="92">
        <v>0</v>
      </c>
      <c r="F69" s="92">
        <v>0</v>
      </c>
      <c r="G69" s="92">
        <v>0</v>
      </c>
      <c r="H69" s="92">
        <v>0</v>
      </c>
      <c r="I69" s="92">
        <v>0</v>
      </c>
      <c r="J69" s="259">
        <v>2.8257182968614898</v>
      </c>
      <c r="K69" s="83">
        <f>VLOOKUP($C69,Prevs!$C$7:$I$279,2,FALSE)-IFERROR(VLOOKUP($E69,Prevs!$C$7:$I$279,2,FALSE),0)-IFERROR(VLOOKUP($D69,Prevs!$C$7:$I$279,2,FALSE),0)-IFERROR(VLOOKUP($G69,Prevs!$C$7:$I$279,2,FALSE),0)-IFERROR(VLOOKUP($H69,Prevs!$C$7:$I$279,2,FALSE),0)-IFERROR(VLOOKUP($I69,Prevs!$C$7:$I$279,2,FALSE),0)-IFERROR(VLOOKUP($F69,Prevs!$C$7:$I$279,2,FALSE),0)</f>
        <v>23</v>
      </c>
      <c r="L69" s="81">
        <f>VLOOKUP($C69,Prevs!$C$7:$I$279,3,FALSE)-IFERROR(VLOOKUP($E69,Prevs!$C$7:$I$279,3,FALSE),0)-IFERROR(VLOOKUP($D69,Prevs!$C$7:$I$279,3,FALSE),0)-IFERROR(VLOOKUP($G69,Prevs!$C$7:$I$279,3,FALSE),0)-IFERROR(VLOOKUP($H69,Prevs!$C$7:$I$279,3,FALSE),0)-IFERROR(VLOOKUP($I69,Prevs!$C$7:$I$279,3,FALSE),0)-IFERROR(VLOOKUP($F69,Prevs!$C$7:$I$279,3,FALSE),0)</f>
        <v>17</v>
      </c>
      <c r="M69" s="81">
        <f>VLOOKUP($C69,Prevs!$C$7:$I$279,4,FALSE)-IFERROR(VLOOKUP($E69,Prevs!$C$7:$I$279,4,FALSE),0)-IFERROR(VLOOKUP($D69,Prevs!$C$7:$I$279,4,FALSE),0)-IFERROR(VLOOKUP($G69,Prevs!$C$7:$I$279,4,FALSE),0)-IFERROR(VLOOKUP($H69,Prevs!$C$7:$I$279,4,FALSE),0)-IFERROR(VLOOKUP($I69,Prevs!$C$7:$I$279,4,FALSE),0)-IFERROR(VLOOKUP($F69,Prevs!$C$7:$I$279,4,FALSE),0)</f>
        <v>19</v>
      </c>
      <c r="N69" s="81">
        <f>VLOOKUP($C69,Prevs!$C$7:$I$279,5,FALSE)-IFERROR(VLOOKUP($E69,Prevs!$C$7:$I$279,5,FALSE),0)-IFERROR(VLOOKUP($D69,Prevs!$C$7:$I$279,5,FALSE),0)-IFERROR(VLOOKUP($G69,Prevs!$C$7:$I$279,5,FALSE),0)-IFERROR(VLOOKUP($H69,Prevs!$C$7:$I$279,5,FALSE),0)-IFERROR(VLOOKUP($I69,Prevs!$C$7:$I$279,5,FALSE),0)-IFERROR(VLOOKUP($F69,Prevs!$C$7:$I$279,5,FALSE),0)</f>
        <v>19</v>
      </c>
      <c r="O69" s="81">
        <f>VLOOKUP($C69,Prevs!$C$7:$I$279,6,FALSE)-IFERROR(VLOOKUP($E69,Prevs!$C$7:$I$279,6,FALSE),0)-IFERROR(VLOOKUP($D69,Prevs!$C$7:$I$279,6,FALSE),0)-IFERROR(VLOOKUP($G69,Prevs!$C$7:$I$279,6,FALSE),0)-IFERROR(VLOOKUP($H69,Prevs!$C$7:$I$279,6,FALSE),0)-IFERROR(VLOOKUP($I69,Prevs!$C$7:$I$279,6,FALSE),0)-IFERROR(VLOOKUP($F69,Prevs!$C$7:$I$279,6,FALSE),0)</f>
        <v>19</v>
      </c>
      <c r="P69" s="84">
        <f>VLOOKUP($C69,Prevs!$C$7:$I$279,7,FALSE)-IFERROR(VLOOKUP($E69,Prevs!$C$7:$I$279,7,FALSE),0)-IFERROR(VLOOKUP($D69,Prevs!$C$7:$I$279,7,FALSE),0)-IFERROR(VLOOKUP($G69,Prevs!$C$7:$I$279,7,FALSE),0)-IFERROR(VLOOKUP($H69,Prevs!$C$7:$I$279,7,FALSE),0)-IFERROR(VLOOKUP($I69,Prevs!$C$7:$I$279,7,FALSE),0)-IFERROR(VLOOKUP($F69,Prevs!$C$7:$I$279,7,FALSE),0)</f>
        <v>20</v>
      </c>
      <c r="Q69" s="276">
        <f t="shared" si="2"/>
        <v>64.99152082781427</v>
      </c>
      <c r="R69" s="271">
        <f t="shared" si="3"/>
        <v>48.037211046645325</v>
      </c>
      <c r="S69" s="271">
        <f t="shared" si="4"/>
        <v>53.688647640368309</v>
      </c>
      <c r="T69" s="271">
        <f t="shared" si="5"/>
        <v>53.688647640368309</v>
      </c>
      <c r="U69" s="271">
        <f t="shared" si="6"/>
        <v>53.688647640368309</v>
      </c>
      <c r="V69" s="272">
        <f t="shared" si="7"/>
        <v>56.514365937229798</v>
      </c>
      <c r="X69" s="83"/>
      <c r="Y69" s="81"/>
      <c r="Z69" s="81"/>
      <c r="AA69" s="81"/>
      <c r="AB69" s="81"/>
      <c r="AC69" s="84"/>
      <c r="AD69" s="85"/>
      <c r="AE69" s="81"/>
      <c r="AF69" s="81"/>
      <c r="AG69" s="81"/>
      <c r="AH69" s="81"/>
      <c r="AI69" s="84"/>
    </row>
    <row r="70" spans="2:35" s="74" customFormat="1" ht="26.25" customHeight="1" x14ac:dyDescent="0.25">
      <c r="B70" s="151" t="s">
        <v>269</v>
      </c>
      <c r="C70" s="81">
        <v>117</v>
      </c>
      <c r="D70" s="92">
        <v>0</v>
      </c>
      <c r="E70" s="92">
        <v>0</v>
      </c>
      <c r="F70" s="92">
        <v>0</v>
      </c>
      <c r="G70" s="92">
        <v>0</v>
      </c>
      <c r="H70" s="92">
        <v>0</v>
      </c>
      <c r="I70" s="92">
        <v>0</v>
      </c>
      <c r="J70" s="259">
        <v>5.6536743520000003</v>
      </c>
      <c r="K70" s="83">
        <f>VLOOKUP($C70,Prevs!$C$7:$I$279,2,FALSE)-IFERROR(VLOOKUP($E70,Prevs!$C$7:$I$279,2,FALSE),0)-IFERROR(VLOOKUP($D70,Prevs!$C$7:$I$279,2,FALSE),0)-IFERROR(VLOOKUP($G70,Prevs!$C$7:$I$279,2,FALSE),0)-IFERROR(VLOOKUP($H70,Prevs!$C$7:$I$279,2,FALSE),0)-IFERROR(VLOOKUP($I70,Prevs!$C$7:$I$279,2,FALSE),0)-IFERROR(VLOOKUP($F70,Prevs!$C$7:$I$279,2,FALSE),0)</f>
        <v>15</v>
      </c>
      <c r="L70" s="81">
        <f>VLOOKUP($C70,Prevs!$C$7:$I$279,3,FALSE)-IFERROR(VLOOKUP($E70,Prevs!$C$7:$I$279,3,FALSE),0)-IFERROR(VLOOKUP($D70,Prevs!$C$7:$I$279,3,FALSE),0)-IFERROR(VLOOKUP($G70,Prevs!$C$7:$I$279,3,FALSE),0)-IFERROR(VLOOKUP($H70,Prevs!$C$7:$I$279,3,FALSE),0)-IFERROR(VLOOKUP($I70,Prevs!$C$7:$I$279,3,FALSE),0)-IFERROR(VLOOKUP($F70,Prevs!$C$7:$I$279,3,FALSE),0)</f>
        <v>14</v>
      </c>
      <c r="M70" s="81">
        <f>VLOOKUP($C70,Prevs!$C$7:$I$279,4,FALSE)-IFERROR(VLOOKUP($E70,Prevs!$C$7:$I$279,4,FALSE),0)-IFERROR(VLOOKUP($D70,Prevs!$C$7:$I$279,4,FALSE),0)-IFERROR(VLOOKUP($G70,Prevs!$C$7:$I$279,4,FALSE),0)-IFERROR(VLOOKUP($H70,Prevs!$C$7:$I$279,4,FALSE),0)-IFERROR(VLOOKUP($I70,Prevs!$C$7:$I$279,4,FALSE),0)-IFERROR(VLOOKUP($F70,Prevs!$C$7:$I$279,4,FALSE),0)</f>
        <v>12</v>
      </c>
      <c r="N70" s="81">
        <f>VLOOKUP($C70,Prevs!$C$7:$I$279,5,FALSE)-IFERROR(VLOOKUP($E70,Prevs!$C$7:$I$279,5,FALSE),0)-IFERROR(VLOOKUP($D70,Prevs!$C$7:$I$279,5,FALSE),0)-IFERROR(VLOOKUP($G70,Prevs!$C$7:$I$279,5,FALSE),0)-IFERROR(VLOOKUP($H70,Prevs!$C$7:$I$279,5,FALSE),0)-IFERROR(VLOOKUP($I70,Prevs!$C$7:$I$279,5,FALSE),0)-IFERROR(VLOOKUP($F70,Prevs!$C$7:$I$279,5,FALSE),0)</f>
        <v>12</v>
      </c>
      <c r="O70" s="81">
        <f>VLOOKUP($C70,Prevs!$C$7:$I$279,6,FALSE)-IFERROR(VLOOKUP($E70,Prevs!$C$7:$I$279,6,FALSE),0)-IFERROR(VLOOKUP($D70,Prevs!$C$7:$I$279,6,FALSE),0)-IFERROR(VLOOKUP($G70,Prevs!$C$7:$I$279,6,FALSE),0)-IFERROR(VLOOKUP($H70,Prevs!$C$7:$I$279,6,FALSE),0)-IFERROR(VLOOKUP($I70,Prevs!$C$7:$I$279,6,FALSE),0)-IFERROR(VLOOKUP($F70,Prevs!$C$7:$I$279,6,FALSE),0)</f>
        <v>11</v>
      </c>
      <c r="P70" s="84">
        <f>VLOOKUP($C70,Prevs!$C$7:$I$279,7,FALSE)-IFERROR(VLOOKUP($E70,Prevs!$C$7:$I$279,7,FALSE),0)-IFERROR(VLOOKUP($D70,Prevs!$C$7:$I$279,7,FALSE),0)-IFERROR(VLOOKUP($G70,Prevs!$C$7:$I$279,7,FALSE),0)-IFERROR(VLOOKUP($H70,Prevs!$C$7:$I$279,7,FALSE),0)-IFERROR(VLOOKUP($I70,Prevs!$C$7:$I$279,7,FALSE),0)-IFERROR(VLOOKUP($F70,Prevs!$C$7:$I$279,7,FALSE),0)</f>
        <v>10</v>
      </c>
      <c r="Q70" s="276">
        <f t="shared" si="2"/>
        <v>84.80511528000001</v>
      </c>
      <c r="R70" s="271">
        <f t="shared" si="3"/>
        <v>79.151440928</v>
      </c>
      <c r="S70" s="271">
        <f t="shared" si="4"/>
        <v>67.844092224000008</v>
      </c>
      <c r="T70" s="271">
        <f t="shared" si="5"/>
        <v>67.844092224000008</v>
      </c>
      <c r="U70" s="271">
        <f t="shared" si="6"/>
        <v>62.190417872000005</v>
      </c>
      <c r="V70" s="272">
        <f t="shared" si="7"/>
        <v>56.536743520000002</v>
      </c>
      <c r="X70" s="83"/>
      <c r="Y70" s="81"/>
      <c r="Z70" s="81"/>
      <c r="AA70" s="81"/>
      <c r="AB70" s="81"/>
      <c r="AC70" s="84"/>
      <c r="AD70" s="85"/>
      <c r="AE70" s="81"/>
      <c r="AF70" s="81"/>
      <c r="AG70" s="81"/>
      <c r="AH70" s="81"/>
      <c r="AI70" s="84"/>
    </row>
    <row r="71" spans="2:35" s="74" customFormat="1" ht="26.25" customHeight="1" x14ac:dyDescent="0.25">
      <c r="B71" s="151" t="s">
        <v>270</v>
      </c>
      <c r="C71" s="81">
        <v>118</v>
      </c>
      <c r="D71" s="92">
        <v>0</v>
      </c>
      <c r="E71" s="92">
        <v>0</v>
      </c>
      <c r="F71" s="92">
        <v>0</v>
      </c>
      <c r="G71" s="92">
        <v>0</v>
      </c>
      <c r="H71" s="92">
        <v>0</v>
      </c>
      <c r="I71" s="92">
        <v>0</v>
      </c>
      <c r="J71" s="259">
        <v>5.6536743520000003</v>
      </c>
      <c r="K71" s="83">
        <f>VLOOKUP($C71,Prevs!$C$7:$I$279,2,FALSE)-IFERROR(VLOOKUP($E71,Prevs!$C$7:$I$279,2,FALSE),0)-IFERROR(VLOOKUP($D71,Prevs!$C$7:$I$279,2,FALSE),0)-IFERROR(VLOOKUP($G71,Prevs!$C$7:$I$279,2,FALSE),0)-IFERROR(VLOOKUP($H71,Prevs!$C$7:$I$279,2,FALSE),0)-IFERROR(VLOOKUP($I71,Prevs!$C$7:$I$279,2,FALSE),0)-IFERROR(VLOOKUP($F71,Prevs!$C$7:$I$279,2,FALSE),0)</f>
        <v>14</v>
      </c>
      <c r="L71" s="81">
        <f>VLOOKUP($C71,Prevs!$C$7:$I$279,3,FALSE)-IFERROR(VLOOKUP($E71,Prevs!$C$7:$I$279,3,FALSE),0)-IFERROR(VLOOKUP($D71,Prevs!$C$7:$I$279,3,FALSE),0)-IFERROR(VLOOKUP($G71,Prevs!$C$7:$I$279,3,FALSE),0)-IFERROR(VLOOKUP($H71,Prevs!$C$7:$I$279,3,FALSE),0)-IFERROR(VLOOKUP($I71,Prevs!$C$7:$I$279,3,FALSE),0)-IFERROR(VLOOKUP($F71,Prevs!$C$7:$I$279,3,FALSE),0)</f>
        <v>13</v>
      </c>
      <c r="M71" s="81">
        <f>VLOOKUP($C71,Prevs!$C$7:$I$279,4,FALSE)-IFERROR(VLOOKUP($E71,Prevs!$C$7:$I$279,4,FALSE),0)-IFERROR(VLOOKUP($D71,Prevs!$C$7:$I$279,4,FALSE),0)-IFERROR(VLOOKUP($G71,Prevs!$C$7:$I$279,4,FALSE),0)-IFERROR(VLOOKUP($H71,Prevs!$C$7:$I$279,4,FALSE),0)-IFERROR(VLOOKUP($I71,Prevs!$C$7:$I$279,4,FALSE),0)-IFERROR(VLOOKUP($F71,Prevs!$C$7:$I$279,4,FALSE),0)</f>
        <v>12</v>
      </c>
      <c r="N71" s="81">
        <f>VLOOKUP($C71,Prevs!$C$7:$I$279,5,FALSE)-IFERROR(VLOOKUP($E71,Prevs!$C$7:$I$279,5,FALSE),0)-IFERROR(VLOOKUP($D71,Prevs!$C$7:$I$279,5,FALSE),0)-IFERROR(VLOOKUP($G71,Prevs!$C$7:$I$279,5,FALSE),0)-IFERROR(VLOOKUP($H71,Prevs!$C$7:$I$279,5,FALSE),0)-IFERROR(VLOOKUP($I71,Prevs!$C$7:$I$279,5,FALSE),0)-IFERROR(VLOOKUP($F71,Prevs!$C$7:$I$279,5,FALSE),0)</f>
        <v>11</v>
      </c>
      <c r="O71" s="81">
        <f>VLOOKUP($C71,Prevs!$C$7:$I$279,6,FALSE)-IFERROR(VLOOKUP($E71,Prevs!$C$7:$I$279,6,FALSE),0)-IFERROR(VLOOKUP($D71,Prevs!$C$7:$I$279,6,FALSE),0)-IFERROR(VLOOKUP($G71,Prevs!$C$7:$I$279,6,FALSE),0)-IFERROR(VLOOKUP($H71,Prevs!$C$7:$I$279,6,FALSE),0)-IFERROR(VLOOKUP($I71,Prevs!$C$7:$I$279,6,FALSE),0)-IFERROR(VLOOKUP($F71,Prevs!$C$7:$I$279,6,FALSE),0)</f>
        <v>11</v>
      </c>
      <c r="P71" s="84">
        <f>VLOOKUP($C71,Prevs!$C$7:$I$279,7,FALSE)-IFERROR(VLOOKUP($E71,Prevs!$C$7:$I$279,7,FALSE),0)-IFERROR(VLOOKUP($D71,Prevs!$C$7:$I$279,7,FALSE),0)-IFERROR(VLOOKUP($G71,Prevs!$C$7:$I$279,7,FALSE),0)-IFERROR(VLOOKUP($H71,Prevs!$C$7:$I$279,7,FALSE),0)-IFERROR(VLOOKUP($I71,Prevs!$C$7:$I$279,7,FALSE),0)-IFERROR(VLOOKUP($F71,Prevs!$C$7:$I$279,7,FALSE),0)</f>
        <v>10</v>
      </c>
      <c r="Q71" s="276">
        <f t="shared" si="2"/>
        <v>79.151440928</v>
      </c>
      <c r="R71" s="271">
        <f t="shared" si="3"/>
        <v>73.497766576000004</v>
      </c>
      <c r="S71" s="271">
        <f t="shared" si="4"/>
        <v>67.844092224000008</v>
      </c>
      <c r="T71" s="271">
        <f t="shared" si="5"/>
        <v>62.190417872000005</v>
      </c>
      <c r="U71" s="271">
        <f t="shared" si="6"/>
        <v>62.190417872000005</v>
      </c>
      <c r="V71" s="272">
        <f t="shared" si="7"/>
        <v>56.536743520000002</v>
      </c>
      <c r="X71" s="83"/>
      <c r="Y71" s="81"/>
      <c r="Z71" s="81"/>
      <c r="AA71" s="81"/>
      <c r="AB71" s="81"/>
      <c r="AC71" s="84"/>
      <c r="AD71" s="85"/>
      <c r="AE71" s="81"/>
      <c r="AF71" s="81"/>
      <c r="AG71" s="81"/>
      <c r="AH71" s="81"/>
      <c r="AI71" s="84"/>
    </row>
    <row r="72" spans="2:35" s="74" customFormat="1" ht="26.25" customHeight="1" x14ac:dyDescent="0.25">
      <c r="B72" s="151" t="s">
        <v>385</v>
      </c>
      <c r="C72" s="81">
        <v>32</v>
      </c>
      <c r="D72" s="92">
        <v>31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259">
        <v>2.7188442697416901</v>
      </c>
      <c r="K72" s="83">
        <f>VLOOKUP($C72,Prevs!$C$7:$I$279,2,FALSE)-IFERROR(VLOOKUP($E72,Prevs!$C$7:$I$279,2,FALSE),0)-IFERROR(VLOOKUP($D72,Prevs!$C$7:$I$279,2,FALSE),0)-IFERROR(VLOOKUP($G72,Prevs!$C$7:$I$279,2,FALSE),0)-IFERROR(VLOOKUP($H72,Prevs!$C$7:$I$279,2,FALSE),0)-IFERROR(VLOOKUP($I72,Prevs!$C$7:$I$279,2,FALSE),0)-IFERROR(VLOOKUP($F72,Prevs!$C$7:$I$279,2,FALSE),0)</f>
        <v>50</v>
      </c>
      <c r="L72" s="81">
        <f>VLOOKUP($C72,Prevs!$C$7:$I$279,3,FALSE)-IFERROR(VLOOKUP($E72,Prevs!$C$7:$I$279,3,FALSE),0)-IFERROR(VLOOKUP($D72,Prevs!$C$7:$I$279,3,FALSE),0)-IFERROR(VLOOKUP($G72,Prevs!$C$7:$I$279,3,FALSE),0)-IFERROR(VLOOKUP($H72,Prevs!$C$7:$I$279,3,FALSE),0)-IFERROR(VLOOKUP($I72,Prevs!$C$7:$I$279,3,FALSE),0)-IFERROR(VLOOKUP($F72,Prevs!$C$7:$I$279,3,FALSE),0)</f>
        <v>54</v>
      </c>
      <c r="M72" s="81">
        <f>VLOOKUP($C72,Prevs!$C$7:$I$279,4,FALSE)-IFERROR(VLOOKUP($E72,Prevs!$C$7:$I$279,4,FALSE),0)-IFERROR(VLOOKUP($D72,Prevs!$C$7:$I$279,4,FALSE),0)-IFERROR(VLOOKUP($G72,Prevs!$C$7:$I$279,4,FALSE),0)-IFERROR(VLOOKUP($H72,Prevs!$C$7:$I$279,4,FALSE),0)-IFERROR(VLOOKUP($I72,Prevs!$C$7:$I$279,4,FALSE),0)-IFERROR(VLOOKUP($F72,Prevs!$C$7:$I$279,4,FALSE),0)</f>
        <v>59</v>
      </c>
      <c r="N72" s="81">
        <f>VLOOKUP($C72,Prevs!$C$7:$I$279,5,FALSE)-IFERROR(VLOOKUP($E72,Prevs!$C$7:$I$279,5,FALSE),0)-IFERROR(VLOOKUP($D72,Prevs!$C$7:$I$279,5,FALSE),0)-IFERROR(VLOOKUP($G72,Prevs!$C$7:$I$279,5,FALSE),0)-IFERROR(VLOOKUP($H72,Prevs!$C$7:$I$279,5,FALSE),0)-IFERROR(VLOOKUP($I72,Prevs!$C$7:$I$279,5,FALSE),0)-IFERROR(VLOOKUP($F72,Prevs!$C$7:$I$279,5,FALSE),0)</f>
        <v>54</v>
      </c>
      <c r="O72" s="81">
        <f>VLOOKUP($C72,Prevs!$C$7:$I$279,6,FALSE)-IFERROR(VLOOKUP($E72,Prevs!$C$7:$I$279,6,FALSE),0)-IFERROR(VLOOKUP($D72,Prevs!$C$7:$I$279,6,FALSE),0)-IFERROR(VLOOKUP($G72,Prevs!$C$7:$I$279,6,FALSE),0)-IFERROR(VLOOKUP($H72,Prevs!$C$7:$I$279,6,FALSE),0)-IFERROR(VLOOKUP($I72,Prevs!$C$7:$I$279,6,FALSE),0)-IFERROR(VLOOKUP($F72,Prevs!$C$7:$I$279,6,FALSE),0)</f>
        <v>52</v>
      </c>
      <c r="P72" s="84">
        <f>VLOOKUP($C72,Prevs!$C$7:$I$279,7,FALSE)-IFERROR(VLOOKUP($E72,Prevs!$C$7:$I$279,7,FALSE),0)-IFERROR(VLOOKUP($D72,Prevs!$C$7:$I$279,7,FALSE),0)-IFERROR(VLOOKUP($G72,Prevs!$C$7:$I$279,7,FALSE),0)-IFERROR(VLOOKUP($H72,Prevs!$C$7:$I$279,7,FALSE),0)-IFERROR(VLOOKUP($I72,Prevs!$C$7:$I$279,7,FALSE),0)-IFERROR(VLOOKUP($F72,Prevs!$C$7:$I$279,7,FALSE),0)</f>
        <v>48</v>
      </c>
      <c r="Q72" s="276">
        <f t="shared" si="2"/>
        <v>135.9422134870845</v>
      </c>
      <c r="R72" s="271">
        <f t="shared" si="3"/>
        <v>146.81759056605128</v>
      </c>
      <c r="S72" s="271">
        <f t="shared" si="4"/>
        <v>160.41181191475971</v>
      </c>
      <c r="T72" s="271">
        <f t="shared" si="5"/>
        <v>146.81759056605128</v>
      </c>
      <c r="U72" s="271">
        <f t="shared" si="6"/>
        <v>141.37990202656789</v>
      </c>
      <c r="V72" s="272">
        <f t="shared" si="7"/>
        <v>130.50452494760111</v>
      </c>
      <c r="X72" s="83"/>
      <c r="Y72" s="81"/>
      <c r="Z72" s="81"/>
      <c r="AA72" s="81"/>
      <c r="AB72" s="81"/>
      <c r="AC72" s="84"/>
      <c r="AD72" s="85"/>
      <c r="AE72" s="81"/>
      <c r="AF72" s="81"/>
      <c r="AG72" s="81"/>
      <c r="AH72" s="81"/>
      <c r="AI72" s="84"/>
    </row>
    <row r="73" spans="2:35" s="74" customFormat="1" ht="26.25" customHeight="1" x14ac:dyDescent="0.25">
      <c r="B73" s="151" t="s">
        <v>386</v>
      </c>
      <c r="C73" s="81">
        <v>263</v>
      </c>
      <c r="D73" s="92">
        <v>134</v>
      </c>
      <c r="E73" s="92">
        <v>0</v>
      </c>
      <c r="F73" s="92">
        <v>0</v>
      </c>
      <c r="G73" s="92">
        <v>0</v>
      </c>
      <c r="H73" s="92">
        <v>0</v>
      </c>
      <c r="I73" s="92">
        <v>0</v>
      </c>
      <c r="J73" s="259">
        <v>1.01445415219816</v>
      </c>
      <c r="K73" s="83">
        <f>VLOOKUP($C73,Prevs!$C$7:$I$279,2,FALSE)-IFERROR(VLOOKUP($E73,Prevs!$C$7:$I$279,2,FALSE),0)-IFERROR(VLOOKUP($D73,Prevs!$C$7:$I$279,2,FALSE),0)-IFERROR(VLOOKUP($G73,Prevs!$C$7:$I$279,2,FALSE),0)-IFERROR(VLOOKUP($H73,Prevs!$C$7:$I$279,2,FALSE),0)-IFERROR(VLOOKUP($I73,Prevs!$C$7:$I$279,2,FALSE),0)-IFERROR(VLOOKUP($F73,Prevs!$C$7:$I$279,2,FALSE),0)</f>
        <v>1</v>
      </c>
      <c r="L73" s="81">
        <f>VLOOKUP($C73,Prevs!$C$7:$I$279,3,FALSE)-IFERROR(VLOOKUP($E73,Prevs!$C$7:$I$279,3,FALSE),0)-IFERROR(VLOOKUP($D73,Prevs!$C$7:$I$279,3,FALSE),0)-IFERROR(VLOOKUP($G73,Prevs!$C$7:$I$279,3,FALSE),0)-IFERROR(VLOOKUP($H73,Prevs!$C$7:$I$279,3,FALSE),0)-IFERROR(VLOOKUP($I73,Prevs!$C$7:$I$279,3,FALSE),0)-IFERROR(VLOOKUP($F73,Prevs!$C$7:$I$279,3,FALSE),0)</f>
        <v>1</v>
      </c>
      <c r="M73" s="81">
        <f>VLOOKUP($C73,Prevs!$C$7:$I$279,4,FALSE)-IFERROR(VLOOKUP($E73,Prevs!$C$7:$I$279,4,FALSE),0)-IFERROR(VLOOKUP($D73,Prevs!$C$7:$I$279,4,FALSE),0)-IFERROR(VLOOKUP($G73,Prevs!$C$7:$I$279,4,FALSE),0)-IFERROR(VLOOKUP($H73,Prevs!$C$7:$I$279,4,FALSE),0)-IFERROR(VLOOKUP($I73,Prevs!$C$7:$I$279,4,FALSE),0)-IFERROR(VLOOKUP($F73,Prevs!$C$7:$I$279,4,FALSE),0)</f>
        <v>2</v>
      </c>
      <c r="N73" s="81">
        <f>VLOOKUP($C73,Prevs!$C$7:$I$279,5,FALSE)-IFERROR(VLOOKUP($E73,Prevs!$C$7:$I$279,5,FALSE),0)-IFERROR(VLOOKUP($D73,Prevs!$C$7:$I$279,5,FALSE),0)-IFERROR(VLOOKUP($G73,Prevs!$C$7:$I$279,5,FALSE),0)-IFERROR(VLOOKUP($H73,Prevs!$C$7:$I$279,5,FALSE),0)-IFERROR(VLOOKUP($I73,Prevs!$C$7:$I$279,5,FALSE),0)-IFERROR(VLOOKUP($F73,Prevs!$C$7:$I$279,5,FALSE),0)</f>
        <v>1</v>
      </c>
      <c r="O73" s="81">
        <f>VLOOKUP($C73,Prevs!$C$7:$I$279,6,FALSE)-IFERROR(VLOOKUP($E73,Prevs!$C$7:$I$279,6,FALSE),0)-IFERROR(VLOOKUP($D73,Prevs!$C$7:$I$279,6,FALSE),0)-IFERROR(VLOOKUP($G73,Prevs!$C$7:$I$279,6,FALSE),0)-IFERROR(VLOOKUP($H73,Prevs!$C$7:$I$279,6,FALSE),0)-IFERROR(VLOOKUP($I73,Prevs!$C$7:$I$279,6,FALSE),0)-IFERROR(VLOOKUP($F73,Prevs!$C$7:$I$279,6,FALSE),0)</f>
        <v>1</v>
      </c>
      <c r="P73" s="84">
        <f>VLOOKUP($C73,Prevs!$C$7:$I$279,7,FALSE)-IFERROR(VLOOKUP($E73,Prevs!$C$7:$I$279,7,FALSE),0)-IFERROR(VLOOKUP($D73,Prevs!$C$7:$I$279,7,FALSE),0)-IFERROR(VLOOKUP($G73,Prevs!$C$7:$I$279,7,FALSE),0)-IFERROR(VLOOKUP($H73,Prevs!$C$7:$I$279,7,FALSE),0)-IFERROR(VLOOKUP($I73,Prevs!$C$7:$I$279,7,FALSE),0)-IFERROR(VLOOKUP($F73,Prevs!$C$7:$I$279,7,FALSE),0)</f>
        <v>2</v>
      </c>
      <c r="Q73" s="276">
        <f t="shared" ref="Q73:Q114" si="8">K73*$J73</f>
        <v>1.01445415219816</v>
      </c>
      <c r="R73" s="271">
        <f t="shared" ref="R73:R114" si="9">L73*$J73</f>
        <v>1.01445415219816</v>
      </c>
      <c r="S73" s="271">
        <f t="shared" ref="S73:S114" si="10">M73*$J73</f>
        <v>2.0289083043963201</v>
      </c>
      <c r="T73" s="271">
        <f t="shared" ref="T73:T114" si="11">N73*$J73</f>
        <v>1.01445415219816</v>
      </c>
      <c r="U73" s="271">
        <f t="shared" ref="U73:U114" si="12">O73*$J73</f>
        <v>1.01445415219816</v>
      </c>
      <c r="V73" s="272">
        <f t="shared" ref="V73:V114" si="13">P73*$J73</f>
        <v>2.0289083043963201</v>
      </c>
      <c r="X73" s="83"/>
      <c r="Y73" s="81"/>
      <c r="Z73" s="81"/>
      <c r="AA73" s="81"/>
      <c r="AB73" s="81"/>
      <c r="AC73" s="84"/>
      <c r="AD73" s="85"/>
      <c r="AE73" s="81"/>
      <c r="AF73" s="81"/>
      <c r="AG73" s="81"/>
      <c r="AH73" s="81"/>
      <c r="AI73" s="84"/>
    </row>
    <row r="74" spans="2:35" s="74" customFormat="1" ht="26.25" customHeight="1" x14ac:dyDescent="0.25">
      <c r="B74" s="151" t="s">
        <v>168</v>
      </c>
      <c r="C74" s="81">
        <v>149</v>
      </c>
      <c r="D74" s="92">
        <v>267</v>
      </c>
      <c r="E74" s="92">
        <v>0</v>
      </c>
      <c r="F74" s="92">
        <v>0</v>
      </c>
      <c r="G74" s="92">
        <v>0</v>
      </c>
      <c r="H74" s="92">
        <v>0</v>
      </c>
      <c r="I74" s="92">
        <v>0</v>
      </c>
      <c r="J74" s="259">
        <v>1.0566374231058899</v>
      </c>
      <c r="K74" s="83">
        <f>VLOOKUP($C74,Prevs!$C$7:$I$279,2,FALSE)-IFERROR(VLOOKUP($E74,Prevs!$C$7:$I$279,2,FALSE),0)-IFERROR(VLOOKUP($D74,Prevs!$C$7:$I$279,2,FALSE),0)-IFERROR(VLOOKUP($G74,Prevs!$C$7:$I$279,2,FALSE),0)-IFERROR(VLOOKUP($H74,Prevs!$C$7:$I$279,2,FALSE),0)-IFERROR(VLOOKUP($I74,Prevs!$C$7:$I$279,2,FALSE),0)-IFERROR(VLOOKUP($F74,Prevs!$C$7:$I$279,2,FALSE),0)</f>
        <v>50</v>
      </c>
      <c r="L74" s="81">
        <f>VLOOKUP($C74,Prevs!$C$7:$I$279,3,FALSE)-IFERROR(VLOOKUP($E74,Prevs!$C$7:$I$279,3,FALSE),0)-IFERROR(VLOOKUP($D74,Prevs!$C$7:$I$279,3,FALSE),0)-IFERROR(VLOOKUP($G74,Prevs!$C$7:$I$279,3,FALSE),0)-IFERROR(VLOOKUP($H74,Prevs!$C$7:$I$279,3,FALSE),0)-IFERROR(VLOOKUP($I74,Prevs!$C$7:$I$279,3,FALSE),0)-IFERROR(VLOOKUP($F74,Prevs!$C$7:$I$279,3,FALSE),0)</f>
        <v>51</v>
      </c>
      <c r="M74" s="81">
        <f>VLOOKUP($C74,Prevs!$C$7:$I$279,4,FALSE)-IFERROR(VLOOKUP($E74,Prevs!$C$7:$I$279,4,FALSE),0)-IFERROR(VLOOKUP($D74,Prevs!$C$7:$I$279,4,FALSE),0)-IFERROR(VLOOKUP($G74,Prevs!$C$7:$I$279,4,FALSE),0)-IFERROR(VLOOKUP($H74,Prevs!$C$7:$I$279,4,FALSE),0)-IFERROR(VLOOKUP($I74,Prevs!$C$7:$I$279,4,FALSE),0)-IFERROR(VLOOKUP($F74,Prevs!$C$7:$I$279,4,FALSE),0)</f>
        <v>48</v>
      </c>
      <c r="N74" s="81">
        <f>VLOOKUP($C74,Prevs!$C$7:$I$279,5,FALSE)-IFERROR(VLOOKUP($E74,Prevs!$C$7:$I$279,5,FALSE),0)-IFERROR(VLOOKUP($D74,Prevs!$C$7:$I$279,5,FALSE),0)-IFERROR(VLOOKUP($G74,Prevs!$C$7:$I$279,5,FALSE),0)-IFERROR(VLOOKUP($H74,Prevs!$C$7:$I$279,5,FALSE),0)-IFERROR(VLOOKUP($I74,Prevs!$C$7:$I$279,5,FALSE),0)-IFERROR(VLOOKUP($F74,Prevs!$C$7:$I$279,5,FALSE),0)</f>
        <v>47</v>
      </c>
      <c r="O74" s="81">
        <f>VLOOKUP($C74,Prevs!$C$7:$I$279,6,FALSE)-IFERROR(VLOOKUP($E74,Prevs!$C$7:$I$279,6,FALSE),0)-IFERROR(VLOOKUP($D74,Prevs!$C$7:$I$279,6,FALSE),0)-IFERROR(VLOOKUP($G74,Prevs!$C$7:$I$279,6,FALSE),0)-IFERROR(VLOOKUP($H74,Prevs!$C$7:$I$279,6,FALSE),0)-IFERROR(VLOOKUP($I74,Prevs!$C$7:$I$279,6,FALSE),0)-IFERROR(VLOOKUP($F74,Prevs!$C$7:$I$279,6,FALSE),0)</f>
        <v>51</v>
      </c>
      <c r="P74" s="84">
        <f>VLOOKUP($C74,Prevs!$C$7:$I$279,7,FALSE)-IFERROR(VLOOKUP($E74,Prevs!$C$7:$I$279,7,FALSE),0)-IFERROR(VLOOKUP($D74,Prevs!$C$7:$I$279,7,FALSE),0)-IFERROR(VLOOKUP($G74,Prevs!$C$7:$I$279,7,FALSE),0)-IFERROR(VLOOKUP($H74,Prevs!$C$7:$I$279,7,FALSE),0)-IFERROR(VLOOKUP($I74,Prevs!$C$7:$I$279,7,FALSE),0)-IFERROR(VLOOKUP($F74,Prevs!$C$7:$I$279,7,FALSE),0)</f>
        <v>49</v>
      </c>
      <c r="Q74" s="276">
        <f t="shared" si="8"/>
        <v>52.831871155294493</v>
      </c>
      <c r="R74" s="271">
        <f t="shared" si="9"/>
        <v>53.888508578400383</v>
      </c>
      <c r="S74" s="271">
        <f t="shared" si="10"/>
        <v>50.718596309082713</v>
      </c>
      <c r="T74" s="271">
        <f t="shared" si="11"/>
        <v>49.66195888597683</v>
      </c>
      <c r="U74" s="271">
        <f t="shared" si="12"/>
        <v>53.888508578400383</v>
      </c>
      <c r="V74" s="272">
        <f t="shared" si="13"/>
        <v>51.775233732188603</v>
      </c>
      <c r="X74" s="83"/>
      <c r="Y74" s="81"/>
      <c r="Z74" s="81"/>
      <c r="AA74" s="81"/>
      <c r="AB74" s="81"/>
      <c r="AC74" s="84"/>
      <c r="AD74" s="85"/>
      <c r="AE74" s="81"/>
      <c r="AF74" s="81"/>
      <c r="AG74" s="81"/>
      <c r="AH74" s="81"/>
      <c r="AI74" s="84"/>
    </row>
    <row r="75" spans="2:35" s="74" customFormat="1" ht="26.25" customHeight="1" x14ac:dyDescent="0.25">
      <c r="B75" s="151" t="s">
        <v>110</v>
      </c>
      <c r="C75" s="81">
        <v>294</v>
      </c>
      <c r="D75" s="92">
        <v>0</v>
      </c>
      <c r="E75" s="92">
        <v>0</v>
      </c>
      <c r="F75" s="92">
        <v>0</v>
      </c>
      <c r="G75" s="92">
        <v>0</v>
      </c>
      <c r="H75" s="92">
        <v>0</v>
      </c>
      <c r="I75" s="92">
        <v>0</v>
      </c>
      <c r="J75" s="259">
        <v>2.6270328827470899</v>
      </c>
      <c r="K75" s="83">
        <f>VLOOKUP($C75,Prevs!$C$7:$I$279,2,FALSE)-IFERROR(VLOOKUP($E75,Prevs!$C$7:$I$279,2,FALSE),0)-IFERROR(VLOOKUP($D75,Prevs!$C$7:$I$279,2,FALSE),0)-IFERROR(VLOOKUP($G75,Prevs!$C$7:$I$279,2,FALSE),0)-IFERROR(VLOOKUP($H75,Prevs!$C$7:$I$279,2,FALSE),0)-IFERROR(VLOOKUP($I75,Prevs!$C$7:$I$279,2,FALSE),0)-IFERROR(VLOOKUP($F75,Prevs!$C$7:$I$279,2,FALSE),0)</f>
        <v>123</v>
      </c>
      <c r="L75" s="81">
        <f>VLOOKUP($C75,Prevs!$C$7:$I$279,3,FALSE)-IFERROR(VLOOKUP($E75,Prevs!$C$7:$I$279,3,FALSE),0)-IFERROR(VLOOKUP($D75,Prevs!$C$7:$I$279,3,FALSE),0)-IFERROR(VLOOKUP($G75,Prevs!$C$7:$I$279,3,FALSE),0)-IFERROR(VLOOKUP($H75,Prevs!$C$7:$I$279,3,FALSE),0)-IFERROR(VLOOKUP($I75,Prevs!$C$7:$I$279,3,FALSE),0)-IFERROR(VLOOKUP($F75,Prevs!$C$7:$I$279,3,FALSE),0)</f>
        <v>125</v>
      </c>
      <c r="M75" s="81">
        <f>VLOOKUP($C75,Prevs!$C$7:$I$279,4,FALSE)-IFERROR(VLOOKUP($E75,Prevs!$C$7:$I$279,4,FALSE),0)-IFERROR(VLOOKUP($D75,Prevs!$C$7:$I$279,4,FALSE),0)-IFERROR(VLOOKUP($G75,Prevs!$C$7:$I$279,4,FALSE),0)-IFERROR(VLOOKUP($H75,Prevs!$C$7:$I$279,4,FALSE),0)-IFERROR(VLOOKUP($I75,Prevs!$C$7:$I$279,4,FALSE),0)-IFERROR(VLOOKUP($F75,Prevs!$C$7:$I$279,4,FALSE),0)</f>
        <v>123</v>
      </c>
      <c r="N75" s="81">
        <f>VLOOKUP($C75,Prevs!$C$7:$I$279,5,FALSE)-IFERROR(VLOOKUP($E75,Prevs!$C$7:$I$279,5,FALSE),0)-IFERROR(VLOOKUP($D75,Prevs!$C$7:$I$279,5,FALSE),0)-IFERROR(VLOOKUP($G75,Prevs!$C$7:$I$279,5,FALSE),0)-IFERROR(VLOOKUP($H75,Prevs!$C$7:$I$279,5,FALSE),0)-IFERROR(VLOOKUP($I75,Prevs!$C$7:$I$279,5,FALSE),0)-IFERROR(VLOOKUP($F75,Prevs!$C$7:$I$279,5,FALSE),0)</f>
        <v>117</v>
      </c>
      <c r="O75" s="81">
        <f>VLOOKUP($C75,Prevs!$C$7:$I$279,6,FALSE)-IFERROR(VLOOKUP($E75,Prevs!$C$7:$I$279,6,FALSE),0)-IFERROR(VLOOKUP($D75,Prevs!$C$7:$I$279,6,FALSE),0)-IFERROR(VLOOKUP($G75,Prevs!$C$7:$I$279,6,FALSE),0)-IFERROR(VLOOKUP($H75,Prevs!$C$7:$I$279,6,FALSE),0)-IFERROR(VLOOKUP($I75,Prevs!$C$7:$I$279,6,FALSE),0)-IFERROR(VLOOKUP($F75,Prevs!$C$7:$I$279,6,FALSE),0)</f>
        <v>118</v>
      </c>
      <c r="P75" s="84">
        <f>VLOOKUP($C75,Prevs!$C$7:$I$279,7,FALSE)-IFERROR(VLOOKUP($E75,Prevs!$C$7:$I$279,7,FALSE),0)-IFERROR(VLOOKUP($D75,Prevs!$C$7:$I$279,7,FALSE),0)-IFERROR(VLOOKUP($G75,Prevs!$C$7:$I$279,7,FALSE),0)-IFERROR(VLOOKUP($H75,Prevs!$C$7:$I$279,7,FALSE),0)-IFERROR(VLOOKUP($I75,Prevs!$C$7:$I$279,7,FALSE),0)-IFERROR(VLOOKUP($F75,Prevs!$C$7:$I$279,7,FALSE),0)</f>
        <v>111</v>
      </c>
      <c r="Q75" s="276">
        <f t="shared" si="8"/>
        <v>323.12504457789208</v>
      </c>
      <c r="R75" s="271">
        <f t="shared" si="9"/>
        <v>328.37911034338623</v>
      </c>
      <c r="S75" s="271">
        <f t="shared" si="10"/>
        <v>323.12504457789208</v>
      </c>
      <c r="T75" s="271">
        <f t="shared" si="11"/>
        <v>307.36284728140953</v>
      </c>
      <c r="U75" s="271">
        <f t="shared" si="12"/>
        <v>309.9898801641566</v>
      </c>
      <c r="V75" s="272">
        <f t="shared" si="13"/>
        <v>291.60064998492697</v>
      </c>
      <c r="X75" s="83"/>
      <c r="Y75" s="81"/>
      <c r="Z75" s="81"/>
      <c r="AA75" s="81"/>
      <c r="AB75" s="81"/>
      <c r="AC75" s="84"/>
      <c r="AD75" s="85"/>
      <c r="AE75" s="81"/>
      <c r="AF75" s="81"/>
      <c r="AG75" s="81"/>
      <c r="AH75" s="81"/>
      <c r="AI75" s="84"/>
    </row>
    <row r="76" spans="2:35" s="74" customFormat="1" ht="26.25" customHeight="1" x14ac:dyDescent="0.25">
      <c r="B76" s="151" t="s">
        <v>350</v>
      </c>
      <c r="C76" s="81">
        <v>144</v>
      </c>
      <c r="D76" s="92">
        <v>148</v>
      </c>
      <c r="E76" s="92">
        <v>0</v>
      </c>
      <c r="F76" s="92">
        <v>0</v>
      </c>
      <c r="G76" s="92">
        <v>0</v>
      </c>
      <c r="H76" s="92">
        <v>0</v>
      </c>
      <c r="I76" s="92">
        <v>0</v>
      </c>
      <c r="J76" s="259">
        <v>0.18083676947823099</v>
      </c>
      <c r="K76" s="83">
        <f>VLOOKUP($C76,Prevs!$C$7:$I$279,2,FALSE)-IFERROR(VLOOKUP($E76,Prevs!$C$7:$I$279,2,FALSE),0)-IFERROR(VLOOKUP($D76,Prevs!$C$7:$I$279,2,FALSE),0)-IFERROR(VLOOKUP($G76,Prevs!$C$7:$I$279,2,FALSE),0)-IFERROR(VLOOKUP($H76,Prevs!$C$7:$I$279,2,FALSE),0)-IFERROR(VLOOKUP($I76,Prevs!$C$7:$I$279,2,FALSE),0)-IFERROR(VLOOKUP($F76,Prevs!$C$7:$I$279,2,FALSE),0)</f>
        <v>36</v>
      </c>
      <c r="L76" s="81">
        <f>VLOOKUP($C76,Prevs!$C$7:$I$279,3,FALSE)-IFERROR(VLOOKUP($E76,Prevs!$C$7:$I$279,3,FALSE),0)-IFERROR(VLOOKUP($D76,Prevs!$C$7:$I$279,3,FALSE),0)-IFERROR(VLOOKUP($G76,Prevs!$C$7:$I$279,3,FALSE),0)-IFERROR(VLOOKUP($H76,Prevs!$C$7:$I$279,3,FALSE),0)-IFERROR(VLOOKUP($I76,Prevs!$C$7:$I$279,3,FALSE),0)-IFERROR(VLOOKUP($F76,Prevs!$C$7:$I$279,3,FALSE),0)</f>
        <v>37</v>
      </c>
      <c r="M76" s="81">
        <f>VLOOKUP($C76,Prevs!$C$7:$I$279,4,FALSE)-IFERROR(VLOOKUP($E76,Prevs!$C$7:$I$279,4,FALSE),0)-IFERROR(VLOOKUP($D76,Prevs!$C$7:$I$279,4,FALSE),0)-IFERROR(VLOOKUP($G76,Prevs!$C$7:$I$279,4,FALSE),0)-IFERROR(VLOOKUP($H76,Prevs!$C$7:$I$279,4,FALSE),0)-IFERROR(VLOOKUP($I76,Prevs!$C$7:$I$279,4,FALSE),0)-IFERROR(VLOOKUP($F76,Prevs!$C$7:$I$279,4,FALSE),0)</f>
        <v>34</v>
      </c>
      <c r="N76" s="81">
        <f>VLOOKUP($C76,Prevs!$C$7:$I$279,5,FALSE)-IFERROR(VLOOKUP($E76,Prevs!$C$7:$I$279,5,FALSE),0)-IFERROR(VLOOKUP($D76,Prevs!$C$7:$I$279,5,FALSE),0)-IFERROR(VLOOKUP($G76,Prevs!$C$7:$I$279,5,FALSE),0)-IFERROR(VLOOKUP($H76,Prevs!$C$7:$I$279,5,FALSE),0)-IFERROR(VLOOKUP($I76,Prevs!$C$7:$I$279,5,FALSE),0)-IFERROR(VLOOKUP($F76,Prevs!$C$7:$I$279,5,FALSE),0)</f>
        <v>32</v>
      </c>
      <c r="O76" s="81">
        <f>VLOOKUP($C76,Prevs!$C$7:$I$279,6,FALSE)-IFERROR(VLOOKUP($E76,Prevs!$C$7:$I$279,6,FALSE),0)-IFERROR(VLOOKUP($D76,Prevs!$C$7:$I$279,6,FALSE),0)-IFERROR(VLOOKUP($G76,Prevs!$C$7:$I$279,6,FALSE),0)-IFERROR(VLOOKUP($H76,Prevs!$C$7:$I$279,6,FALSE),0)-IFERROR(VLOOKUP($I76,Prevs!$C$7:$I$279,6,FALSE),0)-IFERROR(VLOOKUP($F76,Prevs!$C$7:$I$279,6,FALSE),0)</f>
        <v>32</v>
      </c>
      <c r="P76" s="84">
        <f>VLOOKUP($C76,Prevs!$C$7:$I$279,7,FALSE)-IFERROR(VLOOKUP($E76,Prevs!$C$7:$I$279,7,FALSE),0)-IFERROR(VLOOKUP($D76,Prevs!$C$7:$I$279,7,FALSE),0)-IFERROR(VLOOKUP($G76,Prevs!$C$7:$I$279,7,FALSE),0)-IFERROR(VLOOKUP($H76,Prevs!$C$7:$I$279,7,FALSE),0)-IFERROR(VLOOKUP($I76,Prevs!$C$7:$I$279,7,FALSE),0)-IFERROR(VLOOKUP($F76,Prevs!$C$7:$I$279,7,FALSE),0)</f>
        <v>31</v>
      </c>
      <c r="Q76" s="276">
        <f t="shared" si="8"/>
        <v>6.5101237012163153</v>
      </c>
      <c r="R76" s="271">
        <f t="shared" si="9"/>
        <v>6.6909604706945469</v>
      </c>
      <c r="S76" s="271">
        <f t="shared" si="10"/>
        <v>6.148450162259854</v>
      </c>
      <c r="T76" s="271">
        <f t="shared" si="11"/>
        <v>5.7867766233033917</v>
      </c>
      <c r="U76" s="271">
        <f t="shared" si="12"/>
        <v>5.7867766233033917</v>
      </c>
      <c r="V76" s="272">
        <f t="shared" si="13"/>
        <v>5.605939853825161</v>
      </c>
      <c r="X76" s="83"/>
      <c r="Y76" s="81"/>
      <c r="Z76" s="81"/>
      <c r="AA76" s="81"/>
      <c r="AB76" s="81"/>
      <c r="AC76" s="84"/>
      <c r="AD76" s="85"/>
      <c r="AE76" s="81"/>
      <c r="AF76" s="81"/>
      <c r="AG76" s="81"/>
      <c r="AH76" s="81"/>
      <c r="AI76" s="84"/>
    </row>
    <row r="77" spans="2:35" s="74" customFormat="1" ht="26.25" customHeight="1" x14ac:dyDescent="0.25">
      <c r="B77" s="151" t="s">
        <v>143</v>
      </c>
      <c r="C77" s="81">
        <v>266</v>
      </c>
      <c r="D77" s="92">
        <v>63</v>
      </c>
      <c r="E77" s="92">
        <v>246</v>
      </c>
      <c r="F77" s="92">
        <v>0</v>
      </c>
      <c r="G77" s="92">
        <v>0</v>
      </c>
      <c r="H77" s="92">
        <v>0</v>
      </c>
      <c r="I77" s="92">
        <v>0</v>
      </c>
      <c r="J77" s="259">
        <v>1.064697298917</v>
      </c>
      <c r="K77" s="83">
        <f>VLOOKUP($C77,Prevs!$C$7:$I$279,2,FALSE)-IFERROR(VLOOKUP($E77,Prevs!$C$7:$I$279,2,FALSE),0)-IFERROR(VLOOKUP($D77,Prevs!$C$7:$I$279,2,FALSE),0)-IFERROR(VLOOKUP($G77,Prevs!$C$7:$I$279,2,FALSE),0)-IFERROR(VLOOKUP($H77,Prevs!$C$7:$I$279,2,FALSE),0)-IFERROR(VLOOKUP($I77,Prevs!$C$7:$I$279,2,FALSE),0)-IFERROR(VLOOKUP($F77,Prevs!$C$7:$I$279,2,FALSE),0)</f>
        <v>5979</v>
      </c>
      <c r="L77" s="81">
        <f>VLOOKUP($C77,Prevs!$C$7:$I$279,3,FALSE)-IFERROR(VLOOKUP($E77,Prevs!$C$7:$I$279,3,FALSE),0)-IFERROR(VLOOKUP($D77,Prevs!$C$7:$I$279,3,FALSE),0)-IFERROR(VLOOKUP($G77,Prevs!$C$7:$I$279,3,FALSE),0)-IFERROR(VLOOKUP($H77,Prevs!$C$7:$I$279,3,FALSE),0)-IFERROR(VLOOKUP($I77,Prevs!$C$7:$I$279,3,FALSE),0)-IFERROR(VLOOKUP($F77,Prevs!$C$7:$I$279,3,FALSE),0)</f>
        <v>5275</v>
      </c>
      <c r="M77" s="81">
        <f>VLOOKUP($C77,Prevs!$C$7:$I$279,4,FALSE)-IFERROR(VLOOKUP($E77,Prevs!$C$7:$I$279,4,FALSE),0)-IFERROR(VLOOKUP($D77,Prevs!$C$7:$I$279,4,FALSE),0)-IFERROR(VLOOKUP($G77,Prevs!$C$7:$I$279,4,FALSE),0)-IFERROR(VLOOKUP($H77,Prevs!$C$7:$I$279,4,FALSE),0)-IFERROR(VLOOKUP($I77,Prevs!$C$7:$I$279,4,FALSE),0)-IFERROR(VLOOKUP($F77,Prevs!$C$7:$I$279,4,FALSE),0)</f>
        <v>4937</v>
      </c>
      <c r="N77" s="81">
        <f>VLOOKUP($C77,Prevs!$C$7:$I$279,5,FALSE)-IFERROR(VLOOKUP($E77,Prevs!$C$7:$I$279,5,FALSE),0)-IFERROR(VLOOKUP($D77,Prevs!$C$7:$I$279,5,FALSE),0)-IFERROR(VLOOKUP($G77,Prevs!$C$7:$I$279,5,FALSE),0)-IFERROR(VLOOKUP($H77,Prevs!$C$7:$I$279,5,FALSE),0)-IFERROR(VLOOKUP($I77,Prevs!$C$7:$I$279,5,FALSE),0)-IFERROR(VLOOKUP($F77,Prevs!$C$7:$I$279,5,FALSE),0)</f>
        <v>5469</v>
      </c>
      <c r="O77" s="81">
        <f>VLOOKUP($C77,Prevs!$C$7:$I$279,6,FALSE)-IFERROR(VLOOKUP($E77,Prevs!$C$7:$I$279,6,FALSE),0)-IFERROR(VLOOKUP($D77,Prevs!$C$7:$I$279,6,FALSE),0)-IFERROR(VLOOKUP($G77,Prevs!$C$7:$I$279,6,FALSE),0)-IFERROR(VLOOKUP($H77,Prevs!$C$7:$I$279,6,FALSE),0)-IFERROR(VLOOKUP($I77,Prevs!$C$7:$I$279,6,FALSE),0)-IFERROR(VLOOKUP($F77,Prevs!$C$7:$I$279,6,FALSE),0)</f>
        <v>4645</v>
      </c>
      <c r="P77" s="84">
        <f>VLOOKUP($C77,Prevs!$C$7:$I$279,7,FALSE)-IFERROR(VLOOKUP($E77,Prevs!$C$7:$I$279,7,FALSE),0)-IFERROR(VLOOKUP($D77,Prevs!$C$7:$I$279,7,FALSE),0)-IFERROR(VLOOKUP($G77,Prevs!$C$7:$I$279,7,FALSE),0)-IFERROR(VLOOKUP($H77,Prevs!$C$7:$I$279,7,FALSE),0)-IFERROR(VLOOKUP($I77,Prevs!$C$7:$I$279,7,FALSE),0)-IFERROR(VLOOKUP($F77,Prevs!$C$7:$I$279,7,FALSE),0)</f>
        <v>4097</v>
      </c>
      <c r="Q77" s="276">
        <f t="shared" si="8"/>
        <v>6365.8251502247431</v>
      </c>
      <c r="R77" s="271">
        <f t="shared" si="9"/>
        <v>5616.2782517871756</v>
      </c>
      <c r="S77" s="271">
        <f t="shared" si="10"/>
        <v>5256.4105647532297</v>
      </c>
      <c r="T77" s="271">
        <f t="shared" si="11"/>
        <v>5822.8295277770731</v>
      </c>
      <c r="U77" s="271">
        <f t="shared" si="12"/>
        <v>4945.5189534694655</v>
      </c>
      <c r="V77" s="272">
        <f t="shared" si="13"/>
        <v>4362.0648336629492</v>
      </c>
      <c r="X77" s="83"/>
      <c r="Y77" s="81"/>
      <c r="Z77" s="81"/>
      <c r="AA77" s="81"/>
      <c r="AB77" s="81"/>
      <c r="AC77" s="84"/>
      <c r="AD77" s="85"/>
      <c r="AE77" s="81"/>
      <c r="AF77" s="81"/>
      <c r="AG77" s="81"/>
      <c r="AH77" s="81"/>
      <c r="AI77" s="84"/>
    </row>
    <row r="78" spans="2:35" s="74" customFormat="1" ht="26.25" customHeight="1" x14ac:dyDescent="0.25">
      <c r="B78" s="151" t="s">
        <v>351</v>
      </c>
      <c r="C78" s="81">
        <v>57</v>
      </c>
      <c r="D78" s="92">
        <v>0</v>
      </c>
      <c r="E78" s="92">
        <v>0</v>
      </c>
      <c r="F78" s="92">
        <v>0</v>
      </c>
      <c r="G78" s="92">
        <v>0</v>
      </c>
      <c r="H78" s="92">
        <v>0</v>
      </c>
      <c r="I78" s="92">
        <v>0</v>
      </c>
      <c r="J78" s="259">
        <v>1.8465326884424</v>
      </c>
      <c r="K78" s="83">
        <f>VLOOKUP($C78,Prevs!$C$7:$I$279,2,FALSE)-IFERROR(VLOOKUP($E78,Prevs!$C$7:$I$279,2,FALSE),0)-IFERROR(VLOOKUP($D78,Prevs!$C$7:$I$279,2,FALSE),0)-IFERROR(VLOOKUP($G78,Prevs!$C$7:$I$279,2,FALSE),0)-IFERROR(VLOOKUP($H78,Prevs!$C$7:$I$279,2,FALSE),0)-IFERROR(VLOOKUP($I78,Prevs!$C$7:$I$279,2,FALSE),0)-IFERROR(VLOOKUP($F78,Prevs!$C$7:$I$279,2,FALSE),0)</f>
        <v>179</v>
      </c>
      <c r="L78" s="81">
        <f>VLOOKUP($C78,Prevs!$C$7:$I$279,3,FALSE)-IFERROR(VLOOKUP($E78,Prevs!$C$7:$I$279,3,FALSE),0)-IFERROR(VLOOKUP($D78,Prevs!$C$7:$I$279,3,FALSE),0)-IFERROR(VLOOKUP($G78,Prevs!$C$7:$I$279,3,FALSE),0)-IFERROR(VLOOKUP($H78,Prevs!$C$7:$I$279,3,FALSE),0)-IFERROR(VLOOKUP($I78,Prevs!$C$7:$I$279,3,FALSE),0)-IFERROR(VLOOKUP($F78,Prevs!$C$7:$I$279,3,FALSE),0)</f>
        <v>170</v>
      </c>
      <c r="M78" s="81">
        <f>VLOOKUP($C78,Prevs!$C$7:$I$279,4,FALSE)-IFERROR(VLOOKUP($E78,Prevs!$C$7:$I$279,4,FALSE),0)-IFERROR(VLOOKUP($D78,Prevs!$C$7:$I$279,4,FALSE),0)-IFERROR(VLOOKUP($G78,Prevs!$C$7:$I$279,4,FALSE),0)-IFERROR(VLOOKUP($H78,Prevs!$C$7:$I$279,4,FALSE),0)-IFERROR(VLOOKUP($I78,Prevs!$C$7:$I$279,4,FALSE),0)-IFERROR(VLOOKUP($F78,Prevs!$C$7:$I$279,4,FALSE),0)</f>
        <v>147</v>
      </c>
      <c r="N78" s="81">
        <f>VLOOKUP($C78,Prevs!$C$7:$I$279,5,FALSE)-IFERROR(VLOOKUP($E78,Prevs!$C$7:$I$279,5,FALSE),0)-IFERROR(VLOOKUP($D78,Prevs!$C$7:$I$279,5,FALSE),0)-IFERROR(VLOOKUP($G78,Prevs!$C$7:$I$279,5,FALSE),0)-IFERROR(VLOOKUP($H78,Prevs!$C$7:$I$279,5,FALSE),0)-IFERROR(VLOOKUP($I78,Prevs!$C$7:$I$279,5,FALSE),0)-IFERROR(VLOOKUP($F78,Prevs!$C$7:$I$279,5,FALSE),0)</f>
        <v>144</v>
      </c>
      <c r="O78" s="81">
        <f>VLOOKUP($C78,Prevs!$C$7:$I$279,6,FALSE)-IFERROR(VLOOKUP($E78,Prevs!$C$7:$I$279,6,FALSE),0)-IFERROR(VLOOKUP($D78,Prevs!$C$7:$I$279,6,FALSE),0)-IFERROR(VLOOKUP($G78,Prevs!$C$7:$I$279,6,FALSE),0)-IFERROR(VLOOKUP($H78,Prevs!$C$7:$I$279,6,FALSE),0)-IFERROR(VLOOKUP($I78,Prevs!$C$7:$I$279,6,FALSE),0)-IFERROR(VLOOKUP($F78,Prevs!$C$7:$I$279,6,FALSE),0)</f>
        <v>164</v>
      </c>
      <c r="P78" s="84">
        <f>VLOOKUP($C78,Prevs!$C$7:$I$279,7,FALSE)-IFERROR(VLOOKUP($E78,Prevs!$C$7:$I$279,7,FALSE),0)-IFERROR(VLOOKUP($D78,Prevs!$C$7:$I$279,7,FALSE),0)-IFERROR(VLOOKUP($G78,Prevs!$C$7:$I$279,7,FALSE),0)-IFERROR(VLOOKUP($H78,Prevs!$C$7:$I$279,7,FALSE),0)-IFERROR(VLOOKUP($I78,Prevs!$C$7:$I$279,7,FALSE),0)-IFERROR(VLOOKUP($F78,Prevs!$C$7:$I$279,7,FALSE),0)</f>
        <v>121</v>
      </c>
      <c r="Q78" s="276">
        <f t="shared" si="8"/>
        <v>330.52935123118959</v>
      </c>
      <c r="R78" s="271">
        <f t="shared" si="9"/>
        <v>313.910557035208</v>
      </c>
      <c r="S78" s="271">
        <f t="shared" si="10"/>
        <v>271.4403052010328</v>
      </c>
      <c r="T78" s="271">
        <f t="shared" si="11"/>
        <v>265.9007071357056</v>
      </c>
      <c r="U78" s="271">
        <f t="shared" si="12"/>
        <v>302.83136090455361</v>
      </c>
      <c r="V78" s="272">
        <f t="shared" si="13"/>
        <v>223.4304553015304</v>
      </c>
      <c r="X78" s="83"/>
      <c r="Y78" s="81"/>
      <c r="Z78" s="81"/>
      <c r="AA78" s="81"/>
      <c r="AB78" s="81"/>
      <c r="AC78" s="84"/>
      <c r="AD78" s="85"/>
      <c r="AE78" s="81"/>
      <c r="AF78" s="81"/>
      <c r="AG78" s="81"/>
      <c r="AH78" s="81"/>
      <c r="AI78" s="84"/>
    </row>
    <row r="79" spans="2:35" s="74" customFormat="1" ht="26.25" customHeight="1" x14ac:dyDescent="0.25">
      <c r="B79" s="151" t="s">
        <v>198</v>
      </c>
      <c r="C79" s="81">
        <v>191</v>
      </c>
      <c r="D79" s="92">
        <v>270</v>
      </c>
      <c r="E79" s="92">
        <v>0</v>
      </c>
      <c r="F79" s="92">
        <v>0</v>
      </c>
      <c r="G79" s="92">
        <v>0</v>
      </c>
      <c r="H79" s="92">
        <v>0</v>
      </c>
      <c r="I79" s="92">
        <v>0</v>
      </c>
      <c r="J79" s="259">
        <v>1.1687148094731099</v>
      </c>
      <c r="K79" s="83">
        <f>VLOOKUP($C79,Prevs!$C$7:$I$279,2,FALSE)-IFERROR(VLOOKUP($E79,Prevs!$C$7:$I$279,2,FALSE),0)-IFERROR(VLOOKUP($D79,Prevs!$C$7:$I$279,2,FALSE),0)-IFERROR(VLOOKUP($G79,Prevs!$C$7:$I$279,2,FALSE),0)-IFERROR(VLOOKUP($H79,Prevs!$C$7:$I$279,2,FALSE),0)-IFERROR(VLOOKUP($I79,Prevs!$C$7:$I$279,2,FALSE),0)-IFERROR(VLOOKUP($F79,Prevs!$C$7:$I$279,2,FALSE),0)</f>
        <v>37</v>
      </c>
      <c r="L79" s="81">
        <f>VLOOKUP($C79,Prevs!$C$7:$I$279,3,FALSE)-IFERROR(VLOOKUP($E79,Prevs!$C$7:$I$279,3,FALSE),0)-IFERROR(VLOOKUP($D79,Prevs!$C$7:$I$279,3,FALSE),0)-IFERROR(VLOOKUP($G79,Prevs!$C$7:$I$279,3,FALSE),0)-IFERROR(VLOOKUP($H79,Prevs!$C$7:$I$279,3,FALSE),0)-IFERROR(VLOOKUP($I79,Prevs!$C$7:$I$279,3,FALSE),0)-IFERROR(VLOOKUP($F79,Prevs!$C$7:$I$279,3,FALSE),0)</f>
        <v>35</v>
      </c>
      <c r="M79" s="81">
        <f>VLOOKUP($C79,Prevs!$C$7:$I$279,4,FALSE)-IFERROR(VLOOKUP($E79,Prevs!$C$7:$I$279,4,FALSE),0)-IFERROR(VLOOKUP($D79,Prevs!$C$7:$I$279,4,FALSE),0)-IFERROR(VLOOKUP($G79,Prevs!$C$7:$I$279,4,FALSE),0)-IFERROR(VLOOKUP($H79,Prevs!$C$7:$I$279,4,FALSE),0)-IFERROR(VLOOKUP($I79,Prevs!$C$7:$I$279,4,FALSE),0)-IFERROR(VLOOKUP($F79,Prevs!$C$7:$I$279,4,FALSE),0)</f>
        <v>31</v>
      </c>
      <c r="N79" s="81">
        <f>VLOOKUP($C79,Prevs!$C$7:$I$279,5,FALSE)-IFERROR(VLOOKUP($E79,Prevs!$C$7:$I$279,5,FALSE),0)-IFERROR(VLOOKUP($D79,Prevs!$C$7:$I$279,5,FALSE),0)-IFERROR(VLOOKUP($G79,Prevs!$C$7:$I$279,5,FALSE),0)-IFERROR(VLOOKUP($H79,Prevs!$C$7:$I$279,5,FALSE),0)-IFERROR(VLOOKUP($I79,Prevs!$C$7:$I$279,5,FALSE),0)-IFERROR(VLOOKUP($F79,Prevs!$C$7:$I$279,5,FALSE),0)</f>
        <v>30</v>
      </c>
      <c r="O79" s="81">
        <f>VLOOKUP($C79,Prevs!$C$7:$I$279,6,FALSE)-IFERROR(VLOOKUP($E79,Prevs!$C$7:$I$279,6,FALSE),0)-IFERROR(VLOOKUP($D79,Prevs!$C$7:$I$279,6,FALSE),0)-IFERROR(VLOOKUP($G79,Prevs!$C$7:$I$279,6,FALSE),0)-IFERROR(VLOOKUP($H79,Prevs!$C$7:$I$279,6,FALSE),0)-IFERROR(VLOOKUP($I79,Prevs!$C$7:$I$279,6,FALSE),0)-IFERROR(VLOOKUP($F79,Prevs!$C$7:$I$279,6,FALSE),0)</f>
        <v>29</v>
      </c>
      <c r="P79" s="84">
        <f>VLOOKUP($C79,Prevs!$C$7:$I$279,7,FALSE)-IFERROR(VLOOKUP($E79,Prevs!$C$7:$I$279,7,FALSE),0)-IFERROR(VLOOKUP($D79,Prevs!$C$7:$I$279,7,FALSE),0)-IFERROR(VLOOKUP($G79,Prevs!$C$7:$I$279,7,FALSE),0)-IFERROR(VLOOKUP($H79,Prevs!$C$7:$I$279,7,FALSE),0)-IFERROR(VLOOKUP($I79,Prevs!$C$7:$I$279,7,FALSE),0)-IFERROR(VLOOKUP($F79,Prevs!$C$7:$I$279,7,FALSE),0)</f>
        <v>30</v>
      </c>
      <c r="Q79" s="276">
        <f t="shared" si="8"/>
        <v>43.242447950505067</v>
      </c>
      <c r="R79" s="271">
        <f t="shared" si="9"/>
        <v>40.90501833155885</v>
      </c>
      <c r="S79" s="271">
        <f t="shared" si="10"/>
        <v>36.230159093666408</v>
      </c>
      <c r="T79" s="271">
        <f t="shared" si="11"/>
        <v>35.0614442841933</v>
      </c>
      <c r="U79" s="271">
        <f t="shared" si="12"/>
        <v>33.892729474720184</v>
      </c>
      <c r="V79" s="272">
        <f t="shared" si="13"/>
        <v>35.0614442841933</v>
      </c>
      <c r="X79" s="83"/>
      <c r="Y79" s="81"/>
      <c r="Z79" s="81"/>
      <c r="AA79" s="81"/>
      <c r="AB79" s="81"/>
      <c r="AC79" s="84"/>
      <c r="AD79" s="85"/>
      <c r="AE79" s="81"/>
      <c r="AF79" s="81"/>
      <c r="AG79" s="81"/>
      <c r="AH79" s="81"/>
      <c r="AI79" s="84"/>
    </row>
    <row r="80" spans="2:35" s="74" customFormat="1" ht="26.25" customHeight="1" x14ac:dyDescent="0.25">
      <c r="B80" s="151" t="s">
        <v>271</v>
      </c>
      <c r="C80" s="81">
        <v>253</v>
      </c>
      <c r="D80" s="92">
        <v>191</v>
      </c>
      <c r="E80" s="92">
        <v>0</v>
      </c>
      <c r="F80" s="92">
        <v>0</v>
      </c>
      <c r="G80" s="92">
        <v>0</v>
      </c>
      <c r="H80" s="92">
        <v>0</v>
      </c>
      <c r="I80" s="92">
        <v>0</v>
      </c>
      <c r="J80" s="259">
        <v>0.76967785501841302</v>
      </c>
      <c r="K80" s="83">
        <f>VLOOKUP($C80,Prevs!$C$7:$I$279,2,FALSE)-IFERROR(VLOOKUP($E80,Prevs!$C$7:$I$279,2,FALSE),0)-IFERROR(VLOOKUP($D80,Prevs!$C$7:$I$279,2,FALSE),0)-IFERROR(VLOOKUP($G80,Prevs!$C$7:$I$279,2,FALSE),0)-IFERROR(VLOOKUP($H80,Prevs!$C$7:$I$279,2,FALSE),0)-IFERROR(VLOOKUP($I80,Prevs!$C$7:$I$279,2,FALSE),0)-IFERROR(VLOOKUP($F80,Prevs!$C$7:$I$279,2,FALSE),0)</f>
        <v>33</v>
      </c>
      <c r="L80" s="81">
        <f>VLOOKUP($C80,Prevs!$C$7:$I$279,3,FALSE)-IFERROR(VLOOKUP($E80,Prevs!$C$7:$I$279,3,FALSE),0)-IFERROR(VLOOKUP($D80,Prevs!$C$7:$I$279,3,FALSE),0)-IFERROR(VLOOKUP($G80,Prevs!$C$7:$I$279,3,FALSE),0)-IFERROR(VLOOKUP($H80,Prevs!$C$7:$I$279,3,FALSE),0)-IFERROR(VLOOKUP($I80,Prevs!$C$7:$I$279,3,FALSE),0)-IFERROR(VLOOKUP($F80,Prevs!$C$7:$I$279,3,FALSE),0)</f>
        <v>31</v>
      </c>
      <c r="M80" s="81">
        <f>VLOOKUP($C80,Prevs!$C$7:$I$279,4,FALSE)-IFERROR(VLOOKUP($E80,Prevs!$C$7:$I$279,4,FALSE),0)-IFERROR(VLOOKUP($D80,Prevs!$C$7:$I$279,4,FALSE),0)-IFERROR(VLOOKUP($G80,Prevs!$C$7:$I$279,4,FALSE),0)-IFERROR(VLOOKUP($H80,Prevs!$C$7:$I$279,4,FALSE),0)-IFERROR(VLOOKUP($I80,Prevs!$C$7:$I$279,4,FALSE),0)-IFERROR(VLOOKUP($F80,Prevs!$C$7:$I$279,4,FALSE),0)</f>
        <v>28</v>
      </c>
      <c r="N80" s="81">
        <f>VLOOKUP($C80,Prevs!$C$7:$I$279,5,FALSE)-IFERROR(VLOOKUP($E80,Prevs!$C$7:$I$279,5,FALSE),0)-IFERROR(VLOOKUP($D80,Prevs!$C$7:$I$279,5,FALSE),0)-IFERROR(VLOOKUP($G80,Prevs!$C$7:$I$279,5,FALSE),0)-IFERROR(VLOOKUP($H80,Prevs!$C$7:$I$279,5,FALSE),0)-IFERROR(VLOOKUP($I80,Prevs!$C$7:$I$279,5,FALSE),0)-IFERROR(VLOOKUP($F80,Prevs!$C$7:$I$279,5,FALSE),0)</f>
        <v>28</v>
      </c>
      <c r="O80" s="81">
        <f>VLOOKUP($C80,Prevs!$C$7:$I$279,6,FALSE)-IFERROR(VLOOKUP($E80,Prevs!$C$7:$I$279,6,FALSE),0)-IFERROR(VLOOKUP($D80,Prevs!$C$7:$I$279,6,FALSE),0)-IFERROR(VLOOKUP($G80,Prevs!$C$7:$I$279,6,FALSE),0)-IFERROR(VLOOKUP($H80,Prevs!$C$7:$I$279,6,FALSE),0)-IFERROR(VLOOKUP($I80,Prevs!$C$7:$I$279,6,FALSE),0)-IFERROR(VLOOKUP($F80,Prevs!$C$7:$I$279,6,FALSE),0)</f>
        <v>26</v>
      </c>
      <c r="P80" s="84">
        <f>VLOOKUP($C80,Prevs!$C$7:$I$279,7,FALSE)-IFERROR(VLOOKUP($E80,Prevs!$C$7:$I$279,7,FALSE),0)-IFERROR(VLOOKUP($D80,Prevs!$C$7:$I$279,7,FALSE),0)-IFERROR(VLOOKUP($G80,Prevs!$C$7:$I$279,7,FALSE),0)-IFERROR(VLOOKUP($H80,Prevs!$C$7:$I$279,7,FALSE),0)-IFERROR(VLOOKUP($I80,Prevs!$C$7:$I$279,7,FALSE),0)-IFERROR(VLOOKUP($F80,Prevs!$C$7:$I$279,7,FALSE),0)</f>
        <v>25</v>
      </c>
      <c r="Q80" s="276">
        <f t="shared" si="8"/>
        <v>25.399369215607628</v>
      </c>
      <c r="R80" s="271">
        <f t="shared" si="9"/>
        <v>23.860013505570805</v>
      </c>
      <c r="S80" s="271">
        <f t="shared" si="10"/>
        <v>21.550979940515564</v>
      </c>
      <c r="T80" s="271">
        <f t="shared" si="11"/>
        <v>21.550979940515564</v>
      </c>
      <c r="U80" s="271">
        <f t="shared" si="12"/>
        <v>20.011624230478738</v>
      </c>
      <c r="V80" s="272">
        <f t="shared" si="13"/>
        <v>19.241946375460326</v>
      </c>
      <c r="X80" s="83"/>
      <c r="Y80" s="81"/>
      <c r="Z80" s="81"/>
      <c r="AA80" s="81"/>
      <c r="AB80" s="81"/>
      <c r="AC80" s="84"/>
      <c r="AD80" s="85"/>
      <c r="AE80" s="81"/>
      <c r="AF80" s="81"/>
      <c r="AG80" s="81"/>
      <c r="AH80" s="81"/>
      <c r="AI80" s="84"/>
    </row>
    <row r="81" spans="2:35" s="74" customFormat="1" ht="26.25" customHeight="1" x14ac:dyDescent="0.25">
      <c r="B81" s="151" t="s">
        <v>352</v>
      </c>
      <c r="C81" s="81">
        <v>281</v>
      </c>
      <c r="D81" s="92">
        <v>0</v>
      </c>
      <c r="E81" s="92">
        <v>0</v>
      </c>
      <c r="F81" s="92">
        <v>0</v>
      </c>
      <c r="G81" s="92">
        <v>0</v>
      </c>
      <c r="H81" s="92">
        <v>0</v>
      </c>
      <c r="I81" s="92">
        <v>0</v>
      </c>
      <c r="J81" s="259">
        <v>2.2011974449474998</v>
      </c>
      <c r="K81" s="83">
        <f>VLOOKUP($C81,Prevs!$C$7:$I$279,2,FALSE)-IFERROR(VLOOKUP($E81,Prevs!$C$7:$I$279,2,FALSE),0)-IFERROR(VLOOKUP($D81,Prevs!$C$7:$I$279,2,FALSE),0)-IFERROR(VLOOKUP($G81,Prevs!$C$7:$I$279,2,FALSE),0)-IFERROR(VLOOKUP($H81,Prevs!$C$7:$I$279,2,FALSE),0)-IFERROR(VLOOKUP($I81,Prevs!$C$7:$I$279,2,FALSE),0)-IFERROR(VLOOKUP($F81,Prevs!$C$7:$I$279,2,FALSE),0)</f>
        <v>73</v>
      </c>
      <c r="L81" s="81">
        <f>VLOOKUP($C81,Prevs!$C$7:$I$279,3,FALSE)-IFERROR(VLOOKUP($E81,Prevs!$C$7:$I$279,3,FALSE),0)-IFERROR(VLOOKUP($D81,Prevs!$C$7:$I$279,3,FALSE),0)-IFERROR(VLOOKUP($G81,Prevs!$C$7:$I$279,3,FALSE),0)-IFERROR(VLOOKUP($H81,Prevs!$C$7:$I$279,3,FALSE),0)-IFERROR(VLOOKUP($I81,Prevs!$C$7:$I$279,3,FALSE),0)-IFERROR(VLOOKUP($F81,Prevs!$C$7:$I$279,3,FALSE),0)</f>
        <v>73</v>
      </c>
      <c r="M81" s="81">
        <f>VLOOKUP($C81,Prevs!$C$7:$I$279,4,FALSE)-IFERROR(VLOOKUP($E81,Prevs!$C$7:$I$279,4,FALSE),0)-IFERROR(VLOOKUP($D81,Prevs!$C$7:$I$279,4,FALSE),0)-IFERROR(VLOOKUP($G81,Prevs!$C$7:$I$279,4,FALSE),0)-IFERROR(VLOOKUP($H81,Prevs!$C$7:$I$279,4,FALSE),0)-IFERROR(VLOOKUP($I81,Prevs!$C$7:$I$279,4,FALSE),0)-IFERROR(VLOOKUP($F81,Prevs!$C$7:$I$279,4,FALSE),0)</f>
        <v>72</v>
      </c>
      <c r="N81" s="81">
        <f>VLOOKUP($C81,Prevs!$C$7:$I$279,5,FALSE)-IFERROR(VLOOKUP($E81,Prevs!$C$7:$I$279,5,FALSE),0)-IFERROR(VLOOKUP($D81,Prevs!$C$7:$I$279,5,FALSE),0)-IFERROR(VLOOKUP($G81,Prevs!$C$7:$I$279,5,FALSE),0)-IFERROR(VLOOKUP($H81,Prevs!$C$7:$I$279,5,FALSE),0)-IFERROR(VLOOKUP($I81,Prevs!$C$7:$I$279,5,FALSE),0)-IFERROR(VLOOKUP($F81,Prevs!$C$7:$I$279,5,FALSE),0)</f>
        <v>72</v>
      </c>
      <c r="O81" s="81">
        <f>VLOOKUP($C81,Prevs!$C$7:$I$279,6,FALSE)-IFERROR(VLOOKUP($E81,Prevs!$C$7:$I$279,6,FALSE),0)-IFERROR(VLOOKUP($D81,Prevs!$C$7:$I$279,6,FALSE),0)-IFERROR(VLOOKUP($G81,Prevs!$C$7:$I$279,6,FALSE),0)-IFERROR(VLOOKUP($H81,Prevs!$C$7:$I$279,6,FALSE),0)-IFERROR(VLOOKUP($I81,Prevs!$C$7:$I$279,6,FALSE),0)-IFERROR(VLOOKUP($F81,Prevs!$C$7:$I$279,6,FALSE),0)</f>
        <v>69</v>
      </c>
      <c r="P81" s="84">
        <f>VLOOKUP($C81,Prevs!$C$7:$I$279,7,FALSE)-IFERROR(VLOOKUP($E81,Prevs!$C$7:$I$279,7,FALSE),0)-IFERROR(VLOOKUP($D81,Prevs!$C$7:$I$279,7,FALSE),0)-IFERROR(VLOOKUP($G81,Prevs!$C$7:$I$279,7,FALSE),0)-IFERROR(VLOOKUP($H81,Prevs!$C$7:$I$279,7,FALSE),0)-IFERROR(VLOOKUP($I81,Prevs!$C$7:$I$279,7,FALSE),0)-IFERROR(VLOOKUP($F81,Prevs!$C$7:$I$279,7,FALSE),0)</f>
        <v>70</v>
      </c>
      <c r="Q81" s="276">
        <f t="shared" si="8"/>
        <v>160.68741348116748</v>
      </c>
      <c r="R81" s="271">
        <f t="shared" si="9"/>
        <v>160.68741348116748</v>
      </c>
      <c r="S81" s="271">
        <f t="shared" si="10"/>
        <v>158.48621603621999</v>
      </c>
      <c r="T81" s="271">
        <f t="shared" si="11"/>
        <v>158.48621603621999</v>
      </c>
      <c r="U81" s="271">
        <f t="shared" si="12"/>
        <v>151.8826237013775</v>
      </c>
      <c r="V81" s="272">
        <f t="shared" si="13"/>
        <v>154.08382114632499</v>
      </c>
      <c r="X81" s="83"/>
      <c r="Y81" s="81"/>
      <c r="Z81" s="81"/>
      <c r="AA81" s="81"/>
      <c r="AB81" s="81"/>
      <c r="AC81" s="84"/>
      <c r="AD81" s="85"/>
      <c r="AE81" s="81"/>
      <c r="AF81" s="81"/>
      <c r="AG81" s="81"/>
      <c r="AH81" s="81"/>
      <c r="AI81" s="84"/>
    </row>
    <row r="82" spans="2:35" s="74" customFormat="1" ht="26.25" customHeight="1" x14ac:dyDescent="0.25">
      <c r="B82" s="151" t="s">
        <v>184</v>
      </c>
      <c r="C82" s="81">
        <v>279</v>
      </c>
      <c r="D82" s="92">
        <v>0</v>
      </c>
      <c r="E82" s="92">
        <v>0</v>
      </c>
      <c r="F82" s="92">
        <v>0</v>
      </c>
      <c r="G82" s="92">
        <v>0</v>
      </c>
      <c r="H82" s="92">
        <v>0</v>
      </c>
      <c r="I82" s="92">
        <v>0</v>
      </c>
      <c r="J82" s="259">
        <v>0.25045616368113399</v>
      </c>
      <c r="K82" s="83">
        <f>VLOOKUP($C82,Prevs!$C$7:$I$279,2,FALSE)-IFERROR(VLOOKUP($E82,Prevs!$C$7:$I$279,2,FALSE),0)-IFERROR(VLOOKUP($D82,Prevs!$C$7:$I$279,2,FALSE),0)-IFERROR(VLOOKUP($G82,Prevs!$C$7:$I$279,2,FALSE),0)-IFERROR(VLOOKUP($H82,Prevs!$C$7:$I$279,2,FALSE),0)-IFERROR(VLOOKUP($I82,Prevs!$C$7:$I$279,2,FALSE),0)-IFERROR(VLOOKUP($F82,Prevs!$C$7:$I$279,2,FALSE),0)</f>
        <v>176</v>
      </c>
      <c r="L82" s="81">
        <f>VLOOKUP($C82,Prevs!$C$7:$I$279,3,FALSE)-IFERROR(VLOOKUP($E82,Prevs!$C$7:$I$279,3,FALSE),0)-IFERROR(VLOOKUP($D82,Prevs!$C$7:$I$279,3,FALSE),0)-IFERROR(VLOOKUP($G82,Prevs!$C$7:$I$279,3,FALSE),0)-IFERROR(VLOOKUP($H82,Prevs!$C$7:$I$279,3,FALSE),0)-IFERROR(VLOOKUP($I82,Prevs!$C$7:$I$279,3,FALSE),0)-IFERROR(VLOOKUP($F82,Prevs!$C$7:$I$279,3,FALSE),0)</f>
        <v>148</v>
      </c>
      <c r="M82" s="81">
        <f>VLOOKUP($C82,Prevs!$C$7:$I$279,4,FALSE)-IFERROR(VLOOKUP($E82,Prevs!$C$7:$I$279,4,FALSE),0)-IFERROR(VLOOKUP($D82,Prevs!$C$7:$I$279,4,FALSE),0)-IFERROR(VLOOKUP($G82,Prevs!$C$7:$I$279,4,FALSE),0)-IFERROR(VLOOKUP($H82,Prevs!$C$7:$I$279,4,FALSE),0)-IFERROR(VLOOKUP($I82,Prevs!$C$7:$I$279,4,FALSE),0)-IFERROR(VLOOKUP($F82,Prevs!$C$7:$I$279,4,FALSE),0)</f>
        <v>125</v>
      </c>
      <c r="N82" s="81">
        <f>VLOOKUP($C82,Prevs!$C$7:$I$279,5,FALSE)-IFERROR(VLOOKUP($E82,Prevs!$C$7:$I$279,5,FALSE),0)-IFERROR(VLOOKUP($D82,Prevs!$C$7:$I$279,5,FALSE),0)-IFERROR(VLOOKUP($G82,Prevs!$C$7:$I$279,5,FALSE),0)-IFERROR(VLOOKUP($H82,Prevs!$C$7:$I$279,5,FALSE),0)-IFERROR(VLOOKUP($I82,Prevs!$C$7:$I$279,5,FALSE),0)-IFERROR(VLOOKUP($F82,Prevs!$C$7:$I$279,5,FALSE),0)</f>
        <v>112</v>
      </c>
      <c r="O82" s="81">
        <f>VLOOKUP($C82,Prevs!$C$7:$I$279,6,FALSE)-IFERROR(VLOOKUP($E82,Prevs!$C$7:$I$279,6,FALSE),0)-IFERROR(VLOOKUP($D82,Prevs!$C$7:$I$279,6,FALSE),0)-IFERROR(VLOOKUP($G82,Prevs!$C$7:$I$279,6,FALSE),0)-IFERROR(VLOOKUP($H82,Prevs!$C$7:$I$279,6,FALSE),0)-IFERROR(VLOOKUP($I82,Prevs!$C$7:$I$279,6,FALSE),0)-IFERROR(VLOOKUP($F82,Prevs!$C$7:$I$279,6,FALSE),0)</f>
        <v>93</v>
      </c>
      <c r="P82" s="84">
        <f>VLOOKUP($C82,Prevs!$C$7:$I$279,7,FALSE)-IFERROR(VLOOKUP($E82,Prevs!$C$7:$I$279,7,FALSE),0)-IFERROR(VLOOKUP($D82,Prevs!$C$7:$I$279,7,FALSE),0)-IFERROR(VLOOKUP($G82,Prevs!$C$7:$I$279,7,FALSE),0)-IFERROR(VLOOKUP($H82,Prevs!$C$7:$I$279,7,FALSE),0)-IFERROR(VLOOKUP($I82,Prevs!$C$7:$I$279,7,FALSE),0)-IFERROR(VLOOKUP($F82,Prevs!$C$7:$I$279,7,FALSE),0)</f>
        <v>77</v>
      </c>
      <c r="Q82" s="276">
        <f t="shared" si="8"/>
        <v>44.080284807879579</v>
      </c>
      <c r="R82" s="271">
        <f t="shared" si="9"/>
        <v>37.067512224807828</v>
      </c>
      <c r="S82" s="271">
        <f t="shared" si="10"/>
        <v>31.30702046014175</v>
      </c>
      <c r="T82" s="271">
        <f t="shared" si="11"/>
        <v>28.051090332287007</v>
      </c>
      <c r="U82" s="271">
        <f t="shared" si="12"/>
        <v>23.292423222345462</v>
      </c>
      <c r="V82" s="272">
        <f t="shared" si="13"/>
        <v>19.285124603447318</v>
      </c>
      <c r="X82" s="83"/>
      <c r="Y82" s="81"/>
      <c r="Z82" s="81"/>
      <c r="AA82" s="81"/>
      <c r="AB82" s="81"/>
      <c r="AC82" s="84"/>
      <c r="AD82" s="85"/>
      <c r="AE82" s="81"/>
      <c r="AF82" s="81"/>
      <c r="AG82" s="81"/>
      <c r="AH82" s="81"/>
      <c r="AI82" s="84"/>
    </row>
    <row r="83" spans="2:35" s="74" customFormat="1" ht="26.25" customHeight="1" x14ac:dyDescent="0.25">
      <c r="B83" s="151" t="s">
        <v>353</v>
      </c>
      <c r="C83" s="81">
        <v>198</v>
      </c>
      <c r="D83" s="92">
        <v>197</v>
      </c>
      <c r="E83" s="92">
        <v>0</v>
      </c>
      <c r="F83" s="92">
        <v>0</v>
      </c>
      <c r="G83" s="92">
        <v>0</v>
      </c>
      <c r="H83" s="92">
        <v>0</v>
      </c>
      <c r="I83" s="92">
        <v>0</v>
      </c>
      <c r="J83" s="259">
        <v>1.81146384023559</v>
      </c>
      <c r="K83" s="83">
        <f>VLOOKUP($C83,Prevs!$C$7:$I$279,2,FALSE)-IFERROR(VLOOKUP($E83,Prevs!$C$7:$I$279,2,FALSE),0)-IFERROR(VLOOKUP($D83,Prevs!$C$7:$I$279,2,FALSE),0)-IFERROR(VLOOKUP($G83,Prevs!$C$7:$I$279,2,FALSE),0)-IFERROR(VLOOKUP($H83,Prevs!$C$7:$I$279,2,FALSE),0)-IFERROR(VLOOKUP($I83,Prevs!$C$7:$I$279,2,FALSE),0)-IFERROR(VLOOKUP($F83,Prevs!$C$7:$I$279,2,FALSE),0)</f>
        <v>19</v>
      </c>
      <c r="L83" s="81">
        <f>VLOOKUP($C83,Prevs!$C$7:$I$279,3,FALSE)-IFERROR(VLOOKUP($E83,Prevs!$C$7:$I$279,3,FALSE),0)-IFERROR(VLOOKUP($D83,Prevs!$C$7:$I$279,3,FALSE),0)-IFERROR(VLOOKUP($G83,Prevs!$C$7:$I$279,3,FALSE),0)-IFERROR(VLOOKUP($H83,Prevs!$C$7:$I$279,3,FALSE),0)-IFERROR(VLOOKUP($I83,Prevs!$C$7:$I$279,3,FALSE),0)-IFERROR(VLOOKUP($F83,Prevs!$C$7:$I$279,3,FALSE),0)</f>
        <v>19</v>
      </c>
      <c r="M83" s="81">
        <f>VLOOKUP($C83,Prevs!$C$7:$I$279,4,FALSE)-IFERROR(VLOOKUP($E83,Prevs!$C$7:$I$279,4,FALSE),0)-IFERROR(VLOOKUP($D83,Prevs!$C$7:$I$279,4,FALSE),0)-IFERROR(VLOOKUP($G83,Prevs!$C$7:$I$279,4,FALSE),0)-IFERROR(VLOOKUP($H83,Prevs!$C$7:$I$279,4,FALSE),0)-IFERROR(VLOOKUP($I83,Prevs!$C$7:$I$279,4,FALSE),0)-IFERROR(VLOOKUP($F83,Prevs!$C$7:$I$279,4,FALSE),0)</f>
        <v>18</v>
      </c>
      <c r="N83" s="81">
        <f>VLOOKUP($C83,Prevs!$C$7:$I$279,5,FALSE)-IFERROR(VLOOKUP($E83,Prevs!$C$7:$I$279,5,FALSE),0)-IFERROR(VLOOKUP($D83,Prevs!$C$7:$I$279,5,FALSE),0)-IFERROR(VLOOKUP($G83,Prevs!$C$7:$I$279,5,FALSE),0)-IFERROR(VLOOKUP($H83,Prevs!$C$7:$I$279,5,FALSE),0)-IFERROR(VLOOKUP($I83,Prevs!$C$7:$I$279,5,FALSE),0)-IFERROR(VLOOKUP($F83,Prevs!$C$7:$I$279,5,FALSE),0)</f>
        <v>19</v>
      </c>
      <c r="O83" s="81">
        <f>VLOOKUP($C83,Prevs!$C$7:$I$279,6,FALSE)-IFERROR(VLOOKUP($E83,Prevs!$C$7:$I$279,6,FALSE),0)-IFERROR(VLOOKUP($D83,Prevs!$C$7:$I$279,6,FALSE),0)-IFERROR(VLOOKUP($G83,Prevs!$C$7:$I$279,6,FALSE),0)-IFERROR(VLOOKUP($H83,Prevs!$C$7:$I$279,6,FALSE),0)-IFERROR(VLOOKUP($I83,Prevs!$C$7:$I$279,6,FALSE),0)-IFERROR(VLOOKUP($F83,Prevs!$C$7:$I$279,6,FALSE),0)</f>
        <v>18</v>
      </c>
      <c r="P83" s="84">
        <f>VLOOKUP($C83,Prevs!$C$7:$I$279,7,FALSE)-IFERROR(VLOOKUP($E83,Prevs!$C$7:$I$279,7,FALSE),0)-IFERROR(VLOOKUP($D83,Prevs!$C$7:$I$279,7,FALSE),0)-IFERROR(VLOOKUP($G83,Prevs!$C$7:$I$279,7,FALSE),0)-IFERROR(VLOOKUP($H83,Prevs!$C$7:$I$279,7,FALSE),0)-IFERROR(VLOOKUP($I83,Prevs!$C$7:$I$279,7,FALSE),0)-IFERROR(VLOOKUP($F83,Prevs!$C$7:$I$279,7,FALSE),0)</f>
        <v>18</v>
      </c>
      <c r="Q83" s="276">
        <f t="shared" si="8"/>
        <v>34.417812964476212</v>
      </c>
      <c r="R83" s="271">
        <f t="shared" si="9"/>
        <v>34.417812964476212</v>
      </c>
      <c r="S83" s="271">
        <f t="shared" si="10"/>
        <v>32.606349124240623</v>
      </c>
      <c r="T83" s="271">
        <f t="shared" si="11"/>
        <v>34.417812964476212</v>
      </c>
      <c r="U83" s="271">
        <f t="shared" si="12"/>
        <v>32.606349124240623</v>
      </c>
      <c r="V83" s="272">
        <f t="shared" si="13"/>
        <v>32.606349124240623</v>
      </c>
      <c r="X83" s="83"/>
      <c r="Y83" s="81"/>
      <c r="Z83" s="81"/>
      <c r="AA83" s="81"/>
      <c r="AB83" s="81"/>
      <c r="AC83" s="84"/>
      <c r="AD83" s="85"/>
      <c r="AE83" s="81"/>
      <c r="AF83" s="81"/>
      <c r="AG83" s="81"/>
      <c r="AH83" s="81"/>
      <c r="AI83" s="84"/>
    </row>
    <row r="84" spans="2:35" s="74" customFormat="1" ht="26.25" customHeight="1" x14ac:dyDescent="0.25">
      <c r="B84" s="151" t="s">
        <v>150</v>
      </c>
      <c r="C84" s="81">
        <v>197</v>
      </c>
      <c r="D84" s="92">
        <v>0</v>
      </c>
      <c r="E84" s="92">
        <v>0</v>
      </c>
      <c r="F84" s="92">
        <v>0</v>
      </c>
      <c r="G84" s="92">
        <v>0</v>
      </c>
      <c r="H84" s="92">
        <v>0</v>
      </c>
      <c r="I84" s="92">
        <v>0</v>
      </c>
      <c r="J84" s="259">
        <v>2.9168706052190201</v>
      </c>
      <c r="K84" s="83">
        <f>VLOOKUP($C84,Prevs!$C$7:$I$279,2,FALSE)-IFERROR(VLOOKUP($E84,Prevs!$C$7:$I$279,2,FALSE),0)-IFERROR(VLOOKUP($D84,Prevs!$C$7:$I$279,2,FALSE),0)-IFERROR(VLOOKUP($G84,Prevs!$C$7:$I$279,2,FALSE),0)-IFERROR(VLOOKUP($H84,Prevs!$C$7:$I$279,2,FALSE),0)-IFERROR(VLOOKUP($I84,Prevs!$C$7:$I$279,2,FALSE),0)-IFERROR(VLOOKUP($F84,Prevs!$C$7:$I$279,2,FALSE),0)</f>
        <v>15</v>
      </c>
      <c r="L84" s="81">
        <f>VLOOKUP($C84,Prevs!$C$7:$I$279,3,FALSE)-IFERROR(VLOOKUP($E84,Prevs!$C$7:$I$279,3,FALSE),0)-IFERROR(VLOOKUP($D84,Prevs!$C$7:$I$279,3,FALSE),0)-IFERROR(VLOOKUP($G84,Prevs!$C$7:$I$279,3,FALSE),0)-IFERROR(VLOOKUP($H84,Prevs!$C$7:$I$279,3,FALSE),0)-IFERROR(VLOOKUP($I84,Prevs!$C$7:$I$279,3,FALSE),0)-IFERROR(VLOOKUP($F84,Prevs!$C$7:$I$279,3,FALSE),0)</f>
        <v>14</v>
      </c>
      <c r="M84" s="81">
        <f>VLOOKUP($C84,Prevs!$C$7:$I$279,4,FALSE)-IFERROR(VLOOKUP($E84,Prevs!$C$7:$I$279,4,FALSE),0)-IFERROR(VLOOKUP($D84,Prevs!$C$7:$I$279,4,FALSE),0)-IFERROR(VLOOKUP($G84,Prevs!$C$7:$I$279,4,FALSE),0)-IFERROR(VLOOKUP($H84,Prevs!$C$7:$I$279,4,FALSE),0)-IFERROR(VLOOKUP($I84,Prevs!$C$7:$I$279,4,FALSE),0)-IFERROR(VLOOKUP($F84,Prevs!$C$7:$I$279,4,FALSE),0)</f>
        <v>13</v>
      </c>
      <c r="N84" s="81">
        <f>VLOOKUP($C84,Prevs!$C$7:$I$279,5,FALSE)-IFERROR(VLOOKUP($E84,Prevs!$C$7:$I$279,5,FALSE),0)-IFERROR(VLOOKUP($D84,Prevs!$C$7:$I$279,5,FALSE),0)-IFERROR(VLOOKUP($G84,Prevs!$C$7:$I$279,5,FALSE),0)-IFERROR(VLOOKUP($H84,Prevs!$C$7:$I$279,5,FALSE),0)-IFERROR(VLOOKUP($I84,Prevs!$C$7:$I$279,5,FALSE),0)-IFERROR(VLOOKUP($F84,Prevs!$C$7:$I$279,5,FALSE),0)</f>
        <v>14</v>
      </c>
      <c r="O84" s="81">
        <f>VLOOKUP($C84,Prevs!$C$7:$I$279,6,FALSE)-IFERROR(VLOOKUP($E84,Prevs!$C$7:$I$279,6,FALSE),0)-IFERROR(VLOOKUP($D84,Prevs!$C$7:$I$279,6,FALSE),0)-IFERROR(VLOOKUP($G84,Prevs!$C$7:$I$279,6,FALSE),0)-IFERROR(VLOOKUP($H84,Prevs!$C$7:$I$279,6,FALSE),0)-IFERROR(VLOOKUP($I84,Prevs!$C$7:$I$279,6,FALSE),0)-IFERROR(VLOOKUP($F84,Prevs!$C$7:$I$279,6,FALSE),0)</f>
        <v>12</v>
      </c>
      <c r="P84" s="84">
        <f>VLOOKUP($C84,Prevs!$C$7:$I$279,7,FALSE)-IFERROR(VLOOKUP($E84,Prevs!$C$7:$I$279,7,FALSE),0)-IFERROR(VLOOKUP($D84,Prevs!$C$7:$I$279,7,FALSE),0)-IFERROR(VLOOKUP($G84,Prevs!$C$7:$I$279,7,FALSE),0)-IFERROR(VLOOKUP($H84,Prevs!$C$7:$I$279,7,FALSE),0)-IFERROR(VLOOKUP($I84,Prevs!$C$7:$I$279,7,FALSE),0)-IFERROR(VLOOKUP($F84,Prevs!$C$7:$I$279,7,FALSE),0)</f>
        <v>13</v>
      </c>
      <c r="Q84" s="276">
        <f t="shared" si="8"/>
        <v>43.753059078285304</v>
      </c>
      <c r="R84" s="271">
        <f t="shared" si="9"/>
        <v>40.836188473066279</v>
      </c>
      <c r="S84" s="271">
        <f t="shared" si="10"/>
        <v>37.919317867847262</v>
      </c>
      <c r="T84" s="271">
        <f t="shared" si="11"/>
        <v>40.836188473066279</v>
      </c>
      <c r="U84" s="271">
        <f t="shared" si="12"/>
        <v>35.002447262628237</v>
      </c>
      <c r="V84" s="272">
        <f t="shared" si="13"/>
        <v>37.919317867847262</v>
      </c>
      <c r="X84" s="83"/>
      <c r="Y84" s="81"/>
      <c r="Z84" s="81"/>
      <c r="AA84" s="81"/>
      <c r="AB84" s="81"/>
      <c r="AC84" s="84"/>
      <c r="AD84" s="85"/>
      <c r="AE84" s="81"/>
      <c r="AF84" s="81"/>
      <c r="AG84" s="81"/>
      <c r="AH84" s="81"/>
      <c r="AI84" s="84"/>
    </row>
    <row r="85" spans="2:35" s="74" customFormat="1" ht="26.25" customHeight="1" x14ac:dyDescent="0.25">
      <c r="B85" s="151" t="s">
        <v>354</v>
      </c>
      <c r="C85" s="81">
        <v>283</v>
      </c>
      <c r="D85" s="92">
        <v>0</v>
      </c>
      <c r="E85" s="92">
        <v>0</v>
      </c>
      <c r="F85" s="92">
        <v>0</v>
      </c>
      <c r="G85" s="92">
        <v>0</v>
      </c>
      <c r="H85" s="92">
        <v>0</v>
      </c>
      <c r="I85" s="92">
        <v>0</v>
      </c>
      <c r="J85" s="259">
        <v>0.45837751309649999</v>
      </c>
      <c r="K85" s="83">
        <f>VLOOKUP($C85,Prevs!$C$7:$I$279,2,FALSE)-IFERROR(VLOOKUP($E85,Prevs!$C$7:$I$279,2,FALSE),0)-IFERROR(VLOOKUP($D85,Prevs!$C$7:$I$279,2,FALSE),0)-IFERROR(VLOOKUP($G85,Prevs!$C$7:$I$279,2,FALSE),0)-IFERROR(VLOOKUP($H85,Prevs!$C$7:$I$279,2,FALSE),0)-IFERROR(VLOOKUP($I85,Prevs!$C$7:$I$279,2,FALSE),0)-IFERROR(VLOOKUP($F85,Prevs!$C$7:$I$279,2,FALSE),0)</f>
        <v>45</v>
      </c>
      <c r="L85" s="81">
        <f>VLOOKUP($C85,Prevs!$C$7:$I$279,3,FALSE)-IFERROR(VLOOKUP($E85,Prevs!$C$7:$I$279,3,FALSE),0)-IFERROR(VLOOKUP($D85,Prevs!$C$7:$I$279,3,FALSE),0)-IFERROR(VLOOKUP($G85,Prevs!$C$7:$I$279,3,FALSE),0)-IFERROR(VLOOKUP($H85,Prevs!$C$7:$I$279,3,FALSE),0)-IFERROR(VLOOKUP($I85,Prevs!$C$7:$I$279,3,FALSE),0)-IFERROR(VLOOKUP($F85,Prevs!$C$7:$I$279,3,FALSE),0)</f>
        <v>40</v>
      </c>
      <c r="M85" s="81">
        <f>VLOOKUP($C85,Prevs!$C$7:$I$279,4,FALSE)-IFERROR(VLOOKUP($E85,Prevs!$C$7:$I$279,4,FALSE),0)-IFERROR(VLOOKUP($D85,Prevs!$C$7:$I$279,4,FALSE),0)-IFERROR(VLOOKUP($G85,Prevs!$C$7:$I$279,4,FALSE),0)-IFERROR(VLOOKUP($H85,Prevs!$C$7:$I$279,4,FALSE),0)-IFERROR(VLOOKUP($I85,Prevs!$C$7:$I$279,4,FALSE),0)-IFERROR(VLOOKUP($F85,Prevs!$C$7:$I$279,4,FALSE),0)</f>
        <v>33</v>
      </c>
      <c r="N85" s="81">
        <f>VLOOKUP($C85,Prevs!$C$7:$I$279,5,FALSE)-IFERROR(VLOOKUP($E85,Prevs!$C$7:$I$279,5,FALSE),0)-IFERROR(VLOOKUP($D85,Prevs!$C$7:$I$279,5,FALSE),0)-IFERROR(VLOOKUP($G85,Prevs!$C$7:$I$279,5,FALSE),0)-IFERROR(VLOOKUP($H85,Prevs!$C$7:$I$279,5,FALSE),0)-IFERROR(VLOOKUP($I85,Prevs!$C$7:$I$279,5,FALSE),0)-IFERROR(VLOOKUP($F85,Prevs!$C$7:$I$279,5,FALSE),0)</f>
        <v>43</v>
      </c>
      <c r="O85" s="81">
        <f>VLOOKUP($C85,Prevs!$C$7:$I$279,6,FALSE)-IFERROR(VLOOKUP($E85,Prevs!$C$7:$I$279,6,FALSE),0)-IFERROR(VLOOKUP($D85,Prevs!$C$7:$I$279,6,FALSE),0)-IFERROR(VLOOKUP($G85,Prevs!$C$7:$I$279,6,FALSE),0)-IFERROR(VLOOKUP($H85,Prevs!$C$7:$I$279,6,FALSE),0)-IFERROR(VLOOKUP($I85,Prevs!$C$7:$I$279,6,FALSE),0)-IFERROR(VLOOKUP($F85,Prevs!$C$7:$I$279,6,FALSE),0)</f>
        <v>39</v>
      </c>
      <c r="P85" s="84">
        <f>VLOOKUP($C85,Prevs!$C$7:$I$279,7,FALSE)-IFERROR(VLOOKUP($E85,Prevs!$C$7:$I$279,7,FALSE),0)-IFERROR(VLOOKUP($D85,Prevs!$C$7:$I$279,7,FALSE),0)-IFERROR(VLOOKUP($G85,Prevs!$C$7:$I$279,7,FALSE),0)-IFERROR(VLOOKUP($H85,Prevs!$C$7:$I$279,7,FALSE),0)-IFERROR(VLOOKUP($I85,Prevs!$C$7:$I$279,7,FALSE),0)-IFERROR(VLOOKUP($F85,Prevs!$C$7:$I$279,7,FALSE),0)</f>
        <v>29</v>
      </c>
      <c r="Q85" s="276">
        <f t="shared" si="8"/>
        <v>20.6269880893425</v>
      </c>
      <c r="R85" s="271">
        <f t="shared" si="9"/>
        <v>18.33510052386</v>
      </c>
      <c r="S85" s="271">
        <f t="shared" si="10"/>
        <v>15.126457932184501</v>
      </c>
      <c r="T85" s="271">
        <f t="shared" si="11"/>
        <v>19.710233063149499</v>
      </c>
      <c r="U85" s="271">
        <f t="shared" si="12"/>
        <v>17.876723010763499</v>
      </c>
      <c r="V85" s="272">
        <f t="shared" si="13"/>
        <v>13.292947879798501</v>
      </c>
      <c r="X85" s="83"/>
      <c r="Y85" s="81"/>
      <c r="Z85" s="81"/>
      <c r="AA85" s="81"/>
      <c r="AB85" s="81"/>
      <c r="AC85" s="84"/>
      <c r="AD85" s="85"/>
      <c r="AE85" s="81"/>
      <c r="AF85" s="81"/>
      <c r="AG85" s="81"/>
      <c r="AH85" s="81"/>
      <c r="AI85" s="84"/>
    </row>
    <row r="86" spans="2:35" s="74" customFormat="1" ht="26.25" customHeight="1" x14ac:dyDescent="0.25">
      <c r="B86" s="151" t="s">
        <v>355</v>
      </c>
      <c r="C86" s="81">
        <v>273</v>
      </c>
      <c r="D86" s="92">
        <v>257</v>
      </c>
      <c r="E86" s="92">
        <v>0</v>
      </c>
      <c r="F86" s="92">
        <v>0</v>
      </c>
      <c r="G86" s="92">
        <v>0</v>
      </c>
      <c r="H86" s="92">
        <v>0</v>
      </c>
      <c r="I86" s="92">
        <v>0</v>
      </c>
      <c r="J86" s="259">
        <v>0.32475397164120001</v>
      </c>
      <c r="K86" s="83">
        <f>VLOOKUP($C86,Prevs!$C$7:$I$279,2,FALSE)-IFERROR(VLOOKUP($E86,Prevs!$C$7:$I$279,2,FALSE),0)-IFERROR(VLOOKUP($D86,Prevs!$C$7:$I$279,2,FALSE),0)-IFERROR(VLOOKUP($G86,Prevs!$C$7:$I$279,2,FALSE),0)-IFERROR(VLOOKUP($H86,Prevs!$C$7:$I$279,2,FALSE),0)-IFERROR(VLOOKUP($I86,Prevs!$C$7:$I$279,2,FALSE),0)-IFERROR(VLOOKUP($F86,Prevs!$C$7:$I$279,2,FALSE),0)</f>
        <v>204</v>
      </c>
      <c r="L86" s="81">
        <f>VLOOKUP($C86,Prevs!$C$7:$I$279,3,FALSE)-IFERROR(VLOOKUP($E86,Prevs!$C$7:$I$279,3,FALSE),0)-IFERROR(VLOOKUP($D86,Prevs!$C$7:$I$279,3,FALSE),0)-IFERROR(VLOOKUP($G86,Prevs!$C$7:$I$279,3,FALSE),0)-IFERROR(VLOOKUP($H86,Prevs!$C$7:$I$279,3,FALSE),0)-IFERROR(VLOOKUP($I86,Prevs!$C$7:$I$279,3,FALSE),0)-IFERROR(VLOOKUP($F86,Prevs!$C$7:$I$279,3,FALSE),0)</f>
        <v>194</v>
      </c>
      <c r="M86" s="81">
        <f>VLOOKUP($C86,Prevs!$C$7:$I$279,4,FALSE)-IFERROR(VLOOKUP($E86,Prevs!$C$7:$I$279,4,FALSE),0)-IFERROR(VLOOKUP($D86,Prevs!$C$7:$I$279,4,FALSE),0)-IFERROR(VLOOKUP($G86,Prevs!$C$7:$I$279,4,FALSE),0)-IFERROR(VLOOKUP($H86,Prevs!$C$7:$I$279,4,FALSE),0)-IFERROR(VLOOKUP($I86,Prevs!$C$7:$I$279,4,FALSE),0)-IFERROR(VLOOKUP($F86,Prevs!$C$7:$I$279,4,FALSE),0)</f>
        <v>186</v>
      </c>
      <c r="N86" s="81">
        <f>VLOOKUP($C86,Prevs!$C$7:$I$279,5,FALSE)-IFERROR(VLOOKUP($E86,Prevs!$C$7:$I$279,5,FALSE),0)-IFERROR(VLOOKUP($D86,Prevs!$C$7:$I$279,5,FALSE),0)-IFERROR(VLOOKUP($G86,Prevs!$C$7:$I$279,5,FALSE),0)-IFERROR(VLOOKUP($H86,Prevs!$C$7:$I$279,5,FALSE),0)-IFERROR(VLOOKUP($I86,Prevs!$C$7:$I$279,5,FALSE),0)-IFERROR(VLOOKUP($F86,Prevs!$C$7:$I$279,5,FALSE),0)</f>
        <v>179</v>
      </c>
      <c r="O86" s="81">
        <f>VLOOKUP($C86,Prevs!$C$7:$I$279,6,FALSE)-IFERROR(VLOOKUP($E86,Prevs!$C$7:$I$279,6,FALSE),0)-IFERROR(VLOOKUP($D86,Prevs!$C$7:$I$279,6,FALSE),0)-IFERROR(VLOOKUP($G86,Prevs!$C$7:$I$279,6,FALSE),0)-IFERROR(VLOOKUP($H86,Prevs!$C$7:$I$279,6,FALSE),0)-IFERROR(VLOOKUP($I86,Prevs!$C$7:$I$279,6,FALSE),0)-IFERROR(VLOOKUP($F86,Prevs!$C$7:$I$279,6,FALSE),0)</f>
        <v>169</v>
      </c>
      <c r="P86" s="84">
        <f>VLOOKUP($C86,Prevs!$C$7:$I$279,7,FALSE)-IFERROR(VLOOKUP($E86,Prevs!$C$7:$I$279,7,FALSE),0)-IFERROR(VLOOKUP($D86,Prevs!$C$7:$I$279,7,FALSE),0)-IFERROR(VLOOKUP($G86,Prevs!$C$7:$I$279,7,FALSE),0)-IFERROR(VLOOKUP($H86,Prevs!$C$7:$I$279,7,FALSE),0)-IFERROR(VLOOKUP($I86,Prevs!$C$7:$I$279,7,FALSE),0)-IFERROR(VLOOKUP($F86,Prevs!$C$7:$I$279,7,FALSE),0)</f>
        <v>132</v>
      </c>
      <c r="Q86" s="276">
        <f t="shared" si="8"/>
        <v>66.249810214804796</v>
      </c>
      <c r="R86" s="271">
        <f t="shared" si="9"/>
        <v>63.002270498392804</v>
      </c>
      <c r="S86" s="271">
        <f t="shared" si="10"/>
        <v>60.404238725263205</v>
      </c>
      <c r="T86" s="271">
        <f t="shared" si="11"/>
        <v>58.130960923774801</v>
      </c>
      <c r="U86" s="271">
        <f t="shared" si="12"/>
        <v>54.883421207362801</v>
      </c>
      <c r="V86" s="272">
        <f t="shared" si="13"/>
        <v>42.867524256638404</v>
      </c>
      <c r="X86" s="83"/>
      <c r="Y86" s="81"/>
      <c r="Z86" s="81"/>
      <c r="AA86" s="81"/>
      <c r="AB86" s="81"/>
      <c r="AC86" s="84"/>
      <c r="AD86" s="85"/>
      <c r="AE86" s="81"/>
      <c r="AF86" s="81"/>
      <c r="AG86" s="81"/>
      <c r="AH86" s="81"/>
      <c r="AI86" s="84"/>
    </row>
    <row r="87" spans="2:35" s="74" customFormat="1" ht="26.25" customHeight="1" x14ac:dyDescent="0.25">
      <c r="B87" s="151" t="s">
        <v>356</v>
      </c>
      <c r="C87" s="81">
        <v>48</v>
      </c>
      <c r="D87" s="92">
        <v>47</v>
      </c>
      <c r="E87" s="92">
        <v>0</v>
      </c>
      <c r="F87" s="92">
        <v>0</v>
      </c>
      <c r="G87" s="92">
        <v>0</v>
      </c>
      <c r="H87" s="92">
        <v>0</v>
      </c>
      <c r="I87" s="92">
        <v>0</v>
      </c>
      <c r="J87" s="259">
        <v>3.2246540173034202</v>
      </c>
      <c r="K87" s="83">
        <f>VLOOKUP($C87,Prevs!$C$7:$I$279,2,FALSE)-IFERROR(VLOOKUP($E87,Prevs!$C$7:$I$279,2,FALSE),0)-IFERROR(VLOOKUP($D87,Prevs!$C$7:$I$279,2,FALSE),0)-IFERROR(VLOOKUP($G87,Prevs!$C$7:$I$279,2,FALSE),0)-IFERROR(VLOOKUP($H87,Prevs!$C$7:$I$279,2,FALSE),0)-IFERROR(VLOOKUP($I87,Prevs!$C$7:$I$279,2,FALSE),0)-IFERROR(VLOOKUP($F87,Prevs!$C$7:$I$279,2,FALSE),0)</f>
        <v>5</v>
      </c>
      <c r="L87" s="81">
        <f>VLOOKUP($C87,Prevs!$C$7:$I$279,3,FALSE)-IFERROR(VLOOKUP($E87,Prevs!$C$7:$I$279,3,FALSE),0)-IFERROR(VLOOKUP($D87,Prevs!$C$7:$I$279,3,FALSE),0)-IFERROR(VLOOKUP($G87,Prevs!$C$7:$I$279,3,FALSE),0)-IFERROR(VLOOKUP($H87,Prevs!$C$7:$I$279,3,FALSE),0)-IFERROR(VLOOKUP($I87,Prevs!$C$7:$I$279,3,FALSE),0)-IFERROR(VLOOKUP($F87,Prevs!$C$7:$I$279,3,FALSE),0)</f>
        <v>5</v>
      </c>
      <c r="M87" s="81">
        <f>VLOOKUP($C87,Prevs!$C$7:$I$279,4,FALSE)-IFERROR(VLOOKUP($E87,Prevs!$C$7:$I$279,4,FALSE),0)-IFERROR(VLOOKUP($D87,Prevs!$C$7:$I$279,4,FALSE),0)-IFERROR(VLOOKUP($G87,Prevs!$C$7:$I$279,4,FALSE),0)-IFERROR(VLOOKUP($H87,Prevs!$C$7:$I$279,4,FALSE),0)-IFERROR(VLOOKUP($I87,Prevs!$C$7:$I$279,4,FALSE),0)-IFERROR(VLOOKUP($F87,Prevs!$C$7:$I$279,4,FALSE),0)</f>
        <v>4</v>
      </c>
      <c r="N87" s="81">
        <f>VLOOKUP($C87,Prevs!$C$7:$I$279,5,FALSE)-IFERROR(VLOOKUP($E87,Prevs!$C$7:$I$279,5,FALSE),0)-IFERROR(VLOOKUP($D87,Prevs!$C$7:$I$279,5,FALSE),0)-IFERROR(VLOOKUP($G87,Prevs!$C$7:$I$279,5,FALSE),0)-IFERROR(VLOOKUP($H87,Prevs!$C$7:$I$279,5,FALSE),0)-IFERROR(VLOOKUP($I87,Prevs!$C$7:$I$279,5,FALSE),0)-IFERROR(VLOOKUP($F87,Prevs!$C$7:$I$279,5,FALSE),0)</f>
        <v>4</v>
      </c>
      <c r="O87" s="81">
        <f>VLOOKUP($C87,Prevs!$C$7:$I$279,6,FALSE)-IFERROR(VLOOKUP($E87,Prevs!$C$7:$I$279,6,FALSE),0)-IFERROR(VLOOKUP($D87,Prevs!$C$7:$I$279,6,FALSE),0)-IFERROR(VLOOKUP($G87,Prevs!$C$7:$I$279,6,FALSE),0)-IFERROR(VLOOKUP($H87,Prevs!$C$7:$I$279,6,FALSE),0)-IFERROR(VLOOKUP($I87,Prevs!$C$7:$I$279,6,FALSE),0)-IFERROR(VLOOKUP($F87,Prevs!$C$7:$I$279,6,FALSE),0)</f>
        <v>4</v>
      </c>
      <c r="P87" s="84">
        <f>VLOOKUP($C87,Prevs!$C$7:$I$279,7,FALSE)-IFERROR(VLOOKUP($E87,Prevs!$C$7:$I$279,7,FALSE),0)-IFERROR(VLOOKUP($D87,Prevs!$C$7:$I$279,7,FALSE),0)-IFERROR(VLOOKUP($G87,Prevs!$C$7:$I$279,7,FALSE),0)-IFERROR(VLOOKUP($H87,Prevs!$C$7:$I$279,7,FALSE),0)-IFERROR(VLOOKUP($I87,Prevs!$C$7:$I$279,7,FALSE),0)-IFERROR(VLOOKUP($F87,Prevs!$C$7:$I$279,7,FALSE),0)</f>
        <v>3</v>
      </c>
      <c r="Q87" s="276">
        <f t="shared" si="8"/>
        <v>16.123270086517103</v>
      </c>
      <c r="R87" s="271">
        <f t="shared" si="9"/>
        <v>16.123270086517103</v>
      </c>
      <c r="S87" s="271">
        <f t="shared" si="10"/>
        <v>12.898616069213681</v>
      </c>
      <c r="T87" s="271">
        <f t="shared" si="11"/>
        <v>12.898616069213681</v>
      </c>
      <c r="U87" s="271">
        <f t="shared" si="12"/>
        <v>12.898616069213681</v>
      </c>
      <c r="V87" s="272">
        <f t="shared" si="13"/>
        <v>9.6739620519102605</v>
      </c>
      <c r="X87" s="83"/>
      <c r="Y87" s="81"/>
      <c r="Z87" s="81"/>
      <c r="AA87" s="81"/>
      <c r="AB87" s="81"/>
      <c r="AC87" s="84"/>
      <c r="AD87" s="85"/>
      <c r="AE87" s="81"/>
      <c r="AF87" s="81"/>
      <c r="AG87" s="81"/>
      <c r="AH87" s="81"/>
      <c r="AI87" s="84"/>
    </row>
    <row r="88" spans="2:35" s="74" customFormat="1" ht="26.25" customHeight="1" x14ac:dyDescent="0.25">
      <c r="B88" s="151" t="s">
        <v>357</v>
      </c>
      <c r="C88" s="81">
        <v>249</v>
      </c>
      <c r="D88" s="92">
        <v>49</v>
      </c>
      <c r="E88" s="92">
        <v>0</v>
      </c>
      <c r="F88" s="92">
        <v>0</v>
      </c>
      <c r="G88" s="92">
        <v>0</v>
      </c>
      <c r="H88" s="92">
        <v>0</v>
      </c>
      <c r="I88" s="92">
        <v>0</v>
      </c>
      <c r="J88" s="259">
        <v>2.3703888232121799</v>
      </c>
      <c r="K88" s="83">
        <f>VLOOKUP($C88,Prevs!$C$7:$I$279,2,FALSE)-IFERROR(VLOOKUP($E88,Prevs!$C$7:$I$279,2,FALSE),0)-IFERROR(VLOOKUP($D88,Prevs!$C$7:$I$279,2,FALSE),0)-IFERROR(VLOOKUP($G88,Prevs!$C$7:$I$279,2,FALSE),0)-IFERROR(VLOOKUP($H88,Prevs!$C$7:$I$279,2,FALSE),0)-IFERROR(VLOOKUP($I88,Prevs!$C$7:$I$279,2,FALSE),0)-IFERROR(VLOOKUP($F88,Prevs!$C$7:$I$279,2,FALSE),0)</f>
        <v>3</v>
      </c>
      <c r="L88" s="81">
        <f>VLOOKUP($C88,Prevs!$C$7:$I$279,3,FALSE)-IFERROR(VLOOKUP($E88,Prevs!$C$7:$I$279,3,FALSE),0)-IFERROR(VLOOKUP($D88,Prevs!$C$7:$I$279,3,FALSE),0)-IFERROR(VLOOKUP($G88,Prevs!$C$7:$I$279,3,FALSE),0)-IFERROR(VLOOKUP($H88,Prevs!$C$7:$I$279,3,FALSE),0)-IFERROR(VLOOKUP($I88,Prevs!$C$7:$I$279,3,FALSE),0)-IFERROR(VLOOKUP($F88,Prevs!$C$7:$I$279,3,FALSE),0)</f>
        <v>4</v>
      </c>
      <c r="M88" s="81">
        <f>VLOOKUP($C88,Prevs!$C$7:$I$279,4,FALSE)-IFERROR(VLOOKUP($E88,Prevs!$C$7:$I$279,4,FALSE),0)-IFERROR(VLOOKUP($D88,Prevs!$C$7:$I$279,4,FALSE),0)-IFERROR(VLOOKUP($G88,Prevs!$C$7:$I$279,4,FALSE),0)-IFERROR(VLOOKUP($H88,Prevs!$C$7:$I$279,4,FALSE),0)-IFERROR(VLOOKUP($I88,Prevs!$C$7:$I$279,4,FALSE),0)-IFERROR(VLOOKUP($F88,Prevs!$C$7:$I$279,4,FALSE),0)</f>
        <v>4</v>
      </c>
      <c r="N88" s="81">
        <f>VLOOKUP($C88,Prevs!$C$7:$I$279,5,FALSE)-IFERROR(VLOOKUP($E88,Prevs!$C$7:$I$279,5,FALSE),0)-IFERROR(VLOOKUP($D88,Prevs!$C$7:$I$279,5,FALSE),0)-IFERROR(VLOOKUP($G88,Prevs!$C$7:$I$279,5,FALSE),0)-IFERROR(VLOOKUP($H88,Prevs!$C$7:$I$279,5,FALSE),0)-IFERROR(VLOOKUP($I88,Prevs!$C$7:$I$279,5,FALSE),0)-IFERROR(VLOOKUP($F88,Prevs!$C$7:$I$279,5,FALSE),0)</f>
        <v>3</v>
      </c>
      <c r="O88" s="81">
        <f>VLOOKUP($C88,Prevs!$C$7:$I$279,6,FALSE)-IFERROR(VLOOKUP($E88,Prevs!$C$7:$I$279,6,FALSE),0)-IFERROR(VLOOKUP($D88,Prevs!$C$7:$I$279,6,FALSE),0)-IFERROR(VLOOKUP($G88,Prevs!$C$7:$I$279,6,FALSE),0)-IFERROR(VLOOKUP($H88,Prevs!$C$7:$I$279,6,FALSE),0)-IFERROR(VLOOKUP($I88,Prevs!$C$7:$I$279,6,FALSE),0)-IFERROR(VLOOKUP($F88,Prevs!$C$7:$I$279,6,FALSE),0)</f>
        <v>3</v>
      </c>
      <c r="P88" s="84">
        <f>VLOOKUP($C88,Prevs!$C$7:$I$279,7,FALSE)-IFERROR(VLOOKUP($E88,Prevs!$C$7:$I$279,7,FALSE),0)-IFERROR(VLOOKUP($D88,Prevs!$C$7:$I$279,7,FALSE),0)-IFERROR(VLOOKUP($G88,Prevs!$C$7:$I$279,7,FALSE),0)-IFERROR(VLOOKUP($H88,Prevs!$C$7:$I$279,7,FALSE),0)-IFERROR(VLOOKUP($I88,Prevs!$C$7:$I$279,7,FALSE),0)-IFERROR(VLOOKUP($F88,Prevs!$C$7:$I$279,7,FALSE),0)</f>
        <v>4</v>
      </c>
      <c r="Q88" s="276">
        <f t="shared" si="8"/>
        <v>7.1111664696365402</v>
      </c>
      <c r="R88" s="271">
        <f t="shared" si="9"/>
        <v>9.4815552928487197</v>
      </c>
      <c r="S88" s="271">
        <f t="shared" si="10"/>
        <v>9.4815552928487197</v>
      </c>
      <c r="T88" s="271">
        <f t="shared" si="11"/>
        <v>7.1111664696365402</v>
      </c>
      <c r="U88" s="271">
        <f t="shared" si="12"/>
        <v>7.1111664696365402</v>
      </c>
      <c r="V88" s="272">
        <f t="shared" si="13"/>
        <v>9.4815552928487197</v>
      </c>
      <c r="X88" s="83"/>
      <c r="Y88" s="81"/>
      <c r="Z88" s="81"/>
      <c r="AA88" s="81"/>
      <c r="AB88" s="81"/>
      <c r="AC88" s="84"/>
      <c r="AD88" s="85"/>
      <c r="AE88" s="81"/>
      <c r="AF88" s="81"/>
      <c r="AG88" s="81"/>
      <c r="AH88" s="81"/>
      <c r="AI88" s="84"/>
    </row>
    <row r="89" spans="2:35" s="74" customFormat="1" ht="26.25" customHeight="1" x14ac:dyDescent="0.25">
      <c r="B89" s="151" t="s">
        <v>111</v>
      </c>
      <c r="C89" s="81">
        <v>241</v>
      </c>
      <c r="D89" s="92">
        <v>294</v>
      </c>
      <c r="E89" s="92">
        <v>0</v>
      </c>
      <c r="F89" s="92">
        <v>0</v>
      </c>
      <c r="G89" s="92">
        <v>0</v>
      </c>
      <c r="H89" s="92">
        <v>0</v>
      </c>
      <c r="I89" s="92">
        <v>0</v>
      </c>
      <c r="J89" s="259">
        <v>2.17784383207389</v>
      </c>
      <c r="K89" s="83">
        <f>VLOOKUP($C89,Prevs!$C$7:$I$279,2,FALSE)-IFERROR(VLOOKUP($E89,Prevs!$C$7:$I$279,2,FALSE),0)-IFERROR(VLOOKUP($D89,Prevs!$C$7:$I$279,2,FALSE),0)-IFERROR(VLOOKUP($G89,Prevs!$C$7:$I$279,2,FALSE),0)-IFERROR(VLOOKUP($H89,Prevs!$C$7:$I$279,2,FALSE),0)-IFERROR(VLOOKUP($I89,Prevs!$C$7:$I$279,2,FALSE),0)-IFERROR(VLOOKUP($F89,Prevs!$C$7:$I$279,2,FALSE),0)</f>
        <v>11</v>
      </c>
      <c r="L89" s="81">
        <f>VLOOKUP($C89,Prevs!$C$7:$I$279,3,FALSE)-IFERROR(VLOOKUP($E89,Prevs!$C$7:$I$279,3,FALSE),0)-IFERROR(VLOOKUP($D89,Prevs!$C$7:$I$279,3,FALSE),0)-IFERROR(VLOOKUP($G89,Prevs!$C$7:$I$279,3,FALSE),0)-IFERROR(VLOOKUP($H89,Prevs!$C$7:$I$279,3,FALSE),0)-IFERROR(VLOOKUP($I89,Prevs!$C$7:$I$279,3,FALSE),0)-IFERROR(VLOOKUP($F89,Prevs!$C$7:$I$279,3,FALSE),0)</f>
        <v>11</v>
      </c>
      <c r="M89" s="81">
        <f>VLOOKUP($C89,Prevs!$C$7:$I$279,4,FALSE)-IFERROR(VLOOKUP($E89,Prevs!$C$7:$I$279,4,FALSE),0)-IFERROR(VLOOKUP($D89,Prevs!$C$7:$I$279,4,FALSE),0)-IFERROR(VLOOKUP($G89,Prevs!$C$7:$I$279,4,FALSE),0)-IFERROR(VLOOKUP($H89,Prevs!$C$7:$I$279,4,FALSE),0)-IFERROR(VLOOKUP($I89,Prevs!$C$7:$I$279,4,FALSE),0)-IFERROR(VLOOKUP($F89,Prevs!$C$7:$I$279,4,FALSE),0)</f>
        <v>11</v>
      </c>
      <c r="N89" s="81">
        <f>VLOOKUP($C89,Prevs!$C$7:$I$279,5,FALSE)-IFERROR(VLOOKUP($E89,Prevs!$C$7:$I$279,5,FALSE),0)-IFERROR(VLOOKUP($D89,Prevs!$C$7:$I$279,5,FALSE),0)-IFERROR(VLOOKUP($G89,Prevs!$C$7:$I$279,5,FALSE),0)-IFERROR(VLOOKUP($H89,Prevs!$C$7:$I$279,5,FALSE),0)-IFERROR(VLOOKUP($I89,Prevs!$C$7:$I$279,5,FALSE),0)-IFERROR(VLOOKUP($F89,Prevs!$C$7:$I$279,5,FALSE),0)</f>
        <v>10</v>
      </c>
      <c r="O89" s="81">
        <f>VLOOKUP($C89,Prevs!$C$7:$I$279,6,FALSE)-IFERROR(VLOOKUP($E89,Prevs!$C$7:$I$279,6,FALSE),0)-IFERROR(VLOOKUP($D89,Prevs!$C$7:$I$279,6,FALSE),0)-IFERROR(VLOOKUP($G89,Prevs!$C$7:$I$279,6,FALSE),0)-IFERROR(VLOOKUP($H89,Prevs!$C$7:$I$279,6,FALSE),0)-IFERROR(VLOOKUP($I89,Prevs!$C$7:$I$279,6,FALSE),0)-IFERROR(VLOOKUP($F89,Prevs!$C$7:$I$279,6,FALSE),0)</f>
        <v>9</v>
      </c>
      <c r="P89" s="84">
        <f>VLOOKUP($C89,Prevs!$C$7:$I$279,7,FALSE)-IFERROR(VLOOKUP($E89,Prevs!$C$7:$I$279,7,FALSE),0)-IFERROR(VLOOKUP($D89,Prevs!$C$7:$I$279,7,FALSE),0)-IFERROR(VLOOKUP($G89,Prevs!$C$7:$I$279,7,FALSE),0)-IFERROR(VLOOKUP($H89,Prevs!$C$7:$I$279,7,FALSE),0)-IFERROR(VLOOKUP($I89,Prevs!$C$7:$I$279,7,FALSE),0)-IFERROR(VLOOKUP($F89,Prevs!$C$7:$I$279,7,FALSE),0)</f>
        <v>10</v>
      </c>
      <c r="Q89" s="276">
        <f t="shared" si="8"/>
        <v>23.95628215281279</v>
      </c>
      <c r="R89" s="271">
        <f t="shared" si="9"/>
        <v>23.95628215281279</v>
      </c>
      <c r="S89" s="271">
        <f t="shared" si="10"/>
        <v>23.95628215281279</v>
      </c>
      <c r="T89" s="271">
        <f t="shared" si="11"/>
        <v>21.7784383207389</v>
      </c>
      <c r="U89" s="271">
        <f t="shared" si="12"/>
        <v>19.60059448866501</v>
      </c>
      <c r="V89" s="272">
        <f t="shared" si="13"/>
        <v>21.7784383207389</v>
      </c>
      <c r="X89" s="83"/>
      <c r="Y89" s="81"/>
      <c r="Z89" s="81"/>
      <c r="AA89" s="81"/>
      <c r="AB89" s="81"/>
      <c r="AC89" s="84"/>
      <c r="AD89" s="85"/>
      <c r="AE89" s="81"/>
      <c r="AF89" s="81"/>
      <c r="AG89" s="81"/>
      <c r="AH89" s="81"/>
      <c r="AI89" s="84"/>
    </row>
    <row r="90" spans="2:35" s="74" customFormat="1" ht="26.25" customHeight="1" x14ac:dyDescent="0.25">
      <c r="B90" s="151" t="s">
        <v>358</v>
      </c>
      <c r="C90" s="81">
        <v>259</v>
      </c>
      <c r="D90" s="92">
        <v>0</v>
      </c>
      <c r="E90" s="92">
        <v>0</v>
      </c>
      <c r="F90" s="92">
        <v>0</v>
      </c>
      <c r="G90" s="92">
        <v>0</v>
      </c>
      <c r="H90" s="92">
        <v>0</v>
      </c>
      <c r="I90" s="92">
        <v>0</v>
      </c>
      <c r="J90" s="259">
        <v>2.0083597010015999</v>
      </c>
      <c r="K90" s="83">
        <f>VLOOKUP($C90,Prevs!$C$7:$I$279,2,FALSE)-IFERROR(VLOOKUP($E90,Prevs!$C$7:$I$279,2,FALSE),0)-IFERROR(VLOOKUP($D90,Prevs!$C$7:$I$279,2,FALSE),0)-IFERROR(VLOOKUP($G90,Prevs!$C$7:$I$279,2,FALSE),0)-IFERROR(VLOOKUP($H90,Prevs!$C$7:$I$279,2,FALSE),0)-IFERROR(VLOOKUP($I90,Prevs!$C$7:$I$279,2,FALSE),0)-IFERROR(VLOOKUP($F90,Prevs!$C$7:$I$279,2,FALSE),0)</f>
        <v>70</v>
      </c>
      <c r="L90" s="81">
        <f>VLOOKUP($C90,Prevs!$C$7:$I$279,3,FALSE)-IFERROR(VLOOKUP($E90,Prevs!$C$7:$I$279,3,FALSE),0)-IFERROR(VLOOKUP($D90,Prevs!$C$7:$I$279,3,FALSE),0)-IFERROR(VLOOKUP($G90,Prevs!$C$7:$I$279,3,FALSE),0)-IFERROR(VLOOKUP($H90,Prevs!$C$7:$I$279,3,FALSE),0)-IFERROR(VLOOKUP($I90,Prevs!$C$7:$I$279,3,FALSE),0)-IFERROR(VLOOKUP($F90,Prevs!$C$7:$I$279,3,FALSE),0)</f>
        <v>65</v>
      </c>
      <c r="M90" s="81">
        <f>VLOOKUP($C90,Prevs!$C$7:$I$279,4,FALSE)-IFERROR(VLOOKUP($E90,Prevs!$C$7:$I$279,4,FALSE),0)-IFERROR(VLOOKUP($D90,Prevs!$C$7:$I$279,4,FALSE),0)-IFERROR(VLOOKUP($G90,Prevs!$C$7:$I$279,4,FALSE),0)-IFERROR(VLOOKUP($H90,Prevs!$C$7:$I$279,4,FALSE),0)-IFERROR(VLOOKUP($I90,Prevs!$C$7:$I$279,4,FALSE),0)-IFERROR(VLOOKUP($F90,Prevs!$C$7:$I$279,4,FALSE),0)</f>
        <v>63</v>
      </c>
      <c r="N90" s="81">
        <f>VLOOKUP($C90,Prevs!$C$7:$I$279,5,FALSE)-IFERROR(VLOOKUP($E90,Prevs!$C$7:$I$279,5,FALSE),0)-IFERROR(VLOOKUP($D90,Prevs!$C$7:$I$279,5,FALSE),0)-IFERROR(VLOOKUP($G90,Prevs!$C$7:$I$279,5,FALSE),0)-IFERROR(VLOOKUP($H90,Prevs!$C$7:$I$279,5,FALSE),0)-IFERROR(VLOOKUP($I90,Prevs!$C$7:$I$279,5,FALSE),0)-IFERROR(VLOOKUP($F90,Prevs!$C$7:$I$279,5,FALSE),0)</f>
        <v>61</v>
      </c>
      <c r="O90" s="81">
        <f>VLOOKUP($C90,Prevs!$C$7:$I$279,6,FALSE)-IFERROR(VLOOKUP($E90,Prevs!$C$7:$I$279,6,FALSE),0)-IFERROR(VLOOKUP($D90,Prevs!$C$7:$I$279,6,FALSE),0)-IFERROR(VLOOKUP($G90,Prevs!$C$7:$I$279,6,FALSE),0)-IFERROR(VLOOKUP($H90,Prevs!$C$7:$I$279,6,FALSE),0)-IFERROR(VLOOKUP($I90,Prevs!$C$7:$I$279,6,FALSE),0)-IFERROR(VLOOKUP($F90,Prevs!$C$7:$I$279,6,FALSE),0)</f>
        <v>61</v>
      </c>
      <c r="P90" s="84">
        <f>VLOOKUP($C90,Prevs!$C$7:$I$279,7,FALSE)-IFERROR(VLOOKUP($E90,Prevs!$C$7:$I$279,7,FALSE),0)-IFERROR(VLOOKUP($D90,Prevs!$C$7:$I$279,7,FALSE),0)-IFERROR(VLOOKUP($G90,Prevs!$C$7:$I$279,7,FALSE),0)-IFERROR(VLOOKUP($H90,Prevs!$C$7:$I$279,7,FALSE),0)-IFERROR(VLOOKUP($I90,Prevs!$C$7:$I$279,7,FALSE),0)-IFERROR(VLOOKUP($F90,Prevs!$C$7:$I$279,7,FALSE),0)</f>
        <v>59</v>
      </c>
      <c r="Q90" s="276">
        <f t="shared" si="8"/>
        <v>140.58517907011199</v>
      </c>
      <c r="R90" s="271">
        <f t="shared" si="9"/>
        <v>130.543380565104</v>
      </c>
      <c r="S90" s="271">
        <f t="shared" si="10"/>
        <v>126.5266611631008</v>
      </c>
      <c r="T90" s="271">
        <f t="shared" si="11"/>
        <v>122.50994176109759</v>
      </c>
      <c r="U90" s="271">
        <f t="shared" si="12"/>
        <v>122.50994176109759</v>
      </c>
      <c r="V90" s="272">
        <f t="shared" si="13"/>
        <v>118.49322235909439</v>
      </c>
      <c r="X90" s="83"/>
      <c r="Y90" s="81"/>
      <c r="Z90" s="81"/>
      <c r="AA90" s="81"/>
      <c r="AB90" s="81"/>
      <c r="AC90" s="84"/>
      <c r="AD90" s="85"/>
      <c r="AE90" s="81"/>
      <c r="AF90" s="81"/>
      <c r="AG90" s="81"/>
      <c r="AH90" s="81"/>
      <c r="AI90" s="84"/>
    </row>
    <row r="91" spans="2:35" s="74" customFormat="1" ht="26.25" customHeight="1" x14ac:dyDescent="0.25">
      <c r="B91" s="151" t="s">
        <v>359</v>
      </c>
      <c r="C91" s="81">
        <v>295</v>
      </c>
      <c r="D91" s="92">
        <v>0</v>
      </c>
      <c r="E91" s="92">
        <v>0</v>
      </c>
      <c r="F91" s="92">
        <v>0</v>
      </c>
      <c r="G91" s="92">
        <v>0</v>
      </c>
      <c r="H91" s="92">
        <v>0</v>
      </c>
      <c r="I91" s="92">
        <v>0</v>
      </c>
      <c r="J91" s="259">
        <v>0.91823765030740601</v>
      </c>
      <c r="K91" s="83">
        <f>VLOOKUP($C91,Prevs!$C$7:$I$279,2,FALSE)-IFERROR(VLOOKUP($E91,Prevs!$C$7:$I$279,2,FALSE),0)-IFERROR(VLOOKUP($D91,Prevs!$C$7:$I$279,2,FALSE),0)-IFERROR(VLOOKUP($G91,Prevs!$C$7:$I$279,2,FALSE),0)-IFERROR(VLOOKUP($H91,Prevs!$C$7:$I$279,2,FALSE),0)-IFERROR(VLOOKUP($I91,Prevs!$C$7:$I$279,2,FALSE),0)-IFERROR(VLOOKUP($F91,Prevs!$C$7:$I$279,2,FALSE),0)</f>
        <v>79</v>
      </c>
      <c r="L91" s="81">
        <f>VLOOKUP($C91,Prevs!$C$7:$I$279,3,FALSE)-IFERROR(VLOOKUP($E91,Prevs!$C$7:$I$279,3,FALSE),0)-IFERROR(VLOOKUP($D91,Prevs!$C$7:$I$279,3,FALSE),0)-IFERROR(VLOOKUP($G91,Prevs!$C$7:$I$279,3,FALSE),0)-IFERROR(VLOOKUP($H91,Prevs!$C$7:$I$279,3,FALSE),0)-IFERROR(VLOOKUP($I91,Prevs!$C$7:$I$279,3,FALSE),0)-IFERROR(VLOOKUP($F91,Prevs!$C$7:$I$279,3,FALSE),0)</f>
        <v>78</v>
      </c>
      <c r="M91" s="81">
        <f>VLOOKUP($C91,Prevs!$C$7:$I$279,4,FALSE)-IFERROR(VLOOKUP($E91,Prevs!$C$7:$I$279,4,FALSE),0)-IFERROR(VLOOKUP($D91,Prevs!$C$7:$I$279,4,FALSE),0)-IFERROR(VLOOKUP($G91,Prevs!$C$7:$I$279,4,FALSE),0)-IFERROR(VLOOKUP($H91,Prevs!$C$7:$I$279,4,FALSE),0)-IFERROR(VLOOKUP($I91,Prevs!$C$7:$I$279,4,FALSE),0)-IFERROR(VLOOKUP($F91,Prevs!$C$7:$I$279,4,FALSE),0)</f>
        <v>77</v>
      </c>
      <c r="N91" s="81">
        <f>VLOOKUP($C91,Prevs!$C$7:$I$279,5,FALSE)-IFERROR(VLOOKUP($E91,Prevs!$C$7:$I$279,5,FALSE),0)-IFERROR(VLOOKUP($D91,Prevs!$C$7:$I$279,5,FALSE),0)-IFERROR(VLOOKUP($G91,Prevs!$C$7:$I$279,5,FALSE),0)-IFERROR(VLOOKUP($H91,Prevs!$C$7:$I$279,5,FALSE),0)-IFERROR(VLOOKUP($I91,Prevs!$C$7:$I$279,5,FALSE),0)-IFERROR(VLOOKUP($F91,Prevs!$C$7:$I$279,5,FALSE),0)</f>
        <v>76</v>
      </c>
      <c r="O91" s="81">
        <f>VLOOKUP($C91,Prevs!$C$7:$I$279,6,FALSE)-IFERROR(VLOOKUP($E91,Prevs!$C$7:$I$279,6,FALSE),0)-IFERROR(VLOOKUP($D91,Prevs!$C$7:$I$279,6,FALSE),0)-IFERROR(VLOOKUP($G91,Prevs!$C$7:$I$279,6,FALSE),0)-IFERROR(VLOOKUP($H91,Prevs!$C$7:$I$279,6,FALSE),0)-IFERROR(VLOOKUP($I91,Prevs!$C$7:$I$279,6,FALSE),0)-IFERROR(VLOOKUP($F91,Prevs!$C$7:$I$279,6,FALSE),0)</f>
        <v>75</v>
      </c>
      <c r="P91" s="84">
        <f>VLOOKUP($C91,Prevs!$C$7:$I$279,7,FALSE)-IFERROR(VLOOKUP($E91,Prevs!$C$7:$I$279,7,FALSE),0)-IFERROR(VLOOKUP($D91,Prevs!$C$7:$I$279,7,FALSE),0)-IFERROR(VLOOKUP($G91,Prevs!$C$7:$I$279,7,FALSE),0)-IFERROR(VLOOKUP($H91,Prevs!$C$7:$I$279,7,FALSE),0)-IFERROR(VLOOKUP($I91,Prevs!$C$7:$I$279,7,FALSE),0)-IFERROR(VLOOKUP($F91,Prevs!$C$7:$I$279,7,FALSE),0)</f>
        <v>75</v>
      </c>
      <c r="Q91" s="276">
        <f t="shared" si="8"/>
        <v>72.540774374285078</v>
      </c>
      <c r="R91" s="271">
        <f t="shared" si="9"/>
        <v>71.622536723977674</v>
      </c>
      <c r="S91" s="271">
        <f t="shared" si="10"/>
        <v>70.704299073670256</v>
      </c>
      <c r="T91" s="271">
        <f t="shared" si="11"/>
        <v>69.786061423362852</v>
      </c>
      <c r="U91" s="271">
        <f t="shared" si="12"/>
        <v>68.867823773055449</v>
      </c>
      <c r="V91" s="272">
        <f t="shared" si="13"/>
        <v>68.867823773055449</v>
      </c>
      <c r="X91" s="83"/>
      <c r="Y91" s="81"/>
      <c r="Z91" s="81"/>
      <c r="AA91" s="81"/>
      <c r="AB91" s="81"/>
      <c r="AC91" s="84"/>
      <c r="AD91" s="85"/>
      <c r="AE91" s="81"/>
      <c r="AF91" s="81"/>
      <c r="AG91" s="81"/>
      <c r="AH91" s="81"/>
      <c r="AI91" s="84"/>
    </row>
    <row r="92" spans="2:35" s="74" customFormat="1" ht="26.25" customHeight="1" x14ac:dyDescent="0.25">
      <c r="B92" s="151" t="s">
        <v>360</v>
      </c>
      <c r="C92" s="81">
        <v>296</v>
      </c>
      <c r="D92" s="92">
        <v>0</v>
      </c>
      <c r="E92" s="92">
        <v>0</v>
      </c>
      <c r="F92" s="92">
        <v>0</v>
      </c>
      <c r="G92" s="92">
        <v>0</v>
      </c>
      <c r="H92" s="92">
        <v>0</v>
      </c>
      <c r="I92" s="92">
        <v>0</v>
      </c>
      <c r="J92" s="259">
        <v>1.4108353476095199</v>
      </c>
      <c r="K92" s="83">
        <f>VLOOKUP($C92,Prevs!$C$7:$I$279,2,FALSE)-IFERROR(VLOOKUP($E92,Prevs!$C$7:$I$279,2,FALSE),0)-IFERROR(VLOOKUP($D92,Prevs!$C$7:$I$279,2,FALSE),0)-IFERROR(VLOOKUP($G92,Prevs!$C$7:$I$279,2,FALSE),0)-IFERROR(VLOOKUP($H92,Prevs!$C$7:$I$279,2,FALSE),0)-IFERROR(VLOOKUP($I92,Prevs!$C$7:$I$279,2,FALSE),0)-IFERROR(VLOOKUP($F92,Prevs!$C$7:$I$279,2,FALSE),0)</f>
        <v>36</v>
      </c>
      <c r="L92" s="81">
        <f>VLOOKUP($C92,Prevs!$C$7:$I$279,3,FALSE)-IFERROR(VLOOKUP($E92,Prevs!$C$7:$I$279,3,FALSE),0)-IFERROR(VLOOKUP($D92,Prevs!$C$7:$I$279,3,FALSE),0)-IFERROR(VLOOKUP($G92,Prevs!$C$7:$I$279,3,FALSE),0)-IFERROR(VLOOKUP($H92,Prevs!$C$7:$I$279,3,FALSE),0)-IFERROR(VLOOKUP($I92,Prevs!$C$7:$I$279,3,FALSE),0)-IFERROR(VLOOKUP($F92,Prevs!$C$7:$I$279,3,FALSE),0)</f>
        <v>36</v>
      </c>
      <c r="M92" s="81">
        <f>VLOOKUP($C92,Prevs!$C$7:$I$279,4,FALSE)-IFERROR(VLOOKUP($E92,Prevs!$C$7:$I$279,4,FALSE),0)-IFERROR(VLOOKUP($D92,Prevs!$C$7:$I$279,4,FALSE),0)-IFERROR(VLOOKUP($G92,Prevs!$C$7:$I$279,4,FALSE),0)-IFERROR(VLOOKUP($H92,Prevs!$C$7:$I$279,4,FALSE),0)-IFERROR(VLOOKUP($I92,Prevs!$C$7:$I$279,4,FALSE),0)-IFERROR(VLOOKUP($F92,Prevs!$C$7:$I$279,4,FALSE),0)</f>
        <v>35</v>
      </c>
      <c r="N92" s="81">
        <f>VLOOKUP($C92,Prevs!$C$7:$I$279,5,FALSE)-IFERROR(VLOOKUP($E92,Prevs!$C$7:$I$279,5,FALSE),0)-IFERROR(VLOOKUP($D92,Prevs!$C$7:$I$279,5,FALSE),0)-IFERROR(VLOOKUP($G92,Prevs!$C$7:$I$279,5,FALSE),0)-IFERROR(VLOOKUP($H92,Prevs!$C$7:$I$279,5,FALSE),0)-IFERROR(VLOOKUP($I92,Prevs!$C$7:$I$279,5,FALSE),0)-IFERROR(VLOOKUP($F92,Prevs!$C$7:$I$279,5,FALSE),0)</f>
        <v>35</v>
      </c>
      <c r="O92" s="81">
        <f>VLOOKUP($C92,Prevs!$C$7:$I$279,6,FALSE)-IFERROR(VLOOKUP($E92,Prevs!$C$7:$I$279,6,FALSE),0)-IFERROR(VLOOKUP($D92,Prevs!$C$7:$I$279,6,FALSE),0)-IFERROR(VLOOKUP($G92,Prevs!$C$7:$I$279,6,FALSE),0)-IFERROR(VLOOKUP($H92,Prevs!$C$7:$I$279,6,FALSE),0)-IFERROR(VLOOKUP($I92,Prevs!$C$7:$I$279,6,FALSE),0)-IFERROR(VLOOKUP($F92,Prevs!$C$7:$I$279,6,FALSE),0)</f>
        <v>35</v>
      </c>
      <c r="P92" s="84">
        <f>VLOOKUP($C92,Prevs!$C$7:$I$279,7,FALSE)-IFERROR(VLOOKUP($E92,Prevs!$C$7:$I$279,7,FALSE),0)-IFERROR(VLOOKUP($D92,Prevs!$C$7:$I$279,7,FALSE),0)-IFERROR(VLOOKUP($G92,Prevs!$C$7:$I$279,7,FALSE),0)-IFERROR(VLOOKUP($H92,Prevs!$C$7:$I$279,7,FALSE),0)-IFERROR(VLOOKUP($I92,Prevs!$C$7:$I$279,7,FALSE),0)-IFERROR(VLOOKUP($F92,Prevs!$C$7:$I$279,7,FALSE),0)</f>
        <v>34</v>
      </c>
      <c r="Q92" s="276">
        <f t="shared" si="8"/>
        <v>50.790072513942718</v>
      </c>
      <c r="R92" s="271">
        <f t="shared" si="9"/>
        <v>50.790072513942718</v>
      </c>
      <c r="S92" s="271">
        <f t="shared" si="10"/>
        <v>49.379237166333198</v>
      </c>
      <c r="T92" s="271">
        <f t="shared" si="11"/>
        <v>49.379237166333198</v>
      </c>
      <c r="U92" s="271">
        <f t="shared" si="12"/>
        <v>49.379237166333198</v>
      </c>
      <c r="V92" s="272">
        <f t="shared" si="13"/>
        <v>47.968401818723677</v>
      </c>
      <c r="X92" s="83"/>
      <c r="Y92" s="81"/>
      <c r="Z92" s="81"/>
      <c r="AA92" s="81"/>
      <c r="AB92" s="81"/>
      <c r="AC92" s="84"/>
      <c r="AD92" s="85"/>
      <c r="AE92" s="81"/>
      <c r="AF92" s="81"/>
      <c r="AG92" s="81"/>
      <c r="AH92" s="81"/>
      <c r="AI92" s="84"/>
    </row>
    <row r="93" spans="2:35" s="74" customFormat="1" ht="26.25" customHeight="1" x14ac:dyDescent="0.25">
      <c r="B93" s="151" t="s">
        <v>361</v>
      </c>
      <c r="C93" s="81">
        <v>23</v>
      </c>
      <c r="D93" s="92">
        <v>205</v>
      </c>
      <c r="E93" s="92">
        <v>0</v>
      </c>
      <c r="F93" s="92">
        <v>0</v>
      </c>
      <c r="G93" s="92">
        <v>0</v>
      </c>
      <c r="H93" s="92">
        <v>0</v>
      </c>
      <c r="I93" s="92">
        <v>0</v>
      </c>
      <c r="J93" s="259">
        <v>4.3728483595044096</v>
      </c>
      <c r="K93" s="83">
        <f>VLOOKUP($C93,Prevs!$C$7:$I$279,2,FALSE)-IFERROR(VLOOKUP($E93,Prevs!$C$7:$I$279,2,FALSE),0)-IFERROR(VLOOKUP($D93,Prevs!$C$7:$I$279,2,FALSE),0)-IFERROR(VLOOKUP($G93,Prevs!$C$7:$I$279,2,FALSE),0)-IFERROR(VLOOKUP($H93,Prevs!$C$7:$I$279,2,FALSE),0)-IFERROR(VLOOKUP($I93,Prevs!$C$7:$I$279,2,FALSE),0)-IFERROR(VLOOKUP($F93,Prevs!$C$7:$I$279,2,FALSE),0)</f>
        <v>16</v>
      </c>
      <c r="L93" s="81">
        <f>VLOOKUP($C93,Prevs!$C$7:$I$279,3,FALSE)-IFERROR(VLOOKUP($E93,Prevs!$C$7:$I$279,3,FALSE),0)-IFERROR(VLOOKUP($D93,Prevs!$C$7:$I$279,3,FALSE),0)-IFERROR(VLOOKUP($G93,Prevs!$C$7:$I$279,3,FALSE),0)-IFERROR(VLOOKUP($H93,Prevs!$C$7:$I$279,3,FALSE),0)-IFERROR(VLOOKUP($I93,Prevs!$C$7:$I$279,3,FALSE),0)-IFERROR(VLOOKUP($F93,Prevs!$C$7:$I$279,3,FALSE),0)</f>
        <v>18</v>
      </c>
      <c r="M93" s="81">
        <f>VLOOKUP($C93,Prevs!$C$7:$I$279,4,FALSE)-IFERROR(VLOOKUP($E93,Prevs!$C$7:$I$279,4,FALSE),0)-IFERROR(VLOOKUP($D93,Prevs!$C$7:$I$279,4,FALSE),0)-IFERROR(VLOOKUP($G93,Prevs!$C$7:$I$279,4,FALSE),0)-IFERROR(VLOOKUP($H93,Prevs!$C$7:$I$279,4,FALSE),0)-IFERROR(VLOOKUP($I93,Prevs!$C$7:$I$279,4,FALSE),0)-IFERROR(VLOOKUP($F93,Prevs!$C$7:$I$279,4,FALSE),0)</f>
        <v>15</v>
      </c>
      <c r="N93" s="81">
        <f>VLOOKUP($C93,Prevs!$C$7:$I$279,5,FALSE)-IFERROR(VLOOKUP($E93,Prevs!$C$7:$I$279,5,FALSE),0)-IFERROR(VLOOKUP($D93,Prevs!$C$7:$I$279,5,FALSE),0)-IFERROR(VLOOKUP($G93,Prevs!$C$7:$I$279,5,FALSE),0)-IFERROR(VLOOKUP($H93,Prevs!$C$7:$I$279,5,FALSE),0)-IFERROR(VLOOKUP($I93,Prevs!$C$7:$I$279,5,FALSE),0)-IFERROR(VLOOKUP($F93,Prevs!$C$7:$I$279,5,FALSE),0)</f>
        <v>16</v>
      </c>
      <c r="O93" s="81">
        <f>VLOOKUP($C93,Prevs!$C$7:$I$279,6,FALSE)-IFERROR(VLOOKUP($E93,Prevs!$C$7:$I$279,6,FALSE),0)-IFERROR(VLOOKUP($D93,Prevs!$C$7:$I$279,6,FALSE),0)-IFERROR(VLOOKUP($G93,Prevs!$C$7:$I$279,6,FALSE),0)-IFERROR(VLOOKUP($H93,Prevs!$C$7:$I$279,6,FALSE),0)-IFERROR(VLOOKUP($I93,Prevs!$C$7:$I$279,6,FALSE),0)-IFERROR(VLOOKUP($F93,Prevs!$C$7:$I$279,6,FALSE),0)</f>
        <v>15</v>
      </c>
      <c r="P93" s="84">
        <f>VLOOKUP($C93,Prevs!$C$7:$I$279,7,FALSE)-IFERROR(VLOOKUP($E93,Prevs!$C$7:$I$279,7,FALSE),0)-IFERROR(VLOOKUP($D93,Prevs!$C$7:$I$279,7,FALSE),0)-IFERROR(VLOOKUP($G93,Prevs!$C$7:$I$279,7,FALSE),0)-IFERROR(VLOOKUP($H93,Prevs!$C$7:$I$279,7,FALSE),0)-IFERROR(VLOOKUP($I93,Prevs!$C$7:$I$279,7,FALSE),0)-IFERROR(VLOOKUP($F93,Prevs!$C$7:$I$279,7,FALSE),0)</f>
        <v>12</v>
      </c>
      <c r="Q93" s="276">
        <f t="shared" si="8"/>
        <v>69.965573752070554</v>
      </c>
      <c r="R93" s="271">
        <f t="shared" si="9"/>
        <v>78.711270471079374</v>
      </c>
      <c r="S93" s="271">
        <f t="shared" si="10"/>
        <v>65.592725392566138</v>
      </c>
      <c r="T93" s="271">
        <f t="shared" si="11"/>
        <v>69.965573752070554</v>
      </c>
      <c r="U93" s="271">
        <f t="shared" si="12"/>
        <v>65.592725392566138</v>
      </c>
      <c r="V93" s="272">
        <f t="shared" si="13"/>
        <v>52.474180314052916</v>
      </c>
      <c r="X93" s="83"/>
      <c r="Y93" s="81"/>
      <c r="Z93" s="81"/>
      <c r="AA93" s="81"/>
      <c r="AB93" s="81"/>
      <c r="AC93" s="84"/>
      <c r="AD93" s="85"/>
      <c r="AE93" s="81"/>
      <c r="AF93" s="81"/>
      <c r="AG93" s="81"/>
      <c r="AH93" s="81"/>
      <c r="AI93" s="84"/>
    </row>
    <row r="94" spans="2:35" s="74" customFormat="1" ht="26.25" customHeight="1" x14ac:dyDescent="0.25">
      <c r="B94" s="151" t="s">
        <v>362</v>
      </c>
      <c r="C94" s="81">
        <v>205</v>
      </c>
      <c r="D94" s="92">
        <v>0</v>
      </c>
      <c r="E94" s="92">
        <v>0</v>
      </c>
      <c r="F94" s="92">
        <v>0</v>
      </c>
      <c r="G94" s="92">
        <v>0</v>
      </c>
      <c r="H94" s="92">
        <v>0</v>
      </c>
      <c r="I94" s="92">
        <v>0</v>
      </c>
      <c r="J94" s="259">
        <v>4.9954853035387696</v>
      </c>
      <c r="K94" s="83">
        <f>VLOOKUP($C94,Prevs!$C$7:$I$279,2,FALSE)-IFERROR(VLOOKUP($E94,Prevs!$C$7:$I$279,2,FALSE),0)-IFERROR(VLOOKUP($D94,Prevs!$C$7:$I$279,2,FALSE),0)-IFERROR(VLOOKUP($G94,Prevs!$C$7:$I$279,2,FALSE),0)-IFERROR(VLOOKUP($H94,Prevs!$C$7:$I$279,2,FALSE),0)-IFERROR(VLOOKUP($I94,Prevs!$C$7:$I$279,2,FALSE),0)-IFERROR(VLOOKUP($F94,Prevs!$C$7:$I$279,2,FALSE),0)</f>
        <v>71</v>
      </c>
      <c r="L94" s="81">
        <f>VLOOKUP($C94,Prevs!$C$7:$I$279,3,FALSE)-IFERROR(VLOOKUP($E94,Prevs!$C$7:$I$279,3,FALSE),0)-IFERROR(VLOOKUP($D94,Prevs!$C$7:$I$279,3,FALSE),0)-IFERROR(VLOOKUP($G94,Prevs!$C$7:$I$279,3,FALSE),0)-IFERROR(VLOOKUP($H94,Prevs!$C$7:$I$279,3,FALSE),0)-IFERROR(VLOOKUP($I94,Prevs!$C$7:$I$279,3,FALSE),0)-IFERROR(VLOOKUP($F94,Prevs!$C$7:$I$279,3,FALSE),0)</f>
        <v>66</v>
      </c>
      <c r="M94" s="81">
        <f>VLOOKUP($C94,Prevs!$C$7:$I$279,4,FALSE)-IFERROR(VLOOKUP($E94,Prevs!$C$7:$I$279,4,FALSE),0)-IFERROR(VLOOKUP($D94,Prevs!$C$7:$I$279,4,FALSE),0)-IFERROR(VLOOKUP($G94,Prevs!$C$7:$I$279,4,FALSE),0)-IFERROR(VLOOKUP($H94,Prevs!$C$7:$I$279,4,FALSE),0)-IFERROR(VLOOKUP($I94,Prevs!$C$7:$I$279,4,FALSE),0)-IFERROR(VLOOKUP($F94,Prevs!$C$7:$I$279,4,FALSE),0)</f>
        <v>63</v>
      </c>
      <c r="N94" s="81">
        <f>VLOOKUP($C94,Prevs!$C$7:$I$279,5,FALSE)-IFERROR(VLOOKUP($E94,Prevs!$C$7:$I$279,5,FALSE),0)-IFERROR(VLOOKUP($D94,Prevs!$C$7:$I$279,5,FALSE),0)-IFERROR(VLOOKUP($G94,Prevs!$C$7:$I$279,5,FALSE),0)-IFERROR(VLOOKUP($H94,Prevs!$C$7:$I$279,5,FALSE),0)-IFERROR(VLOOKUP($I94,Prevs!$C$7:$I$279,5,FALSE),0)-IFERROR(VLOOKUP($F94,Prevs!$C$7:$I$279,5,FALSE),0)</f>
        <v>59</v>
      </c>
      <c r="O94" s="81">
        <f>VLOOKUP($C94,Prevs!$C$7:$I$279,6,FALSE)-IFERROR(VLOOKUP($E94,Prevs!$C$7:$I$279,6,FALSE),0)-IFERROR(VLOOKUP($D94,Prevs!$C$7:$I$279,6,FALSE),0)-IFERROR(VLOOKUP($G94,Prevs!$C$7:$I$279,6,FALSE),0)-IFERROR(VLOOKUP($H94,Prevs!$C$7:$I$279,6,FALSE),0)-IFERROR(VLOOKUP($I94,Prevs!$C$7:$I$279,6,FALSE),0)-IFERROR(VLOOKUP($F94,Prevs!$C$7:$I$279,6,FALSE),0)</f>
        <v>57</v>
      </c>
      <c r="P94" s="84">
        <f>VLOOKUP($C94,Prevs!$C$7:$I$279,7,FALSE)-IFERROR(VLOOKUP($E94,Prevs!$C$7:$I$279,7,FALSE),0)-IFERROR(VLOOKUP($D94,Prevs!$C$7:$I$279,7,FALSE),0)-IFERROR(VLOOKUP($G94,Prevs!$C$7:$I$279,7,FALSE),0)-IFERROR(VLOOKUP($H94,Prevs!$C$7:$I$279,7,FALSE),0)-IFERROR(VLOOKUP($I94,Prevs!$C$7:$I$279,7,FALSE),0)-IFERROR(VLOOKUP($F94,Prevs!$C$7:$I$279,7,FALSE),0)</f>
        <v>55</v>
      </c>
      <c r="Q94" s="276">
        <f t="shared" si="8"/>
        <v>354.67945655125266</v>
      </c>
      <c r="R94" s="271">
        <f t="shared" si="9"/>
        <v>329.7020300335588</v>
      </c>
      <c r="S94" s="271">
        <f t="shared" si="10"/>
        <v>314.71557412294248</v>
      </c>
      <c r="T94" s="271">
        <f t="shared" si="11"/>
        <v>294.7336329087874</v>
      </c>
      <c r="U94" s="271">
        <f t="shared" si="12"/>
        <v>284.74266230170986</v>
      </c>
      <c r="V94" s="272">
        <f t="shared" si="13"/>
        <v>274.75169169463231</v>
      </c>
      <c r="X94" s="83"/>
      <c r="Y94" s="81"/>
      <c r="Z94" s="81"/>
      <c r="AA94" s="81"/>
      <c r="AB94" s="81"/>
      <c r="AC94" s="84"/>
      <c r="AD94" s="85"/>
      <c r="AE94" s="81"/>
      <c r="AF94" s="81"/>
      <c r="AG94" s="81"/>
      <c r="AH94" s="81"/>
      <c r="AI94" s="84"/>
    </row>
    <row r="95" spans="2:35" s="74" customFormat="1" ht="26.25" customHeight="1" x14ac:dyDescent="0.25">
      <c r="B95" s="151" t="s">
        <v>169</v>
      </c>
      <c r="C95" s="81">
        <v>141</v>
      </c>
      <c r="D95" s="92">
        <v>263</v>
      </c>
      <c r="E95" s="92">
        <v>149</v>
      </c>
      <c r="F95" s="92">
        <v>183</v>
      </c>
      <c r="G95" s="92">
        <v>0</v>
      </c>
      <c r="H95" s="92">
        <v>0</v>
      </c>
      <c r="I95" s="92">
        <v>0</v>
      </c>
      <c r="J95" s="259">
        <v>0.59022579367047201</v>
      </c>
      <c r="K95" s="83">
        <f>VLOOKUP($C95,Prevs!$C$7:$I$279,2,FALSE)-IFERROR(VLOOKUP($E95,Prevs!$C$7:$I$279,2,FALSE),0)-IFERROR(VLOOKUP($D95,Prevs!$C$7:$I$279,2,FALSE),0)-IFERROR(VLOOKUP($G95,Prevs!$C$7:$I$279,2,FALSE),0)-IFERROR(VLOOKUP($H95,Prevs!$C$7:$I$279,2,FALSE),0)-IFERROR(VLOOKUP($I95,Prevs!$C$7:$I$279,2,FALSE),0)-IFERROR(VLOOKUP($F95,Prevs!$C$7:$I$279,2,FALSE),0)</f>
        <v>114</v>
      </c>
      <c r="L95" s="81">
        <f>VLOOKUP($C95,Prevs!$C$7:$I$279,3,FALSE)-IFERROR(VLOOKUP($E95,Prevs!$C$7:$I$279,3,FALSE),0)-IFERROR(VLOOKUP($D95,Prevs!$C$7:$I$279,3,FALSE),0)-IFERROR(VLOOKUP($G95,Prevs!$C$7:$I$279,3,FALSE),0)-IFERROR(VLOOKUP($H95,Prevs!$C$7:$I$279,3,FALSE),0)-IFERROR(VLOOKUP($I95,Prevs!$C$7:$I$279,3,FALSE),0)-IFERROR(VLOOKUP($F95,Prevs!$C$7:$I$279,3,FALSE),0)</f>
        <v>114</v>
      </c>
      <c r="M95" s="81">
        <f>VLOOKUP($C95,Prevs!$C$7:$I$279,4,FALSE)-IFERROR(VLOOKUP($E95,Prevs!$C$7:$I$279,4,FALSE),0)-IFERROR(VLOOKUP($D95,Prevs!$C$7:$I$279,4,FALSE),0)-IFERROR(VLOOKUP($G95,Prevs!$C$7:$I$279,4,FALSE),0)-IFERROR(VLOOKUP($H95,Prevs!$C$7:$I$279,4,FALSE),0)-IFERROR(VLOOKUP($I95,Prevs!$C$7:$I$279,4,FALSE),0)-IFERROR(VLOOKUP($F95,Prevs!$C$7:$I$279,4,FALSE),0)</f>
        <v>108</v>
      </c>
      <c r="N95" s="81">
        <f>VLOOKUP($C95,Prevs!$C$7:$I$279,5,FALSE)-IFERROR(VLOOKUP($E95,Prevs!$C$7:$I$279,5,FALSE),0)-IFERROR(VLOOKUP($D95,Prevs!$C$7:$I$279,5,FALSE),0)-IFERROR(VLOOKUP($G95,Prevs!$C$7:$I$279,5,FALSE),0)-IFERROR(VLOOKUP($H95,Prevs!$C$7:$I$279,5,FALSE),0)-IFERROR(VLOOKUP($I95,Prevs!$C$7:$I$279,5,FALSE),0)-IFERROR(VLOOKUP($F95,Prevs!$C$7:$I$279,5,FALSE),0)</f>
        <v>108</v>
      </c>
      <c r="O95" s="81">
        <f>VLOOKUP($C95,Prevs!$C$7:$I$279,6,FALSE)-IFERROR(VLOOKUP($E95,Prevs!$C$7:$I$279,6,FALSE),0)-IFERROR(VLOOKUP($D95,Prevs!$C$7:$I$279,6,FALSE),0)-IFERROR(VLOOKUP($G95,Prevs!$C$7:$I$279,6,FALSE),0)-IFERROR(VLOOKUP($H95,Prevs!$C$7:$I$279,6,FALSE),0)-IFERROR(VLOOKUP($I95,Prevs!$C$7:$I$279,6,FALSE),0)-IFERROR(VLOOKUP($F95,Prevs!$C$7:$I$279,6,FALSE),0)</f>
        <v>105</v>
      </c>
      <c r="P95" s="84">
        <f>VLOOKUP($C95,Prevs!$C$7:$I$279,7,FALSE)-IFERROR(VLOOKUP($E95,Prevs!$C$7:$I$279,7,FALSE),0)-IFERROR(VLOOKUP($D95,Prevs!$C$7:$I$279,7,FALSE),0)-IFERROR(VLOOKUP($G95,Prevs!$C$7:$I$279,7,FALSE),0)-IFERROR(VLOOKUP($H95,Prevs!$C$7:$I$279,7,FALSE),0)-IFERROR(VLOOKUP($I95,Prevs!$C$7:$I$279,7,FALSE),0)-IFERROR(VLOOKUP($F95,Prevs!$C$7:$I$279,7,FALSE),0)</f>
        <v>106</v>
      </c>
      <c r="Q95" s="276">
        <f t="shared" si="8"/>
        <v>67.285740478433809</v>
      </c>
      <c r="R95" s="271">
        <f t="shared" si="9"/>
        <v>67.285740478433809</v>
      </c>
      <c r="S95" s="271">
        <f t="shared" si="10"/>
        <v>63.744385716410974</v>
      </c>
      <c r="T95" s="271">
        <f t="shared" si="11"/>
        <v>63.744385716410974</v>
      </c>
      <c r="U95" s="271">
        <f t="shared" si="12"/>
        <v>61.973708335399564</v>
      </c>
      <c r="V95" s="272">
        <f t="shared" si="13"/>
        <v>62.563934129070034</v>
      </c>
      <c r="X95" s="83"/>
      <c r="Y95" s="81"/>
      <c r="Z95" s="81"/>
      <c r="AA95" s="81"/>
      <c r="AB95" s="81"/>
      <c r="AC95" s="84"/>
      <c r="AD95" s="85"/>
      <c r="AE95" s="81"/>
      <c r="AF95" s="81"/>
      <c r="AG95" s="81"/>
      <c r="AH95" s="81"/>
      <c r="AI95" s="84"/>
    </row>
    <row r="96" spans="2:35" s="74" customFormat="1" ht="26.25" customHeight="1" x14ac:dyDescent="0.25">
      <c r="B96" s="151" t="s">
        <v>192</v>
      </c>
      <c r="C96" s="81">
        <v>155</v>
      </c>
      <c r="D96" s="92">
        <v>0</v>
      </c>
      <c r="E96" s="92">
        <v>0</v>
      </c>
      <c r="F96" s="92">
        <v>0</v>
      </c>
      <c r="G96" s="92">
        <v>0</v>
      </c>
      <c r="H96" s="92">
        <v>0</v>
      </c>
      <c r="I96" s="92">
        <v>0</v>
      </c>
      <c r="J96" s="259">
        <v>0.75620036898601295</v>
      </c>
      <c r="K96" s="83">
        <f>VLOOKUP($C96,Prevs!$C$7:$I$279,2,FALSE)-IFERROR(VLOOKUP($E96,Prevs!$C$7:$I$279,2,FALSE),0)-IFERROR(VLOOKUP($D96,Prevs!$C$7:$I$279,2,FALSE),0)-IFERROR(VLOOKUP($G96,Prevs!$C$7:$I$279,2,FALSE),0)-IFERROR(VLOOKUP($H96,Prevs!$C$7:$I$279,2,FALSE),0)-IFERROR(VLOOKUP($I96,Prevs!$C$7:$I$279,2,FALSE),0)-IFERROR(VLOOKUP($F96,Prevs!$C$7:$I$279,2,FALSE),0)</f>
        <v>27</v>
      </c>
      <c r="L96" s="81">
        <f>VLOOKUP($C96,Prevs!$C$7:$I$279,3,FALSE)-IFERROR(VLOOKUP($E96,Prevs!$C$7:$I$279,3,FALSE),0)-IFERROR(VLOOKUP($D96,Prevs!$C$7:$I$279,3,FALSE),0)-IFERROR(VLOOKUP($G96,Prevs!$C$7:$I$279,3,FALSE),0)-IFERROR(VLOOKUP($H96,Prevs!$C$7:$I$279,3,FALSE),0)-IFERROR(VLOOKUP($I96,Prevs!$C$7:$I$279,3,FALSE),0)-IFERROR(VLOOKUP($F96,Prevs!$C$7:$I$279,3,FALSE),0)</f>
        <v>28</v>
      </c>
      <c r="M96" s="81">
        <f>VLOOKUP($C96,Prevs!$C$7:$I$279,4,FALSE)-IFERROR(VLOOKUP($E96,Prevs!$C$7:$I$279,4,FALSE),0)-IFERROR(VLOOKUP($D96,Prevs!$C$7:$I$279,4,FALSE),0)-IFERROR(VLOOKUP($G96,Prevs!$C$7:$I$279,4,FALSE),0)-IFERROR(VLOOKUP($H96,Prevs!$C$7:$I$279,4,FALSE),0)-IFERROR(VLOOKUP($I96,Prevs!$C$7:$I$279,4,FALSE),0)-IFERROR(VLOOKUP($F96,Prevs!$C$7:$I$279,4,FALSE),0)</f>
        <v>27</v>
      </c>
      <c r="N96" s="81">
        <f>VLOOKUP($C96,Prevs!$C$7:$I$279,5,FALSE)-IFERROR(VLOOKUP($E96,Prevs!$C$7:$I$279,5,FALSE),0)-IFERROR(VLOOKUP($D96,Prevs!$C$7:$I$279,5,FALSE),0)-IFERROR(VLOOKUP($G96,Prevs!$C$7:$I$279,5,FALSE),0)-IFERROR(VLOOKUP($H96,Prevs!$C$7:$I$279,5,FALSE),0)-IFERROR(VLOOKUP($I96,Prevs!$C$7:$I$279,5,FALSE),0)-IFERROR(VLOOKUP($F96,Prevs!$C$7:$I$279,5,FALSE),0)</f>
        <v>26</v>
      </c>
      <c r="O96" s="81">
        <f>VLOOKUP($C96,Prevs!$C$7:$I$279,6,FALSE)-IFERROR(VLOOKUP($E96,Prevs!$C$7:$I$279,6,FALSE),0)-IFERROR(VLOOKUP($D96,Prevs!$C$7:$I$279,6,FALSE),0)-IFERROR(VLOOKUP($G96,Prevs!$C$7:$I$279,6,FALSE),0)-IFERROR(VLOOKUP($H96,Prevs!$C$7:$I$279,6,FALSE),0)-IFERROR(VLOOKUP($I96,Prevs!$C$7:$I$279,6,FALSE),0)-IFERROR(VLOOKUP($F96,Prevs!$C$7:$I$279,6,FALSE),0)</f>
        <v>26</v>
      </c>
      <c r="P96" s="84">
        <f>VLOOKUP($C96,Prevs!$C$7:$I$279,7,FALSE)-IFERROR(VLOOKUP($E96,Prevs!$C$7:$I$279,7,FALSE),0)-IFERROR(VLOOKUP($D96,Prevs!$C$7:$I$279,7,FALSE),0)-IFERROR(VLOOKUP($G96,Prevs!$C$7:$I$279,7,FALSE),0)-IFERROR(VLOOKUP($H96,Prevs!$C$7:$I$279,7,FALSE),0)-IFERROR(VLOOKUP($I96,Prevs!$C$7:$I$279,7,FALSE),0)-IFERROR(VLOOKUP($F96,Prevs!$C$7:$I$279,7,FALSE),0)</f>
        <v>26</v>
      </c>
      <c r="Q96" s="276">
        <f t="shared" si="8"/>
        <v>20.417409962622351</v>
      </c>
      <c r="R96" s="271">
        <f t="shared" si="9"/>
        <v>21.173610331608362</v>
      </c>
      <c r="S96" s="271">
        <f t="shared" si="10"/>
        <v>20.417409962622351</v>
      </c>
      <c r="T96" s="271">
        <f t="shared" si="11"/>
        <v>19.661209593636336</v>
      </c>
      <c r="U96" s="271">
        <f t="shared" si="12"/>
        <v>19.661209593636336</v>
      </c>
      <c r="V96" s="272">
        <f t="shared" si="13"/>
        <v>19.661209593636336</v>
      </c>
      <c r="X96" s="83"/>
      <c r="Y96" s="81"/>
      <c r="Z96" s="81"/>
      <c r="AA96" s="81"/>
      <c r="AB96" s="81"/>
      <c r="AC96" s="84"/>
      <c r="AD96" s="85"/>
      <c r="AE96" s="81"/>
      <c r="AF96" s="81"/>
      <c r="AG96" s="81"/>
      <c r="AH96" s="81"/>
      <c r="AI96" s="84"/>
    </row>
    <row r="97" spans="2:35" s="74" customFormat="1" ht="26.25" customHeight="1" x14ac:dyDescent="0.25">
      <c r="B97" s="151" t="s">
        <v>107</v>
      </c>
      <c r="C97" s="81">
        <v>247</v>
      </c>
      <c r="D97" s="92">
        <v>0</v>
      </c>
      <c r="E97" s="92">
        <v>0</v>
      </c>
      <c r="F97" s="92">
        <v>0</v>
      </c>
      <c r="G97" s="92">
        <v>0</v>
      </c>
      <c r="H97" s="92">
        <v>0</v>
      </c>
      <c r="I97" s="92">
        <v>0</v>
      </c>
      <c r="J97" s="259">
        <v>2.63565885441967</v>
      </c>
      <c r="K97" s="83">
        <f>VLOOKUP($C97,Prevs!$C$7:$I$279,2,FALSE)-IFERROR(VLOOKUP($E97,Prevs!$C$7:$I$279,2,FALSE),0)-IFERROR(VLOOKUP($D97,Prevs!$C$7:$I$279,2,FALSE),0)-IFERROR(VLOOKUP($G97,Prevs!$C$7:$I$279,2,FALSE),0)-IFERROR(VLOOKUP($H97,Prevs!$C$7:$I$279,2,FALSE),0)-IFERROR(VLOOKUP($I97,Prevs!$C$7:$I$279,2,FALSE),0)-IFERROR(VLOOKUP($F97,Prevs!$C$7:$I$279,2,FALSE),0)</f>
        <v>111</v>
      </c>
      <c r="L97" s="81">
        <f>VLOOKUP($C97,Prevs!$C$7:$I$279,3,FALSE)-IFERROR(VLOOKUP($E97,Prevs!$C$7:$I$279,3,FALSE),0)-IFERROR(VLOOKUP($D97,Prevs!$C$7:$I$279,3,FALSE),0)-IFERROR(VLOOKUP($G97,Prevs!$C$7:$I$279,3,FALSE),0)-IFERROR(VLOOKUP($H97,Prevs!$C$7:$I$279,3,FALSE),0)-IFERROR(VLOOKUP($I97,Prevs!$C$7:$I$279,3,FALSE),0)-IFERROR(VLOOKUP($F97,Prevs!$C$7:$I$279,3,FALSE),0)</f>
        <v>108</v>
      </c>
      <c r="M97" s="81">
        <f>VLOOKUP($C97,Prevs!$C$7:$I$279,4,FALSE)-IFERROR(VLOOKUP($E97,Prevs!$C$7:$I$279,4,FALSE),0)-IFERROR(VLOOKUP($D97,Prevs!$C$7:$I$279,4,FALSE),0)-IFERROR(VLOOKUP($G97,Prevs!$C$7:$I$279,4,FALSE),0)-IFERROR(VLOOKUP($H97,Prevs!$C$7:$I$279,4,FALSE),0)-IFERROR(VLOOKUP($I97,Prevs!$C$7:$I$279,4,FALSE),0)-IFERROR(VLOOKUP($F97,Prevs!$C$7:$I$279,4,FALSE),0)</f>
        <v>108</v>
      </c>
      <c r="N97" s="81">
        <f>VLOOKUP($C97,Prevs!$C$7:$I$279,5,FALSE)-IFERROR(VLOOKUP($E97,Prevs!$C$7:$I$279,5,FALSE),0)-IFERROR(VLOOKUP($D97,Prevs!$C$7:$I$279,5,FALSE),0)-IFERROR(VLOOKUP($G97,Prevs!$C$7:$I$279,5,FALSE),0)-IFERROR(VLOOKUP($H97,Prevs!$C$7:$I$279,5,FALSE),0)-IFERROR(VLOOKUP($I97,Prevs!$C$7:$I$279,5,FALSE),0)-IFERROR(VLOOKUP($F97,Prevs!$C$7:$I$279,5,FALSE),0)</f>
        <v>104</v>
      </c>
      <c r="O97" s="81">
        <f>VLOOKUP($C97,Prevs!$C$7:$I$279,6,FALSE)-IFERROR(VLOOKUP($E97,Prevs!$C$7:$I$279,6,FALSE),0)-IFERROR(VLOOKUP($D97,Prevs!$C$7:$I$279,6,FALSE),0)-IFERROR(VLOOKUP($G97,Prevs!$C$7:$I$279,6,FALSE),0)-IFERROR(VLOOKUP($H97,Prevs!$C$7:$I$279,6,FALSE),0)-IFERROR(VLOOKUP($I97,Prevs!$C$7:$I$279,6,FALSE),0)-IFERROR(VLOOKUP($F97,Prevs!$C$7:$I$279,6,FALSE),0)</f>
        <v>102</v>
      </c>
      <c r="P97" s="84">
        <f>VLOOKUP($C97,Prevs!$C$7:$I$279,7,FALSE)-IFERROR(VLOOKUP($E97,Prevs!$C$7:$I$279,7,FALSE),0)-IFERROR(VLOOKUP($D97,Prevs!$C$7:$I$279,7,FALSE),0)-IFERROR(VLOOKUP($G97,Prevs!$C$7:$I$279,7,FALSE),0)-IFERROR(VLOOKUP($H97,Prevs!$C$7:$I$279,7,FALSE),0)-IFERROR(VLOOKUP($I97,Prevs!$C$7:$I$279,7,FALSE),0)-IFERROR(VLOOKUP($F97,Prevs!$C$7:$I$279,7,FALSE),0)</f>
        <v>96</v>
      </c>
      <c r="Q97" s="276">
        <f t="shared" si="8"/>
        <v>292.55813284058337</v>
      </c>
      <c r="R97" s="271">
        <f t="shared" si="9"/>
        <v>284.65115627732433</v>
      </c>
      <c r="S97" s="271">
        <f t="shared" si="10"/>
        <v>284.65115627732433</v>
      </c>
      <c r="T97" s="271">
        <f t="shared" si="11"/>
        <v>274.10852085964569</v>
      </c>
      <c r="U97" s="271">
        <f t="shared" si="12"/>
        <v>268.83720315080632</v>
      </c>
      <c r="V97" s="272">
        <f t="shared" si="13"/>
        <v>253.0232500242883</v>
      </c>
      <c r="X97" s="83"/>
      <c r="Y97" s="81"/>
      <c r="Z97" s="81"/>
      <c r="AA97" s="81"/>
      <c r="AB97" s="81"/>
      <c r="AC97" s="84"/>
      <c r="AD97" s="85"/>
      <c r="AE97" s="81"/>
      <c r="AF97" s="81"/>
      <c r="AG97" s="81"/>
      <c r="AH97" s="81"/>
      <c r="AI97" s="84"/>
    </row>
    <row r="98" spans="2:35" s="74" customFormat="1" ht="26.25" customHeight="1" x14ac:dyDescent="0.25">
      <c r="B98" s="151" t="s">
        <v>108</v>
      </c>
      <c r="C98" s="81">
        <v>248</v>
      </c>
      <c r="D98" s="92">
        <v>247</v>
      </c>
      <c r="E98" s="92">
        <v>0</v>
      </c>
      <c r="F98" s="92">
        <v>0</v>
      </c>
      <c r="G98" s="92">
        <v>0</v>
      </c>
      <c r="H98" s="92">
        <v>0</v>
      </c>
      <c r="I98" s="92">
        <v>0</v>
      </c>
      <c r="J98" s="259">
        <v>2.3948091153720998</v>
      </c>
      <c r="K98" s="83">
        <f>VLOOKUP($C98,Prevs!$C$7:$I$279,2,FALSE)-IFERROR(VLOOKUP($E98,Prevs!$C$7:$I$279,2,FALSE),0)-IFERROR(VLOOKUP($D98,Prevs!$C$7:$I$279,2,FALSE),0)-IFERROR(VLOOKUP($G98,Prevs!$C$7:$I$279,2,FALSE),0)-IFERROR(VLOOKUP($H98,Prevs!$C$7:$I$279,2,FALSE),0)-IFERROR(VLOOKUP($I98,Prevs!$C$7:$I$279,2,FALSE),0)-IFERROR(VLOOKUP($F98,Prevs!$C$7:$I$279,2,FALSE),0)</f>
        <v>6</v>
      </c>
      <c r="L98" s="81">
        <f>VLOOKUP($C98,Prevs!$C$7:$I$279,3,FALSE)-IFERROR(VLOOKUP($E98,Prevs!$C$7:$I$279,3,FALSE),0)-IFERROR(VLOOKUP($D98,Prevs!$C$7:$I$279,3,FALSE),0)-IFERROR(VLOOKUP($G98,Prevs!$C$7:$I$279,3,FALSE),0)-IFERROR(VLOOKUP($H98,Prevs!$C$7:$I$279,3,FALSE),0)-IFERROR(VLOOKUP($I98,Prevs!$C$7:$I$279,3,FALSE),0)-IFERROR(VLOOKUP($F98,Prevs!$C$7:$I$279,3,FALSE),0)</f>
        <v>5</v>
      </c>
      <c r="M98" s="81">
        <f>VLOOKUP($C98,Prevs!$C$7:$I$279,4,FALSE)-IFERROR(VLOOKUP($E98,Prevs!$C$7:$I$279,4,FALSE),0)-IFERROR(VLOOKUP($D98,Prevs!$C$7:$I$279,4,FALSE),0)-IFERROR(VLOOKUP($G98,Prevs!$C$7:$I$279,4,FALSE),0)-IFERROR(VLOOKUP($H98,Prevs!$C$7:$I$279,4,FALSE),0)-IFERROR(VLOOKUP($I98,Prevs!$C$7:$I$279,4,FALSE),0)-IFERROR(VLOOKUP($F98,Prevs!$C$7:$I$279,4,FALSE),0)</f>
        <v>4</v>
      </c>
      <c r="N98" s="81">
        <f>VLOOKUP($C98,Prevs!$C$7:$I$279,5,FALSE)-IFERROR(VLOOKUP($E98,Prevs!$C$7:$I$279,5,FALSE),0)-IFERROR(VLOOKUP($D98,Prevs!$C$7:$I$279,5,FALSE),0)-IFERROR(VLOOKUP($G98,Prevs!$C$7:$I$279,5,FALSE),0)-IFERROR(VLOOKUP($H98,Prevs!$C$7:$I$279,5,FALSE),0)-IFERROR(VLOOKUP($I98,Prevs!$C$7:$I$279,5,FALSE),0)-IFERROR(VLOOKUP($F98,Prevs!$C$7:$I$279,5,FALSE),0)</f>
        <v>4</v>
      </c>
      <c r="O98" s="81">
        <f>VLOOKUP($C98,Prevs!$C$7:$I$279,6,FALSE)-IFERROR(VLOOKUP($E98,Prevs!$C$7:$I$279,6,FALSE),0)-IFERROR(VLOOKUP($D98,Prevs!$C$7:$I$279,6,FALSE),0)-IFERROR(VLOOKUP($G98,Prevs!$C$7:$I$279,6,FALSE),0)-IFERROR(VLOOKUP($H98,Prevs!$C$7:$I$279,6,FALSE),0)-IFERROR(VLOOKUP($I98,Prevs!$C$7:$I$279,6,FALSE),0)-IFERROR(VLOOKUP($F98,Prevs!$C$7:$I$279,6,FALSE),0)</f>
        <v>4</v>
      </c>
      <c r="P98" s="84">
        <f>VLOOKUP($C98,Prevs!$C$7:$I$279,7,FALSE)-IFERROR(VLOOKUP($E98,Prevs!$C$7:$I$279,7,FALSE),0)-IFERROR(VLOOKUP($D98,Prevs!$C$7:$I$279,7,FALSE),0)-IFERROR(VLOOKUP($G98,Prevs!$C$7:$I$279,7,FALSE),0)-IFERROR(VLOOKUP($H98,Prevs!$C$7:$I$279,7,FALSE),0)-IFERROR(VLOOKUP($I98,Prevs!$C$7:$I$279,7,FALSE),0)-IFERROR(VLOOKUP($F98,Prevs!$C$7:$I$279,7,FALSE),0)</f>
        <v>4</v>
      </c>
      <c r="Q98" s="276">
        <f t="shared" si="8"/>
        <v>14.368854692232599</v>
      </c>
      <c r="R98" s="271">
        <f t="shared" si="9"/>
        <v>11.974045576860499</v>
      </c>
      <c r="S98" s="271">
        <f t="shared" si="10"/>
        <v>9.5792364614883994</v>
      </c>
      <c r="T98" s="271">
        <f t="shared" si="11"/>
        <v>9.5792364614883994</v>
      </c>
      <c r="U98" s="271">
        <f t="shared" si="12"/>
        <v>9.5792364614883994</v>
      </c>
      <c r="V98" s="272">
        <f t="shared" si="13"/>
        <v>9.5792364614883994</v>
      </c>
      <c r="X98" s="83"/>
      <c r="Y98" s="81"/>
      <c r="Z98" s="81"/>
      <c r="AA98" s="81"/>
      <c r="AB98" s="81"/>
      <c r="AC98" s="84"/>
      <c r="AD98" s="85"/>
      <c r="AE98" s="81"/>
      <c r="AF98" s="81"/>
      <c r="AG98" s="81"/>
      <c r="AH98" s="81"/>
      <c r="AI98" s="84"/>
    </row>
    <row r="99" spans="2:35" s="74" customFormat="1" ht="26.25" customHeight="1" x14ac:dyDescent="0.25">
      <c r="B99" s="151" t="s">
        <v>363</v>
      </c>
      <c r="C99" s="81">
        <v>291</v>
      </c>
      <c r="D99" s="92">
        <v>0</v>
      </c>
      <c r="E99" s="92">
        <v>0</v>
      </c>
      <c r="F99" s="92">
        <v>0</v>
      </c>
      <c r="G99" s="92">
        <v>0</v>
      </c>
      <c r="H99" s="92">
        <v>0</v>
      </c>
      <c r="I99" s="92">
        <v>0</v>
      </c>
      <c r="J99" s="259">
        <v>0.86887250140079997</v>
      </c>
      <c r="K99" s="83">
        <f>VLOOKUP($C99,Prevs!$C$7:$I$279,2,FALSE)-IFERROR(VLOOKUP($E99,Prevs!$C$7:$I$279,2,FALSE),0)-IFERROR(VLOOKUP($D99,Prevs!$C$7:$I$279,2,FALSE),0)-IFERROR(VLOOKUP($G99,Prevs!$C$7:$I$279,2,FALSE),0)-IFERROR(VLOOKUP($H99,Prevs!$C$7:$I$279,2,FALSE),0)-IFERROR(VLOOKUP($I99,Prevs!$C$7:$I$279,2,FALSE),0)-IFERROR(VLOOKUP($F99,Prevs!$C$7:$I$279,2,FALSE),0)</f>
        <v>206</v>
      </c>
      <c r="L99" s="81">
        <f>VLOOKUP($C99,Prevs!$C$7:$I$279,3,FALSE)-IFERROR(VLOOKUP($E99,Prevs!$C$7:$I$279,3,FALSE),0)-IFERROR(VLOOKUP($D99,Prevs!$C$7:$I$279,3,FALSE),0)-IFERROR(VLOOKUP($G99,Prevs!$C$7:$I$279,3,FALSE),0)-IFERROR(VLOOKUP($H99,Prevs!$C$7:$I$279,3,FALSE),0)-IFERROR(VLOOKUP($I99,Prevs!$C$7:$I$279,3,FALSE),0)-IFERROR(VLOOKUP($F99,Prevs!$C$7:$I$279,3,FALSE),0)</f>
        <v>175</v>
      </c>
      <c r="M99" s="81">
        <f>VLOOKUP($C99,Prevs!$C$7:$I$279,4,FALSE)-IFERROR(VLOOKUP($E99,Prevs!$C$7:$I$279,4,FALSE),0)-IFERROR(VLOOKUP($D99,Prevs!$C$7:$I$279,4,FALSE),0)-IFERROR(VLOOKUP($G99,Prevs!$C$7:$I$279,4,FALSE),0)-IFERROR(VLOOKUP($H99,Prevs!$C$7:$I$279,4,FALSE),0)-IFERROR(VLOOKUP($I99,Prevs!$C$7:$I$279,4,FALSE),0)-IFERROR(VLOOKUP($F99,Prevs!$C$7:$I$279,4,FALSE),0)</f>
        <v>145</v>
      </c>
      <c r="N99" s="81">
        <f>VLOOKUP($C99,Prevs!$C$7:$I$279,5,FALSE)-IFERROR(VLOOKUP($E99,Prevs!$C$7:$I$279,5,FALSE),0)-IFERROR(VLOOKUP($D99,Prevs!$C$7:$I$279,5,FALSE),0)-IFERROR(VLOOKUP($G99,Prevs!$C$7:$I$279,5,FALSE),0)-IFERROR(VLOOKUP($H99,Prevs!$C$7:$I$279,5,FALSE),0)-IFERROR(VLOOKUP($I99,Prevs!$C$7:$I$279,5,FALSE),0)-IFERROR(VLOOKUP($F99,Prevs!$C$7:$I$279,5,FALSE),0)</f>
        <v>123</v>
      </c>
      <c r="O99" s="81">
        <f>VLOOKUP($C99,Prevs!$C$7:$I$279,6,FALSE)-IFERROR(VLOOKUP($E99,Prevs!$C$7:$I$279,6,FALSE),0)-IFERROR(VLOOKUP($D99,Prevs!$C$7:$I$279,6,FALSE),0)-IFERROR(VLOOKUP($G99,Prevs!$C$7:$I$279,6,FALSE),0)-IFERROR(VLOOKUP($H99,Prevs!$C$7:$I$279,6,FALSE),0)-IFERROR(VLOOKUP($I99,Prevs!$C$7:$I$279,6,FALSE),0)-IFERROR(VLOOKUP($F99,Prevs!$C$7:$I$279,6,FALSE),0)</f>
        <v>106</v>
      </c>
      <c r="P99" s="84">
        <f>VLOOKUP($C99,Prevs!$C$7:$I$279,7,FALSE)-IFERROR(VLOOKUP($E99,Prevs!$C$7:$I$279,7,FALSE),0)-IFERROR(VLOOKUP($D99,Prevs!$C$7:$I$279,7,FALSE),0)-IFERROR(VLOOKUP($G99,Prevs!$C$7:$I$279,7,FALSE),0)-IFERROR(VLOOKUP($H99,Prevs!$C$7:$I$279,7,FALSE),0)-IFERROR(VLOOKUP($I99,Prevs!$C$7:$I$279,7,FALSE),0)-IFERROR(VLOOKUP($F99,Prevs!$C$7:$I$279,7,FALSE),0)</f>
        <v>88</v>
      </c>
      <c r="Q99" s="276">
        <f t="shared" si="8"/>
        <v>178.98773528856481</v>
      </c>
      <c r="R99" s="271">
        <f t="shared" si="9"/>
        <v>152.05268774513999</v>
      </c>
      <c r="S99" s="271">
        <f t="shared" si="10"/>
        <v>125.98651270311599</v>
      </c>
      <c r="T99" s="271">
        <f t="shared" si="11"/>
        <v>106.8713176722984</v>
      </c>
      <c r="U99" s="271">
        <f t="shared" si="12"/>
        <v>92.100485148484793</v>
      </c>
      <c r="V99" s="272">
        <f t="shared" si="13"/>
        <v>76.460780123270396</v>
      </c>
      <c r="X99" s="83"/>
      <c r="Y99" s="81"/>
      <c r="Z99" s="81"/>
      <c r="AA99" s="81"/>
      <c r="AB99" s="81"/>
      <c r="AC99" s="84"/>
      <c r="AD99" s="85"/>
      <c r="AE99" s="81"/>
      <c r="AF99" s="81"/>
      <c r="AG99" s="81"/>
      <c r="AH99" s="81"/>
      <c r="AI99" s="84"/>
    </row>
    <row r="100" spans="2:35" s="74" customFormat="1" ht="26.25" customHeight="1" x14ac:dyDescent="0.25">
      <c r="B100" s="151" t="s">
        <v>387</v>
      </c>
      <c r="C100" s="81">
        <v>261</v>
      </c>
      <c r="D100" s="282">
        <v>248</v>
      </c>
      <c r="E100" s="92">
        <v>0</v>
      </c>
      <c r="F100" s="92">
        <v>0</v>
      </c>
      <c r="G100" s="92">
        <v>0</v>
      </c>
      <c r="H100" s="92">
        <v>0</v>
      </c>
      <c r="I100" s="92">
        <v>0</v>
      </c>
      <c r="J100" s="259">
        <v>2.0601579313488898</v>
      </c>
      <c r="K100" s="83">
        <f>VLOOKUP($C100,Prevs!$C$7:$I$279,2,FALSE)-IFERROR(VLOOKUP($E100,Prevs!$C$7:$I$279,2,FALSE),0)-IFERROR(VLOOKUP($D100,Prevs!$C$7:$I$279,2,FALSE),0)-IFERROR(VLOOKUP($G100,Prevs!$C$7:$I$279,2,FALSE),0)-IFERROR(VLOOKUP($H100,Prevs!$C$7:$I$279,2,FALSE),0)-IFERROR(VLOOKUP($I100,Prevs!$C$7:$I$279,2,FALSE),0)-IFERROR(VLOOKUP($F100,Prevs!$C$7:$I$279,2,FALSE),0)</f>
        <v>8</v>
      </c>
      <c r="L100" s="81">
        <f>VLOOKUP($C100,Prevs!$C$7:$I$279,3,FALSE)-IFERROR(VLOOKUP($E100,Prevs!$C$7:$I$279,3,FALSE),0)-IFERROR(VLOOKUP($D100,Prevs!$C$7:$I$279,3,FALSE),0)-IFERROR(VLOOKUP($G100,Prevs!$C$7:$I$279,3,FALSE),0)-IFERROR(VLOOKUP($H100,Prevs!$C$7:$I$279,3,FALSE),0)-IFERROR(VLOOKUP($I100,Prevs!$C$7:$I$279,3,FALSE),0)-IFERROR(VLOOKUP($F100,Prevs!$C$7:$I$279,3,FALSE),0)</f>
        <v>9</v>
      </c>
      <c r="M100" s="81">
        <f>VLOOKUP($C100,Prevs!$C$7:$I$279,4,FALSE)-IFERROR(VLOOKUP($E100,Prevs!$C$7:$I$279,4,FALSE),0)-IFERROR(VLOOKUP($D100,Prevs!$C$7:$I$279,4,FALSE),0)-IFERROR(VLOOKUP($G100,Prevs!$C$7:$I$279,4,FALSE),0)-IFERROR(VLOOKUP($H100,Prevs!$C$7:$I$279,4,FALSE),0)-IFERROR(VLOOKUP($I100,Prevs!$C$7:$I$279,4,FALSE),0)-IFERROR(VLOOKUP($F100,Prevs!$C$7:$I$279,4,FALSE),0)</f>
        <v>9</v>
      </c>
      <c r="N100" s="81">
        <f>VLOOKUP($C100,Prevs!$C$7:$I$279,5,FALSE)-IFERROR(VLOOKUP($E100,Prevs!$C$7:$I$279,5,FALSE),0)-IFERROR(VLOOKUP($D100,Prevs!$C$7:$I$279,5,FALSE),0)-IFERROR(VLOOKUP($G100,Prevs!$C$7:$I$279,5,FALSE),0)-IFERROR(VLOOKUP($H100,Prevs!$C$7:$I$279,5,FALSE),0)-IFERROR(VLOOKUP($I100,Prevs!$C$7:$I$279,5,FALSE),0)-IFERROR(VLOOKUP($F100,Prevs!$C$7:$I$279,5,FALSE),0)</f>
        <v>9</v>
      </c>
      <c r="O100" s="81">
        <f>VLOOKUP($C100,Prevs!$C$7:$I$279,6,FALSE)-IFERROR(VLOOKUP($E100,Prevs!$C$7:$I$279,6,FALSE),0)-IFERROR(VLOOKUP($D100,Prevs!$C$7:$I$279,6,FALSE),0)-IFERROR(VLOOKUP($G100,Prevs!$C$7:$I$279,6,FALSE),0)-IFERROR(VLOOKUP($H100,Prevs!$C$7:$I$279,6,FALSE),0)-IFERROR(VLOOKUP($I100,Prevs!$C$7:$I$279,6,FALSE),0)-IFERROR(VLOOKUP($F100,Prevs!$C$7:$I$279,6,FALSE),0)</f>
        <v>7</v>
      </c>
      <c r="P100" s="84">
        <f>VLOOKUP($C100,Prevs!$C$7:$I$279,7,FALSE)-IFERROR(VLOOKUP($E100,Prevs!$C$7:$I$279,7,FALSE),0)-IFERROR(VLOOKUP($D100,Prevs!$C$7:$I$279,7,FALSE),0)-IFERROR(VLOOKUP($G100,Prevs!$C$7:$I$279,7,FALSE),0)-IFERROR(VLOOKUP($H100,Prevs!$C$7:$I$279,7,FALSE),0)-IFERROR(VLOOKUP($I100,Prevs!$C$7:$I$279,7,FALSE),0)-IFERROR(VLOOKUP($F100,Prevs!$C$7:$I$279,7,FALSE),0)</f>
        <v>8</v>
      </c>
      <c r="Q100" s="276">
        <f t="shared" si="8"/>
        <v>16.481263450791118</v>
      </c>
      <c r="R100" s="271">
        <f t="shared" si="9"/>
        <v>18.541421382140008</v>
      </c>
      <c r="S100" s="271">
        <f t="shared" si="10"/>
        <v>18.541421382140008</v>
      </c>
      <c r="T100" s="271">
        <f t="shared" si="11"/>
        <v>18.541421382140008</v>
      </c>
      <c r="U100" s="271">
        <f t="shared" si="12"/>
        <v>14.421105519442229</v>
      </c>
      <c r="V100" s="272">
        <f t="shared" si="13"/>
        <v>16.481263450791118</v>
      </c>
      <c r="X100" s="83"/>
      <c r="Y100" s="81"/>
      <c r="Z100" s="81"/>
      <c r="AA100" s="81"/>
      <c r="AB100" s="81"/>
      <c r="AC100" s="84"/>
      <c r="AD100" s="85"/>
      <c r="AE100" s="81"/>
      <c r="AF100" s="81"/>
      <c r="AG100" s="81"/>
      <c r="AH100" s="81"/>
      <c r="AI100" s="84"/>
    </row>
    <row r="101" spans="2:35" s="74" customFormat="1" ht="26.25" customHeight="1" x14ac:dyDescent="0.25">
      <c r="B101" s="151" t="s">
        <v>364</v>
      </c>
      <c r="C101" s="81">
        <v>251</v>
      </c>
      <c r="D101" s="92">
        <v>22</v>
      </c>
      <c r="E101" s="92">
        <v>0</v>
      </c>
      <c r="F101" s="92">
        <v>0</v>
      </c>
      <c r="G101" s="92">
        <v>0</v>
      </c>
      <c r="H101" s="92">
        <v>0</v>
      </c>
      <c r="I101" s="92">
        <v>0</v>
      </c>
      <c r="J101" s="259">
        <v>5.1457275019622299</v>
      </c>
      <c r="K101" s="83">
        <f>VLOOKUP($C101,Prevs!$C$7:$I$279,2,FALSE)-IFERROR(VLOOKUP($E101,Prevs!$C$7:$I$279,2,FALSE),0)-IFERROR(VLOOKUP($D101,Prevs!$C$7:$I$279,2,FALSE),0)-IFERROR(VLOOKUP($G101,Prevs!$C$7:$I$279,2,FALSE),0)-IFERROR(VLOOKUP($H101,Prevs!$C$7:$I$279,2,FALSE),0)-IFERROR(VLOOKUP($I101,Prevs!$C$7:$I$279,2,FALSE),0)-IFERROR(VLOOKUP($F101,Prevs!$C$7:$I$279,2,FALSE),0)</f>
        <v>39</v>
      </c>
      <c r="L101" s="81">
        <f>VLOOKUP($C101,Prevs!$C$7:$I$279,3,FALSE)-IFERROR(VLOOKUP($E101,Prevs!$C$7:$I$279,3,FALSE),0)-IFERROR(VLOOKUP($D101,Prevs!$C$7:$I$279,3,FALSE),0)-IFERROR(VLOOKUP($G101,Prevs!$C$7:$I$279,3,FALSE),0)-IFERROR(VLOOKUP($H101,Prevs!$C$7:$I$279,3,FALSE),0)-IFERROR(VLOOKUP($I101,Prevs!$C$7:$I$279,3,FALSE),0)-IFERROR(VLOOKUP($F101,Prevs!$C$7:$I$279,3,FALSE),0)</f>
        <v>22</v>
      </c>
      <c r="M101" s="81">
        <f>VLOOKUP($C101,Prevs!$C$7:$I$279,4,FALSE)-IFERROR(VLOOKUP($E101,Prevs!$C$7:$I$279,4,FALSE),0)-IFERROR(VLOOKUP($D101,Prevs!$C$7:$I$279,4,FALSE),0)-IFERROR(VLOOKUP($G101,Prevs!$C$7:$I$279,4,FALSE),0)-IFERROR(VLOOKUP($H101,Prevs!$C$7:$I$279,4,FALSE),0)-IFERROR(VLOOKUP($I101,Prevs!$C$7:$I$279,4,FALSE),0)-IFERROR(VLOOKUP($F101,Prevs!$C$7:$I$279,4,FALSE),0)</f>
        <v>22</v>
      </c>
      <c r="N101" s="81">
        <f>VLOOKUP($C101,Prevs!$C$7:$I$279,5,FALSE)-IFERROR(VLOOKUP($E101,Prevs!$C$7:$I$279,5,FALSE),0)-IFERROR(VLOOKUP($D101,Prevs!$C$7:$I$279,5,FALSE),0)-IFERROR(VLOOKUP($G101,Prevs!$C$7:$I$279,5,FALSE),0)-IFERROR(VLOOKUP($H101,Prevs!$C$7:$I$279,5,FALSE),0)-IFERROR(VLOOKUP($I101,Prevs!$C$7:$I$279,5,FALSE),0)-IFERROR(VLOOKUP($F101,Prevs!$C$7:$I$279,5,FALSE),0)</f>
        <v>21</v>
      </c>
      <c r="O101" s="81">
        <f>VLOOKUP($C101,Prevs!$C$7:$I$279,6,FALSE)-IFERROR(VLOOKUP($E101,Prevs!$C$7:$I$279,6,FALSE),0)-IFERROR(VLOOKUP($D101,Prevs!$C$7:$I$279,6,FALSE),0)-IFERROR(VLOOKUP($G101,Prevs!$C$7:$I$279,6,FALSE),0)-IFERROR(VLOOKUP($H101,Prevs!$C$7:$I$279,6,FALSE),0)-IFERROR(VLOOKUP($I101,Prevs!$C$7:$I$279,6,FALSE),0)-IFERROR(VLOOKUP($F101,Prevs!$C$7:$I$279,6,FALSE),0)</f>
        <v>21</v>
      </c>
      <c r="P101" s="84">
        <f>VLOOKUP($C101,Prevs!$C$7:$I$279,7,FALSE)-IFERROR(VLOOKUP($E101,Prevs!$C$7:$I$279,7,FALSE),0)-IFERROR(VLOOKUP($D101,Prevs!$C$7:$I$279,7,FALSE),0)-IFERROR(VLOOKUP($G101,Prevs!$C$7:$I$279,7,FALSE),0)-IFERROR(VLOOKUP($H101,Prevs!$C$7:$I$279,7,FALSE),0)-IFERROR(VLOOKUP($I101,Prevs!$C$7:$I$279,7,FALSE),0)-IFERROR(VLOOKUP($F101,Prevs!$C$7:$I$279,7,FALSE),0)</f>
        <v>19</v>
      </c>
      <c r="Q101" s="276">
        <f t="shared" si="8"/>
        <v>200.68337257652698</v>
      </c>
      <c r="R101" s="271">
        <f t="shared" si="9"/>
        <v>113.20600504316906</v>
      </c>
      <c r="S101" s="271">
        <f t="shared" si="10"/>
        <v>113.20600504316906</v>
      </c>
      <c r="T101" s="271">
        <f t="shared" si="11"/>
        <v>108.06027754120683</v>
      </c>
      <c r="U101" s="271">
        <f t="shared" si="12"/>
        <v>108.06027754120683</v>
      </c>
      <c r="V101" s="272">
        <f t="shared" si="13"/>
        <v>97.768822537282375</v>
      </c>
      <c r="X101" s="83"/>
      <c r="Y101" s="81"/>
      <c r="Z101" s="81"/>
      <c r="AA101" s="81"/>
      <c r="AB101" s="81"/>
      <c r="AC101" s="84"/>
      <c r="AD101" s="85"/>
      <c r="AE101" s="81"/>
      <c r="AF101" s="81"/>
      <c r="AG101" s="81"/>
      <c r="AH101" s="81"/>
      <c r="AI101" s="84"/>
    </row>
    <row r="102" spans="2:35" s="74" customFormat="1" ht="26.25" customHeight="1" x14ac:dyDescent="0.25">
      <c r="B102" s="151" t="s">
        <v>112</v>
      </c>
      <c r="C102" s="81">
        <v>99</v>
      </c>
      <c r="D102" s="92">
        <v>289</v>
      </c>
      <c r="E102" s="92">
        <v>0</v>
      </c>
      <c r="F102" s="92">
        <v>0</v>
      </c>
      <c r="G102" s="92">
        <v>0</v>
      </c>
      <c r="H102" s="92">
        <v>0</v>
      </c>
      <c r="I102" s="92">
        <v>0</v>
      </c>
      <c r="J102" s="259">
        <v>2.21169554822449</v>
      </c>
      <c r="K102" s="83">
        <f>VLOOKUP($C102,Prevs!$C$7:$I$279,2,FALSE)-IFERROR(VLOOKUP($E102,Prevs!$C$7:$I$279,2,FALSE),0)-IFERROR(VLOOKUP($D102,Prevs!$C$7:$I$279,2,FALSE),0)-IFERROR(VLOOKUP($G102,Prevs!$C$7:$I$279,2,FALSE),0)-IFERROR(VLOOKUP($H102,Prevs!$C$7:$I$279,2,FALSE),0)-IFERROR(VLOOKUP($I102,Prevs!$C$7:$I$279,2,FALSE),0)-IFERROR(VLOOKUP($F102,Prevs!$C$7:$I$279,2,FALSE),0)</f>
        <v>60</v>
      </c>
      <c r="L102" s="81">
        <f>VLOOKUP($C102,Prevs!$C$7:$I$279,3,FALSE)-IFERROR(VLOOKUP($E102,Prevs!$C$7:$I$279,3,FALSE),0)-IFERROR(VLOOKUP($D102,Prevs!$C$7:$I$279,3,FALSE),0)-IFERROR(VLOOKUP($G102,Prevs!$C$7:$I$279,3,FALSE),0)-IFERROR(VLOOKUP($H102,Prevs!$C$7:$I$279,3,FALSE),0)-IFERROR(VLOOKUP($I102,Prevs!$C$7:$I$279,3,FALSE),0)-IFERROR(VLOOKUP($F102,Prevs!$C$7:$I$279,3,FALSE),0)</f>
        <v>59</v>
      </c>
      <c r="M102" s="81">
        <f>VLOOKUP($C102,Prevs!$C$7:$I$279,4,FALSE)-IFERROR(VLOOKUP($E102,Prevs!$C$7:$I$279,4,FALSE),0)-IFERROR(VLOOKUP($D102,Prevs!$C$7:$I$279,4,FALSE),0)-IFERROR(VLOOKUP($G102,Prevs!$C$7:$I$279,4,FALSE),0)-IFERROR(VLOOKUP($H102,Prevs!$C$7:$I$279,4,FALSE),0)-IFERROR(VLOOKUP($I102,Prevs!$C$7:$I$279,4,FALSE),0)-IFERROR(VLOOKUP($F102,Prevs!$C$7:$I$279,4,FALSE),0)</f>
        <v>58</v>
      </c>
      <c r="N102" s="81">
        <f>VLOOKUP($C102,Prevs!$C$7:$I$279,5,FALSE)-IFERROR(VLOOKUP($E102,Prevs!$C$7:$I$279,5,FALSE),0)-IFERROR(VLOOKUP($D102,Prevs!$C$7:$I$279,5,FALSE),0)-IFERROR(VLOOKUP($G102,Prevs!$C$7:$I$279,5,FALSE),0)-IFERROR(VLOOKUP($H102,Prevs!$C$7:$I$279,5,FALSE),0)-IFERROR(VLOOKUP($I102,Prevs!$C$7:$I$279,5,FALSE),0)-IFERROR(VLOOKUP($F102,Prevs!$C$7:$I$279,5,FALSE),0)</f>
        <v>57</v>
      </c>
      <c r="O102" s="81">
        <f>VLOOKUP($C102,Prevs!$C$7:$I$279,6,FALSE)-IFERROR(VLOOKUP($E102,Prevs!$C$7:$I$279,6,FALSE),0)-IFERROR(VLOOKUP($D102,Prevs!$C$7:$I$279,6,FALSE),0)-IFERROR(VLOOKUP($G102,Prevs!$C$7:$I$279,6,FALSE),0)-IFERROR(VLOOKUP($H102,Prevs!$C$7:$I$279,6,FALSE),0)-IFERROR(VLOOKUP($I102,Prevs!$C$7:$I$279,6,FALSE),0)-IFERROR(VLOOKUP($F102,Prevs!$C$7:$I$279,6,FALSE),0)</f>
        <v>56</v>
      </c>
      <c r="P102" s="84">
        <f>VLOOKUP($C102,Prevs!$C$7:$I$279,7,FALSE)-IFERROR(VLOOKUP($E102,Prevs!$C$7:$I$279,7,FALSE),0)-IFERROR(VLOOKUP($D102,Prevs!$C$7:$I$279,7,FALSE),0)-IFERROR(VLOOKUP($G102,Prevs!$C$7:$I$279,7,FALSE),0)-IFERROR(VLOOKUP($H102,Prevs!$C$7:$I$279,7,FALSE),0)-IFERROR(VLOOKUP($I102,Prevs!$C$7:$I$279,7,FALSE),0)-IFERROR(VLOOKUP($F102,Prevs!$C$7:$I$279,7,FALSE),0)</f>
        <v>56</v>
      </c>
      <c r="Q102" s="276">
        <f t="shared" si="8"/>
        <v>132.7017328934694</v>
      </c>
      <c r="R102" s="271">
        <f t="shared" si="9"/>
        <v>130.4900373452449</v>
      </c>
      <c r="S102" s="271">
        <f t="shared" si="10"/>
        <v>128.27834179702043</v>
      </c>
      <c r="T102" s="271">
        <f t="shared" si="11"/>
        <v>126.06664624879593</v>
      </c>
      <c r="U102" s="271">
        <f t="shared" si="12"/>
        <v>123.85495070057144</v>
      </c>
      <c r="V102" s="272">
        <f t="shared" si="13"/>
        <v>123.85495070057144</v>
      </c>
      <c r="X102" s="83"/>
      <c r="Y102" s="81"/>
      <c r="Z102" s="81"/>
      <c r="AA102" s="81"/>
      <c r="AB102" s="81"/>
      <c r="AC102" s="84"/>
      <c r="AD102" s="85"/>
      <c r="AE102" s="81"/>
      <c r="AF102" s="81"/>
      <c r="AG102" s="81"/>
      <c r="AH102" s="81"/>
      <c r="AI102" s="84"/>
    </row>
    <row r="103" spans="2:35" s="74" customFormat="1" ht="26.25" customHeight="1" x14ac:dyDescent="0.25">
      <c r="B103" s="151" t="s">
        <v>365</v>
      </c>
      <c r="C103" s="81">
        <v>145</v>
      </c>
      <c r="D103" s="92">
        <v>0</v>
      </c>
      <c r="E103" s="92">
        <v>0</v>
      </c>
      <c r="F103" s="92">
        <v>0</v>
      </c>
      <c r="G103" s="92">
        <v>0</v>
      </c>
      <c r="H103" s="92">
        <v>0</v>
      </c>
      <c r="I103" s="92">
        <v>0</v>
      </c>
      <c r="J103" s="259">
        <v>0.53675577657208495</v>
      </c>
      <c r="K103" s="83">
        <f>VLOOKUP($C103,Prevs!$C$7:$I$279,2,FALSE)-IFERROR(VLOOKUP($E103,Prevs!$C$7:$I$279,2,FALSE),0)-IFERROR(VLOOKUP($D103,Prevs!$C$7:$I$279,2,FALSE),0)-IFERROR(VLOOKUP($G103,Prevs!$C$7:$I$279,2,FALSE),0)-IFERROR(VLOOKUP($H103,Prevs!$C$7:$I$279,2,FALSE),0)-IFERROR(VLOOKUP($I103,Prevs!$C$7:$I$279,2,FALSE),0)-IFERROR(VLOOKUP($F103,Prevs!$C$7:$I$279,2,FALSE),0)</f>
        <v>59</v>
      </c>
      <c r="L103" s="81">
        <f>VLOOKUP($C103,Prevs!$C$7:$I$279,3,FALSE)-IFERROR(VLOOKUP($E103,Prevs!$C$7:$I$279,3,FALSE),0)-IFERROR(VLOOKUP($D103,Prevs!$C$7:$I$279,3,FALSE),0)-IFERROR(VLOOKUP($G103,Prevs!$C$7:$I$279,3,FALSE),0)-IFERROR(VLOOKUP($H103,Prevs!$C$7:$I$279,3,FALSE),0)-IFERROR(VLOOKUP($I103,Prevs!$C$7:$I$279,3,FALSE),0)-IFERROR(VLOOKUP($F103,Prevs!$C$7:$I$279,3,FALSE),0)</f>
        <v>62</v>
      </c>
      <c r="M103" s="81">
        <f>VLOOKUP($C103,Prevs!$C$7:$I$279,4,FALSE)-IFERROR(VLOOKUP($E103,Prevs!$C$7:$I$279,4,FALSE),0)-IFERROR(VLOOKUP($D103,Prevs!$C$7:$I$279,4,FALSE),0)-IFERROR(VLOOKUP($G103,Prevs!$C$7:$I$279,4,FALSE),0)-IFERROR(VLOOKUP($H103,Prevs!$C$7:$I$279,4,FALSE),0)-IFERROR(VLOOKUP($I103,Prevs!$C$7:$I$279,4,FALSE),0)-IFERROR(VLOOKUP($F103,Prevs!$C$7:$I$279,4,FALSE),0)</f>
        <v>60</v>
      </c>
      <c r="N103" s="81">
        <f>VLOOKUP($C103,Prevs!$C$7:$I$279,5,FALSE)-IFERROR(VLOOKUP($E103,Prevs!$C$7:$I$279,5,FALSE),0)-IFERROR(VLOOKUP($D103,Prevs!$C$7:$I$279,5,FALSE),0)-IFERROR(VLOOKUP($G103,Prevs!$C$7:$I$279,5,FALSE),0)-IFERROR(VLOOKUP($H103,Prevs!$C$7:$I$279,5,FALSE),0)-IFERROR(VLOOKUP($I103,Prevs!$C$7:$I$279,5,FALSE),0)-IFERROR(VLOOKUP($F103,Prevs!$C$7:$I$279,5,FALSE),0)</f>
        <v>58</v>
      </c>
      <c r="O103" s="81">
        <f>VLOOKUP($C103,Prevs!$C$7:$I$279,6,FALSE)-IFERROR(VLOOKUP($E103,Prevs!$C$7:$I$279,6,FALSE),0)-IFERROR(VLOOKUP($D103,Prevs!$C$7:$I$279,6,FALSE),0)-IFERROR(VLOOKUP($G103,Prevs!$C$7:$I$279,6,FALSE),0)-IFERROR(VLOOKUP($H103,Prevs!$C$7:$I$279,6,FALSE),0)-IFERROR(VLOOKUP($I103,Prevs!$C$7:$I$279,6,FALSE),0)-IFERROR(VLOOKUP($F103,Prevs!$C$7:$I$279,6,FALSE),0)</f>
        <v>52</v>
      </c>
      <c r="P103" s="84">
        <f>VLOOKUP($C103,Prevs!$C$7:$I$279,7,FALSE)-IFERROR(VLOOKUP($E103,Prevs!$C$7:$I$279,7,FALSE),0)-IFERROR(VLOOKUP($D103,Prevs!$C$7:$I$279,7,FALSE),0)-IFERROR(VLOOKUP($G103,Prevs!$C$7:$I$279,7,FALSE),0)-IFERROR(VLOOKUP($H103,Prevs!$C$7:$I$279,7,FALSE),0)-IFERROR(VLOOKUP($I103,Prevs!$C$7:$I$279,7,FALSE),0)-IFERROR(VLOOKUP($F103,Prevs!$C$7:$I$279,7,FALSE),0)</f>
        <v>52</v>
      </c>
      <c r="Q103" s="276">
        <f t="shared" si="8"/>
        <v>31.668590817753014</v>
      </c>
      <c r="R103" s="271">
        <f t="shared" si="9"/>
        <v>33.278858147469265</v>
      </c>
      <c r="S103" s="271">
        <f t="shared" si="10"/>
        <v>32.2053465943251</v>
      </c>
      <c r="T103" s="271">
        <f t="shared" si="11"/>
        <v>31.131835041180928</v>
      </c>
      <c r="U103" s="271">
        <f t="shared" si="12"/>
        <v>27.911300381748418</v>
      </c>
      <c r="V103" s="272">
        <f t="shared" si="13"/>
        <v>27.911300381748418</v>
      </c>
      <c r="X103" s="83"/>
      <c r="Y103" s="81"/>
      <c r="Z103" s="81"/>
      <c r="AA103" s="81"/>
      <c r="AB103" s="81"/>
      <c r="AC103" s="84"/>
      <c r="AD103" s="85"/>
      <c r="AE103" s="81"/>
      <c r="AF103" s="81"/>
      <c r="AG103" s="81"/>
      <c r="AH103" s="81"/>
      <c r="AI103" s="84"/>
    </row>
    <row r="104" spans="2:35" s="74" customFormat="1" ht="26.25" customHeight="1" x14ac:dyDescent="0.25">
      <c r="B104" s="151" t="s">
        <v>366</v>
      </c>
      <c r="C104" s="81">
        <v>285</v>
      </c>
      <c r="D104" s="92">
        <v>296</v>
      </c>
      <c r="E104" s="92">
        <v>0</v>
      </c>
      <c r="F104" s="92">
        <v>0</v>
      </c>
      <c r="G104" s="92">
        <v>0</v>
      </c>
      <c r="H104" s="92">
        <v>0</v>
      </c>
      <c r="I104" s="92">
        <v>0</v>
      </c>
      <c r="J104" s="259">
        <v>0</v>
      </c>
      <c r="K104" s="83">
        <f>VLOOKUP($C104,Prevs!$C$7:$I$279,2,FALSE)-IFERROR(VLOOKUP($E104,Prevs!$C$7:$I$279,2,FALSE),0)-IFERROR(VLOOKUP($D104,Prevs!$C$7:$I$279,2,FALSE),0)-IFERROR(VLOOKUP($G104,Prevs!$C$7:$I$279,2,FALSE),0)-IFERROR(VLOOKUP($H104,Prevs!$C$7:$I$279,2,FALSE),0)-IFERROR(VLOOKUP($I104,Prevs!$C$7:$I$279,2,FALSE),0)-IFERROR(VLOOKUP($F104,Prevs!$C$7:$I$279,2,FALSE),0)</f>
        <v>26743</v>
      </c>
      <c r="L104" s="81">
        <f>VLOOKUP($C104,Prevs!$C$7:$I$279,3,FALSE)-IFERROR(VLOOKUP($E104,Prevs!$C$7:$I$279,3,FALSE),0)-IFERROR(VLOOKUP($D104,Prevs!$C$7:$I$279,3,FALSE),0)-IFERROR(VLOOKUP($G104,Prevs!$C$7:$I$279,3,FALSE),0)-IFERROR(VLOOKUP($H104,Prevs!$C$7:$I$279,3,FALSE),0)-IFERROR(VLOOKUP($I104,Prevs!$C$7:$I$279,3,FALSE),0)-IFERROR(VLOOKUP($F104,Prevs!$C$7:$I$279,3,FALSE),0)</f>
        <v>24932</v>
      </c>
      <c r="M104" s="81">
        <f>VLOOKUP($C104,Prevs!$C$7:$I$279,4,FALSE)-IFERROR(VLOOKUP($E104,Prevs!$C$7:$I$279,4,FALSE),0)-IFERROR(VLOOKUP($D104,Prevs!$C$7:$I$279,4,FALSE),0)-IFERROR(VLOOKUP($G104,Prevs!$C$7:$I$279,4,FALSE),0)-IFERROR(VLOOKUP($H104,Prevs!$C$7:$I$279,4,FALSE),0)-IFERROR(VLOOKUP($I104,Prevs!$C$7:$I$279,4,FALSE),0)-IFERROR(VLOOKUP($F104,Prevs!$C$7:$I$279,4,FALSE),0)</f>
        <v>23450</v>
      </c>
      <c r="N104" s="81">
        <f>VLOOKUP($C104,Prevs!$C$7:$I$279,5,FALSE)-IFERROR(VLOOKUP($E104,Prevs!$C$7:$I$279,5,FALSE),0)-IFERROR(VLOOKUP($D104,Prevs!$C$7:$I$279,5,FALSE),0)-IFERROR(VLOOKUP($G104,Prevs!$C$7:$I$279,5,FALSE),0)-IFERROR(VLOOKUP($H104,Prevs!$C$7:$I$279,5,FALSE),0)-IFERROR(VLOOKUP($I104,Prevs!$C$7:$I$279,5,FALSE),0)-IFERROR(VLOOKUP($F104,Prevs!$C$7:$I$279,5,FALSE),0)</f>
        <v>23675</v>
      </c>
      <c r="O104" s="81">
        <f>VLOOKUP($C104,Prevs!$C$7:$I$279,6,FALSE)-IFERROR(VLOOKUP($E104,Prevs!$C$7:$I$279,6,FALSE),0)-IFERROR(VLOOKUP($D104,Prevs!$C$7:$I$279,6,FALSE),0)-IFERROR(VLOOKUP($G104,Prevs!$C$7:$I$279,6,FALSE),0)-IFERROR(VLOOKUP($H104,Prevs!$C$7:$I$279,6,FALSE),0)-IFERROR(VLOOKUP($I104,Prevs!$C$7:$I$279,6,FALSE),0)-IFERROR(VLOOKUP($F104,Prevs!$C$7:$I$279,6,FALSE),0)</f>
        <v>15546</v>
      </c>
      <c r="P104" s="84">
        <f>VLOOKUP($C104,Prevs!$C$7:$I$279,7,FALSE)-IFERROR(VLOOKUP($E104,Prevs!$C$7:$I$279,7,FALSE),0)-IFERROR(VLOOKUP($D104,Prevs!$C$7:$I$279,7,FALSE),0)-IFERROR(VLOOKUP($G104,Prevs!$C$7:$I$279,7,FALSE),0)-IFERROR(VLOOKUP($H104,Prevs!$C$7:$I$279,7,FALSE),0)-IFERROR(VLOOKUP($I104,Prevs!$C$7:$I$279,7,FALSE),0)-IFERROR(VLOOKUP($F104,Prevs!$C$7:$I$279,7,FALSE),0)</f>
        <v>13257</v>
      </c>
      <c r="Q104" s="276">
        <f t="shared" si="8"/>
        <v>0</v>
      </c>
      <c r="R104" s="271">
        <f t="shared" si="9"/>
        <v>0</v>
      </c>
      <c r="S104" s="271">
        <f t="shared" si="10"/>
        <v>0</v>
      </c>
      <c r="T104" s="271">
        <f t="shared" si="11"/>
        <v>0</v>
      </c>
      <c r="U104" s="271">
        <f t="shared" si="12"/>
        <v>0</v>
      </c>
      <c r="V104" s="272">
        <f t="shared" si="13"/>
        <v>0</v>
      </c>
      <c r="X104" s="83"/>
      <c r="Y104" s="81"/>
      <c r="Z104" s="81"/>
      <c r="AA104" s="81"/>
      <c r="AB104" s="81"/>
      <c r="AC104" s="84"/>
      <c r="AD104" s="85"/>
      <c r="AE104" s="81"/>
      <c r="AF104" s="81"/>
      <c r="AG104" s="81"/>
      <c r="AH104" s="81"/>
      <c r="AI104" s="84"/>
    </row>
    <row r="105" spans="2:35" s="74" customFormat="1" ht="26.25" customHeight="1" x14ac:dyDescent="0.25">
      <c r="B105" s="151" t="s">
        <v>96</v>
      </c>
      <c r="C105" s="81">
        <v>22</v>
      </c>
      <c r="D105" s="92">
        <v>0</v>
      </c>
      <c r="E105" s="92">
        <v>0</v>
      </c>
      <c r="F105" s="92">
        <v>0</v>
      </c>
      <c r="G105" s="92">
        <v>0</v>
      </c>
      <c r="H105" s="92">
        <v>0</v>
      </c>
      <c r="I105" s="92">
        <v>0</v>
      </c>
      <c r="J105" s="259">
        <v>5.4959412102515497</v>
      </c>
      <c r="K105" s="83">
        <f>VLOOKUP($C105,Prevs!$C$7:$I$279,2,FALSE)-IFERROR(VLOOKUP($E105,Prevs!$C$7:$I$279,2,FALSE),0)-IFERROR(VLOOKUP($D105,Prevs!$C$7:$I$279,2,FALSE),0)-IFERROR(VLOOKUP($G105,Prevs!$C$7:$I$279,2,FALSE),0)-IFERROR(VLOOKUP($H105,Prevs!$C$7:$I$279,2,FALSE),0)-IFERROR(VLOOKUP($I105,Prevs!$C$7:$I$279,2,FALSE),0)-IFERROR(VLOOKUP($F105,Prevs!$C$7:$I$279,2,FALSE),0)</f>
        <v>40</v>
      </c>
      <c r="L105" s="81">
        <f>VLOOKUP($C105,Prevs!$C$7:$I$279,3,FALSE)-IFERROR(VLOOKUP($E105,Prevs!$C$7:$I$279,3,FALSE),0)-IFERROR(VLOOKUP($D105,Prevs!$C$7:$I$279,3,FALSE),0)-IFERROR(VLOOKUP($G105,Prevs!$C$7:$I$279,3,FALSE),0)-IFERROR(VLOOKUP($H105,Prevs!$C$7:$I$279,3,FALSE),0)-IFERROR(VLOOKUP($I105,Prevs!$C$7:$I$279,3,FALSE),0)-IFERROR(VLOOKUP($F105,Prevs!$C$7:$I$279,3,FALSE),0)</f>
        <v>39</v>
      </c>
      <c r="M105" s="81">
        <f>VLOOKUP($C105,Prevs!$C$7:$I$279,4,FALSE)-IFERROR(VLOOKUP($E105,Prevs!$C$7:$I$279,4,FALSE),0)-IFERROR(VLOOKUP($D105,Prevs!$C$7:$I$279,4,FALSE),0)-IFERROR(VLOOKUP($G105,Prevs!$C$7:$I$279,4,FALSE),0)-IFERROR(VLOOKUP($H105,Prevs!$C$7:$I$279,4,FALSE),0)-IFERROR(VLOOKUP($I105,Prevs!$C$7:$I$279,4,FALSE),0)-IFERROR(VLOOKUP($F105,Prevs!$C$7:$I$279,4,FALSE),0)</f>
        <v>36</v>
      </c>
      <c r="N105" s="81">
        <f>VLOOKUP($C105,Prevs!$C$7:$I$279,5,FALSE)-IFERROR(VLOOKUP($E105,Prevs!$C$7:$I$279,5,FALSE),0)-IFERROR(VLOOKUP($D105,Prevs!$C$7:$I$279,5,FALSE),0)-IFERROR(VLOOKUP($G105,Prevs!$C$7:$I$279,5,FALSE),0)-IFERROR(VLOOKUP($H105,Prevs!$C$7:$I$279,5,FALSE),0)-IFERROR(VLOOKUP($I105,Prevs!$C$7:$I$279,5,FALSE),0)-IFERROR(VLOOKUP($F105,Prevs!$C$7:$I$279,5,FALSE),0)</f>
        <v>35</v>
      </c>
      <c r="O105" s="81">
        <f>VLOOKUP($C105,Prevs!$C$7:$I$279,6,FALSE)-IFERROR(VLOOKUP($E105,Prevs!$C$7:$I$279,6,FALSE),0)-IFERROR(VLOOKUP($D105,Prevs!$C$7:$I$279,6,FALSE),0)-IFERROR(VLOOKUP($G105,Prevs!$C$7:$I$279,6,FALSE),0)-IFERROR(VLOOKUP($H105,Prevs!$C$7:$I$279,6,FALSE),0)-IFERROR(VLOOKUP($I105,Prevs!$C$7:$I$279,6,FALSE),0)-IFERROR(VLOOKUP($F105,Prevs!$C$7:$I$279,6,FALSE),0)</f>
        <v>35</v>
      </c>
      <c r="P105" s="84">
        <f>VLOOKUP($C105,Prevs!$C$7:$I$279,7,FALSE)-IFERROR(VLOOKUP($E105,Prevs!$C$7:$I$279,7,FALSE),0)-IFERROR(VLOOKUP($D105,Prevs!$C$7:$I$279,7,FALSE),0)-IFERROR(VLOOKUP($G105,Prevs!$C$7:$I$279,7,FALSE),0)-IFERROR(VLOOKUP($H105,Prevs!$C$7:$I$279,7,FALSE),0)-IFERROR(VLOOKUP($I105,Prevs!$C$7:$I$279,7,FALSE),0)-IFERROR(VLOOKUP($F105,Prevs!$C$7:$I$279,7,FALSE),0)</f>
        <v>32</v>
      </c>
      <c r="Q105" s="276">
        <f t="shared" si="8"/>
        <v>219.837648410062</v>
      </c>
      <c r="R105" s="271">
        <f t="shared" si="9"/>
        <v>214.34170719981043</v>
      </c>
      <c r="S105" s="271">
        <f t="shared" si="10"/>
        <v>197.8538835690558</v>
      </c>
      <c r="T105" s="271">
        <f t="shared" si="11"/>
        <v>192.35794235880425</v>
      </c>
      <c r="U105" s="271">
        <f t="shared" si="12"/>
        <v>192.35794235880425</v>
      </c>
      <c r="V105" s="272">
        <f t="shared" si="13"/>
        <v>175.87011872804959</v>
      </c>
      <c r="X105" s="83"/>
      <c r="Y105" s="81"/>
      <c r="Z105" s="81"/>
      <c r="AA105" s="81"/>
      <c r="AB105" s="81"/>
      <c r="AC105" s="84"/>
      <c r="AD105" s="85"/>
      <c r="AE105" s="81"/>
      <c r="AF105" s="81"/>
      <c r="AG105" s="81"/>
      <c r="AH105" s="81"/>
      <c r="AI105" s="84"/>
    </row>
    <row r="106" spans="2:35" s="74" customFormat="1" ht="26.25" customHeight="1" x14ac:dyDescent="0.25">
      <c r="B106" s="151" t="s">
        <v>367</v>
      </c>
      <c r="C106" s="81">
        <v>125</v>
      </c>
      <c r="D106" s="92">
        <v>125</v>
      </c>
      <c r="E106" s="92">
        <v>0</v>
      </c>
      <c r="F106" s="92">
        <v>0</v>
      </c>
      <c r="G106" s="92">
        <v>0</v>
      </c>
      <c r="H106" s="92">
        <v>0</v>
      </c>
      <c r="I106" s="92">
        <v>0</v>
      </c>
      <c r="J106" s="259">
        <v>2.9470074880510002</v>
      </c>
      <c r="K106" s="83">
        <f>VLOOKUP($C106,Prevs!$C$7:$I$279,2,FALSE)-IFERROR(VLOOKUP($E106,Prevs!$C$7:$I$279,2,FALSE),0)-IFERROR(VLOOKUP($D106,Prevs!$C$7:$I$279,2,FALSE),0)-IFERROR(VLOOKUP($G106,Prevs!$C$7:$I$279,2,FALSE),0)-IFERROR(VLOOKUP($H106,Prevs!$C$7:$I$279,2,FALSE),0)-IFERROR(VLOOKUP($I106,Prevs!$C$7:$I$279,2,FALSE),0)-IFERROR(VLOOKUP($F106,Prevs!$C$7:$I$279,2,FALSE),0)</f>
        <v>0</v>
      </c>
      <c r="L106" s="81">
        <f>VLOOKUP($C106,Prevs!$C$7:$I$279,3,FALSE)-IFERROR(VLOOKUP($E106,Prevs!$C$7:$I$279,3,FALSE),0)-IFERROR(VLOOKUP($D106,Prevs!$C$7:$I$279,3,FALSE),0)-IFERROR(VLOOKUP($G106,Prevs!$C$7:$I$279,3,FALSE),0)-IFERROR(VLOOKUP($H106,Prevs!$C$7:$I$279,3,FALSE),0)-IFERROR(VLOOKUP($I106,Prevs!$C$7:$I$279,3,FALSE),0)-IFERROR(VLOOKUP($F106,Prevs!$C$7:$I$279,3,FALSE),0)</f>
        <v>0</v>
      </c>
      <c r="M106" s="81">
        <f>VLOOKUP($C106,Prevs!$C$7:$I$279,4,FALSE)-IFERROR(VLOOKUP($E106,Prevs!$C$7:$I$279,4,FALSE),0)-IFERROR(VLOOKUP($D106,Prevs!$C$7:$I$279,4,FALSE),0)-IFERROR(VLOOKUP($G106,Prevs!$C$7:$I$279,4,FALSE),0)-IFERROR(VLOOKUP($H106,Prevs!$C$7:$I$279,4,FALSE),0)-IFERROR(VLOOKUP($I106,Prevs!$C$7:$I$279,4,FALSE),0)-IFERROR(VLOOKUP($F106,Prevs!$C$7:$I$279,4,FALSE),0)</f>
        <v>0</v>
      </c>
      <c r="N106" s="81">
        <f>VLOOKUP($C106,Prevs!$C$7:$I$279,5,FALSE)-IFERROR(VLOOKUP($E106,Prevs!$C$7:$I$279,5,FALSE),0)-IFERROR(VLOOKUP($D106,Prevs!$C$7:$I$279,5,FALSE),0)-IFERROR(VLOOKUP($G106,Prevs!$C$7:$I$279,5,FALSE),0)-IFERROR(VLOOKUP($H106,Prevs!$C$7:$I$279,5,FALSE),0)-IFERROR(VLOOKUP($I106,Prevs!$C$7:$I$279,5,FALSE),0)-IFERROR(VLOOKUP($F106,Prevs!$C$7:$I$279,5,FALSE),0)</f>
        <v>0</v>
      </c>
      <c r="O106" s="81">
        <f>VLOOKUP($C106,Prevs!$C$7:$I$279,6,FALSE)-IFERROR(VLOOKUP($E106,Prevs!$C$7:$I$279,6,FALSE),0)-IFERROR(VLOOKUP($D106,Prevs!$C$7:$I$279,6,FALSE),0)-IFERROR(VLOOKUP($G106,Prevs!$C$7:$I$279,6,FALSE),0)-IFERROR(VLOOKUP($H106,Prevs!$C$7:$I$279,6,FALSE),0)-IFERROR(VLOOKUP($I106,Prevs!$C$7:$I$279,6,FALSE),0)-IFERROR(VLOOKUP($F106,Prevs!$C$7:$I$279,6,FALSE),0)</f>
        <v>0</v>
      </c>
      <c r="P106" s="84">
        <f>VLOOKUP($C106,Prevs!$C$7:$I$279,7,FALSE)-IFERROR(VLOOKUP($E106,Prevs!$C$7:$I$279,7,FALSE),0)-IFERROR(VLOOKUP($D106,Prevs!$C$7:$I$279,7,FALSE),0)-IFERROR(VLOOKUP($G106,Prevs!$C$7:$I$279,7,FALSE),0)-IFERROR(VLOOKUP($H106,Prevs!$C$7:$I$279,7,FALSE),0)-IFERROR(VLOOKUP($I106,Prevs!$C$7:$I$279,7,FALSE),0)-IFERROR(VLOOKUP($F106,Prevs!$C$7:$I$279,7,FALSE),0)</f>
        <v>0</v>
      </c>
      <c r="Q106" s="276">
        <f t="shared" si="8"/>
        <v>0</v>
      </c>
      <c r="R106" s="271">
        <f t="shared" si="9"/>
        <v>0</v>
      </c>
      <c r="S106" s="271">
        <f t="shared" si="10"/>
        <v>0</v>
      </c>
      <c r="T106" s="271">
        <f t="shared" si="11"/>
        <v>0</v>
      </c>
      <c r="U106" s="271">
        <f t="shared" si="12"/>
        <v>0</v>
      </c>
      <c r="V106" s="272">
        <f t="shared" si="13"/>
        <v>0</v>
      </c>
      <c r="X106" s="83"/>
      <c r="Y106" s="81"/>
      <c r="Z106" s="81"/>
      <c r="AA106" s="81"/>
      <c r="AB106" s="81"/>
      <c r="AC106" s="84"/>
      <c r="AD106" s="85"/>
      <c r="AE106" s="81"/>
      <c r="AF106" s="81"/>
      <c r="AG106" s="81"/>
      <c r="AH106" s="81"/>
      <c r="AI106" s="84"/>
    </row>
    <row r="107" spans="2:35" s="74" customFormat="1" ht="26.25" customHeight="1" x14ac:dyDescent="0.25">
      <c r="B107" s="151" t="s">
        <v>388</v>
      </c>
      <c r="C107" s="277">
        <v>202</v>
      </c>
      <c r="D107" s="275">
        <v>202</v>
      </c>
      <c r="E107" s="275">
        <v>0</v>
      </c>
      <c r="F107" s="275">
        <v>0</v>
      </c>
      <c r="G107" s="275">
        <v>0</v>
      </c>
      <c r="H107" s="275">
        <v>0</v>
      </c>
      <c r="I107" s="275">
        <v>0</v>
      </c>
      <c r="J107" s="259">
        <v>0.31396000000000002</v>
      </c>
      <c r="K107" s="83">
        <f>VLOOKUP($C107,Prevs!$C$7:$I$279,2,FALSE)-IFERROR(VLOOKUP($E107,Prevs!$C$7:$I$279,2,FALSE),0)-IFERROR(VLOOKUP($D107,Prevs!$C$7:$I$279,2,FALSE),0)-IFERROR(VLOOKUP($G107,Prevs!$C$7:$I$279,2,FALSE),0)-IFERROR(VLOOKUP($H107,Prevs!$C$7:$I$279,2,FALSE),0)-IFERROR(VLOOKUP($I107,Prevs!$C$7:$I$279,2,FALSE),0)-IFERROR(VLOOKUP($F107,Prevs!$C$7:$I$279,2,FALSE),0)</f>
        <v>0</v>
      </c>
      <c r="L107" s="81">
        <f>VLOOKUP($C107,Prevs!$C$7:$I$279,3,FALSE)-IFERROR(VLOOKUP($E107,Prevs!$C$7:$I$279,3,FALSE),0)-IFERROR(VLOOKUP($D107,Prevs!$C$7:$I$279,3,FALSE),0)-IFERROR(VLOOKUP($G107,Prevs!$C$7:$I$279,3,FALSE),0)-IFERROR(VLOOKUP($H107,Prevs!$C$7:$I$279,3,FALSE),0)-IFERROR(VLOOKUP($I107,Prevs!$C$7:$I$279,3,FALSE),0)-IFERROR(VLOOKUP($F107,Prevs!$C$7:$I$279,3,FALSE),0)</f>
        <v>0</v>
      </c>
      <c r="M107" s="81">
        <f>VLOOKUP($C107,Prevs!$C$7:$I$279,4,FALSE)-IFERROR(VLOOKUP($E107,Prevs!$C$7:$I$279,4,FALSE),0)-IFERROR(VLOOKUP($D107,Prevs!$C$7:$I$279,4,FALSE),0)-IFERROR(VLOOKUP($G107,Prevs!$C$7:$I$279,4,FALSE),0)-IFERROR(VLOOKUP($H107,Prevs!$C$7:$I$279,4,FALSE),0)-IFERROR(VLOOKUP($I107,Prevs!$C$7:$I$279,4,FALSE),0)-IFERROR(VLOOKUP($F107,Prevs!$C$7:$I$279,4,FALSE),0)</f>
        <v>0</v>
      </c>
      <c r="N107" s="81">
        <f>VLOOKUP($C107,Prevs!$C$7:$I$279,5,FALSE)-IFERROR(VLOOKUP($E107,Prevs!$C$7:$I$279,5,FALSE),0)-IFERROR(VLOOKUP($D107,Prevs!$C$7:$I$279,5,FALSE),0)-IFERROR(VLOOKUP($G107,Prevs!$C$7:$I$279,5,FALSE),0)-IFERROR(VLOOKUP($H107,Prevs!$C$7:$I$279,5,FALSE),0)-IFERROR(VLOOKUP($I107,Prevs!$C$7:$I$279,5,FALSE),0)-IFERROR(VLOOKUP($F107,Prevs!$C$7:$I$279,5,FALSE),0)</f>
        <v>0</v>
      </c>
      <c r="O107" s="81">
        <f>VLOOKUP($C107,Prevs!$C$7:$I$279,6,FALSE)-IFERROR(VLOOKUP($E107,Prevs!$C$7:$I$279,6,FALSE),0)-IFERROR(VLOOKUP($D107,Prevs!$C$7:$I$279,6,FALSE),0)-IFERROR(VLOOKUP($G107,Prevs!$C$7:$I$279,6,FALSE),0)-IFERROR(VLOOKUP($H107,Prevs!$C$7:$I$279,6,FALSE),0)-IFERROR(VLOOKUP($I107,Prevs!$C$7:$I$279,6,FALSE),0)-IFERROR(VLOOKUP($F107,Prevs!$C$7:$I$279,6,FALSE),0)</f>
        <v>0</v>
      </c>
      <c r="P107" s="84">
        <f>VLOOKUP($C107,Prevs!$C$7:$I$279,7,FALSE)-IFERROR(VLOOKUP($E107,Prevs!$C$7:$I$279,7,FALSE),0)-IFERROR(VLOOKUP($D107,Prevs!$C$7:$I$279,7,FALSE),0)-IFERROR(VLOOKUP($G107,Prevs!$C$7:$I$279,7,FALSE),0)-IFERROR(VLOOKUP($H107,Prevs!$C$7:$I$279,7,FALSE),0)-IFERROR(VLOOKUP($I107,Prevs!$C$7:$I$279,7,FALSE),0)-IFERROR(VLOOKUP($F107,Prevs!$C$7:$I$279,7,FALSE),0)</f>
        <v>0</v>
      </c>
      <c r="Q107" s="276">
        <f t="shared" si="8"/>
        <v>0</v>
      </c>
      <c r="R107" s="271">
        <f t="shared" si="9"/>
        <v>0</v>
      </c>
      <c r="S107" s="271">
        <f t="shared" si="10"/>
        <v>0</v>
      </c>
      <c r="T107" s="271">
        <f t="shared" si="11"/>
        <v>0</v>
      </c>
      <c r="U107" s="271">
        <f t="shared" si="12"/>
        <v>0</v>
      </c>
      <c r="V107" s="272">
        <f t="shared" si="13"/>
        <v>0</v>
      </c>
      <c r="X107" s="83"/>
      <c r="Y107" s="81"/>
      <c r="Z107" s="81"/>
      <c r="AA107" s="81"/>
      <c r="AB107" s="81"/>
      <c r="AC107" s="84"/>
      <c r="AD107" s="85"/>
      <c r="AE107" s="81"/>
      <c r="AF107" s="81"/>
      <c r="AG107" s="81"/>
      <c r="AH107" s="81"/>
      <c r="AI107" s="84"/>
    </row>
    <row r="108" spans="2:35" s="74" customFormat="1" ht="26.25" customHeight="1" x14ac:dyDescent="0.25">
      <c r="B108" s="151" t="s">
        <v>368</v>
      </c>
      <c r="C108" s="277">
        <v>202</v>
      </c>
      <c r="D108" s="275">
        <v>202</v>
      </c>
      <c r="E108" s="275">
        <v>0</v>
      </c>
      <c r="F108" s="275">
        <v>0</v>
      </c>
      <c r="G108" s="275">
        <v>0</v>
      </c>
      <c r="H108" s="275">
        <v>0</v>
      </c>
      <c r="I108" s="275">
        <v>0</v>
      </c>
      <c r="J108" s="259">
        <v>2.9470074880510002</v>
      </c>
      <c r="K108" s="83">
        <f>VLOOKUP($C108,Prevs!$C$7:$I$279,2,FALSE)-IFERROR(VLOOKUP($E108,Prevs!$C$7:$I$279,2,FALSE),0)-IFERROR(VLOOKUP($D108,Prevs!$C$7:$I$279,2,FALSE),0)-IFERROR(VLOOKUP($G108,Prevs!$C$7:$I$279,2,FALSE),0)-IFERROR(VLOOKUP($H108,Prevs!$C$7:$I$279,2,FALSE),0)-IFERROR(VLOOKUP($I108,Prevs!$C$7:$I$279,2,FALSE),0)-IFERROR(VLOOKUP($F108,Prevs!$C$7:$I$279,2,FALSE),0)</f>
        <v>0</v>
      </c>
      <c r="L108" s="81">
        <f>VLOOKUP($C108,Prevs!$C$7:$I$279,3,FALSE)-IFERROR(VLOOKUP($E108,Prevs!$C$7:$I$279,3,FALSE),0)-IFERROR(VLOOKUP($D108,Prevs!$C$7:$I$279,3,FALSE),0)-IFERROR(VLOOKUP($G108,Prevs!$C$7:$I$279,3,FALSE),0)-IFERROR(VLOOKUP($H108,Prevs!$C$7:$I$279,3,FALSE),0)-IFERROR(VLOOKUP($I108,Prevs!$C$7:$I$279,3,FALSE),0)-IFERROR(VLOOKUP($F108,Prevs!$C$7:$I$279,3,FALSE),0)</f>
        <v>0</v>
      </c>
      <c r="M108" s="81">
        <f>VLOOKUP($C108,Prevs!$C$7:$I$279,4,FALSE)-IFERROR(VLOOKUP($E108,Prevs!$C$7:$I$279,4,FALSE),0)-IFERROR(VLOOKUP($D108,Prevs!$C$7:$I$279,4,FALSE),0)-IFERROR(VLOOKUP($G108,Prevs!$C$7:$I$279,4,FALSE),0)-IFERROR(VLOOKUP($H108,Prevs!$C$7:$I$279,4,FALSE),0)-IFERROR(VLOOKUP($I108,Prevs!$C$7:$I$279,4,FALSE),0)-IFERROR(VLOOKUP($F108,Prevs!$C$7:$I$279,4,FALSE),0)</f>
        <v>0</v>
      </c>
      <c r="N108" s="81">
        <f>VLOOKUP($C108,Prevs!$C$7:$I$279,5,FALSE)-IFERROR(VLOOKUP($E108,Prevs!$C$7:$I$279,5,FALSE),0)-IFERROR(VLOOKUP($D108,Prevs!$C$7:$I$279,5,FALSE),0)-IFERROR(VLOOKUP($G108,Prevs!$C$7:$I$279,5,FALSE),0)-IFERROR(VLOOKUP($H108,Prevs!$C$7:$I$279,5,FALSE),0)-IFERROR(VLOOKUP($I108,Prevs!$C$7:$I$279,5,FALSE),0)-IFERROR(VLOOKUP($F108,Prevs!$C$7:$I$279,5,FALSE),0)</f>
        <v>0</v>
      </c>
      <c r="O108" s="81">
        <f>VLOOKUP($C108,Prevs!$C$7:$I$279,6,FALSE)-IFERROR(VLOOKUP($E108,Prevs!$C$7:$I$279,6,FALSE),0)-IFERROR(VLOOKUP($D108,Prevs!$C$7:$I$279,6,FALSE),0)-IFERROR(VLOOKUP($G108,Prevs!$C$7:$I$279,6,FALSE),0)-IFERROR(VLOOKUP($H108,Prevs!$C$7:$I$279,6,FALSE),0)-IFERROR(VLOOKUP($I108,Prevs!$C$7:$I$279,6,FALSE),0)-IFERROR(VLOOKUP($F108,Prevs!$C$7:$I$279,6,FALSE),0)</f>
        <v>0</v>
      </c>
      <c r="P108" s="84">
        <f>VLOOKUP($C108,Prevs!$C$7:$I$279,7,FALSE)-IFERROR(VLOOKUP($E108,Prevs!$C$7:$I$279,7,FALSE),0)-IFERROR(VLOOKUP($D108,Prevs!$C$7:$I$279,7,FALSE),0)-IFERROR(VLOOKUP($G108,Prevs!$C$7:$I$279,7,FALSE),0)-IFERROR(VLOOKUP($H108,Prevs!$C$7:$I$279,7,FALSE),0)-IFERROR(VLOOKUP($I108,Prevs!$C$7:$I$279,7,FALSE),0)-IFERROR(VLOOKUP($F108,Prevs!$C$7:$I$279,7,FALSE),0)</f>
        <v>0</v>
      </c>
      <c r="Q108" s="276">
        <f t="shared" si="8"/>
        <v>0</v>
      </c>
      <c r="R108" s="271">
        <f t="shared" si="9"/>
        <v>0</v>
      </c>
      <c r="S108" s="271">
        <f t="shared" si="10"/>
        <v>0</v>
      </c>
      <c r="T108" s="271">
        <f t="shared" si="11"/>
        <v>0</v>
      </c>
      <c r="U108" s="271">
        <f t="shared" si="12"/>
        <v>0</v>
      </c>
      <c r="V108" s="272">
        <f t="shared" si="13"/>
        <v>0</v>
      </c>
      <c r="X108" s="83"/>
      <c r="Y108" s="81"/>
      <c r="Z108" s="81"/>
      <c r="AA108" s="81"/>
      <c r="AB108" s="81"/>
      <c r="AC108" s="84"/>
      <c r="AD108" s="85"/>
      <c r="AE108" s="81"/>
      <c r="AF108" s="81"/>
      <c r="AG108" s="81"/>
      <c r="AH108" s="81"/>
      <c r="AI108" s="84"/>
    </row>
    <row r="109" spans="2:35" s="74" customFormat="1" ht="26.25" customHeight="1" x14ac:dyDescent="0.25">
      <c r="B109" s="151" t="s">
        <v>369</v>
      </c>
      <c r="C109" s="277">
        <v>202</v>
      </c>
      <c r="D109" s="275">
        <v>202</v>
      </c>
      <c r="E109" s="275">
        <v>0</v>
      </c>
      <c r="F109" s="275">
        <v>0</v>
      </c>
      <c r="G109" s="275">
        <v>0</v>
      </c>
      <c r="H109" s="275">
        <v>0</v>
      </c>
      <c r="I109" s="275">
        <v>0</v>
      </c>
      <c r="J109" s="259">
        <v>2.8434819774819999</v>
      </c>
      <c r="K109" s="83">
        <f>VLOOKUP($C109,Prevs!$C$7:$I$279,2,FALSE)-IFERROR(VLOOKUP($E109,Prevs!$C$7:$I$279,2,FALSE),0)-IFERROR(VLOOKUP($D109,Prevs!$C$7:$I$279,2,FALSE),0)-IFERROR(VLOOKUP($G109,Prevs!$C$7:$I$279,2,FALSE),0)-IFERROR(VLOOKUP($H109,Prevs!$C$7:$I$279,2,FALSE),0)-IFERROR(VLOOKUP($I109,Prevs!$C$7:$I$279,2,FALSE),0)-IFERROR(VLOOKUP($F109,Prevs!$C$7:$I$279,2,FALSE),0)</f>
        <v>0</v>
      </c>
      <c r="L109" s="81">
        <f>VLOOKUP($C109,Prevs!$C$7:$I$279,3,FALSE)-IFERROR(VLOOKUP($E109,Prevs!$C$7:$I$279,3,FALSE),0)-IFERROR(VLOOKUP($D109,Prevs!$C$7:$I$279,3,FALSE),0)-IFERROR(VLOOKUP($G109,Prevs!$C$7:$I$279,3,FALSE),0)-IFERROR(VLOOKUP($H109,Prevs!$C$7:$I$279,3,FALSE),0)-IFERROR(VLOOKUP($I109,Prevs!$C$7:$I$279,3,FALSE),0)-IFERROR(VLOOKUP($F109,Prevs!$C$7:$I$279,3,FALSE),0)</f>
        <v>0</v>
      </c>
      <c r="M109" s="81">
        <f>VLOOKUP($C109,Prevs!$C$7:$I$279,4,FALSE)-IFERROR(VLOOKUP($E109,Prevs!$C$7:$I$279,4,FALSE),0)-IFERROR(VLOOKUP($D109,Prevs!$C$7:$I$279,4,FALSE),0)-IFERROR(VLOOKUP($G109,Prevs!$C$7:$I$279,4,FALSE),0)-IFERROR(VLOOKUP($H109,Prevs!$C$7:$I$279,4,FALSE),0)-IFERROR(VLOOKUP($I109,Prevs!$C$7:$I$279,4,FALSE),0)-IFERROR(VLOOKUP($F109,Prevs!$C$7:$I$279,4,FALSE),0)</f>
        <v>0</v>
      </c>
      <c r="N109" s="81">
        <f>VLOOKUP($C109,Prevs!$C$7:$I$279,5,FALSE)-IFERROR(VLOOKUP($E109,Prevs!$C$7:$I$279,5,FALSE),0)-IFERROR(VLOOKUP($D109,Prevs!$C$7:$I$279,5,FALSE),0)-IFERROR(VLOOKUP($G109,Prevs!$C$7:$I$279,5,FALSE),0)-IFERROR(VLOOKUP($H109,Prevs!$C$7:$I$279,5,FALSE),0)-IFERROR(VLOOKUP($I109,Prevs!$C$7:$I$279,5,FALSE),0)-IFERROR(VLOOKUP($F109,Prevs!$C$7:$I$279,5,FALSE),0)</f>
        <v>0</v>
      </c>
      <c r="O109" s="81">
        <f>VLOOKUP($C109,Prevs!$C$7:$I$279,6,FALSE)-IFERROR(VLOOKUP($E109,Prevs!$C$7:$I$279,6,FALSE),0)-IFERROR(VLOOKUP($D109,Prevs!$C$7:$I$279,6,FALSE),0)-IFERROR(VLOOKUP($G109,Prevs!$C$7:$I$279,6,FALSE),0)-IFERROR(VLOOKUP($H109,Prevs!$C$7:$I$279,6,FALSE),0)-IFERROR(VLOOKUP($I109,Prevs!$C$7:$I$279,6,FALSE),0)-IFERROR(VLOOKUP($F109,Prevs!$C$7:$I$279,6,FALSE),0)</f>
        <v>0</v>
      </c>
      <c r="P109" s="84">
        <f>VLOOKUP($C109,Prevs!$C$7:$I$279,7,FALSE)-IFERROR(VLOOKUP($E109,Prevs!$C$7:$I$279,7,FALSE),0)-IFERROR(VLOOKUP($D109,Prevs!$C$7:$I$279,7,FALSE),0)-IFERROR(VLOOKUP($G109,Prevs!$C$7:$I$279,7,FALSE),0)-IFERROR(VLOOKUP($H109,Prevs!$C$7:$I$279,7,FALSE),0)-IFERROR(VLOOKUP($I109,Prevs!$C$7:$I$279,7,FALSE),0)-IFERROR(VLOOKUP($F109,Prevs!$C$7:$I$279,7,FALSE),0)</f>
        <v>0</v>
      </c>
      <c r="Q109" s="276">
        <f t="shared" si="8"/>
        <v>0</v>
      </c>
      <c r="R109" s="271">
        <f t="shared" si="9"/>
        <v>0</v>
      </c>
      <c r="S109" s="271">
        <f t="shared" si="10"/>
        <v>0</v>
      </c>
      <c r="T109" s="271">
        <f t="shared" si="11"/>
        <v>0</v>
      </c>
      <c r="U109" s="271">
        <f t="shared" si="12"/>
        <v>0</v>
      </c>
      <c r="V109" s="272">
        <f t="shared" si="13"/>
        <v>0</v>
      </c>
      <c r="X109" s="83"/>
      <c r="Y109" s="81"/>
      <c r="Z109" s="81"/>
      <c r="AA109" s="81"/>
      <c r="AB109" s="81"/>
      <c r="AC109" s="84"/>
      <c r="AD109" s="85"/>
      <c r="AE109" s="81"/>
      <c r="AF109" s="81"/>
      <c r="AG109" s="81"/>
      <c r="AH109" s="81"/>
      <c r="AI109" s="84"/>
    </row>
    <row r="110" spans="2:35" s="74" customFormat="1" ht="26.25" customHeight="1" x14ac:dyDescent="0.25">
      <c r="B110" s="151" t="s">
        <v>370</v>
      </c>
      <c r="C110" s="277">
        <v>202</v>
      </c>
      <c r="D110" s="275">
        <v>202</v>
      </c>
      <c r="E110" s="275">
        <v>0</v>
      </c>
      <c r="F110" s="275">
        <v>0</v>
      </c>
      <c r="G110" s="275">
        <v>0</v>
      </c>
      <c r="H110" s="275">
        <v>0</v>
      </c>
      <c r="I110" s="275">
        <v>0</v>
      </c>
      <c r="J110" s="259">
        <v>2.843481973312</v>
      </c>
      <c r="K110" s="83">
        <f>VLOOKUP($C110,Prevs!$C$7:$I$279,2,FALSE)-IFERROR(VLOOKUP($E110,Prevs!$C$7:$I$279,2,FALSE),0)-IFERROR(VLOOKUP($D110,Prevs!$C$7:$I$279,2,FALSE),0)-IFERROR(VLOOKUP($G110,Prevs!$C$7:$I$279,2,FALSE),0)-IFERROR(VLOOKUP($H110,Prevs!$C$7:$I$279,2,FALSE),0)-IFERROR(VLOOKUP($I110,Prevs!$C$7:$I$279,2,FALSE),0)-IFERROR(VLOOKUP($F110,Prevs!$C$7:$I$279,2,FALSE),0)</f>
        <v>0</v>
      </c>
      <c r="L110" s="81">
        <f>VLOOKUP($C110,Prevs!$C$7:$I$279,3,FALSE)-IFERROR(VLOOKUP($E110,Prevs!$C$7:$I$279,3,FALSE),0)-IFERROR(VLOOKUP($D110,Prevs!$C$7:$I$279,3,FALSE),0)-IFERROR(VLOOKUP($G110,Prevs!$C$7:$I$279,3,FALSE),0)-IFERROR(VLOOKUP($H110,Prevs!$C$7:$I$279,3,FALSE),0)-IFERROR(VLOOKUP($I110,Prevs!$C$7:$I$279,3,FALSE),0)-IFERROR(VLOOKUP($F110,Prevs!$C$7:$I$279,3,FALSE),0)</f>
        <v>0</v>
      </c>
      <c r="M110" s="81">
        <f>VLOOKUP($C110,Prevs!$C$7:$I$279,4,FALSE)-IFERROR(VLOOKUP($E110,Prevs!$C$7:$I$279,4,FALSE),0)-IFERROR(VLOOKUP($D110,Prevs!$C$7:$I$279,4,FALSE),0)-IFERROR(VLOOKUP($G110,Prevs!$C$7:$I$279,4,FALSE),0)-IFERROR(VLOOKUP($H110,Prevs!$C$7:$I$279,4,FALSE),0)-IFERROR(VLOOKUP($I110,Prevs!$C$7:$I$279,4,FALSE),0)-IFERROR(VLOOKUP($F110,Prevs!$C$7:$I$279,4,FALSE),0)</f>
        <v>0</v>
      </c>
      <c r="N110" s="81">
        <f>VLOOKUP($C110,Prevs!$C$7:$I$279,5,FALSE)-IFERROR(VLOOKUP($E110,Prevs!$C$7:$I$279,5,FALSE),0)-IFERROR(VLOOKUP($D110,Prevs!$C$7:$I$279,5,FALSE),0)-IFERROR(VLOOKUP($G110,Prevs!$C$7:$I$279,5,FALSE),0)-IFERROR(VLOOKUP($H110,Prevs!$C$7:$I$279,5,FALSE),0)-IFERROR(VLOOKUP($I110,Prevs!$C$7:$I$279,5,FALSE),0)-IFERROR(VLOOKUP($F110,Prevs!$C$7:$I$279,5,FALSE),0)</f>
        <v>0</v>
      </c>
      <c r="O110" s="81">
        <f>VLOOKUP($C110,Prevs!$C$7:$I$279,6,FALSE)-IFERROR(VLOOKUP($E110,Prevs!$C$7:$I$279,6,FALSE),0)-IFERROR(VLOOKUP($D110,Prevs!$C$7:$I$279,6,FALSE),0)-IFERROR(VLOOKUP($G110,Prevs!$C$7:$I$279,6,FALSE),0)-IFERROR(VLOOKUP($H110,Prevs!$C$7:$I$279,6,FALSE),0)-IFERROR(VLOOKUP($I110,Prevs!$C$7:$I$279,6,FALSE),0)-IFERROR(VLOOKUP($F110,Prevs!$C$7:$I$279,6,FALSE),0)</f>
        <v>0</v>
      </c>
      <c r="P110" s="84">
        <f>VLOOKUP($C110,Prevs!$C$7:$I$279,7,FALSE)-IFERROR(VLOOKUP($E110,Prevs!$C$7:$I$279,7,FALSE),0)-IFERROR(VLOOKUP($D110,Prevs!$C$7:$I$279,7,FALSE),0)-IFERROR(VLOOKUP($G110,Prevs!$C$7:$I$279,7,FALSE),0)-IFERROR(VLOOKUP($H110,Prevs!$C$7:$I$279,7,FALSE),0)-IFERROR(VLOOKUP($I110,Prevs!$C$7:$I$279,7,FALSE),0)-IFERROR(VLOOKUP($F110,Prevs!$C$7:$I$279,7,FALSE),0)</f>
        <v>0</v>
      </c>
      <c r="Q110" s="276">
        <f t="shared" si="8"/>
        <v>0</v>
      </c>
      <c r="R110" s="271">
        <f t="shared" si="9"/>
        <v>0</v>
      </c>
      <c r="S110" s="271">
        <f t="shared" si="10"/>
        <v>0</v>
      </c>
      <c r="T110" s="271">
        <f t="shared" si="11"/>
        <v>0</v>
      </c>
      <c r="U110" s="271">
        <f t="shared" si="12"/>
        <v>0</v>
      </c>
      <c r="V110" s="272">
        <f t="shared" si="13"/>
        <v>0</v>
      </c>
      <c r="X110" s="83"/>
      <c r="Y110" s="81"/>
      <c r="Z110" s="81"/>
      <c r="AA110" s="81"/>
      <c r="AB110" s="81"/>
      <c r="AC110" s="84"/>
      <c r="AD110" s="85"/>
      <c r="AE110" s="81"/>
      <c r="AF110" s="81"/>
      <c r="AG110" s="81"/>
      <c r="AH110" s="81"/>
      <c r="AI110" s="84"/>
    </row>
    <row r="111" spans="2:35" s="74" customFormat="1" ht="26.25" customHeight="1" x14ac:dyDescent="0.25">
      <c r="B111" s="151" t="s">
        <v>371</v>
      </c>
      <c r="C111" s="277">
        <v>202</v>
      </c>
      <c r="D111" s="275">
        <v>202</v>
      </c>
      <c r="E111" s="275">
        <v>0</v>
      </c>
      <c r="F111" s="275">
        <v>0</v>
      </c>
      <c r="G111" s="275">
        <v>0</v>
      </c>
      <c r="H111" s="275">
        <v>0</v>
      </c>
      <c r="I111" s="275">
        <v>0</v>
      </c>
      <c r="J111" s="259">
        <v>2.8257182968614898</v>
      </c>
      <c r="K111" s="83">
        <f>VLOOKUP($C111,Prevs!$C$7:$I$279,2,FALSE)-IFERROR(VLOOKUP($E111,Prevs!$C$7:$I$279,2,FALSE),0)-IFERROR(VLOOKUP($D111,Prevs!$C$7:$I$279,2,FALSE),0)-IFERROR(VLOOKUP($G111,Prevs!$C$7:$I$279,2,FALSE),0)-IFERROR(VLOOKUP($H111,Prevs!$C$7:$I$279,2,FALSE),0)-IFERROR(VLOOKUP($I111,Prevs!$C$7:$I$279,2,FALSE),0)-IFERROR(VLOOKUP($F111,Prevs!$C$7:$I$279,2,FALSE),0)</f>
        <v>0</v>
      </c>
      <c r="L111" s="81">
        <f>VLOOKUP($C111,Prevs!$C$7:$I$279,3,FALSE)-IFERROR(VLOOKUP($E111,Prevs!$C$7:$I$279,3,FALSE),0)-IFERROR(VLOOKUP($D111,Prevs!$C$7:$I$279,3,FALSE),0)-IFERROR(VLOOKUP($G111,Prevs!$C$7:$I$279,3,FALSE),0)-IFERROR(VLOOKUP($H111,Prevs!$C$7:$I$279,3,FALSE),0)-IFERROR(VLOOKUP($I111,Prevs!$C$7:$I$279,3,FALSE),0)-IFERROR(VLOOKUP($F111,Prevs!$C$7:$I$279,3,FALSE),0)</f>
        <v>0</v>
      </c>
      <c r="M111" s="81">
        <f>VLOOKUP($C111,Prevs!$C$7:$I$279,4,FALSE)-IFERROR(VLOOKUP($E111,Prevs!$C$7:$I$279,4,FALSE),0)-IFERROR(VLOOKUP($D111,Prevs!$C$7:$I$279,4,FALSE),0)-IFERROR(VLOOKUP($G111,Prevs!$C$7:$I$279,4,FALSE),0)-IFERROR(VLOOKUP($H111,Prevs!$C$7:$I$279,4,FALSE),0)-IFERROR(VLOOKUP($I111,Prevs!$C$7:$I$279,4,FALSE),0)-IFERROR(VLOOKUP($F111,Prevs!$C$7:$I$279,4,FALSE),0)</f>
        <v>0</v>
      </c>
      <c r="N111" s="81">
        <f>VLOOKUP($C111,Prevs!$C$7:$I$279,5,FALSE)-IFERROR(VLOOKUP($E111,Prevs!$C$7:$I$279,5,FALSE),0)-IFERROR(VLOOKUP($D111,Prevs!$C$7:$I$279,5,FALSE),0)-IFERROR(VLOOKUP($G111,Prevs!$C$7:$I$279,5,FALSE),0)-IFERROR(VLOOKUP($H111,Prevs!$C$7:$I$279,5,FALSE),0)-IFERROR(VLOOKUP($I111,Prevs!$C$7:$I$279,5,FALSE),0)-IFERROR(VLOOKUP($F111,Prevs!$C$7:$I$279,5,FALSE),0)</f>
        <v>0</v>
      </c>
      <c r="O111" s="81">
        <f>VLOOKUP($C111,Prevs!$C$7:$I$279,6,FALSE)-IFERROR(VLOOKUP($E111,Prevs!$C$7:$I$279,6,FALSE),0)-IFERROR(VLOOKUP($D111,Prevs!$C$7:$I$279,6,FALSE),0)-IFERROR(VLOOKUP($G111,Prevs!$C$7:$I$279,6,FALSE),0)-IFERROR(VLOOKUP($H111,Prevs!$C$7:$I$279,6,FALSE),0)-IFERROR(VLOOKUP($I111,Prevs!$C$7:$I$279,6,FALSE),0)-IFERROR(VLOOKUP($F111,Prevs!$C$7:$I$279,6,FALSE),0)</f>
        <v>0</v>
      </c>
      <c r="P111" s="84">
        <f>VLOOKUP($C111,Prevs!$C$7:$I$279,7,FALSE)-IFERROR(VLOOKUP($E111,Prevs!$C$7:$I$279,7,FALSE),0)-IFERROR(VLOOKUP($D111,Prevs!$C$7:$I$279,7,FALSE),0)-IFERROR(VLOOKUP($G111,Prevs!$C$7:$I$279,7,FALSE),0)-IFERROR(VLOOKUP($H111,Prevs!$C$7:$I$279,7,FALSE),0)-IFERROR(VLOOKUP($I111,Prevs!$C$7:$I$279,7,FALSE),0)-IFERROR(VLOOKUP($F111,Prevs!$C$7:$I$279,7,FALSE),0)</f>
        <v>0</v>
      </c>
      <c r="Q111" s="276">
        <f t="shared" si="8"/>
        <v>0</v>
      </c>
      <c r="R111" s="271">
        <f t="shared" si="9"/>
        <v>0</v>
      </c>
      <c r="S111" s="271">
        <f t="shared" si="10"/>
        <v>0</v>
      </c>
      <c r="T111" s="271">
        <f t="shared" si="11"/>
        <v>0</v>
      </c>
      <c r="U111" s="271">
        <f t="shared" si="12"/>
        <v>0</v>
      </c>
      <c r="V111" s="272">
        <f t="shared" si="13"/>
        <v>0</v>
      </c>
      <c r="X111" s="83"/>
      <c r="Y111" s="81"/>
      <c r="Z111" s="81"/>
      <c r="AA111" s="81"/>
      <c r="AB111" s="81"/>
      <c r="AC111" s="84"/>
      <c r="AD111" s="85"/>
      <c r="AE111" s="81"/>
      <c r="AF111" s="81"/>
      <c r="AG111" s="81"/>
      <c r="AH111" s="81"/>
      <c r="AI111" s="84"/>
    </row>
    <row r="112" spans="2:35" s="74" customFormat="1" ht="26.25" customHeight="1" x14ac:dyDescent="0.25">
      <c r="B112" s="151" t="s">
        <v>372</v>
      </c>
      <c r="C112" s="277">
        <v>202</v>
      </c>
      <c r="D112" s="275">
        <v>202</v>
      </c>
      <c r="E112" s="275">
        <v>0</v>
      </c>
      <c r="F112" s="275">
        <v>0</v>
      </c>
      <c r="G112" s="275">
        <v>0</v>
      </c>
      <c r="H112" s="275">
        <v>0</v>
      </c>
      <c r="I112" s="275">
        <v>0</v>
      </c>
      <c r="J112" s="259">
        <v>2.8257182968614898</v>
      </c>
      <c r="K112" s="83">
        <f>VLOOKUP($C112,Prevs!$C$7:$I$279,2,FALSE)-IFERROR(VLOOKUP($E112,Prevs!$C$7:$I$279,2,FALSE),0)-IFERROR(VLOOKUP($D112,Prevs!$C$7:$I$279,2,FALSE),0)-IFERROR(VLOOKUP($G112,Prevs!$C$7:$I$279,2,FALSE),0)-IFERROR(VLOOKUP($H112,Prevs!$C$7:$I$279,2,FALSE),0)-IFERROR(VLOOKUP($I112,Prevs!$C$7:$I$279,2,FALSE),0)-IFERROR(VLOOKUP($F112,Prevs!$C$7:$I$279,2,FALSE),0)</f>
        <v>0</v>
      </c>
      <c r="L112" s="81">
        <f>VLOOKUP($C112,Prevs!$C$7:$I$279,3,FALSE)-IFERROR(VLOOKUP($E112,Prevs!$C$7:$I$279,3,FALSE),0)-IFERROR(VLOOKUP($D112,Prevs!$C$7:$I$279,3,FALSE),0)-IFERROR(VLOOKUP($G112,Prevs!$C$7:$I$279,3,FALSE),0)-IFERROR(VLOOKUP($H112,Prevs!$C$7:$I$279,3,FALSE),0)-IFERROR(VLOOKUP($I112,Prevs!$C$7:$I$279,3,FALSE),0)-IFERROR(VLOOKUP($F112,Prevs!$C$7:$I$279,3,FALSE),0)</f>
        <v>0</v>
      </c>
      <c r="M112" s="81">
        <f>VLOOKUP($C112,Prevs!$C$7:$I$279,4,FALSE)-IFERROR(VLOOKUP($E112,Prevs!$C$7:$I$279,4,FALSE),0)-IFERROR(VLOOKUP($D112,Prevs!$C$7:$I$279,4,FALSE),0)-IFERROR(VLOOKUP($G112,Prevs!$C$7:$I$279,4,FALSE),0)-IFERROR(VLOOKUP($H112,Prevs!$C$7:$I$279,4,FALSE),0)-IFERROR(VLOOKUP($I112,Prevs!$C$7:$I$279,4,FALSE),0)-IFERROR(VLOOKUP($F112,Prevs!$C$7:$I$279,4,FALSE),0)</f>
        <v>0</v>
      </c>
      <c r="N112" s="81">
        <f>VLOOKUP($C112,Prevs!$C$7:$I$279,5,FALSE)-IFERROR(VLOOKUP($E112,Prevs!$C$7:$I$279,5,FALSE),0)-IFERROR(VLOOKUP($D112,Prevs!$C$7:$I$279,5,FALSE),0)-IFERROR(VLOOKUP($G112,Prevs!$C$7:$I$279,5,FALSE),0)-IFERROR(VLOOKUP($H112,Prevs!$C$7:$I$279,5,FALSE),0)-IFERROR(VLOOKUP($I112,Prevs!$C$7:$I$279,5,FALSE),0)-IFERROR(VLOOKUP($F112,Prevs!$C$7:$I$279,5,FALSE),0)</f>
        <v>0</v>
      </c>
      <c r="O112" s="81">
        <f>VLOOKUP($C112,Prevs!$C$7:$I$279,6,FALSE)-IFERROR(VLOOKUP($E112,Prevs!$C$7:$I$279,6,FALSE),0)-IFERROR(VLOOKUP($D112,Prevs!$C$7:$I$279,6,FALSE),0)-IFERROR(VLOOKUP($G112,Prevs!$C$7:$I$279,6,FALSE),0)-IFERROR(VLOOKUP($H112,Prevs!$C$7:$I$279,6,FALSE),0)-IFERROR(VLOOKUP($I112,Prevs!$C$7:$I$279,6,FALSE),0)-IFERROR(VLOOKUP($F112,Prevs!$C$7:$I$279,6,FALSE),0)</f>
        <v>0</v>
      </c>
      <c r="P112" s="84">
        <f>VLOOKUP($C112,Prevs!$C$7:$I$279,7,FALSE)-IFERROR(VLOOKUP($E112,Prevs!$C$7:$I$279,7,FALSE),0)-IFERROR(VLOOKUP($D112,Prevs!$C$7:$I$279,7,FALSE),0)-IFERROR(VLOOKUP($G112,Prevs!$C$7:$I$279,7,FALSE),0)-IFERROR(VLOOKUP($H112,Prevs!$C$7:$I$279,7,FALSE),0)-IFERROR(VLOOKUP($I112,Prevs!$C$7:$I$279,7,FALSE),0)-IFERROR(VLOOKUP($F112,Prevs!$C$7:$I$279,7,FALSE),0)</f>
        <v>0</v>
      </c>
      <c r="Q112" s="276">
        <f t="shared" si="8"/>
        <v>0</v>
      </c>
      <c r="R112" s="271">
        <f t="shared" si="9"/>
        <v>0</v>
      </c>
      <c r="S112" s="271">
        <f t="shared" si="10"/>
        <v>0</v>
      </c>
      <c r="T112" s="271">
        <f t="shared" si="11"/>
        <v>0</v>
      </c>
      <c r="U112" s="271">
        <f t="shared" si="12"/>
        <v>0</v>
      </c>
      <c r="V112" s="272">
        <f t="shared" si="13"/>
        <v>0</v>
      </c>
      <c r="X112" s="83"/>
      <c r="Y112" s="81"/>
      <c r="Z112" s="81"/>
      <c r="AA112" s="81"/>
      <c r="AB112" s="81"/>
      <c r="AC112" s="84"/>
      <c r="AD112" s="85"/>
      <c r="AE112" s="81"/>
      <c r="AF112" s="81"/>
      <c r="AG112" s="81"/>
      <c r="AH112" s="81"/>
      <c r="AI112" s="84"/>
    </row>
    <row r="113" spans="2:35" s="74" customFormat="1" ht="26.25" customHeight="1" x14ac:dyDescent="0.25">
      <c r="B113" s="151" t="s">
        <v>373</v>
      </c>
      <c r="C113" s="277">
        <v>116</v>
      </c>
      <c r="D113" s="275">
        <v>0</v>
      </c>
      <c r="E113" s="275">
        <v>0</v>
      </c>
      <c r="F113" s="275">
        <v>0</v>
      </c>
      <c r="G113" s="275">
        <v>0</v>
      </c>
      <c r="H113" s="275">
        <v>0</v>
      </c>
      <c r="I113" s="275">
        <v>0</v>
      </c>
      <c r="J113" s="259">
        <v>5.6536743520000003</v>
      </c>
      <c r="K113" s="83">
        <f>VLOOKUP($C113,Prevs!$C$7:$I$279,2,FALSE)-IFERROR(VLOOKUP($E113,Prevs!$C$7:$I$279,2,FALSE),0)-IFERROR(VLOOKUP($D113,Prevs!$C$7:$I$279,2,FALSE),0)-IFERROR(VLOOKUP($G113,Prevs!$C$7:$I$279,2,FALSE),0)-IFERROR(VLOOKUP($H113,Prevs!$C$7:$I$279,2,FALSE),0)-IFERROR(VLOOKUP($I113,Prevs!$C$7:$I$279,2,FALSE),0)-IFERROR(VLOOKUP($F113,Prevs!$C$7:$I$279,2,FALSE),0)</f>
        <v>2</v>
      </c>
      <c r="L113" s="81">
        <f>VLOOKUP($C113,Prevs!$C$7:$I$279,3,FALSE)-IFERROR(VLOOKUP($E113,Prevs!$C$7:$I$279,3,FALSE),0)-IFERROR(VLOOKUP($D113,Prevs!$C$7:$I$279,3,FALSE),0)-IFERROR(VLOOKUP($G113,Prevs!$C$7:$I$279,3,FALSE),0)-IFERROR(VLOOKUP($H113,Prevs!$C$7:$I$279,3,FALSE),0)-IFERROR(VLOOKUP($I113,Prevs!$C$7:$I$279,3,FALSE),0)-IFERROR(VLOOKUP($F113,Prevs!$C$7:$I$279,3,FALSE),0)</f>
        <v>3</v>
      </c>
      <c r="M113" s="81">
        <f>VLOOKUP($C113,Prevs!$C$7:$I$279,4,FALSE)-IFERROR(VLOOKUP($E113,Prevs!$C$7:$I$279,4,FALSE),0)-IFERROR(VLOOKUP($D113,Prevs!$C$7:$I$279,4,FALSE),0)-IFERROR(VLOOKUP($G113,Prevs!$C$7:$I$279,4,FALSE),0)-IFERROR(VLOOKUP($H113,Prevs!$C$7:$I$279,4,FALSE),0)-IFERROR(VLOOKUP($I113,Prevs!$C$7:$I$279,4,FALSE),0)-IFERROR(VLOOKUP($F113,Prevs!$C$7:$I$279,4,FALSE),0)</f>
        <v>2</v>
      </c>
      <c r="N113" s="81">
        <f>VLOOKUP($C113,Prevs!$C$7:$I$279,5,FALSE)-IFERROR(VLOOKUP($E113,Prevs!$C$7:$I$279,5,FALSE),0)-IFERROR(VLOOKUP($D113,Prevs!$C$7:$I$279,5,FALSE),0)-IFERROR(VLOOKUP($G113,Prevs!$C$7:$I$279,5,FALSE),0)-IFERROR(VLOOKUP($H113,Prevs!$C$7:$I$279,5,FALSE),0)-IFERROR(VLOOKUP($I113,Prevs!$C$7:$I$279,5,FALSE),0)-IFERROR(VLOOKUP($F113,Prevs!$C$7:$I$279,5,FALSE),0)</f>
        <v>2</v>
      </c>
      <c r="O113" s="81">
        <f>VLOOKUP($C113,Prevs!$C$7:$I$279,6,FALSE)-IFERROR(VLOOKUP($E113,Prevs!$C$7:$I$279,6,FALSE),0)-IFERROR(VLOOKUP($D113,Prevs!$C$7:$I$279,6,FALSE),0)-IFERROR(VLOOKUP($G113,Prevs!$C$7:$I$279,6,FALSE),0)-IFERROR(VLOOKUP($H113,Prevs!$C$7:$I$279,6,FALSE),0)-IFERROR(VLOOKUP($I113,Prevs!$C$7:$I$279,6,FALSE),0)-IFERROR(VLOOKUP($F113,Prevs!$C$7:$I$279,6,FALSE),0)</f>
        <v>2</v>
      </c>
      <c r="P113" s="84">
        <f>VLOOKUP($C113,Prevs!$C$7:$I$279,7,FALSE)-IFERROR(VLOOKUP($E113,Prevs!$C$7:$I$279,7,FALSE),0)-IFERROR(VLOOKUP($D113,Prevs!$C$7:$I$279,7,FALSE),0)-IFERROR(VLOOKUP($G113,Prevs!$C$7:$I$279,7,FALSE),0)-IFERROR(VLOOKUP($H113,Prevs!$C$7:$I$279,7,FALSE),0)-IFERROR(VLOOKUP($I113,Prevs!$C$7:$I$279,7,FALSE),0)-IFERROR(VLOOKUP($F113,Prevs!$C$7:$I$279,7,FALSE),0)</f>
        <v>2</v>
      </c>
      <c r="Q113" s="276">
        <f t="shared" si="8"/>
        <v>11.307348704000001</v>
      </c>
      <c r="R113" s="271">
        <f t="shared" si="9"/>
        <v>16.961023056000002</v>
      </c>
      <c r="S113" s="271">
        <f t="shared" si="10"/>
        <v>11.307348704000001</v>
      </c>
      <c r="T113" s="271">
        <f t="shared" si="11"/>
        <v>11.307348704000001</v>
      </c>
      <c r="U113" s="271">
        <f t="shared" si="12"/>
        <v>11.307348704000001</v>
      </c>
      <c r="V113" s="272">
        <f t="shared" si="13"/>
        <v>11.307348704000001</v>
      </c>
      <c r="X113" s="83"/>
      <c r="Y113" s="81"/>
      <c r="Z113" s="81"/>
      <c r="AA113" s="81"/>
      <c r="AB113" s="81"/>
      <c r="AC113" s="84"/>
      <c r="AD113" s="85"/>
      <c r="AE113" s="81"/>
      <c r="AF113" s="81"/>
      <c r="AG113" s="81"/>
      <c r="AH113" s="81"/>
      <c r="AI113" s="84"/>
    </row>
    <row r="114" spans="2:35" s="93" customFormat="1" ht="19.5" thickBot="1" x14ac:dyDescent="0.3">
      <c r="B114" s="153" t="s">
        <v>374</v>
      </c>
      <c r="C114" s="154">
        <v>252</v>
      </c>
      <c r="D114" s="155">
        <v>259</v>
      </c>
      <c r="E114" s="155">
        <v>0</v>
      </c>
      <c r="F114" s="155">
        <v>0</v>
      </c>
      <c r="G114" s="155">
        <v>0</v>
      </c>
      <c r="H114" s="155">
        <v>0</v>
      </c>
      <c r="I114" s="155">
        <v>0</v>
      </c>
      <c r="J114" s="281">
        <v>1.2441361018892001</v>
      </c>
      <c r="K114" s="157">
        <f>VLOOKUP($C114,Prevs!$C$7:$I$279,2,FALSE)-IFERROR(VLOOKUP($E114,Prevs!$C$7:$I$279,2,FALSE),0)-IFERROR(VLOOKUP($D114,Prevs!$C$7:$I$279,2,FALSE),0)-IFERROR(VLOOKUP($G114,Prevs!$C$7:$I$279,2,FALSE),0)-IFERROR(VLOOKUP($H114,Prevs!$C$7:$I$279,2,FALSE),0)-IFERROR(VLOOKUP($I114,Prevs!$C$7:$I$279,2,FALSE),0)-IFERROR(VLOOKUP($F114,Prevs!$C$7:$I$279,2,FALSE),0)</f>
        <v>0</v>
      </c>
      <c r="L114" s="154">
        <f>VLOOKUP($C114,Prevs!$C$7:$I$279,3,FALSE)-IFERROR(VLOOKUP($E114,Prevs!$C$7:$I$279,3,FALSE),0)-IFERROR(VLOOKUP($D114,Prevs!$C$7:$I$279,3,FALSE),0)-IFERROR(VLOOKUP($G114,Prevs!$C$7:$I$279,3,FALSE),0)-IFERROR(VLOOKUP($H114,Prevs!$C$7:$I$279,3,FALSE),0)-IFERROR(VLOOKUP($I114,Prevs!$C$7:$I$279,3,FALSE),0)-IFERROR(VLOOKUP($F114,Prevs!$C$7:$I$279,3,FALSE),0)</f>
        <v>0</v>
      </c>
      <c r="M114" s="154">
        <f>VLOOKUP($C114,Prevs!$C$7:$I$279,4,FALSE)-IFERROR(VLOOKUP($E114,Prevs!$C$7:$I$279,4,FALSE),0)-IFERROR(VLOOKUP($D114,Prevs!$C$7:$I$279,4,FALSE),0)-IFERROR(VLOOKUP($G114,Prevs!$C$7:$I$279,4,FALSE),0)-IFERROR(VLOOKUP($H114,Prevs!$C$7:$I$279,4,FALSE),0)-IFERROR(VLOOKUP($I114,Prevs!$C$7:$I$279,4,FALSE),0)-IFERROR(VLOOKUP($F114,Prevs!$C$7:$I$279,4,FALSE),0)</f>
        <v>0</v>
      </c>
      <c r="N114" s="154">
        <f>VLOOKUP($C114,Prevs!$C$7:$I$279,5,FALSE)-IFERROR(VLOOKUP($E114,Prevs!$C$7:$I$279,5,FALSE),0)-IFERROR(VLOOKUP($D114,Prevs!$C$7:$I$279,5,FALSE),0)-IFERROR(VLOOKUP($G114,Prevs!$C$7:$I$279,5,FALSE),0)-IFERROR(VLOOKUP($H114,Prevs!$C$7:$I$279,5,FALSE),0)-IFERROR(VLOOKUP($I114,Prevs!$C$7:$I$279,5,FALSE),0)-IFERROR(VLOOKUP($F114,Prevs!$C$7:$I$279,5,FALSE),0)</f>
        <v>0</v>
      </c>
      <c r="O114" s="154">
        <f>VLOOKUP($C114,Prevs!$C$7:$I$279,6,FALSE)-IFERROR(VLOOKUP($E114,Prevs!$C$7:$I$279,6,FALSE),0)-IFERROR(VLOOKUP($D114,Prevs!$C$7:$I$279,6,FALSE),0)-IFERROR(VLOOKUP($G114,Prevs!$C$7:$I$279,6,FALSE),0)-IFERROR(VLOOKUP($H114,Prevs!$C$7:$I$279,6,FALSE),0)-IFERROR(VLOOKUP($I114,Prevs!$C$7:$I$279,6,FALSE),0)-IFERROR(VLOOKUP($F114,Prevs!$C$7:$I$279,6,FALSE),0)</f>
        <v>0</v>
      </c>
      <c r="P114" s="158">
        <f>VLOOKUP($C114,Prevs!$C$7:$I$279,7,FALSE)-IFERROR(VLOOKUP($E114,Prevs!$C$7:$I$279,7,FALSE),0)-IFERROR(VLOOKUP($D114,Prevs!$C$7:$I$279,7,FALSE),0)-IFERROR(VLOOKUP($G114,Prevs!$C$7:$I$279,7,FALSE),0)-IFERROR(VLOOKUP($H114,Prevs!$C$7:$I$279,7,FALSE),0)-IFERROR(VLOOKUP($I114,Prevs!$C$7:$I$279,7,FALSE),0)-IFERROR(VLOOKUP($F114,Prevs!$C$7:$I$279,7,FALSE),0)</f>
        <v>0</v>
      </c>
      <c r="Q114" s="280">
        <f t="shared" si="8"/>
        <v>0</v>
      </c>
      <c r="R114" s="273">
        <f t="shared" si="9"/>
        <v>0</v>
      </c>
      <c r="S114" s="273">
        <f t="shared" si="10"/>
        <v>0</v>
      </c>
      <c r="T114" s="273">
        <f t="shared" si="11"/>
        <v>0</v>
      </c>
      <c r="U114" s="273">
        <f t="shared" si="12"/>
        <v>0</v>
      </c>
      <c r="V114" s="274">
        <f t="shared" si="13"/>
        <v>0</v>
      </c>
      <c r="X114" s="87"/>
      <c r="Y114" s="88"/>
      <c r="Z114" s="88"/>
      <c r="AA114" s="88"/>
      <c r="AB114" s="88"/>
      <c r="AC114" s="89"/>
      <c r="AD114" s="90"/>
      <c r="AE114" s="88"/>
      <c r="AF114" s="88"/>
      <c r="AG114" s="88"/>
      <c r="AH114" s="88"/>
      <c r="AI114" s="89"/>
    </row>
    <row r="115" spans="2:35" x14ac:dyDescent="0.25">
      <c r="N115" s="113"/>
      <c r="O115" s="113"/>
    </row>
    <row r="116" spans="2:35" s="74" customFormat="1" ht="26.25" hidden="1" customHeight="1" x14ac:dyDescent="0.25">
      <c r="B116" s="142" t="s">
        <v>225</v>
      </c>
      <c r="C116" s="143">
        <v>89</v>
      </c>
      <c r="D116" s="144">
        <v>88</v>
      </c>
      <c r="E116" s="144">
        <v>0</v>
      </c>
      <c r="F116" s="144">
        <v>0</v>
      </c>
      <c r="G116" s="144"/>
      <c r="H116" s="144"/>
      <c r="I116" s="144"/>
      <c r="J116" s="145">
        <v>4.3246372534157302</v>
      </c>
      <c r="K116" s="146">
        <f>VLOOKUP(C116,Prevs!$C$7:$I$279,2,FALSE)-IFERROR(VLOOKUP(E116,Prevs!$C$7:$I$279,2,FALSE),0)-IFERROR(VLOOKUP(D116,Prevs!$C$7:$I$279,2,FALSE),0)</f>
        <v>541</v>
      </c>
      <c r="L116" s="143">
        <f>VLOOKUP(C116,Prevs!$C$7:$I$279,3,FALSE)-IFERROR(VLOOKUP(E116,Prevs!$C$7:$I$279,3,FALSE),0)-IFERROR(VLOOKUP(D116,Prevs!$C$7:$I$279,3,FALSE),0)</f>
        <v>258</v>
      </c>
      <c r="M116" s="143">
        <f>VLOOKUP(C116,Prevs!$C$7:$I$279,4,FALSE)-IFERROR(VLOOKUP(E116,Prevs!$C$7:$I$279,4,FALSE),0)-IFERROR(VLOOKUP(D116,Prevs!$C$7:$I$279,4,FALSE),0)</f>
        <v>293</v>
      </c>
      <c r="N116" s="143">
        <f>VLOOKUP(C116,Prevs!$C$7:$I$279,5,FALSE)-IFERROR(VLOOKUP(E116,Prevs!$C$7:$I$279,5,FALSE),0)-IFERROR(VLOOKUP(D116,Prevs!$C$7:$I$279,5,FALSE),0)</f>
        <v>318</v>
      </c>
      <c r="O116" s="143">
        <f>VLOOKUP(C116,Prevs!$C$7:$I$279,6,FALSE)-IFERROR(VLOOKUP(E116,Prevs!$C$7:$I$279,6,FALSE),0)-IFERROR(VLOOKUP(D116,Prevs!$C$7:$I$279,6,FALSE),0)</f>
        <v>199</v>
      </c>
      <c r="P116" s="147">
        <f>VLOOKUP(C116,Prevs!$C$7:$I$279,7,FALSE)-IFERROR(VLOOKUP(E116,Prevs!$C$7:$I$279,7,FALSE),0)-IFERROR(VLOOKUP(D116,Prevs!$C$7:$I$279,7,FALSE),0)</f>
        <v>203</v>
      </c>
      <c r="Q116" s="247">
        <f>K116*$J$116</f>
        <v>2339.6287540979101</v>
      </c>
      <c r="R116" s="149">
        <f t="shared" ref="R116:V116" si="14">L116*$J$116</f>
        <v>1115.7564113812584</v>
      </c>
      <c r="S116" s="149">
        <f t="shared" si="14"/>
        <v>1267.1187152508089</v>
      </c>
      <c r="T116" s="149">
        <f t="shared" si="14"/>
        <v>1375.2346465862022</v>
      </c>
      <c r="U116" s="149">
        <f t="shared" si="14"/>
        <v>860.6028134297303</v>
      </c>
      <c r="V116" s="150">
        <f t="shared" si="14"/>
        <v>877.90136244339328</v>
      </c>
      <c r="X116" s="77"/>
      <c r="Y116" s="76"/>
      <c r="Z116" s="76"/>
      <c r="AA116" s="76"/>
      <c r="AB116" s="76"/>
      <c r="AC116" s="78"/>
      <c r="AD116" s="79">
        <f t="shared" ref="AD116:AI116" si="15">X116*$J$116</f>
        <v>0</v>
      </c>
      <c r="AE116" s="76">
        <f t="shared" si="15"/>
        <v>0</v>
      </c>
      <c r="AF116" s="76">
        <f t="shared" si="15"/>
        <v>0</v>
      </c>
      <c r="AG116" s="76">
        <f t="shared" si="15"/>
        <v>0</v>
      </c>
      <c r="AH116" s="76">
        <f t="shared" si="15"/>
        <v>0</v>
      </c>
      <c r="AI116" s="78">
        <f t="shared" si="15"/>
        <v>0</v>
      </c>
    </row>
    <row r="117" spans="2:35" s="74" customFormat="1" ht="26.25" hidden="1" customHeight="1" x14ac:dyDescent="0.25">
      <c r="B117" s="151" t="s">
        <v>215</v>
      </c>
      <c r="C117" s="81">
        <v>110</v>
      </c>
      <c r="D117" s="92">
        <v>0</v>
      </c>
      <c r="E117" s="92">
        <v>0</v>
      </c>
      <c r="F117" s="92">
        <v>0</v>
      </c>
      <c r="G117" s="92"/>
      <c r="H117" s="92"/>
      <c r="I117" s="92"/>
      <c r="J117" s="82">
        <v>2.3769562182636701</v>
      </c>
      <c r="K117" s="83">
        <f>VLOOKUP(C117,Prevs!$C$7:$I$279,2,FALSE)-IFERROR(VLOOKUP(E117,Prevs!$C$7:$I$279,2,FALSE),0)-IFERROR(VLOOKUP(D117,Prevs!$C$7:$I$279,2,FALSE),0)</f>
        <v>27</v>
      </c>
      <c r="L117" s="81">
        <f>VLOOKUP(C117,Prevs!$C$7:$I$279,3,FALSE)-IFERROR(VLOOKUP(E117,Prevs!$C$7:$I$279,3,FALSE),0)-IFERROR(VLOOKUP(D117,Prevs!$C$7:$I$279,3,FALSE),0)</f>
        <v>27</v>
      </c>
      <c r="M117" s="81">
        <f>VLOOKUP(C117,Prevs!$C$7:$I$279,4,FALSE)-IFERROR(VLOOKUP(E117,Prevs!$C$7:$I$279,4,FALSE),0)-IFERROR(VLOOKUP(D117,Prevs!$C$7:$I$279,4,FALSE),0)</f>
        <v>36</v>
      </c>
      <c r="N117" s="81">
        <f>VLOOKUP(C117,Prevs!$C$7:$I$279,5,FALSE)-IFERROR(VLOOKUP(E117,Prevs!$C$7:$I$279,5,FALSE),0)-IFERROR(VLOOKUP(D117,Prevs!$C$7:$I$279,5,FALSE),0)</f>
        <v>37</v>
      </c>
      <c r="O117" s="81">
        <f>VLOOKUP(C117,Prevs!$C$7:$I$279,6,FALSE)-IFERROR(VLOOKUP(E117,Prevs!$C$7:$I$279,6,FALSE),0)-IFERROR(VLOOKUP(D117,Prevs!$C$7:$I$279,6,FALSE),0)</f>
        <v>18</v>
      </c>
      <c r="P117" s="84">
        <f>VLOOKUP(C117,Prevs!$C$7:$I$279,7,FALSE)-IFERROR(VLOOKUP(E117,Prevs!$C$7:$I$279,7,FALSE),0)-IFERROR(VLOOKUP(D117,Prevs!$C$7:$I$279,7,FALSE),0)</f>
        <v>17</v>
      </c>
      <c r="Q117" s="248">
        <f t="shared" ref="Q117" si="16">K117*$J$117</f>
        <v>64.177817893119098</v>
      </c>
      <c r="R117" s="96">
        <f t="shared" ref="R117" si="17">L117*$J$117</f>
        <v>64.177817893119098</v>
      </c>
      <c r="S117" s="96">
        <f t="shared" ref="S117" si="18">M117*$J$117</f>
        <v>85.570423857492131</v>
      </c>
      <c r="T117" s="96">
        <f t="shared" ref="T117" si="19">N117*$J$117</f>
        <v>87.947380075755788</v>
      </c>
      <c r="U117" s="96">
        <f t="shared" ref="U117" si="20">O117*$J$117</f>
        <v>42.785211928746065</v>
      </c>
      <c r="V117" s="152">
        <f t="shared" ref="V117" si="21">P117*$J$117</f>
        <v>40.408255710482393</v>
      </c>
      <c r="X117" s="83"/>
      <c r="Y117" s="81"/>
      <c r="Z117" s="81"/>
      <c r="AA117" s="81"/>
      <c r="AB117" s="81"/>
      <c r="AC117" s="84"/>
      <c r="AD117" s="85">
        <f t="shared" ref="AD117:AI117" si="22">X117*$J$117</f>
        <v>0</v>
      </c>
      <c r="AE117" s="81">
        <f t="shared" si="22"/>
        <v>0</v>
      </c>
      <c r="AF117" s="81">
        <f t="shared" si="22"/>
        <v>0</v>
      </c>
      <c r="AG117" s="81">
        <f t="shared" si="22"/>
        <v>0</v>
      </c>
      <c r="AH117" s="81">
        <f t="shared" si="22"/>
        <v>0</v>
      </c>
      <c r="AI117" s="84">
        <f t="shared" si="22"/>
        <v>0</v>
      </c>
    </row>
    <row r="118" spans="2:35" s="74" customFormat="1" ht="26.25" hidden="1" customHeight="1" x14ac:dyDescent="0.25">
      <c r="B118" s="151" t="s">
        <v>272</v>
      </c>
      <c r="C118" s="81">
        <v>111</v>
      </c>
      <c r="D118" s="92">
        <v>110</v>
      </c>
      <c r="E118" s="92">
        <v>0</v>
      </c>
      <c r="F118" s="92">
        <v>0</v>
      </c>
      <c r="G118" s="92"/>
      <c r="H118" s="92"/>
      <c r="I118" s="92"/>
      <c r="J118" s="82">
        <v>2.3769562182636701</v>
      </c>
      <c r="K118" s="83">
        <f>VLOOKUP(C118,Prevs!$C$7:$I$279,2,FALSE)-IFERROR(VLOOKUP(E118,Prevs!$C$7:$I$279,2,FALSE),0)-IFERROR(VLOOKUP(D118,Prevs!$C$7:$I$279,2,FALSE),0)</f>
        <v>149</v>
      </c>
      <c r="L118" s="81">
        <f>VLOOKUP(C118,Prevs!$C$7:$I$279,3,FALSE)-IFERROR(VLOOKUP(E118,Prevs!$C$7:$I$279,3,FALSE),0)-IFERROR(VLOOKUP(D118,Prevs!$C$7:$I$279,3,FALSE),0)</f>
        <v>155</v>
      </c>
      <c r="M118" s="81">
        <f>VLOOKUP(C118,Prevs!$C$7:$I$279,4,FALSE)-IFERROR(VLOOKUP(E118,Prevs!$C$7:$I$279,4,FALSE),0)-IFERROR(VLOOKUP(D118,Prevs!$C$7:$I$279,4,FALSE),0)</f>
        <v>201</v>
      </c>
      <c r="N118" s="81">
        <f>VLOOKUP(C118,Prevs!$C$7:$I$279,5,FALSE)-IFERROR(VLOOKUP(E118,Prevs!$C$7:$I$279,5,FALSE),0)-IFERROR(VLOOKUP(D118,Prevs!$C$7:$I$279,5,FALSE),0)</f>
        <v>206</v>
      </c>
      <c r="O118" s="81">
        <f>VLOOKUP(C118,Prevs!$C$7:$I$279,6,FALSE)-IFERROR(VLOOKUP(E118,Prevs!$C$7:$I$279,6,FALSE),0)-IFERROR(VLOOKUP(D118,Prevs!$C$7:$I$279,6,FALSE),0)</f>
        <v>103</v>
      </c>
      <c r="P118" s="84">
        <f>VLOOKUP(C118,Prevs!$C$7:$I$279,7,FALSE)-IFERROR(VLOOKUP(E118,Prevs!$C$7:$I$279,7,FALSE),0)-IFERROR(VLOOKUP(D118,Prevs!$C$7:$I$279,7,FALSE),0)</f>
        <v>99</v>
      </c>
      <c r="Q118" s="248">
        <f t="shared" ref="Q118" si="23">K118*$J$118</f>
        <v>354.16647652128682</v>
      </c>
      <c r="R118" s="96">
        <f t="shared" ref="R118" si="24">L118*$J$118</f>
        <v>368.42821383086886</v>
      </c>
      <c r="S118" s="96">
        <f t="shared" ref="S118" si="25">M118*$J$118</f>
        <v>477.76819987099771</v>
      </c>
      <c r="T118" s="96">
        <f t="shared" ref="T118" si="26">N118*$J$118</f>
        <v>489.65298096231606</v>
      </c>
      <c r="U118" s="96">
        <f t="shared" ref="U118" si="27">O118*$J$118</f>
        <v>244.82649048115803</v>
      </c>
      <c r="V118" s="152">
        <f t="shared" ref="V118" si="28">P118*$J$118</f>
        <v>235.31866560810334</v>
      </c>
      <c r="X118" s="83"/>
      <c r="Y118" s="81"/>
      <c r="Z118" s="81"/>
      <c r="AA118" s="81"/>
      <c r="AB118" s="81"/>
      <c r="AC118" s="84"/>
      <c r="AD118" s="85">
        <f t="shared" ref="AD118:AI118" si="29">X118*$J$118</f>
        <v>0</v>
      </c>
      <c r="AE118" s="81">
        <f t="shared" si="29"/>
        <v>0</v>
      </c>
      <c r="AF118" s="81">
        <f t="shared" si="29"/>
        <v>0</v>
      </c>
      <c r="AG118" s="81">
        <f t="shared" si="29"/>
        <v>0</v>
      </c>
      <c r="AH118" s="81">
        <f t="shared" si="29"/>
        <v>0</v>
      </c>
      <c r="AI118" s="84">
        <f t="shared" si="29"/>
        <v>0</v>
      </c>
    </row>
    <row r="119" spans="2:35" s="74" customFormat="1" ht="26.25" hidden="1" customHeight="1" x14ac:dyDescent="0.25">
      <c r="B119" s="151" t="s">
        <v>273</v>
      </c>
      <c r="C119" s="81">
        <v>112</v>
      </c>
      <c r="D119" s="92">
        <v>111</v>
      </c>
      <c r="E119" s="92">
        <v>0</v>
      </c>
      <c r="F119" s="92">
        <v>0</v>
      </c>
      <c r="G119" s="92"/>
      <c r="H119" s="92"/>
      <c r="I119" s="92"/>
      <c r="J119" s="82">
        <v>1.9972462019334001</v>
      </c>
      <c r="K119" s="83">
        <f>VLOOKUP(C119,Prevs!$C$7:$I$279,2,FALSE)-IFERROR(VLOOKUP(E119,Prevs!$C$7:$I$279,2,FALSE),0)-IFERROR(VLOOKUP(D119,Prevs!$C$7:$I$279,2,FALSE),0)</f>
        <v>2</v>
      </c>
      <c r="L119" s="81">
        <f>VLOOKUP(C119,Prevs!$C$7:$I$279,3,FALSE)-IFERROR(VLOOKUP(E119,Prevs!$C$7:$I$279,3,FALSE),0)-IFERROR(VLOOKUP(D119,Prevs!$C$7:$I$279,3,FALSE),0)</f>
        <v>1</v>
      </c>
      <c r="M119" s="81">
        <f>VLOOKUP(C119,Prevs!$C$7:$I$279,4,FALSE)-IFERROR(VLOOKUP(E119,Prevs!$C$7:$I$279,4,FALSE),0)-IFERROR(VLOOKUP(D119,Prevs!$C$7:$I$279,4,FALSE),0)</f>
        <v>2</v>
      </c>
      <c r="N119" s="81">
        <f>VLOOKUP(C119,Prevs!$C$7:$I$279,5,FALSE)-IFERROR(VLOOKUP(E119,Prevs!$C$7:$I$279,5,FALSE),0)-IFERROR(VLOOKUP(D119,Prevs!$C$7:$I$279,5,FALSE),0)</f>
        <v>2</v>
      </c>
      <c r="O119" s="81">
        <f>VLOOKUP(C119,Prevs!$C$7:$I$279,6,FALSE)-IFERROR(VLOOKUP(E119,Prevs!$C$7:$I$279,6,FALSE),0)-IFERROR(VLOOKUP(D119,Prevs!$C$7:$I$279,6,FALSE),0)</f>
        <v>1</v>
      </c>
      <c r="P119" s="84">
        <f>VLOOKUP(C119,Prevs!$C$7:$I$279,7,FALSE)-IFERROR(VLOOKUP(E119,Prevs!$C$7:$I$279,7,FALSE),0)-IFERROR(VLOOKUP(D119,Prevs!$C$7:$I$279,7,FALSE),0)</f>
        <v>1</v>
      </c>
      <c r="Q119" s="248">
        <f t="shared" ref="Q119" si="30">K119*$J$119</f>
        <v>3.9944924038668002</v>
      </c>
      <c r="R119" s="96">
        <f t="shared" ref="R119" si="31">L119*$J$119</f>
        <v>1.9972462019334001</v>
      </c>
      <c r="S119" s="96">
        <f t="shared" ref="S119" si="32">M119*$J$119</f>
        <v>3.9944924038668002</v>
      </c>
      <c r="T119" s="96">
        <f t="shared" ref="T119" si="33">N119*$J$119</f>
        <v>3.9944924038668002</v>
      </c>
      <c r="U119" s="96">
        <f t="shared" ref="U119" si="34">O119*$J$119</f>
        <v>1.9972462019334001</v>
      </c>
      <c r="V119" s="152">
        <f t="shared" ref="V119" si="35">P119*$J$119</f>
        <v>1.9972462019334001</v>
      </c>
      <c r="X119" s="83"/>
      <c r="Y119" s="81"/>
      <c r="Z119" s="81"/>
      <c r="AA119" s="81"/>
      <c r="AB119" s="81"/>
      <c r="AC119" s="84"/>
      <c r="AD119" s="85">
        <f t="shared" ref="AD119:AI119" si="36">X119*$J$119</f>
        <v>0</v>
      </c>
      <c r="AE119" s="81">
        <f t="shared" si="36"/>
        <v>0</v>
      </c>
      <c r="AF119" s="81">
        <f t="shared" si="36"/>
        <v>0</v>
      </c>
      <c r="AG119" s="81">
        <f t="shared" si="36"/>
        <v>0</v>
      </c>
      <c r="AH119" s="81">
        <f t="shared" si="36"/>
        <v>0</v>
      </c>
      <c r="AI119" s="84">
        <f t="shared" si="36"/>
        <v>0</v>
      </c>
    </row>
    <row r="120" spans="2:35" s="74" customFormat="1" ht="26.25" hidden="1" customHeight="1" x14ac:dyDescent="0.25">
      <c r="B120" s="151" t="s">
        <v>274</v>
      </c>
      <c r="C120" s="81">
        <v>113</v>
      </c>
      <c r="D120" s="92">
        <v>112</v>
      </c>
      <c r="E120" s="92">
        <v>0</v>
      </c>
      <c r="F120" s="92">
        <v>0</v>
      </c>
      <c r="G120" s="92"/>
      <c r="H120" s="92"/>
      <c r="I120" s="92"/>
      <c r="J120" s="82">
        <v>1.1690434222914801</v>
      </c>
      <c r="K120" s="83">
        <f>VLOOKUP(C120,Prevs!$C$7:$I$279,2,FALSE)-IFERROR(VLOOKUP(E120,Prevs!$C$7:$I$279,2,FALSE),0)-IFERROR(VLOOKUP(D120,Prevs!$C$7:$I$279,2,FALSE),0)</f>
        <v>55</v>
      </c>
      <c r="L120" s="81">
        <f>VLOOKUP(C120,Prevs!$C$7:$I$279,3,FALSE)-IFERROR(VLOOKUP(E120,Prevs!$C$7:$I$279,3,FALSE),0)-IFERROR(VLOOKUP(D120,Prevs!$C$7:$I$279,3,FALSE),0)</f>
        <v>57</v>
      </c>
      <c r="M120" s="81">
        <f>VLOOKUP(C120,Prevs!$C$7:$I$279,4,FALSE)-IFERROR(VLOOKUP(E120,Prevs!$C$7:$I$279,4,FALSE),0)-IFERROR(VLOOKUP(D120,Prevs!$C$7:$I$279,4,FALSE),0)</f>
        <v>75</v>
      </c>
      <c r="N120" s="81">
        <f>VLOOKUP(C120,Prevs!$C$7:$I$279,5,FALSE)-IFERROR(VLOOKUP(E120,Prevs!$C$7:$I$279,5,FALSE),0)-IFERROR(VLOOKUP(D120,Prevs!$C$7:$I$279,5,FALSE),0)</f>
        <v>77</v>
      </c>
      <c r="O120" s="81">
        <f>VLOOKUP(C120,Prevs!$C$7:$I$279,6,FALSE)-IFERROR(VLOOKUP(E120,Prevs!$C$7:$I$279,6,FALSE),0)-IFERROR(VLOOKUP(D120,Prevs!$C$7:$I$279,6,FALSE),0)</f>
        <v>37</v>
      </c>
      <c r="P120" s="84">
        <f>VLOOKUP(C120,Prevs!$C$7:$I$279,7,FALSE)-IFERROR(VLOOKUP(E120,Prevs!$C$7:$I$279,7,FALSE),0)-IFERROR(VLOOKUP(D120,Prevs!$C$7:$I$279,7,FALSE),0)</f>
        <v>31</v>
      </c>
      <c r="Q120" s="248">
        <f t="shared" ref="Q120" si="37">K120*$J$120</f>
        <v>64.297388226031401</v>
      </c>
      <c r="R120" s="96">
        <f t="shared" ref="R120" si="38">L120*$J$120</f>
        <v>66.635475070614362</v>
      </c>
      <c r="S120" s="96">
        <f t="shared" ref="S120" si="39">M120*$J$120</f>
        <v>87.678256671861007</v>
      </c>
      <c r="T120" s="96">
        <f t="shared" ref="T120" si="40">N120*$J$120</f>
        <v>90.016343516443968</v>
      </c>
      <c r="U120" s="96">
        <f t="shared" ref="U120" si="41">O120*$J$120</f>
        <v>43.254606624784763</v>
      </c>
      <c r="V120" s="152">
        <f t="shared" ref="V120" si="42">P120*$J$120</f>
        <v>36.240346091035882</v>
      </c>
      <c r="X120" s="83"/>
      <c r="Y120" s="81"/>
      <c r="Z120" s="81"/>
      <c r="AA120" s="81"/>
      <c r="AB120" s="81"/>
      <c r="AC120" s="84"/>
      <c r="AD120" s="85">
        <f t="shared" ref="AD120:AI120" si="43">X120*$J$120</f>
        <v>0</v>
      </c>
      <c r="AE120" s="81">
        <f t="shared" si="43"/>
        <v>0</v>
      </c>
      <c r="AF120" s="81">
        <f t="shared" si="43"/>
        <v>0</v>
      </c>
      <c r="AG120" s="81">
        <f t="shared" si="43"/>
        <v>0</v>
      </c>
      <c r="AH120" s="81">
        <f t="shared" si="43"/>
        <v>0</v>
      </c>
      <c r="AI120" s="84">
        <f t="shared" si="43"/>
        <v>0</v>
      </c>
    </row>
    <row r="121" spans="2:35" s="74" customFormat="1" ht="26.25" hidden="1" customHeight="1" x14ac:dyDescent="0.25">
      <c r="B121" s="151" t="s">
        <v>302</v>
      </c>
      <c r="C121" s="81">
        <v>114</v>
      </c>
      <c r="D121" s="92">
        <v>113</v>
      </c>
      <c r="E121" s="92">
        <v>0</v>
      </c>
      <c r="F121" s="92">
        <v>0</v>
      </c>
      <c r="G121" s="92"/>
      <c r="H121" s="92"/>
      <c r="I121" s="92"/>
      <c r="J121" s="82">
        <v>0.34316176294950002</v>
      </c>
      <c r="K121" s="83">
        <f>VLOOKUP(C121,Prevs!$C$7:$I$279,2,FALSE)-IFERROR(VLOOKUP(E121,Prevs!$C$7:$I$279,2,FALSE),0)-IFERROR(VLOOKUP(D121,Prevs!$C$7:$I$279,2,FALSE),0)</f>
        <v>53</v>
      </c>
      <c r="L121" s="81">
        <f>VLOOKUP(C121,Prevs!$C$7:$I$279,3,FALSE)-IFERROR(VLOOKUP(E121,Prevs!$C$7:$I$279,3,FALSE),0)-IFERROR(VLOOKUP(D121,Prevs!$C$7:$I$279,3,FALSE),0)</f>
        <v>54</v>
      </c>
      <c r="M121" s="81">
        <f>VLOOKUP(C121,Prevs!$C$7:$I$279,4,FALSE)-IFERROR(VLOOKUP(E121,Prevs!$C$7:$I$279,4,FALSE),0)-IFERROR(VLOOKUP(D121,Prevs!$C$7:$I$279,4,FALSE),0)</f>
        <v>69</v>
      </c>
      <c r="N121" s="81">
        <f>VLOOKUP(C121,Prevs!$C$7:$I$279,5,FALSE)-IFERROR(VLOOKUP(E121,Prevs!$C$7:$I$279,5,FALSE),0)-IFERROR(VLOOKUP(D121,Prevs!$C$7:$I$279,5,FALSE),0)</f>
        <v>71</v>
      </c>
      <c r="O121" s="81">
        <f>VLOOKUP(C121,Prevs!$C$7:$I$279,6,FALSE)-IFERROR(VLOOKUP(E121,Prevs!$C$7:$I$279,6,FALSE),0)-IFERROR(VLOOKUP(D121,Prevs!$C$7:$I$279,6,FALSE),0)</f>
        <v>38</v>
      </c>
      <c r="P121" s="84">
        <f>VLOOKUP(C121,Prevs!$C$7:$I$279,7,FALSE)-IFERROR(VLOOKUP(E121,Prevs!$C$7:$I$279,7,FALSE),0)-IFERROR(VLOOKUP(D121,Prevs!$C$7:$I$279,7,FALSE),0)</f>
        <v>31</v>
      </c>
      <c r="Q121" s="248">
        <f t="shared" ref="Q121" si="44">K121*$J$121</f>
        <v>18.1875734363235</v>
      </c>
      <c r="R121" s="96">
        <f t="shared" ref="R121" si="45">L121*$J$121</f>
        <v>18.530735199273</v>
      </c>
      <c r="S121" s="96">
        <f t="shared" ref="S121" si="46">M121*$J$121</f>
        <v>23.678161643515502</v>
      </c>
      <c r="T121" s="96">
        <f t="shared" ref="T121" si="47">N121*$J$121</f>
        <v>24.3644851694145</v>
      </c>
      <c r="U121" s="96">
        <f t="shared" ref="U121" si="48">O121*$J$121</f>
        <v>13.040146992081</v>
      </c>
      <c r="V121" s="152">
        <f t="shared" ref="V121" si="49">P121*$J$121</f>
        <v>10.638014651434501</v>
      </c>
      <c r="X121" s="83"/>
      <c r="Y121" s="81"/>
      <c r="Z121" s="81"/>
      <c r="AA121" s="81"/>
      <c r="AB121" s="81"/>
      <c r="AC121" s="84"/>
      <c r="AD121" s="85">
        <f t="shared" ref="AD121:AI121" si="50">X121*$J$121</f>
        <v>0</v>
      </c>
      <c r="AE121" s="81">
        <f t="shared" si="50"/>
        <v>0</v>
      </c>
      <c r="AF121" s="81">
        <f t="shared" si="50"/>
        <v>0</v>
      </c>
      <c r="AG121" s="81">
        <f t="shared" si="50"/>
        <v>0</v>
      </c>
      <c r="AH121" s="81">
        <f t="shared" si="50"/>
        <v>0</v>
      </c>
      <c r="AI121" s="84">
        <f t="shared" si="50"/>
        <v>0</v>
      </c>
    </row>
    <row r="122" spans="2:35" s="74" customFormat="1" ht="26.25" hidden="1" customHeight="1" x14ac:dyDescent="0.25">
      <c r="B122" s="151" t="s">
        <v>303</v>
      </c>
      <c r="C122" s="81">
        <v>74</v>
      </c>
      <c r="D122" s="92">
        <v>0</v>
      </c>
      <c r="E122" s="92">
        <v>0</v>
      </c>
      <c r="F122" s="92">
        <v>0</v>
      </c>
      <c r="G122" s="92"/>
      <c r="H122" s="92"/>
      <c r="I122" s="92"/>
      <c r="J122" s="82">
        <v>4.2737240540296701</v>
      </c>
      <c r="K122" s="83">
        <f>VLOOKUP(C122,Prevs!$C$7:$I$279,2,FALSE)-IFERROR(VLOOKUP(E122,Prevs!$C$7:$I$279,2,FALSE),0)-IFERROR(VLOOKUP(D122,Prevs!$C$7:$I$279,2,FALSE),0)</f>
        <v>1065</v>
      </c>
      <c r="L122" s="81">
        <f>VLOOKUP(C122,Prevs!$C$7:$I$279,3,FALSE)-IFERROR(VLOOKUP(E122,Prevs!$C$7:$I$279,3,FALSE),0)-IFERROR(VLOOKUP(D122,Prevs!$C$7:$I$279,3,FALSE),0)</f>
        <v>1059</v>
      </c>
      <c r="M122" s="81">
        <f>VLOOKUP(C122,Prevs!$C$7:$I$279,4,FALSE)-IFERROR(VLOOKUP(E122,Prevs!$C$7:$I$279,4,FALSE),0)-IFERROR(VLOOKUP(D122,Prevs!$C$7:$I$279,4,FALSE),0)</f>
        <v>793</v>
      </c>
      <c r="N122" s="81">
        <f>VLOOKUP(C122,Prevs!$C$7:$I$279,5,FALSE)-IFERROR(VLOOKUP(E122,Prevs!$C$7:$I$279,5,FALSE),0)-IFERROR(VLOOKUP(D122,Prevs!$C$7:$I$279,5,FALSE),0)</f>
        <v>638</v>
      </c>
      <c r="O122" s="81">
        <f>VLOOKUP(C122,Prevs!$C$7:$I$279,6,FALSE)-IFERROR(VLOOKUP(E122,Prevs!$C$7:$I$279,6,FALSE),0)-IFERROR(VLOOKUP(D122,Prevs!$C$7:$I$279,6,FALSE),0)</f>
        <v>492</v>
      </c>
      <c r="P122" s="84">
        <f>VLOOKUP(C122,Prevs!$C$7:$I$279,7,FALSE)-IFERROR(VLOOKUP(E122,Prevs!$C$7:$I$279,7,FALSE),0)-IFERROR(VLOOKUP(D122,Prevs!$C$7:$I$279,7,FALSE),0)</f>
        <v>431</v>
      </c>
      <c r="Q122" s="248">
        <f t="shared" ref="Q122" si="51">K122*$J$122</f>
        <v>4551.5161175415988</v>
      </c>
      <c r="R122" s="96">
        <f t="shared" ref="R122" si="52">L122*$J$122</f>
        <v>4525.8737732174204</v>
      </c>
      <c r="S122" s="96">
        <f t="shared" ref="S122" si="53">M122*$J$122</f>
        <v>3389.0631748455285</v>
      </c>
      <c r="T122" s="96">
        <f t="shared" ref="T122" si="54">N122*$J$122</f>
        <v>2726.6359464709294</v>
      </c>
      <c r="U122" s="96">
        <f t="shared" ref="U122" si="55">O122*$J$122</f>
        <v>2102.6722345825979</v>
      </c>
      <c r="V122" s="152">
        <f t="shared" ref="V122" si="56">P122*$J$122</f>
        <v>1841.9750672867879</v>
      </c>
      <c r="X122" s="83"/>
      <c r="Y122" s="81"/>
      <c r="Z122" s="81"/>
      <c r="AA122" s="81"/>
      <c r="AB122" s="81"/>
      <c r="AC122" s="84"/>
      <c r="AD122" s="85">
        <f t="shared" ref="AD122:AI122" si="57">X122*$J$122</f>
        <v>0</v>
      </c>
      <c r="AE122" s="81">
        <f t="shared" si="57"/>
        <v>0</v>
      </c>
      <c r="AF122" s="81">
        <f t="shared" si="57"/>
        <v>0</v>
      </c>
      <c r="AG122" s="81">
        <f t="shared" si="57"/>
        <v>0</v>
      </c>
      <c r="AH122" s="81">
        <f t="shared" si="57"/>
        <v>0</v>
      </c>
      <c r="AI122" s="84">
        <f t="shared" si="57"/>
        <v>0</v>
      </c>
    </row>
    <row r="123" spans="2:35" s="74" customFormat="1" ht="26.25" hidden="1" customHeight="1" x14ac:dyDescent="0.25">
      <c r="B123" s="151" t="s">
        <v>209</v>
      </c>
      <c r="C123" s="81">
        <v>76</v>
      </c>
      <c r="D123" s="92">
        <v>74</v>
      </c>
      <c r="E123" s="92">
        <v>0</v>
      </c>
      <c r="F123" s="92">
        <v>0</v>
      </c>
      <c r="G123" s="92"/>
      <c r="H123" s="92"/>
      <c r="I123" s="92"/>
      <c r="J123" s="82">
        <v>3.1259868503257602</v>
      </c>
      <c r="K123" s="83">
        <f>VLOOKUP(C123,Prevs!$C$7:$I$279,2,FALSE)-IFERROR(VLOOKUP(E123,Prevs!$C$7:$I$279,2,FALSE),0)-IFERROR(VLOOKUP(D123,Prevs!$C$7:$I$279,2,FALSE),0)</f>
        <v>108</v>
      </c>
      <c r="L123" s="81">
        <f>VLOOKUP(C123,Prevs!$C$7:$I$279,3,FALSE)-IFERROR(VLOOKUP(E123,Prevs!$C$7:$I$279,3,FALSE),0)-IFERROR(VLOOKUP(D123,Prevs!$C$7:$I$279,3,FALSE),0)</f>
        <v>154</v>
      </c>
      <c r="M123" s="81">
        <f>VLOOKUP(C123,Prevs!$C$7:$I$279,4,FALSE)-IFERROR(VLOOKUP(E123,Prevs!$C$7:$I$279,4,FALSE),0)-IFERROR(VLOOKUP(D123,Prevs!$C$7:$I$279,4,FALSE),0)</f>
        <v>116</v>
      </c>
      <c r="N123" s="81">
        <f>VLOOKUP(C123,Prevs!$C$7:$I$279,5,FALSE)-IFERROR(VLOOKUP(E123,Prevs!$C$7:$I$279,5,FALSE),0)-IFERROR(VLOOKUP(D123,Prevs!$C$7:$I$279,5,FALSE),0)</f>
        <v>95</v>
      </c>
      <c r="O123" s="81">
        <f>VLOOKUP(C123,Prevs!$C$7:$I$279,6,FALSE)-IFERROR(VLOOKUP(E123,Prevs!$C$7:$I$279,6,FALSE),0)-IFERROR(VLOOKUP(D123,Prevs!$C$7:$I$279,6,FALSE),0)</f>
        <v>74</v>
      </c>
      <c r="P123" s="84">
        <f>VLOOKUP(C123,Prevs!$C$7:$I$279,7,FALSE)-IFERROR(VLOOKUP(E123,Prevs!$C$7:$I$279,7,FALSE),0)-IFERROR(VLOOKUP(D123,Prevs!$C$7:$I$279,7,FALSE),0)</f>
        <v>57</v>
      </c>
      <c r="Q123" s="248">
        <f t="shared" ref="Q123" si="58">K123*$J$123</f>
        <v>337.60657983518212</v>
      </c>
      <c r="R123" s="96">
        <f t="shared" ref="R123" si="59">L123*$J$123</f>
        <v>481.40197495016707</v>
      </c>
      <c r="S123" s="96">
        <f t="shared" ref="S123" si="60">M123*$J$123</f>
        <v>362.61447463778819</v>
      </c>
      <c r="T123" s="96">
        <f t="shared" ref="T123" si="61">N123*$J$123</f>
        <v>296.96875078094723</v>
      </c>
      <c r="U123" s="96">
        <f t="shared" ref="U123" si="62">O123*$J$123</f>
        <v>231.32302692410624</v>
      </c>
      <c r="V123" s="152">
        <f t="shared" ref="V123" si="63">P123*$J$123</f>
        <v>178.18125046856832</v>
      </c>
      <c r="X123" s="83"/>
      <c r="Y123" s="81"/>
      <c r="Z123" s="81"/>
      <c r="AA123" s="81"/>
      <c r="AB123" s="81"/>
      <c r="AC123" s="84"/>
      <c r="AD123" s="85">
        <f t="shared" ref="AD123:AI123" si="64">X123*$J$123</f>
        <v>0</v>
      </c>
      <c r="AE123" s="81">
        <f t="shared" si="64"/>
        <v>0</v>
      </c>
      <c r="AF123" s="81">
        <f t="shared" si="64"/>
        <v>0</v>
      </c>
      <c r="AG123" s="81">
        <f t="shared" si="64"/>
        <v>0</v>
      </c>
      <c r="AH123" s="81">
        <f t="shared" si="64"/>
        <v>0</v>
      </c>
      <c r="AI123" s="84">
        <f t="shared" si="64"/>
        <v>0</v>
      </c>
    </row>
    <row r="124" spans="2:35" s="74" customFormat="1" ht="26.25" hidden="1" customHeight="1" x14ac:dyDescent="0.25">
      <c r="B124" s="151" t="s">
        <v>212</v>
      </c>
      <c r="C124" s="81">
        <v>222</v>
      </c>
      <c r="D124" s="92">
        <v>78</v>
      </c>
      <c r="E124" s="92">
        <v>0</v>
      </c>
      <c r="F124" s="92">
        <v>0</v>
      </c>
      <c r="G124" s="92"/>
      <c r="H124" s="92"/>
      <c r="I124" s="92"/>
      <c r="J124" s="82">
        <v>0.59300808988279996</v>
      </c>
      <c r="K124" s="83">
        <f>VLOOKUP(C124,Prevs!$C$7:$I$279,2,FALSE)-IFERROR(VLOOKUP(E124,Prevs!$C$7:$I$279,2,FALSE),0)-IFERROR(VLOOKUP(D124,Prevs!$C$7:$I$279,2,FALSE),0)</f>
        <v>411</v>
      </c>
      <c r="L124" s="81">
        <f>VLOOKUP(C124,Prevs!$C$7:$I$279,3,FALSE)-IFERROR(VLOOKUP(E124,Prevs!$C$7:$I$279,3,FALSE),0)-IFERROR(VLOOKUP(D124,Prevs!$C$7:$I$279,3,FALSE),0)</f>
        <v>682</v>
      </c>
      <c r="M124" s="81">
        <f>VLOOKUP(C124,Prevs!$C$7:$I$279,4,FALSE)-IFERROR(VLOOKUP(E124,Prevs!$C$7:$I$279,4,FALSE),0)-IFERROR(VLOOKUP(D124,Prevs!$C$7:$I$279,4,FALSE),0)</f>
        <v>635</v>
      </c>
      <c r="N124" s="81">
        <f>VLOOKUP(C124,Prevs!$C$7:$I$279,5,FALSE)-IFERROR(VLOOKUP(E124,Prevs!$C$7:$I$279,5,FALSE),0)-IFERROR(VLOOKUP(D124,Prevs!$C$7:$I$279,5,FALSE),0)</f>
        <v>335</v>
      </c>
      <c r="O124" s="81">
        <f>VLOOKUP(C124,Prevs!$C$7:$I$279,6,FALSE)-IFERROR(VLOOKUP(E124,Prevs!$C$7:$I$279,6,FALSE),0)-IFERROR(VLOOKUP(D124,Prevs!$C$7:$I$279,6,FALSE),0)</f>
        <v>201</v>
      </c>
      <c r="P124" s="84">
        <f>VLOOKUP(C124,Prevs!$C$7:$I$279,7,FALSE)-IFERROR(VLOOKUP(E124,Prevs!$C$7:$I$279,7,FALSE),0)-IFERROR(VLOOKUP(D124,Prevs!$C$7:$I$279,7,FALSE),0)</f>
        <v>263</v>
      </c>
      <c r="Q124" s="248">
        <f t="shared" ref="Q124" si="65">K124*$J$124</f>
        <v>243.7263249418308</v>
      </c>
      <c r="R124" s="96">
        <f t="shared" ref="R124" si="66">L124*$J$124</f>
        <v>404.43151730006957</v>
      </c>
      <c r="S124" s="96">
        <f t="shared" ref="S124" si="67">M124*$J$124</f>
        <v>376.56013707557798</v>
      </c>
      <c r="T124" s="96">
        <f t="shared" ref="T124" si="68">N124*$J$124</f>
        <v>198.65771011073798</v>
      </c>
      <c r="U124" s="96">
        <f t="shared" ref="U124" si="69">O124*$J$124</f>
        <v>119.19462606644279</v>
      </c>
      <c r="V124" s="152">
        <f t="shared" ref="V124" si="70">P124*$J$124</f>
        <v>155.9611276391764</v>
      </c>
      <c r="X124" s="83"/>
      <c r="Y124" s="81"/>
      <c r="Z124" s="81"/>
      <c r="AA124" s="81"/>
      <c r="AB124" s="81"/>
      <c r="AC124" s="84"/>
      <c r="AD124" s="85">
        <f t="shared" ref="AD124:AI124" si="71">X124*$J$124</f>
        <v>0</v>
      </c>
      <c r="AE124" s="81">
        <f t="shared" si="71"/>
        <v>0</v>
      </c>
      <c r="AF124" s="81">
        <f t="shared" si="71"/>
        <v>0</v>
      </c>
      <c r="AG124" s="81">
        <f t="shared" si="71"/>
        <v>0</v>
      </c>
      <c r="AH124" s="81">
        <f t="shared" si="71"/>
        <v>0</v>
      </c>
      <c r="AI124" s="84">
        <f t="shared" si="71"/>
        <v>0</v>
      </c>
    </row>
    <row r="125" spans="2:35" s="74" customFormat="1" ht="26.25" hidden="1" customHeight="1" x14ac:dyDescent="0.25">
      <c r="B125" s="151" t="s">
        <v>304</v>
      </c>
      <c r="C125" s="81">
        <v>115</v>
      </c>
      <c r="D125" s="92">
        <v>0</v>
      </c>
      <c r="E125" s="92">
        <v>0</v>
      </c>
      <c r="F125" s="92">
        <v>0</v>
      </c>
      <c r="G125" s="92"/>
      <c r="H125" s="92"/>
      <c r="I125" s="92"/>
      <c r="J125" s="82">
        <v>6.5258641848524297</v>
      </c>
      <c r="K125" s="83">
        <f>VLOOKUP(C125,Prevs!$C$7:$I$279,2,FALSE)-IFERROR(VLOOKUP(E125,Prevs!$C$7:$I$279,2,FALSE),0)-IFERROR(VLOOKUP(D125,Prevs!$C$7:$I$279,2,FALSE),0)</f>
        <v>7</v>
      </c>
      <c r="L125" s="81">
        <f>VLOOKUP(C125,Prevs!$C$7:$I$279,3,FALSE)-IFERROR(VLOOKUP(E125,Prevs!$C$7:$I$279,3,FALSE),0)-IFERROR(VLOOKUP(D125,Prevs!$C$7:$I$279,3,FALSE),0)</f>
        <v>9</v>
      </c>
      <c r="M125" s="81">
        <f>VLOOKUP(C125,Prevs!$C$7:$I$279,4,FALSE)-IFERROR(VLOOKUP(E125,Prevs!$C$7:$I$279,4,FALSE),0)-IFERROR(VLOOKUP(D125,Prevs!$C$7:$I$279,4,FALSE),0)</f>
        <v>8</v>
      </c>
      <c r="N125" s="81">
        <f>VLOOKUP(C125,Prevs!$C$7:$I$279,5,FALSE)-IFERROR(VLOOKUP(E125,Prevs!$C$7:$I$279,5,FALSE),0)-IFERROR(VLOOKUP(D125,Prevs!$C$7:$I$279,5,FALSE),0)</f>
        <v>6</v>
      </c>
      <c r="O125" s="81">
        <f>VLOOKUP(C125,Prevs!$C$7:$I$279,6,FALSE)-IFERROR(VLOOKUP(E125,Prevs!$C$7:$I$279,6,FALSE),0)-IFERROR(VLOOKUP(D125,Prevs!$C$7:$I$279,6,FALSE),0)</f>
        <v>6</v>
      </c>
      <c r="P125" s="84">
        <f>VLOOKUP(C125,Prevs!$C$7:$I$279,7,FALSE)-IFERROR(VLOOKUP(E125,Prevs!$C$7:$I$279,7,FALSE),0)-IFERROR(VLOOKUP(D125,Prevs!$C$7:$I$279,7,FALSE),0)</f>
        <v>5</v>
      </c>
      <c r="Q125" s="248">
        <f t="shared" ref="Q125" si="72">K125*$J$125</f>
        <v>45.681049293967007</v>
      </c>
      <c r="R125" s="96">
        <f t="shared" ref="R125" si="73">L125*$J$125</f>
        <v>58.732777663671868</v>
      </c>
      <c r="S125" s="96">
        <f t="shared" ref="S125" si="74">M125*$J$125</f>
        <v>52.206913478819438</v>
      </c>
      <c r="T125" s="96">
        <f t="shared" ref="T125" si="75">N125*$J$125</f>
        <v>39.155185109114576</v>
      </c>
      <c r="U125" s="96">
        <f t="shared" ref="U125" si="76">O125*$J$125</f>
        <v>39.155185109114576</v>
      </c>
      <c r="V125" s="152">
        <f t="shared" ref="V125" si="77">P125*$J$125</f>
        <v>32.629320924262146</v>
      </c>
      <c r="X125" s="83"/>
      <c r="Y125" s="81"/>
      <c r="Z125" s="81"/>
      <c r="AA125" s="81"/>
      <c r="AB125" s="81"/>
      <c r="AC125" s="84"/>
      <c r="AD125" s="85">
        <f t="shared" ref="AD125:AI125" si="78">X125*$J$125</f>
        <v>0</v>
      </c>
      <c r="AE125" s="81">
        <f t="shared" si="78"/>
        <v>0</v>
      </c>
      <c r="AF125" s="81">
        <f t="shared" si="78"/>
        <v>0</v>
      </c>
      <c r="AG125" s="81">
        <f t="shared" si="78"/>
        <v>0</v>
      </c>
      <c r="AH125" s="81">
        <f t="shared" si="78"/>
        <v>0</v>
      </c>
      <c r="AI125" s="84">
        <f t="shared" si="78"/>
        <v>0</v>
      </c>
    </row>
    <row r="126" spans="2:35" s="74" customFormat="1" ht="26.25" hidden="1" customHeight="1" x14ac:dyDescent="0.25">
      <c r="B126" s="151" t="s">
        <v>275</v>
      </c>
      <c r="C126" s="81">
        <v>73</v>
      </c>
      <c r="D126" s="92">
        <v>72</v>
      </c>
      <c r="E126" s="92">
        <v>0</v>
      </c>
      <c r="F126" s="92">
        <v>0</v>
      </c>
      <c r="G126" s="92"/>
      <c r="H126" s="92"/>
      <c r="I126" s="92"/>
      <c r="J126" s="82">
        <v>2.1017602499581698</v>
      </c>
      <c r="K126" s="83">
        <f>VLOOKUP(C126,Prevs!$C$7:$I$279,2,FALSE)-IFERROR(VLOOKUP(E126,Prevs!$C$7:$I$279,2,FALSE),0)-IFERROR(VLOOKUP(D126,Prevs!$C$7:$I$279,2,FALSE),0)</f>
        <v>19</v>
      </c>
      <c r="L126" s="81">
        <f>VLOOKUP(C126,Prevs!$C$7:$I$279,3,FALSE)-IFERROR(VLOOKUP(E126,Prevs!$C$7:$I$279,3,FALSE),0)-IFERROR(VLOOKUP(D126,Prevs!$C$7:$I$279,3,FALSE),0)</f>
        <v>137</v>
      </c>
      <c r="M126" s="81">
        <f>VLOOKUP(C126,Prevs!$C$7:$I$279,4,FALSE)-IFERROR(VLOOKUP(E126,Prevs!$C$7:$I$279,4,FALSE),0)-IFERROR(VLOOKUP(D126,Prevs!$C$7:$I$279,4,FALSE),0)</f>
        <v>79</v>
      </c>
      <c r="N126" s="81">
        <f>VLOOKUP(C126,Prevs!$C$7:$I$279,5,FALSE)-IFERROR(VLOOKUP(E126,Prevs!$C$7:$I$279,5,FALSE),0)-IFERROR(VLOOKUP(D126,Prevs!$C$7:$I$279,5,FALSE),0)</f>
        <v>15</v>
      </c>
      <c r="O126" s="81">
        <f>VLOOKUP(C126,Prevs!$C$7:$I$279,6,FALSE)-IFERROR(VLOOKUP(E126,Prevs!$C$7:$I$279,6,FALSE),0)-IFERROR(VLOOKUP(D126,Prevs!$C$7:$I$279,6,FALSE),0)</f>
        <v>13</v>
      </c>
      <c r="P126" s="84">
        <f>VLOOKUP(C126,Prevs!$C$7:$I$279,7,FALSE)-IFERROR(VLOOKUP(E126,Prevs!$C$7:$I$279,7,FALSE),0)-IFERROR(VLOOKUP(D126,Prevs!$C$7:$I$279,7,FALSE),0)</f>
        <v>12</v>
      </c>
      <c r="Q126" s="248">
        <f>K126*$J$126</f>
        <v>39.933444749205229</v>
      </c>
      <c r="R126" s="96">
        <f t="shared" ref="R126:V126" si="79">L126*$J$126</f>
        <v>287.94115424426928</v>
      </c>
      <c r="S126" s="96">
        <f t="shared" si="79"/>
        <v>166.03905974669541</v>
      </c>
      <c r="T126" s="96">
        <f t="shared" si="79"/>
        <v>31.526403749372548</v>
      </c>
      <c r="U126" s="96">
        <f t="shared" si="79"/>
        <v>27.322883249456208</v>
      </c>
      <c r="V126" s="152">
        <f t="shared" si="79"/>
        <v>25.221122999498036</v>
      </c>
      <c r="X126" s="83"/>
      <c r="Y126" s="81"/>
      <c r="Z126" s="81"/>
      <c r="AA126" s="81"/>
      <c r="AB126" s="81"/>
      <c r="AC126" s="84"/>
      <c r="AD126" s="85">
        <f t="shared" ref="AD126:AI126" si="80">X126*$J$116</f>
        <v>0</v>
      </c>
      <c r="AE126" s="81">
        <f t="shared" si="80"/>
        <v>0</v>
      </c>
      <c r="AF126" s="81">
        <f t="shared" si="80"/>
        <v>0</v>
      </c>
      <c r="AG126" s="81">
        <f t="shared" si="80"/>
        <v>0</v>
      </c>
      <c r="AH126" s="81">
        <f t="shared" si="80"/>
        <v>0</v>
      </c>
      <c r="AI126" s="84">
        <f t="shared" si="80"/>
        <v>0</v>
      </c>
    </row>
    <row r="127" spans="2:35" s="74" customFormat="1" ht="26.25" hidden="1" customHeight="1" x14ac:dyDescent="0.25">
      <c r="B127" s="151" t="s">
        <v>207</v>
      </c>
      <c r="C127" s="81">
        <v>71</v>
      </c>
      <c r="D127" s="92">
        <v>0</v>
      </c>
      <c r="E127" s="92">
        <v>0</v>
      </c>
      <c r="F127" s="92">
        <v>0</v>
      </c>
      <c r="G127" s="92"/>
      <c r="H127" s="92"/>
      <c r="I127" s="92"/>
      <c r="J127" s="82">
        <v>3.74495206507786</v>
      </c>
      <c r="K127" s="83">
        <f>VLOOKUP(C127,Prevs!$C$7:$I$279,2,FALSE)-IFERROR(VLOOKUP(E127,Prevs!$C$7:$I$279,2,FALSE),0)-IFERROR(VLOOKUP(D127,Prevs!$C$7:$I$279,2,FALSE),0)</f>
        <v>126</v>
      </c>
      <c r="L127" s="81">
        <f>VLOOKUP(C127,Prevs!$C$7:$I$279,3,FALSE)-IFERROR(VLOOKUP(E127,Prevs!$C$7:$I$279,3,FALSE),0)-IFERROR(VLOOKUP(D127,Prevs!$C$7:$I$279,3,FALSE),0)</f>
        <v>137</v>
      </c>
      <c r="M127" s="81">
        <f>VLOOKUP(C127,Prevs!$C$7:$I$279,4,FALSE)-IFERROR(VLOOKUP(E127,Prevs!$C$7:$I$279,4,FALSE),0)-IFERROR(VLOOKUP(D127,Prevs!$C$7:$I$279,4,FALSE),0)</f>
        <v>95</v>
      </c>
      <c r="N127" s="81">
        <f>VLOOKUP(C127,Prevs!$C$7:$I$279,5,FALSE)-IFERROR(VLOOKUP(E127,Prevs!$C$7:$I$279,5,FALSE),0)-IFERROR(VLOOKUP(D127,Prevs!$C$7:$I$279,5,FALSE),0)</f>
        <v>65</v>
      </c>
      <c r="O127" s="81">
        <f>VLOOKUP(C127,Prevs!$C$7:$I$279,6,FALSE)-IFERROR(VLOOKUP(E127,Prevs!$C$7:$I$279,6,FALSE),0)-IFERROR(VLOOKUP(D127,Prevs!$C$7:$I$279,6,FALSE),0)</f>
        <v>58</v>
      </c>
      <c r="P127" s="84">
        <f>VLOOKUP(C127,Prevs!$C$7:$I$279,7,FALSE)-IFERROR(VLOOKUP(E127,Prevs!$C$7:$I$279,7,FALSE),0)-IFERROR(VLOOKUP(D127,Prevs!$C$7:$I$279,7,FALSE),0)</f>
        <v>50</v>
      </c>
      <c r="Q127" s="248">
        <f t="shared" ref="Q127" si="81">K127*$J$127</f>
        <v>471.86396019981038</v>
      </c>
      <c r="R127" s="96">
        <f t="shared" ref="R127" si="82">L127*$J$127</f>
        <v>513.0584329156668</v>
      </c>
      <c r="S127" s="96">
        <f t="shared" ref="S127" si="83">M127*$J$127</f>
        <v>355.77044618239671</v>
      </c>
      <c r="T127" s="96">
        <f t="shared" ref="T127" si="84">N127*$J$127</f>
        <v>243.4218842300609</v>
      </c>
      <c r="U127" s="96">
        <f t="shared" ref="U127" si="85">O127*$J$127</f>
        <v>217.20721977451589</v>
      </c>
      <c r="V127" s="152">
        <f t="shared" ref="V127" si="86">P127*$J$127</f>
        <v>187.247603253893</v>
      </c>
      <c r="X127" s="83"/>
      <c r="Y127" s="81"/>
      <c r="Z127" s="81"/>
      <c r="AA127" s="81"/>
      <c r="AB127" s="81"/>
      <c r="AC127" s="84"/>
      <c r="AD127" s="85">
        <f t="shared" ref="AD127:AI127" si="87">X127*$J$127</f>
        <v>0</v>
      </c>
      <c r="AE127" s="81">
        <f t="shared" si="87"/>
        <v>0</v>
      </c>
      <c r="AF127" s="81">
        <f t="shared" si="87"/>
        <v>0</v>
      </c>
      <c r="AG127" s="81">
        <f t="shared" si="87"/>
        <v>0</v>
      </c>
      <c r="AH127" s="81">
        <f t="shared" si="87"/>
        <v>0</v>
      </c>
      <c r="AI127" s="84">
        <f t="shared" si="87"/>
        <v>0</v>
      </c>
    </row>
    <row r="128" spans="2:35" s="74" customFormat="1" ht="26.25" hidden="1" customHeight="1" x14ac:dyDescent="0.25">
      <c r="B128" s="151" t="s">
        <v>276</v>
      </c>
      <c r="C128" s="81">
        <v>72</v>
      </c>
      <c r="D128" s="92">
        <v>71</v>
      </c>
      <c r="E128" s="92">
        <v>0</v>
      </c>
      <c r="F128" s="92">
        <v>0</v>
      </c>
      <c r="G128" s="92"/>
      <c r="H128" s="92"/>
      <c r="I128" s="92"/>
      <c r="J128" s="82">
        <v>2.9316583103036602</v>
      </c>
      <c r="K128" s="83">
        <f>VLOOKUP(C128,Prevs!$C$7:$I$279,2,FALSE)-IFERROR(VLOOKUP(E128,Prevs!$C$7:$I$279,2,FALSE),0)-IFERROR(VLOOKUP(D128,Prevs!$C$7:$I$279,2,FALSE),0)</f>
        <v>6</v>
      </c>
      <c r="L128" s="81">
        <f>VLOOKUP(C128,Prevs!$C$7:$I$279,3,FALSE)-IFERROR(VLOOKUP(E128,Prevs!$C$7:$I$279,3,FALSE),0)-IFERROR(VLOOKUP(D128,Prevs!$C$7:$I$279,3,FALSE),0)</f>
        <v>6</v>
      </c>
      <c r="M128" s="81">
        <f>VLOOKUP(C128,Prevs!$C$7:$I$279,4,FALSE)-IFERROR(VLOOKUP(E128,Prevs!$C$7:$I$279,4,FALSE),0)-IFERROR(VLOOKUP(D128,Prevs!$C$7:$I$279,4,FALSE),0)</f>
        <v>4</v>
      </c>
      <c r="N128" s="81">
        <f>VLOOKUP(C128,Prevs!$C$7:$I$279,5,FALSE)-IFERROR(VLOOKUP(E128,Prevs!$C$7:$I$279,5,FALSE),0)-IFERROR(VLOOKUP(D128,Prevs!$C$7:$I$279,5,FALSE),0)</f>
        <v>3</v>
      </c>
      <c r="O128" s="81">
        <f>VLOOKUP(C128,Prevs!$C$7:$I$279,6,FALSE)-IFERROR(VLOOKUP(E128,Prevs!$C$7:$I$279,6,FALSE),0)-IFERROR(VLOOKUP(D128,Prevs!$C$7:$I$279,6,FALSE),0)</f>
        <v>2</v>
      </c>
      <c r="P128" s="84">
        <f>VLOOKUP(C128,Prevs!$C$7:$I$279,7,FALSE)-IFERROR(VLOOKUP(E128,Prevs!$C$7:$I$279,7,FALSE),0)-IFERROR(VLOOKUP(D128,Prevs!$C$7:$I$279,7,FALSE),0)</f>
        <v>2</v>
      </c>
      <c r="Q128" s="248">
        <f t="shared" ref="Q128" si="88">K128*$J$128</f>
        <v>17.58994986182196</v>
      </c>
      <c r="R128" s="96">
        <f t="shared" ref="R128" si="89">L128*$J$128</f>
        <v>17.58994986182196</v>
      </c>
      <c r="S128" s="96">
        <f t="shared" ref="S128" si="90">M128*$J$128</f>
        <v>11.726633241214641</v>
      </c>
      <c r="T128" s="96">
        <f t="shared" ref="T128" si="91">N128*$J$128</f>
        <v>8.7949749309109801</v>
      </c>
      <c r="U128" s="96">
        <f t="shared" ref="U128" si="92">O128*$J$128</f>
        <v>5.8633166206073204</v>
      </c>
      <c r="V128" s="152">
        <f t="shared" ref="V128" si="93">P128*$J$128</f>
        <v>5.8633166206073204</v>
      </c>
      <c r="X128" s="83"/>
      <c r="Y128" s="81"/>
      <c r="Z128" s="81"/>
      <c r="AA128" s="81"/>
      <c r="AB128" s="81"/>
      <c r="AC128" s="84"/>
      <c r="AD128" s="85">
        <f t="shared" ref="AD128:AI128" si="94">X128*$J$128</f>
        <v>0</v>
      </c>
      <c r="AE128" s="81">
        <f t="shared" si="94"/>
        <v>0</v>
      </c>
      <c r="AF128" s="81">
        <f t="shared" si="94"/>
        <v>0</v>
      </c>
      <c r="AG128" s="81">
        <f t="shared" si="94"/>
        <v>0</v>
      </c>
      <c r="AH128" s="81">
        <f t="shared" si="94"/>
        <v>0</v>
      </c>
      <c r="AI128" s="84">
        <f t="shared" si="94"/>
        <v>0</v>
      </c>
    </row>
    <row r="129" spans="2:35" s="74" customFormat="1" ht="26.25" hidden="1" customHeight="1" x14ac:dyDescent="0.25">
      <c r="B129" s="151" t="s">
        <v>277</v>
      </c>
      <c r="C129" s="81">
        <v>57</v>
      </c>
      <c r="D129" s="92">
        <v>58</v>
      </c>
      <c r="E129" s="92">
        <v>0</v>
      </c>
      <c r="F129" s="92">
        <v>0</v>
      </c>
      <c r="G129" s="92"/>
      <c r="H129" s="92"/>
      <c r="I129" s="92"/>
      <c r="J129" s="82">
        <v>1.04615729564196</v>
      </c>
      <c r="K129" s="83">
        <f>VLOOKUP(C129,Prevs!$C$7:$I$279,2,FALSE)-IFERROR(VLOOKUP(E129,Prevs!$C$7:$I$279,2,FALSE),0)-IFERROR(VLOOKUP(D129,Prevs!$C$7:$I$279,2,FALSE),0)</f>
        <v>179</v>
      </c>
      <c r="L129" s="81">
        <f>VLOOKUP(C129,Prevs!$C$7:$I$279,3,FALSE)-IFERROR(VLOOKUP(E129,Prevs!$C$7:$I$279,3,FALSE),0)-IFERROR(VLOOKUP(D129,Prevs!$C$7:$I$279,3,FALSE),0)</f>
        <v>170</v>
      </c>
      <c r="M129" s="81">
        <f>VLOOKUP(C129,Prevs!$C$7:$I$279,4,FALSE)-IFERROR(VLOOKUP(E129,Prevs!$C$7:$I$279,4,FALSE),0)-IFERROR(VLOOKUP(D129,Prevs!$C$7:$I$279,4,FALSE),0)</f>
        <v>147</v>
      </c>
      <c r="N129" s="81">
        <f>VLOOKUP(C129,Prevs!$C$7:$I$279,5,FALSE)-IFERROR(VLOOKUP(E129,Prevs!$C$7:$I$279,5,FALSE),0)-IFERROR(VLOOKUP(D129,Prevs!$C$7:$I$279,5,FALSE),0)</f>
        <v>144</v>
      </c>
      <c r="O129" s="81">
        <f>VLOOKUP(C129,Prevs!$C$7:$I$279,6,FALSE)-IFERROR(VLOOKUP(E129,Prevs!$C$7:$I$279,6,FALSE),0)-IFERROR(VLOOKUP(D129,Prevs!$C$7:$I$279,6,FALSE),0)</f>
        <v>164</v>
      </c>
      <c r="P129" s="84">
        <f>VLOOKUP(C129,Prevs!$C$7:$I$279,7,FALSE)-IFERROR(VLOOKUP(E129,Prevs!$C$7:$I$279,7,FALSE),0)-IFERROR(VLOOKUP(D129,Prevs!$C$7:$I$279,7,FALSE),0)</f>
        <v>121</v>
      </c>
      <c r="Q129" s="248">
        <f t="shared" ref="Q129" si="95">K129*$J$129</f>
        <v>187.26215591991084</v>
      </c>
      <c r="R129" s="96">
        <f t="shared" ref="R129" si="96">L129*$J$129</f>
        <v>177.84674025913321</v>
      </c>
      <c r="S129" s="96">
        <f t="shared" ref="S129" si="97">M129*$J$129</f>
        <v>153.78512245936813</v>
      </c>
      <c r="T129" s="96">
        <f t="shared" ref="T129" si="98">N129*$J$129</f>
        <v>150.64665057244224</v>
      </c>
      <c r="U129" s="96">
        <f t="shared" ref="U129" si="99">O129*$J$129</f>
        <v>171.56979648528144</v>
      </c>
      <c r="V129" s="152">
        <f t="shared" ref="V129" si="100">P129*$J$129</f>
        <v>126.58503277267717</v>
      </c>
      <c r="X129" s="83"/>
      <c r="Y129" s="81"/>
      <c r="Z129" s="81"/>
      <c r="AA129" s="81"/>
      <c r="AB129" s="81"/>
      <c r="AC129" s="84"/>
      <c r="AD129" s="85">
        <f t="shared" ref="AD129:AI129" si="101">X129*$J$129</f>
        <v>0</v>
      </c>
      <c r="AE129" s="81">
        <f t="shared" si="101"/>
        <v>0</v>
      </c>
      <c r="AF129" s="81">
        <f t="shared" si="101"/>
        <v>0</v>
      </c>
      <c r="AG129" s="81">
        <f t="shared" si="101"/>
        <v>0</v>
      </c>
      <c r="AH129" s="81">
        <f t="shared" si="101"/>
        <v>0</v>
      </c>
      <c r="AI129" s="84">
        <f t="shared" si="101"/>
        <v>0</v>
      </c>
    </row>
    <row r="130" spans="2:35" s="74" customFormat="1" ht="26.25" hidden="1" customHeight="1" x14ac:dyDescent="0.25">
      <c r="B130" s="151" t="s">
        <v>305</v>
      </c>
      <c r="C130" s="81">
        <v>77</v>
      </c>
      <c r="D130" s="92">
        <v>73</v>
      </c>
      <c r="E130" s="92">
        <v>76</v>
      </c>
      <c r="F130" s="92">
        <v>0</v>
      </c>
      <c r="G130" s="92"/>
      <c r="H130" s="92"/>
      <c r="I130" s="92"/>
      <c r="J130" s="82">
        <v>2.1017602499581698</v>
      </c>
      <c r="K130" s="83">
        <f>VLOOKUP(C130,Prevs!$C$7:$I$279,2,FALSE)-IFERROR(VLOOKUP(E130,Prevs!$C$7:$I$279,2,FALSE),0)-IFERROR(VLOOKUP(D130,Prevs!$C$7:$I$279,2,FALSE),0)</f>
        <v>184</v>
      </c>
      <c r="L130" s="81">
        <f>VLOOKUP(C130,Prevs!$C$7:$I$279,3,FALSE)-IFERROR(VLOOKUP(E130,Prevs!$C$7:$I$279,3,FALSE),0)-IFERROR(VLOOKUP(D130,Prevs!$C$7:$I$279,3,FALSE),0)</f>
        <v>1008</v>
      </c>
      <c r="M130" s="81">
        <f>VLOOKUP(C130,Prevs!$C$7:$I$279,4,FALSE)-IFERROR(VLOOKUP(E130,Prevs!$C$7:$I$279,4,FALSE),0)-IFERROR(VLOOKUP(D130,Prevs!$C$7:$I$279,4,FALSE),0)</f>
        <v>1242</v>
      </c>
      <c r="N130" s="81">
        <f>VLOOKUP(C130,Prevs!$C$7:$I$279,5,FALSE)-IFERROR(VLOOKUP(E130,Prevs!$C$7:$I$279,5,FALSE),0)-IFERROR(VLOOKUP(D130,Prevs!$C$7:$I$279,5,FALSE),0)</f>
        <v>390</v>
      </c>
      <c r="O130" s="81">
        <f>VLOOKUP(C130,Prevs!$C$7:$I$279,6,FALSE)-IFERROR(VLOOKUP(E130,Prevs!$C$7:$I$279,6,FALSE),0)-IFERROR(VLOOKUP(D130,Prevs!$C$7:$I$279,6,FALSE),0)</f>
        <v>69</v>
      </c>
      <c r="P130" s="84">
        <f>VLOOKUP(C130,Prevs!$C$7:$I$279,7,FALSE)-IFERROR(VLOOKUP(E130,Prevs!$C$7:$I$279,7,FALSE),0)-IFERROR(VLOOKUP(D130,Prevs!$C$7:$I$279,7,FALSE),0)</f>
        <v>310</v>
      </c>
      <c r="Q130" s="248">
        <f t="shared" ref="Q130" si="102">K130*$J$130</f>
        <v>386.72388599230322</v>
      </c>
      <c r="R130" s="96">
        <f t="shared" ref="R130" si="103">L130*$J$130</f>
        <v>2118.5743319578351</v>
      </c>
      <c r="S130" s="96">
        <f t="shared" ref="S130" si="104">M130*$J$130</f>
        <v>2610.3862304480467</v>
      </c>
      <c r="T130" s="96">
        <f t="shared" ref="T130" si="105">N130*$J$130</f>
        <v>819.68649748368625</v>
      </c>
      <c r="U130" s="96">
        <f t="shared" ref="U130" si="106">O130*$J$130</f>
        <v>145.02145724711372</v>
      </c>
      <c r="V130" s="152">
        <f t="shared" ref="V130" si="107">P130*$J$130</f>
        <v>651.54567748703266</v>
      </c>
      <c r="X130" s="83"/>
      <c r="Y130" s="81"/>
      <c r="Z130" s="81"/>
      <c r="AA130" s="81"/>
      <c r="AB130" s="81"/>
      <c r="AC130" s="84"/>
      <c r="AD130" s="85">
        <f t="shared" ref="AD130:AI130" si="108">X130*$J$130</f>
        <v>0</v>
      </c>
      <c r="AE130" s="81">
        <f t="shared" si="108"/>
        <v>0</v>
      </c>
      <c r="AF130" s="81">
        <f t="shared" si="108"/>
        <v>0</v>
      </c>
      <c r="AG130" s="81">
        <f t="shared" si="108"/>
        <v>0</v>
      </c>
      <c r="AH130" s="81">
        <f t="shared" si="108"/>
        <v>0</v>
      </c>
      <c r="AI130" s="84">
        <f t="shared" si="108"/>
        <v>0</v>
      </c>
    </row>
    <row r="131" spans="2:35" s="74" customFormat="1" ht="26.25" hidden="1" customHeight="1" x14ac:dyDescent="0.25">
      <c r="B131" s="151" t="s">
        <v>278</v>
      </c>
      <c r="C131" s="81">
        <v>78</v>
      </c>
      <c r="D131" s="92">
        <v>77</v>
      </c>
      <c r="E131" s="92">
        <v>0</v>
      </c>
      <c r="F131" s="92">
        <v>0</v>
      </c>
      <c r="G131" s="92"/>
      <c r="H131" s="92"/>
      <c r="I131" s="92"/>
      <c r="J131" s="82">
        <v>1.2237324331724899</v>
      </c>
      <c r="K131" s="83">
        <f>VLOOKUP(C131,Prevs!$C$7:$I$279,2,FALSE)-IFERROR(VLOOKUP(E131,Prevs!$C$7:$I$279,2,FALSE),0)-IFERROR(VLOOKUP(D131,Prevs!$C$7:$I$279,2,FALSE),0)</f>
        <v>57</v>
      </c>
      <c r="L131" s="81">
        <f>VLOOKUP(C131,Prevs!$C$7:$I$279,3,FALSE)-IFERROR(VLOOKUP(E131,Prevs!$C$7:$I$279,3,FALSE),0)-IFERROR(VLOOKUP(D131,Prevs!$C$7:$I$279,3,FALSE),0)</f>
        <v>84</v>
      </c>
      <c r="M131" s="81">
        <f>VLOOKUP(C131,Prevs!$C$7:$I$279,4,FALSE)-IFERROR(VLOOKUP(E131,Prevs!$C$7:$I$279,4,FALSE),0)-IFERROR(VLOOKUP(D131,Prevs!$C$7:$I$279,4,FALSE),0)</f>
        <v>79</v>
      </c>
      <c r="N131" s="81">
        <f>VLOOKUP(C131,Prevs!$C$7:$I$279,5,FALSE)-IFERROR(VLOOKUP(E131,Prevs!$C$7:$I$279,5,FALSE),0)-IFERROR(VLOOKUP(D131,Prevs!$C$7:$I$279,5,FALSE),0)</f>
        <v>43</v>
      </c>
      <c r="O131" s="81">
        <f>VLOOKUP(C131,Prevs!$C$7:$I$279,6,FALSE)-IFERROR(VLOOKUP(E131,Prevs!$C$7:$I$279,6,FALSE),0)-IFERROR(VLOOKUP(D131,Prevs!$C$7:$I$279,6,FALSE),0)</f>
        <v>28</v>
      </c>
      <c r="P131" s="84">
        <f>VLOOKUP(C131,Prevs!$C$7:$I$279,7,FALSE)-IFERROR(VLOOKUP(E131,Prevs!$C$7:$I$279,7,FALSE),0)-IFERROR(VLOOKUP(D131,Prevs!$C$7:$I$279,7,FALSE),0)</f>
        <v>36</v>
      </c>
      <c r="Q131" s="248">
        <f t="shared" ref="Q131" si="109">K131*$J$131</f>
        <v>69.752748690831922</v>
      </c>
      <c r="R131" s="96">
        <f t="shared" ref="R131" si="110">L131*$J$131</f>
        <v>102.79352438648915</v>
      </c>
      <c r="S131" s="96">
        <f t="shared" ref="S131" si="111">M131*$J$131</f>
        <v>96.674862220626707</v>
      </c>
      <c r="T131" s="96">
        <f t="shared" ref="T131" si="112">N131*$J$131</f>
        <v>52.62049462641707</v>
      </c>
      <c r="U131" s="96">
        <f t="shared" ref="U131" si="113">O131*$J$131</f>
        <v>34.264508128829718</v>
      </c>
      <c r="V131" s="152">
        <f t="shared" ref="V131" si="114">P131*$J$131</f>
        <v>44.054367594209637</v>
      </c>
      <c r="X131" s="83"/>
      <c r="Y131" s="81"/>
      <c r="Z131" s="81"/>
      <c r="AA131" s="81"/>
      <c r="AB131" s="81"/>
      <c r="AC131" s="84"/>
      <c r="AD131" s="85">
        <f t="shared" ref="AD131:AI131" si="115">X131*$J$131</f>
        <v>0</v>
      </c>
      <c r="AE131" s="81">
        <f t="shared" si="115"/>
        <v>0</v>
      </c>
      <c r="AF131" s="81">
        <f t="shared" si="115"/>
        <v>0</v>
      </c>
      <c r="AG131" s="81">
        <f t="shared" si="115"/>
        <v>0</v>
      </c>
      <c r="AH131" s="81">
        <f t="shared" si="115"/>
        <v>0</v>
      </c>
      <c r="AI131" s="84">
        <f t="shared" si="115"/>
        <v>0</v>
      </c>
    </row>
    <row r="132" spans="2:35" s="74" customFormat="1" ht="26.25" hidden="1" customHeight="1" x14ac:dyDescent="0.25">
      <c r="B132" s="151" t="s">
        <v>279</v>
      </c>
      <c r="C132" s="81">
        <v>93</v>
      </c>
      <c r="D132" s="92">
        <v>0</v>
      </c>
      <c r="E132" s="92">
        <v>0</v>
      </c>
      <c r="F132" s="92">
        <v>0</v>
      </c>
      <c r="G132" s="92"/>
      <c r="H132" s="92"/>
      <c r="I132" s="92"/>
      <c r="J132" s="82">
        <v>3.2570379522514901</v>
      </c>
      <c r="K132" s="83">
        <f>VLOOKUP(C132,Prevs!$C$7:$I$279,2,FALSE)-IFERROR(VLOOKUP(E132,Prevs!$C$7:$I$279,2,FALSE),0)-IFERROR(VLOOKUP(D132,Prevs!$C$7:$I$279,2,FALSE),0)</f>
        <v>168</v>
      </c>
      <c r="L132" s="81">
        <f>VLOOKUP(C132,Prevs!$C$7:$I$279,3,FALSE)-IFERROR(VLOOKUP(E132,Prevs!$C$7:$I$279,3,FALSE),0)-IFERROR(VLOOKUP(D132,Prevs!$C$7:$I$279,3,FALSE),0)</f>
        <v>49</v>
      </c>
      <c r="M132" s="81">
        <f>VLOOKUP(C132,Prevs!$C$7:$I$279,4,FALSE)-IFERROR(VLOOKUP(E132,Prevs!$C$7:$I$279,4,FALSE),0)-IFERROR(VLOOKUP(D132,Prevs!$C$7:$I$279,4,FALSE),0)</f>
        <v>35</v>
      </c>
      <c r="N132" s="81">
        <f>VLOOKUP(C132,Prevs!$C$7:$I$279,5,FALSE)-IFERROR(VLOOKUP(E132,Prevs!$C$7:$I$279,5,FALSE),0)-IFERROR(VLOOKUP(D132,Prevs!$C$7:$I$279,5,FALSE),0)</f>
        <v>49</v>
      </c>
      <c r="O132" s="81">
        <f>VLOOKUP(C132,Prevs!$C$7:$I$279,6,FALSE)-IFERROR(VLOOKUP(E132,Prevs!$C$7:$I$279,6,FALSE),0)-IFERROR(VLOOKUP(D132,Prevs!$C$7:$I$279,6,FALSE),0)</f>
        <v>29</v>
      </c>
      <c r="P132" s="84">
        <f>VLOOKUP(C132,Prevs!$C$7:$I$279,7,FALSE)-IFERROR(VLOOKUP(E132,Prevs!$C$7:$I$279,7,FALSE),0)-IFERROR(VLOOKUP(D132,Prevs!$C$7:$I$279,7,FALSE),0)</f>
        <v>29</v>
      </c>
      <c r="Q132" s="248">
        <f t="shared" ref="Q132" si="116">K132*$J$132</f>
        <v>547.18237597825032</v>
      </c>
      <c r="R132" s="96">
        <f t="shared" ref="R132" si="117">L132*$J$132</f>
        <v>159.59485966032301</v>
      </c>
      <c r="S132" s="96">
        <f t="shared" ref="S132" si="118">M132*$J$132</f>
        <v>113.99632832880215</v>
      </c>
      <c r="T132" s="96">
        <f t="shared" ref="T132" si="119">N132*$J$132</f>
        <v>159.59485966032301</v>
      </c>
      <c r="U132" s="96">
        <f t="shared" ref="U132" si="120">O132*$J$132</f>
        <v>94.454100615293214</v>
      </c>
      <c r="V132" s="152">
        <f t="shared" ref="V132" si="121">P132*$J$132</f>
        <v>94.454100615293214</v>
      </c>
      <c r="X132" s="83"/>
      <c r="Y132" s="81"/>
      <c r="Z132" s="81"/>
      <c r="AA132" s="81"/>
      <c r="AB132" s="81"/>
      <c r="AC132" s="84"/>
      <c r="AD132" s="85">
        <f t="shared" ref="AD132:AI132" si="122">X132*$J$132</f>
        <v>0</v>
      </c>
      <c r="AE132" s="81">
        <f t="shared" si="122"/>
        <v>0</v>
      </c>
      <c r="AF132" s="81">
        <f t="shared" si="122"/>
        <v>0</v>
      </c>
      <c r="AG132" s="81">
        <f t="shared" si="122"/>
        <v>0</v>
      </c>
      <c r="AH132" s="81">
        <f t="shared" si="122"/>
        <v>0</v>
      </c>
      <c r="AI132" s="84">
        <f t="shared" si="122"/>
        <v>0</v>
      </c>
    </row>
    <row r="133" spans="2:35" s="74" customFormat="1" ht="26.25" hidden="1" customHeight="1" x14ac:dyDescent="0.25">
      <c r="B133" s="151" t="s">
        <v>227</v>
      </c>
      <c r="C133" s="81">
        <v>217</v>
      </c>
      <c r="D133" s="92">
        <v>215</v>
      </c>
      <c r="E133" s="92">
        <v>216</v>
      </c>
      <c r="F133" s="92">
        <v>0</v>
      </c>
      <c r="G133" s="92"/>
      <c r="H133" s="92"/>
      <c r="I133" s="92"/>
      <c r="J133" s="82">
        <v>2.2961508372421502</v>
      </c>
      <c r="K133" s="83">
        <f>VLOOKUP(C133,Prevs!$C$7:$I$279,2,FALSE)-IFERROR(VLOOKUP(E133,Prevs!$C$7:$I$279,2,FALSE),0)-IFERROR(VLOOKUP(D133,Prevs!$C$7:$I$279,2,FALSE),0)</f>
        <v>62</v>
      </c>
      <c r="L133" s="81">
        <f>VLOOKUP(C133,Prevs!$C$7:$I$279,3,FALSE)-IFERROR(VLOOKUP(E133,Prevs!$C$7:$I$279,3,FALSE),0)-IFERROR(VLOOKUP(D133,Prevs!$C$7:$I$279,3,FALSE),0)</f>
        <v>833</v>
      </c>
      <c r="M133" s="81">
        <f>VLOOKUP(C133,Prevs!$C$7:$I$279,4,FALSE)-IFERROR(VLOOKUP(E133,Prevs!$C$7:$I$279,4,FALSE),0)-IFERROR(VLOOKUP(D133,Prevs!$C$7:$I$279,4,FALSE),0)</f>
        <v>50</v>
      </c>
      <c r="N133" s="81">
        <f>VLOOKUP(C133,Prevs!$C$7:$I$279,5,FALSE)-IFERROR(VLOOKUP(E133,Prevs!$C$7:$I$279,5,FALSE),0)-IFERROR(VLOOKUP(D133,Prevs!$C$7:$I$279,5,FALSE),0)</f>
        <v>303</v>
      </c>
      <c r="O133" s="81">
        <f>VLOOKUP(C133,Prevs!$C$7:$I$279,6,FALSE)-IFERROR(VLOOKUP(E133,Prevs!$C$7:$I$279,6,FALSE),0)-IFERROR(VLOOKUP(D133,Prevs!$C$7:$I$279,6,FALSE),0)</f>
        <v>22</v>
      </c>
      <c r="P133" s="84">
        <f>VLOOKUP(C133,Prevs!$C$7:$I$279,7,FALSE)-IFERROR(VLOOKUP(E133,Prevs!$C$7:$I$279,7,FALSE),0)-IFERROR(VLOOKUP(D133,Prevs!$C$7:$I$279,7,FALSE),0)</f>
        <v>89</v>
      </c>
      <c r="Q133" s="248">
        <f t="shared" ref="Q133" si="123">K133*$J$133</f>
        <v>142.36135190901331</v>
      </c>
      <c r="R133" s="96">
        <f t="shared" ref="R133" si="124">L133*$J$133</f>
        <v>1912.6936474227111</v>
      </c>
      <c r="S133" s="96">
        <f t="shared" ref="S133" si="125">M133*$J$133</f>
        <v>114.80754186210751</v>
      </c>
      <c r="T133" s="96">
        <f t="shared" ref="T133" si="126">N133*$J$133</f>
        <v>695.73370368437156</v>
      </c>
      <c r="U133" s="96">
        <f t="shared" ref="U133" si="127">O133*$J$133</f>
        <v>50.515318419327301</v>
      </c>
      <c r="V133" s="152">
        <f t="shared" ref="V133" si="128">P133*$J$133</f>
        <v>204.35742451455135</v>
      </c>
      <c r="X133" s="83"/>
      <c r="Y133" s="81"/>
      <c r="Z133" s="81"/>
      <c r="AA133" s="81"/>
      <c r="AB133" s="81"/>
      <c r="AC133" s="84"/>
      <c r="AD133" s="85">
        <f t="shared" ref="AD133:AI133" si="129">X133*$J$133</f>
        <v>0</v>
      </c>
      <c r="AE133" s="81">
        <f t="shared" si="129"/>
        <v>0</v>
      </c>
      <c r="AF133" s="81">
        <f t="shared" si="129"/>
        <v>0</v>
      </c>
      <c r="AG133" s="81">
        <f t="shared" si="129"/>
        <v>0</v>
      </c>
      <c r="AH133" s="81">
        <f t="shared" si="129"/>
        <v>0</v>
      </c>
      <c r="AI133" s="84">
        <f t="shared" si="129"/>
        <v>0</v>
      </c>
    </row>
    <row r="134" spans="2:35" s="74" customFormat="1" ht="26.25" hidden="1" customHeight="1" x14ac:dyDescent="0.25">
      <c r="B134" s="151" t="s">
        <v>280</v>
      </c>
      <c r="C134" s="81">
        <v>92</v>
      </c>
      <c r="D134" s="92">
        <v>217</v>
      </c>
      <c r="E134" s="92">
        <v>0</v>
      </c>
      <c r="F134" s="92">
        <v>0</v>
      </c>
      <c r="G134" s="92"/>
      <c r="H134" s="92"/>
      <c r="I134" s="92"/>
      <c r="J134" s="82">
        <v>1.3774617002596501</v>
      </c>
      <c r="K134" s="83">
        <f>VLOOKUP(C134,Prevs!$C$7:$I$279,2,FALSE)-IFERROR(VLOOKUP(E134,Prevs!$C$7:$I$279,2,FALSE),0)-IFERROR(VLOOKUP(D134,Prevs!$C$7:$I$279,2,FALSE),0)</f>
        <v>136</v>
      </c>
      <c r="L134" s="81">
        <f>VLOOKUP(C134,Prevs!$C$7:$I$279,3,FALSE)-IFERROR(VLOOKUP(E134,Prevs!$C$7:$I$279,3,FALSE),0)-IFERROR(VLOOKUP(D134,Prevs!$C$7:$I$279,3,FALSE),0)</f>
        <v>657</v>
      </c>
      <c r="M134" s="81">
        <f>VLOOKUP(C134,Prevs!$C$7:$I$279,4,FALSE)-IFERROR(VLOOKUP(E134,Prevs!$C$7:$I$279,4,FALSE),0)-IFERROR(VLOOKUP(D134,Prevs!$C$7:$I$279,4,FALSE),0)</f>
        <v>228</v>
      </c>
      <c r="N134" s="81">
        <f>VLOOKUP(C134,Prevs!$C$7:$I$279,5,FALSE)-IFERROR(VLOOKUP(E134,Prevs!$C$7:$I$279,5,FALSE),0)-IFERROR(VLOOKUP(D134,Prevs!$C$7:$I$279,5,FALSE),0)</f>
        <v>407</v>
      </c>
      <c r="O134" s="81">
        <f>VLOOKUP(C134,Prevs!$C$7:$I$279,6,FALSE)-IFERROR(VLOOKUP(E134,Prevs!$C$7:$I$279,6,FALSE),0)-IFERROR(VLOOKUP(D134,Prevs!$C$7:$I$279,6,FALSE),0)</f>
        <v>160</v>
      </c>
      <c r="P134" s="84">
        <f>VLOOKUP(C134,Prevs!$C$7:$I$279,7,FALSE)-IFERROR(VLOOKUP(E134,Prevs!$C$7:$I$279,7,FALSE),0)-IFERROR(VLOOKUP(D134,Prevs!$C$7:$I$279,7,FALSE),0)</f>
        <v>196</v>
      </c>
      <c r="Q134" s="248">
        <f t="shared" ref="Q134" si="130">K134*$J$134</f>
        <v>187.33479123531242</v>
      </c>
      <c r="R134" s="96">
        <f t="shared" ref="R134" si="131">L134*$J$134</f>
        <v>904.99233707059011</v>
      </c>
      <c r="S134" s="96">
        <f t="shared" ref="S134" si="132">M134*$J$134</f>
        <v>314.06126765920021</v>
      </c>
      <c r="T134" s="96">
        <f t="shared" ref="T134" si="133">N134*$J$134</f>
        <v>560.62691200567758</v>
      </c>
      <c r="U134" s="96">
        <f t="shared" ref="U134" si="134">O134*$J$134</f>
        <v>220.393872041544</v>
      </c>
      <c r="V134" s="152">
        <f t="shared" ref="V134" si="135">P134*$J$134</f>
        <v>269.98249325089142</v>
      </c>
      <c r="X134" s="83"/>
      <c r="Y134" s="81"/>
      <c r="Z134" s="81"/>
      <c r="AA134" s="81"/>
      <c r="AB134" s="81"/>
      <c r="AC134" s="84"/>
      <c r="AD134" s="85">
        <f t="shared" ref="AD134:AI134" si="136">X134*$J$134</f>
        <v>0</v>
      </c>
      <c r="AE134" s="81">
        <f t="shared" si="136"/>
        <v>0</v>
      </c>
      <c r="AF134" s="81">
        <f t="shared" si="136"/>
        <v>0</v>
      </c>
      <c r="AG134" s="81">
        <f t="shared" si="136"/>
        <v>0</v>
      </c>
      <c r="AH134" s="81">
        <f t="shared" si="136"/>
        <v>0</v>
      </c>
      <c r="AI134" s="84">
        <f t="shared" si="136"/>
        <v>0</v>
      </c>
    </row>
    <row r="135" spans="2:35" s="74" customFormat="1" ht="26.25" hidden="1" customHeight="1" x14ac:dyDescent="0.25">
      <c r="B135" s="151" t="s">
        <v>224</v>
      </c>
      <c r="C135" s="81">
        <v>215</v>
      </c>
      <c r="D135" s="92">
        <v>85</v>
      </c>
      <c r="E135" s="92">
        <v>0</v>
      </c>
      <c r="F135" s="92">
        <v>0</v>
      </c>
      <c r="G135" s="92"/>
      <c r="H135" s="92"/>
      <c r="I135" s="92"/>
      <c r="J135" s="82">
        <v>3.6857939554400501</v>
      </c>
      <c r="K135" s="83">
        <f>VLOOKUP(C135,Prevs!$C$7:$I$279,2,FALSE)-IFERROR(VLOOKUP(E135,Prevs!$C$7:$I$279,2,FALSE),0)-IFERROR(VLOOKUP(D135,Prevs!$C$7:$I$279,2,FALSE),0)</f>
        <v>247</v>
      </c>
      <c r="L135" s="81">
        <f>VLOOKUP(C135,Prevs!$C$7:$I$279,3,FALSE)-IFERROR(VLOOKUP(E135,Prevs!$C$7:$I$279,3,FALSE),0)-IFERROR(VLOOKUP(D135,Prevs!$C$7:$I$279,3,FALSE),0)</f>
        <v>448</v>
      </c>
      <c r="M135" s="81">
        <f>VLOOKUP(C135,Prevs!$C$7:$I$279,4,FALSE)-IFERROR(VLOOKUP(E135,Prevs!$C$7:$I$279,4,FALSE),0)-IFERROR(VLOOKUP(D135,Prevs!$C$7:$I$279,4,FALSE),0)</f>
        <v>157</v>
      </c>
      <c r="N135" s="81">
        <f>VLOOKUP(C135,Prevs!$C$7:$I$279,5,FALSE)-IFERROR(VLOOKUP(E135,Prevs!$C$7:$I$279,5,FALSE),0)-IFERROR(VLOOKUP(D135,Prevs!$C$7:$I$279,5,FALSE),0)</f>
        <v>321</v>
      </c>
      <c r="O135" s="81">
        <f>VLOOKUP(C135,Prevs!$C$7:$I$279,6,FALSE)-IFERROR(VLOOKUP(E135,Prevs!$C$7:$I$279,6,FALSE),0)-IFERROR(VLOOKUP(D135,Prevs!$C$7:$I$279,6,FALSE),0)</f>
        <v>141</v>
      </c>
      <c r="P135" s="84">
        <f>VLOOKUP(C135,Prevs!$C$7:$I$279,7,FALSE)-IFERROR(VLOOKUP(E135,Prevs!$C$7:$I$279,7,FALSE),0)-IFERROR(VLOOKUP(D135,Prevs!$C$7:$I$279,7,FALSE),0)</f>
        <v>135</v>
      </c>
      <c r="Q135" s="248">
        <f t="shared" ref="Q135" si="137">K135*$J$135</f>
        <v>910.39110699369235</v>
      </c>
      <c r="R135" s="96">
        <f t="shared" ref="R135" si="138">L135*$J$135</f>
        <v>1651.2356920371424</v>
      </c>
      <c r="S135" s="96">
        <f t="shared" ref="S135" si="139">M135*$J$135</f>
        <v>578.66965100408788</v>
      </c>
      <c r="T135" s="96">
        <f t="shared" ref="T135" si="140">N135*$J$135</f>
        <v>1183.1398596962561</v>
      </c>
      <c r="U135" s="96">
        <f t="shared" ref="U135" si="141">O135*$J$135</f>
        <v>519.69694771704701</v>
      </c>
      <c r="V135" s="152">
        <f t="shared" ref="V135" si="142">P135*$J$135</f>
        <v>497.58218398440675</v>
      </c>
      <c r="X135" s="83"/>
      <c r="Y135" s="81"/>
      <c r="Z135" s="81"/>
      <c r="AA135" s="81"/>
      <c r="AB135" s="81"/>
      <c r="AC135" s="84"/>
      <c r="AD135" s="85">
        <f t="shared" ref="AD135:AI135" si="143">X135*$J$135</f>
        <v>0</v>
      </c>
      <c r="AE135" s="81">
        <f t="shared" si="143"/>
        <v>0</v>
      </c>
      <c r="AF135" s="81">
        <f t="shared" si="143"/>
        <v>0</v>
      </c>
      <c r="AG135" s="81">
        <f t="shared" si="143"/>
        <v>0</v>
      </c>
      <c r="AH135" s="81">
        <f t="shared" si="143"/>
        <v>0</v>
      </c>
      <c r="AI135" s="84">
        <f t="shared" si="143"/>
        <v>0</v>
      </c>
    </row>
    <row r="136" spans="2:35" s="74" customFormat="1" ht="26.25" hidden="1" customHeight="1" x14ac:dyDescent="0.25">
      <c r="B136" s="151" t="s">
        <v>226</v>
      </c>
      <c r="C136" s="81">
        <v>216</v>
      </c>
      <c r="D136" s="92">
        <v>89</v>
      </c>
      <c r="E136" s="92">
        <v>0</v>
      </c>
      <c r="F136" s="92">
        <v>0</v>
      </c>
      <c r="G136" s="92"/>
      <c r="H136" s="92"/>
      <c r="I136" s="92"/>
      <c r="J136" s="82">
        <v>3.9206007985007898</v>
      </c>
      <c r="K136" s="83">
        <f>VLOOKUP(C136,Prevs!$C$7:$I$279,2,FALSE)-IFERROR(VLOOKUP(E136,Prevs!$C$7:$I$279,2,FALSE),0)-IFERROR(VLOOKUP(D136,Prevs!$C$7:$I$279,2,FALSE),0)</f>
        <v>48</v>
      </c>
      <c r="L136" s="81">
        <f>VLOOKUP(C136,Prevs!$C$7:$I$279,3,FALSE)-IFERROR(VLOOKUP(E136,Prevs!$C$7:$I$279,3,FALSE),0)-IFERROR(VLOOKUP(D136,Prevs!$C$7:$I$279,3,FALSE),0)</f>
        <v>25</v>
      </c>
      <c r="M136" s="81">
        <f>VLOOKUP(C136,Prevs!$C$7:$I$279,4,FALSE)-IFERROR(VLOOKUP(E136,Prevs!$C$7:$I$279,4,FALSE),0)-IFERROR(VLOOKUP(D136,Prevs!$C$7:$I$279,4,FALSE),0)</f>
        <v>43</v>
      </c>
      <c r="N136" s="81">
        <f>VLOOKUP(C136,Prevs!$C$7:$I$279,5,FALSE)-IFERROR(VLOOKUP(E136,Prevs!$C$7:$I$279,5,FALSE),0)-IFERROR(VLOOKUP(D136,Prevs!$C$7:$I$279,5,FALSE),0)</f>
        <v>30</v>
      </c>
      <c r="O136" s="81">
        <f>VLOOKUP(C136,Prevs!$C$7:$I$279,6,FALSE)-IFERROR(VLOOKUP(E136,Prevs!$C$7:$I$279,6,FALSE),0)-IFERROR(VLOOKUP(D136,Prevs!$C$7:$I$279,6,FALSE),0)</f>
        <v>20</v>
      </c>
      <c r="P136" s="84">
        <f>VLOOKUP(C136,Prevs!$C$7:$I$279,7,FALSE)-IFERROR(VLOOKUP(E136,Prevs!$C$7:$I$279,7,FALSE),0)-IFERROR(VLOOKUP(D136,Prevs!$C$7:$I$279,7,FALSE),0)</f>
        <v>22</v>
      </c>
      <c r="Q136" s="248">
        <f t="shared" ref="Q136" si="144">K136*$J$136</f>
        <v>188.18883832803792</v>
      </c>
      <c r="R136" s="96">
        <f t="shared" ref="R136" si="145">L136*$J$136</f>
        <v>98.015019962519744</v>
      </c>
      <c r="S136" s="96">
        <f t="shared" ref="S136" si="146">M136*$J$136</f>
        <v>168.58583433553397</v>
      </c>
      <c r="T136" s="96">
        <f t="shared" ref="T136" si="147">N136*$J$136</f>
        <v>117.61802395502369</v>
      </c>
      <c r="U136" s="96">
        <f t="shared" ref="U136" si="148">O136*$J$136</f>
        <v>78.412015970015801</v>
      </c>
      <c r="V136" s="152">
        <f t="shared" ref="V136" si="149">P136*$J$136</f>
        <v>86.253217567017373</v>
      </c>
      <c r="X136" s="83"/>
      <c r="Y136" s="81"/>
      <c r="Z136" s="81"/>
      <c r="AA136" s="81"/>
      <c r="AB136" s="81"/>
      <c r="AC136" s="84"/>
      <c r="AD136" s="85">
        <f t="shared" ref="AD136:AI136" si="150">X136*$J$136</f>
        <v>0</v>
      </c>
      <c r="AE136" s="81">
        <f t="shared" si="150"/>
        <v>0</v>
      </c>
      <c r="AF136" s="81">
        <f t="shared" si="150"/>
        <v>0</v>
      </c>
      <c r="AG136" s="81">
        <f t="shared" si="150"/>
        <v>0</v>
      </c>
      <c r="AH136" s="81">
        <f t="shared" si="150"/>
        <v>0</v>
      </c>
      <c r="AI136" s="84">
        <f t="shared" si="150"/>
        <v>0</v>
      </c>
    </row>
    <row r="137" spans="2:35" s="74" customFormat="1" ht="26.25" hidden="1" customHeight="1" x14ac:dyDescent="0.25">
      <c r="B137" s="151" t="s">
        <v>281</v>
      </c>
      <c r="C137" s="81">
        <v>98</v>
      </c>
      <c r="D137" s="92">
        <v>0</v>
      </c>
      <c r="E137" s="92">
        <v>0</v>
      </c>
      <c r="F137" s="92">
        <v>0</v>
      </c>
      <c r="G137" s="92"/>
      <c r="H137" s="92"/>
      <c r="I137" s="92"/>
      <c r="J137" s="82">
        <v>1.42463620709088</v>
      </c>
      <c r="K137" s="83">
        <f>VLOOKUP(C137,Prevs!$C$7:$I$279,2,FALSE)-IFERROR(VLOOKUP(E137,Prevs!$C$7:$I$279,2,FALSE),0)-IFERROR(VLOOKUP(D137,Prevs!$C$7:$I$279,2,FALSE),0)</f>
        <v>141</v>
      </c>
      <c r="L137" s="81">
        <f>VLOOKUP(C137,Prevs!$C$7:$I$279,3,FALSE)-IFERROR(VLOOKUP(E137,Prevs!$C$7:$I$279,3,FALSE),0)-IFERROR(VLOOKUP(D137,Prevs!$C$7:$I$279,3,FALSE),0)</f>
        <v>54</v>
      </c>
      <c r="M137" s="81">
        <f>VLOOKUP(C137,Prevs!$C$7:$I$279,4,FALSE)-IFERROR(VLOOKUP(E137,Prevs!$C$7:$I$279,4,FALSE),0)-IFERROR(VLOOKUP(D137,Prevs!$C$7:$I$279,4,FALSE),0)</f>
        <v>91</v>
      </c>
      <c r="N137" s="81">
        <f>VLOOKUP(C137,Prevs!$C$7:$I$279,5,FALSE)-IFERROR(VLOOKUP(E137,Prevs!$C$7:$I$279,5,FALSE),0)-IFERROR(VLOOKUP(D137,Prevs!$C$7:$I$279,5,FALSE),0)</f>
        <v>149</v>
      </c>
      <c r="O137" s="81">
        <f>VLOOKUP(C137,Prevs!$C$7:$I$279,6,FALSE)-IFERROR(VLOOKUP(E137,Prevs!$C$7:$I$279,6,FALSE),0)-IFERROR(VLOOKUP(D137,Prevs!$C$7:$I$279,6,FALSE),0)</f>
        <v>66</v>
      </c>
      <c r="P137" s="84">
        <f>VLOOKUP(C137,Prevs!$C$7:$I$279,7,FALSE)-IFERROR(VLOOKUP(E137,Prevs!$C$7:$I$279,7,FALSE),0)-IFERROR(VLOOKUP(D137,Prevs!$C$7:$I$279,7,FALSE),0)</f>
        <v>79</v>
      </c>
      <c r="Q137" s="248">
        <f t="shared" ref="Q137" si="151">K137*$J$137</f>
        <v>200.87370519981408</v>
      </c>
      <c r="R137" s="96">
        <f t="shared" ref="R137" si="152">L137*$J$137</f>
        <v>76.930355182907519</v>
      </c>
      <c r="S137" s="96">
        <f t="shared" ref="S137" si="153">M137*$J$137</f>
        <v>129.64189484527009</v>
      </c>
      <c r="T137" s="96">
        <f t="shared" ref="T137" si="154">N137*$J$137</f>
        <v>212.27079485654113</v>
      </c>
      <c r="U137" s="96">
        <f t="shared" ref="U137" si="155">O137*$J$137</f>
        <v>94.025989667998076</v>
      </c>
      <c r="V137" s="152">
        <f t="shared" ref="V137" si="156">P137*$J$137</f>
        <v>112.54626036017952</v>
      </c>
      <c r="X137" s="83"/>
      <c r="Y137" s="81"/>
      <c r="Z137" s="81"/>
      <c r="AA137" s="81"/>
      <c r="AB137" s="81"/>
      <c r="AC137" s="84"/>
      <c r="AD137" s="85">
        <f t="shared" ref="AD137:AI137" si="157">X137*$J$137</f>
        <v>0</v>
      </c>
      <c r="AE137" s="81">
        <f t="shared" si="157"/>
        <v>0</v>
      </c>
      <c r="AF137" s="81">
        <f t="shared" si="157"/>
        <v>0</v>
      </c>
      <c r="AG137" s="81">
        <f t="shared" si="157"/>
        <v>0</v>
      </c>
      <c r="AH137" s="81">
        <f t="shared" si="157"/>
        <v>0</v>
      </c>
      <c r="AI137" s="84">
        <f t="shared" si="157"/>
        <v>0</v>
      </c>
    </row>
    <row r="138" spans="2:35" s="74" customFormat="1" ht="26.25" hidden="1" customHeight="1" x14ac:dyDescent="0.25">
      <c r="B138" s="151" t="s">
        <v>282</v>
      </c>
      <c r="C138" s="81">
        <v>97</v>
      </c>
      <c r="D138" s="92">
        <v>98</v>
      </c>
      <c r="E138" s="92">
        <v>0</v>
      </c>
      <c r="F138" s="92">
        <v>0</v>
      </c>
      <c r="G138" s="92"/>
      <c r="H138" s="92"/>
      <c r="I138" s="92"/>
      <c r="J138" s="82">
        <v>0.66612107135032905</v>
      </c>
      <c r="K138" s="83">
        <f>VLOOKUP(C138,Prevs!$C$7:$I$279,2,FALSE)-IFERROR(VLOOKUP(E138,Prevs!$C$7:$I$279,2,FALSE),0)-IFERROR(VLOOKUP(D138,Prevs!$C$7:$I$279,2,FALSE),0)</f>
        <v>120</v>
      </c>
      <c r="L138" s="81">
        <f>VLOOKUP(C138,Prevs!$C$7:$I$279,3,FALSE)-IFERROR(VLOOKUP(E138,Prevs!$C$7:$I$279,3,FALSE),0)-IFERROR(VLOOKUP(D138,Prevs!$C$7:$I$279,3,FALSE),0)</f>
        <v>46</v>
      </c>
      <c r="M138" s="81">
        <f>VLOOKUP(C138,Prevs!$C$7:$I$279,4,FALSE)-IFERROR(VLOOKUP(E138,Prevs!$C$7:$I$279,4,FALSE),0)-IFERROR(VLOOKUP(D138,Prevs!$C$7:$I$279,4,FALSE),0)</f>
        <v>77</v>
      </c>
      <c r="N138" s="81">
        <f>VLOOKUP(C138,Prevs!$C$7:$I$279,5,FALSE)-IFERROR(VLOOKUP(E138,Prevs!$C$7:$I$279,5,FALSE),0)-IFERROR(VLOOKUP(D138,Prevs!$C$7:$I$279,5,FALSE),0)</f>
        <v>127</v>
      </c>
      <c r="O138" s="81">
        <f>VLOOKUP(C138,Prevs!$C$7:$I$279,6,FALSE)-IFERROR(VLOOKUP(E138,Prevs!$C$7:$I$279,6,FALSE),0)-IFERROR(VLOOKUP(D138,Prevs!$C$7:$I$279,6,FALSE),0)</f>
        <v>57</v>
      </c>
      <c r="P138" s="84">
        <f>VLOOKUP(C138,Prevs!$C$7:$I$279,7,FALSE)-IFERROR(VLOOKUP(E138,Prevs!$C$7:$I$279,7,FALSE),0)-IFERROR(VLOOKUP(D138,Prevs!$C$7:$I$279,7,FALSE),0)</f>
        <v>65</v>
      </c>
      <c r="Q138" s="248">
        <f t="shared" ref="Q138" si="158">K138*$J$138</f>
        <v>79.934528562039489</v>
      </c>
      <c r="R138" s="96">
        <f t="shared" ref="R138" si="159">L138*$J$138</f>
        <v>30.641569282115135</v>
      </c>
      <c r="S138" s="96">
        <f t="shared" ref="S138" si="160">M138*$J$138</f>
        <v>51.291322493975336</v>
      </c>
      <c r="T138" s="96">
        <f t="shared" ref="T138" si="161">N138*$J$138</f>
        <v>84.597376061491786</v>
      </c>
      <c r="U138" s="96">
        <f t="shared" ref="U138" si="162">O138*$J$138</f>
        <v>37.968901066968755</v>
      </c>
      <c r="V138" s="152">
        <f t="shared" ref="V138" si="163">P138*$J$138</f>
        <v>43.297869637771392</v>
      </c>
      <c r="X138" s="83"/>
      <c r="Y138" s="81"/>
      <c r="Z138" s="81"/>
      <c r="AA138" s="81"/>
      <c r="AB138" s="81"/>
      <c r="AC138" s="84"/>
      <c r="AD138" s="85">
        <f t="shared" ref="AD138:AI138" si="164">X138*$J$138</f>
        <v>0</v>
      </c>
      <c r="AE138" s="81">
        <f t="shared" si="164"/>
        <v>0</v>
      </c>
      <c r="AF138" s="81">
        <f t="shared" si="164"/>
        <v>0</v>
      </c>
      <c r="AG138" s="81">
        <f t="shared" si="164"/>
        <v>0</v>
      </c>
      <c r="AH138" s="81">
        <f t="shared" si="164"/>
        <v>0</v>
      </c>
      <c r="AI138" s="84">
        <f t="shared" si="164"/>
        <v>0</v>
      </c>
    </row>
    <row r="139" spans="2:35" s="74" customFormat="1" ht="26.25" hidden="1" customHeight="1" x14ac:dyDescent="0.25">
      <c r="B139" s="151" t="s">
        <v>283</v>
      </c>
      <c r="C139" s="81">
        <v>284</v>
      </c>
      <c r="D139" s="92">
        <v>97</v>
      </c>
      <c r="E139" s="92">
        <v>0</v>
      </c>
      <c r="F139" s="92">
        <v>0</v>
      </c>
      <c r="G139" s="92"/>
      <c r="H139" s="92"/>
      <c r="I139" s="92"/>
      <c r="J139" s="82">
        <v>0.30606709747112398</v>
      </c>
      <c r="K139" s="83">
        <f>VLOOKUP(C139,Prevs!$C$7:$I$279,2,FALSE)-IFERROR(VLOOKUP(E139,Prevs!$C$7:$I$279,2,FALSE),0)-IFERROR(VLOOKUP(D139,Prevs!$C$7:$I$279,2,FALSE),0)</f>
        <v>9</v>
      </c>
      <c r="L139" s="81">
        <f>VLOOKUP(C139,Prevs!$C$7:$I$279,3,FALSE)-IFERROR(VLOOKUP(E139,Prevs!$C$7:$I$279,3,FALSE),0)-IFERROR(VLOOKUP(D139,Prevs!$C$7:$I$279,3,FALSE),0)</f>
        <v>4</v>
      </c>
      <c r="M139" s="81">
        <f>VLOOKUP(C139,Prevs!$C$7:$I$279,4,FALSE)-IFERROR(VLOOKUP(E139,Prevs!$C$7:$I$279,4,FALSE),0)-IFERROR(VLOOKUP(D139,Prevs!$C$7:$I$279,4,FALSE),0)</f>
        <v>6</v>
      </c>
      <c r="N139" s="81">
        <f>VLOOKUP(C139,Prevs!$C$7:$I$279,5,FALSE)-IFERROR(VLOOKUP(E139,Prevs!$C$7:$I$279,5,FALSE),0)-IFERROR(VLOOKUP(D139,Prevs!$C$7:$I$279,5,FALSE),0)</f>
        <v>10</v>
      </c>
      <c r="O139" s="81">
        <f>VLOOKUP(C139,Prevs!$C$7:$I$279,6,FALSE)-IFERROR(VLOOKUP(E139,Prevs!$C$7:$I$279,6,FALSE),0)-IFERROR(VLOOKUP(D139,Prevs!$C$7:$I$279,6,FALSE),0)</f>
        <v>4</v>
      </c>
      <c r="P139" s="84">
        <f>VLOOKUP(C139,Prevs!$C$7:$I$279,7,FALSE)-IFERROR(VLOOKUP(E139,Prevs!$C$7:$I$279,7,FALSE),0)-IFERROR(VLOOKUP(D139,Prevs!$C$7:$I$279,7,FALSE),0)</f>
        <v>5</v>
      </c>
      <c r="Q139" s="248">
        <f t="shared" ref="Q139" si="165">K139*$J$139</f>
        <v>2.754603877240116</v>
      </c>
      <c r="R139" s="96">
        <f t="shared" ref="R139" si="166">L139*$J$139</f>
        <v>1.2242683898844959</v>
      </c>
      <c r="S139" s="96">
        <f t="shared" ref="S139" si="167">M139*$J$139</f>
        <v>1.836402584826744</v>
      </c>
      <c r="T139" s="96">
        <f t="shared" ref="T139" si="168">N139*$J$139</f>
        <v>3.0606709747112397</v>
      </c>
      <c r="U139" s="96">
        <f t="shared" ref="U139" si="169">O139*$J$139</f>
        <v>1.2242683898844959</v>
      </c>
      <c r="V139" s="152">
        <f t="shared" ref="V139" si="170">P139*$J$139</f>
        <v>1.5303354873556199</v>
      </c>
      <c r="X139" s="83"/>
      <c r="Y139" s="81"/>
      <c r="Z139" s="81"/>
      <c r="AA139" s="81"/>
      <c r="AB139" s="81"/>
      <c r="AC139" s="84"/>
      <c r="AD139" s="85">
        <f t="shared" ref="AD139:AI139" si="171">X139*$J$139</f>
        <v>0</v>
      </c>
      <c r="AE139" s="81">
        <f t="shared" si="171"/>
        <v>0</v>
      </c>
      <c r="AF139" s="81">
        <f t="shared" si="171"/>
        <v>0</v>
      </c>
      <c r="AG139" s="81">
        <f t="shared" si="171"/>
        <v>0</v>
      </c>
      <c r="AH139" s="81">
        <f t="shared" si="171"/>
        <v>0</v>
      </c>
      <c r="AI139" s="84">
        <f t="shared" si="171"/>
        <v>0</v>
      </c>
    </row>
    <row r="140" spans="2:35" s="74" customFormat="1" ht="26.25" hidden="1" customHeight="1" x14ac:dyDescent="0.25">
      <c r="B140" s="151" t="s">
        <v>284</v>
      </c>
      <c r="C140" s="81">
        <v>94</v>
      </c>
      <c r="D140" s="92">
        <v>92</v>
      </c>
      <c r="E140" s="92">
        <v>220</v>
      </c>
      <c r="F140" s="92">
        <v>0</v>
      </c>
      <c r="G140" s="92"/>
      <c r="H140" s="92"/>
      <c r="I140" s="92"/>
      <c r="J140" s="82">
        <v>0.45887345471434898</v>
      </c>
      <c r="K140" s="83">
        <f>VLOOKUP(C140,Prevs!$C$7:$I$279,2,FALSE)-IFERROR(VLOOKUP(E140,Prevs!$C$7:$I$279,2,FALSE),0)-IFERROR(VLOOKUP(D140,Prevs!$C$7:$I$279,2,FALSE),0)</f>
        <v>10</v>
      </c>
      <c r="L140" s="81">
        <f>VLOOKUP(C140,Prevs!$C$7:$I$279,3,FALSE)-IFERROR(VLOOKUP(E140,Prevs!$C$7:$I$279,3,FALSE),0)-IFERROR(VLOOKUP(D140,Prevs!$C$7:$I$279,3,FALSE),0)</f>
        <v>111</v>
      </c>
      <c r="M140" s="81">
        <f>VLOOKUP(C140,Prevs!$C$7:$I$279,4,FALSE)-IFERROR(VLOOKUP(E140,Prevs!$C$7:$I$279,4,FALSE),0)-IFERROR(VLOOKUP(D140,Prevs!$C$7:$I$279,4,FALSE),0)</f>
        <v>32</v>
      </c>
      <c r="N140" s="81">
        <f>VLOOKUP(C140,Prevs!$C$7:$I$279,5,FALSE)-IFERROR(VLOOKUP(E140,Prevs!$C$7:$I$279,5,FALSE),0)-IFERROR(VLOOKUP(D140,Prevs!$C$7:$I$279,5,FALSE),0)</f>
        <v>195</v>
      </c>
      <c r="O140" s="81">
        <f>VLOOKUP(C140,Prevs!$C$7:$I$279,6,FALSE)-IFERROR(VLOOKUP(E140,Prevs!$C$7:$I$279,6,FALSE),0)-IFERROR(VLOOKUP(D140,Prevs!$C$7:$I$279,6,FALSE),0)</f>
        <v>81</v>
      </c>
      <c r="P140" s="84">
        <f>VLOOKUP(C140,Prevs!$C$7:$I$279,7,FALSE)-IFERROR(VLOOKUP(E140,Prevs!$C$7:$I$279,7,FALSE),0)-IFERROR(VLOOKUP(D140,Prevs!$C$7:$I$279,7,FALSE),0)</f>
        <v>76</v>
      </c>
      <c r="Q140" s="248">
        <f t="shared" ref="Q140" si="172">K140*$J$140</f>
        <v>4.5887345471434902</v>
      </c>
      <c r="R140" s="96">
        <f t="shared" ref="R140" si="173">L140*$J$140</f>
        <v>50.934953473292737</v>
      </c>
      <c r="S140" s="96">
        <f t="shared" ref="S140" si="174">M140*$J$140</f>
        <v>14.683950550859167</v>
      </c>
      <c r="T140" s="96">
        <f t="shared" ref="T140" si="175">N140*$J$140</f>
        <v>89.480323669298045</v>
      </c>
      <c r="U140" s="96">
        <f t="shared" ref="U140" si="176">O140*$J$140</f>
        <v>37.168749831862264</v>
      </c>
      <c r="V140" s="152">
        <f t="shared" ref="V140" si="177">P140*$J$140</f>
        <v>34.87438255829052</v>
      </c>
      <c r="X140" s="83"/>
      <c r="Y140" s="81"/>
      <c r="Z140" s="81"/>
      <c r="AA140" s="81"/>
      <c r="AB140" s="81"/>
      <c r="AC140" s="84"/>
      <c r="AD140" s="85">
        <f t="shared" ref="AD140:AI140" si="178">X140*$J$140</f>
        <v>0</v>
      </c>
      <c r="AE140" s="81">
        <f t="shared" si="178"/>
        <v>0</v>
      </c>
      <c r="AF140" s="81">
        <f t="shared" si="178"/>
        <v>0</v>
      </c>
      <c r="AG140" s="81">
        <f t="shared" si="178"/>
        <v>0</v>
      </c>
      <c r="AH140" s="81">
        <f t="shared" si="178"/>
        <v>0</v>
      </c>
      <c r="AI140" s="84">
        <f t="shared" si="178"/>
        <v>0</v>
      </c>
    </row>
    <row r="141" spans="2:35" s="74" customFormat="1" ht="26.25" hidden="1" customHeight="1" x14ac:dyDescent="0.25">
      <c r="B141" s="151" t="s">
        <v>285</v>
      </c>
      <c r="C141" s="81">
        <v>286</v>
      </c>
      <c r="D141" s="92">
        <v>0</v>
      </c>
      <c r="E141" s="92">
        <v>0</v>
      </c>
      <c r="F141" s="92">
        <v>0</v>
      </c>
      <c r="G141" s="92"/>
      <c r="H141" s="92"/>
      <c r="I141" s="92"/>
      <c r="J141" s="82">
        <v>1.05215053215993</v>
      </c>
      <c r="K141" s="83">
        <f>VLOOKUP(C141,Prevs!$C$7:$I$279,2,FALSE)-IFERROR(VLOOKUP(E141,Prevs!$C$7:$I$279,2,FALSE),0)-IFERROR(VLOOKUP(D141,Prevs!$C$7:$I$279,2,FALSE),0)</f>
        <v>44</v>
      </c>
      <c r="L141" s="81">
        <f>VLOOKUP(C141,Prevs!$C$7:$I$279,3,FALSE)-IFERROR(VLOOKUP(E141,Prevs!$C$7:$I$279,3,FALSE),0)-IFERROR(VLOOKUP(D141,Prevs!$C$7:$I$279,3,FALSE),0)</f>
        <v>42</v>
      </c>
      <c r="M141" s="81">
        <f>VLOOKUP(C141,Prevs!$C$7:$I$279,4,FALSE)-IFERROR(VLOOKUP(E141,Prevs!$C$7:$I$279,4,FALSE),0)-IFERROR(VLOOKUP(D141,Prevs!$C$7:$I$279,4,FALSE),0)</f>
        <v>35</v>
      </c>
      <c r="N141" s="81">
        <f>VLOOKUP(C141,Prevs!$C$7:$I$279,5,FALSE)-IFERROR(VLOOKUP(E141,Prevs!$C$7:$I$279,5,FALSE),0)-IFERROR(VLOOKUP(D141,Prevs!$C$7:$I$279,5,FALSE),0)</f>
        <v>32</v>
      </c>
      <c r="O141" s="81">
        <f>VLOOKUP(C141,Prevs!$C$7:$I$279,6,FALSE)-IFERROR(VLOOKUP(E141,Prevs!$C$7:$I$279,6,FALSE),0)-IFERROR(VLOOKUP(D141,Prevs!$C$7:$I$279,6,FALSE),0)</f>
        <v>36</v>
      </c>
      <c r="P141" s="84">
        <f>VLOOKUP(C141,Prevs!$C$7:$I$279,7,FALSE)-IFERROR(VLOOKUP(E141,Prevs!$C$7:$I$279,7,FALSE),0)-IFERROR(VLOOKUP(D141,Prevs!$C$7:$I$279,7,FALSE),0)</f>
        <v>32</v>
      </c>
      <c r="Q141" s="248">
        <f t="shared" ref="Q141" si="179">K141*$J$141</f>
        <v>46.294623415036924</v>
      </c>
      <c r="R141" s="96">
        <f t="shared" ref="R141" si="180">L141*$J$141</f>
        <v>44.190322350717061</v>
      </c>
      <c r="S141" s="96">
        <f t="shared" ref="S141" si="181">M141*$J$141</f>
        <v>36.825268625597552</v>
      </c>
      <c r="T141" s="96">
        <f t="shared" ref="T141" si="182">N141*$J$141</f>
        <v>33.668817029117761</v>
      </c>
      <c r="U141" s="96">
        <f t="shared" ref="U141" si="183">O141*$J$141</f>
        <v>37.87741915775748</v>
      </c>
      <c r="V141" s="152">
        <f t="shared" ref="V141" si="184">P141*$J$141</f>
        <v>33.668817029117761</v>
      </c>
      <c r="X141" s="83"/>
      <c r="Y141" s="81"/>
      <c r="Z141" s="81"/>
      <c r="AA141" s="81"/>
      <c r="AB141" s="81"/>
      <c r="AC141" s="84"/>
      <c r="AD141" s="85">
        <f t="shared" ref="AD141:AI141" si="185">X141*$J$141</f>
        <v>0</v>
      </c>
      <c r="AE141" s="81">
        <f t="shared" si="185"/>
        <v>0</v>
      </c>
      <c r="AF141" s="81">
        <f t="shared" si="185"/>
        <v>0</v>
      </c>
      <c r="AG141" s="81">
        <f t="shared" si="185"/>
        <v>0</v>
      </c>
      <c r="AH141" s="81">
        <f t="shared" si="185"/>
        <v>0</v>
      </c>
      <c r="AI141" s="84">
        <f t="shared" si="185"/>
        <v>0</v>
      </c>
    </row>
    <row r="142" spans="2:35" s="74" customFormat="1" ht="26.25" hidden="1" customHeight="1" x14ac:dyDescent="0.25">
      <c r="B142" s="151" t="s">
        <v>229</v>
      </c>
      <c r="C142" s="81">
        <v>220</v>
      </c>
      <c r="D142" s="92">
        <v>93</v>
      </c>
      <c r="E142" s="92">
        <v>0</v>
      </c>
      <c r="F142" s="92">
        <v>0</v>
      </c>
      <c r="G142" s="92"/>
      <c r="H142" s="92"/>
      <c r="I142" s="92"/>
      <c r="J142" s="82">
        <v>1.0143679299408199</v>
      </c>
      <c r="K142" s="83">
        <f>VLOOKUP(C142,Prevs!$C$7:$I$279,2,FALSE)-IFERROR(VLOOKUP(E142,Prevs!$C$7:$I$279,2,FALSE),0)-IFERROR(VLOOKUP(D142,Prevs!$C$7:$I$279,2,FALSE),0)</f>
        <v>55</v>
      </c>
      <c r="L142" s="81">
        <f>VLOOKUP(C142,Prevs!$C$7:$I$279,3,FALSE)-IFERROR(VLOOKUP(E142,Prevs!$C$7:$I$279,3,FALSE),0)-IFERROR(VLOOKUP(D142,Prevs!$C$7:$I$279,3,FALSE),0)</f>
        <v>334</v>
      </c>
      <c r="M142" s="81">
        <f>VLOOKUP(C142,Prevs!$C$7:$I$279,4,FALSE)-IFERROR(VLOOKUP(E142,Prevs!$C$7:$I$279,4,FALSE),0)-IFERROR(VLOOKUP(D142,Prevs!$C$7:$I$279,4,FALSE),0)</f>
        <v>108</v>
      </c>
      <c r="N142" s="81">
        <f>VLOOKUP(C142,Prevs!$C$7:$I$279,5,FALSE)-IFERROR(VLOOKUP(E142,Prevs!$C$7:$I$279,5,FALSE),0)-IFERROR(VLOOKUP(D142,Prevs!$C$7:$I$279,5,FALSE),0)</f>
        <v>65</v>
      </c>
      <c r="O142" s="81">
        <f>VLOOKUP(C142,Prevs!$C$7:$I$279,6,FALSE)-IFERROR(VLOOKUP(E142,Prevs!$C$7:$I$279,6,FALSE),0)-IFERROR(VLOOKUP(D142,Prevs!$C$7:$I$279,6,FALSE),0)</f>
        <v>15</v>
      </c>
      <c r="P142" s="84">
        <f>VLOOKUP(C142,Prevs!$C$7:$I$279,7,FALSE)-IFERROR(VLOOKUP(E142,Prevs!$C$7:$I$279,7,FALSE),0)-IFERROR(VLOOKUP(D142,Prevs!$C$7:$I$279,7,FALSE),0)</f>
        <v>34</v>
      </c>
      <c r="Q142" s="248">
        <f t="shared" ref="Q142" si="186">K142*$J$142</f>
        <v>55.790236146745094</v>
      </c>
      <c r="R142" s="96">
        <f t="shared" ref="R142" si="187">L142*$J$142</f>
        <v>338.79888860023385</v>
      </c>
      <c r="S142" s="96">
        <f t="shared" ref="S142" si="188">M142*$J$142</f>
        <v>109.55173643360855</v>
      </c>
      <c r="T142" s="96">
        <f t="shared" ref="T142" si="189">N142*$J$142</f>
        <v>65.933915446153293</v>
      </c>
      <c r="U142" s="96">
        <f t="shared" ref="U142" si="190">O142*$J$142</f>
        <v>15.215518949112299</v>
      </c>
      <c r="V142" s="152">
        <f t="shared" ref="V142" si="191">P142*$J$142</f>
        <v>34.48850961798788</v>
      </c>
      <c r="X142" s="83"/>
      <c r="Y142" s="81"/>
      <c r="Z142" s="81"/>
      <c r="AA142" s="81"/>
      <c r="AB142" s="81"/>
      <c r="AC142" s="84"/>
      <c r="AD142" s="85">
        <f t="shared" ref="AD142:AI142" si="192">X142*$J$142</f>
        <v>0</v>
      </c>
      <c r="AE142" s="81">
        <f t="shared" si="192"/>
        <v>0</v>
      </c>
      <c r="AF142" s="81">
        <f t="shared" si="192"/>
        <v>0</v>
      </c>
      <c r="AG142" s="81">
        <f t="shared" si="192"/>
        <v>0</v>
      </c>
      <c r="AH142" s="81">
        <f t="shared" si="192"/>
        <v>0</v>
      </c>
      <c r="AI142" s="84">
        <f t="shared" si="192"/>
        <v>0</v>
      </c>
    </row>
    <row r="143" spans="2:35" s="74" customFormat="1" ht="26.25" hidden="1" customHeight="1" x14ac:dyDescent="0.25">
      <c r="B143" s="151" t="s">
        <v>286</v>
      </c>
      <c r="C143" s="81">
        <v>101</v>
      </c>
      <c r="D143" s="92">
        <v>0</v>
      </c>
      <c r="E143" s="92">
        <v>0</v>
      </c>
      <c r="F143" s="92">
        <v>0</v>
      </c>
      <c r="G143" s="92"/>
      <c r="H143" s="92"/>
      <c r="I143" s="92"/>
      <c r="J143" s="82">
        <v>1.78359075777454</v>
      </c>
      <c r="K143" s="83">
        <f>VLOOKUP(C143,Prevs!$C$7:$I$279,2,FALSE)-IFERROR(VLOOKUP(E143,Prevs!$C$7:$I$279,2,FALSE),0)-IFERROR(VLOOKUP(D143,Prevs!$C$7:$I$279,2,FALSE),0)</f>
        <v>56</v>
      </c>
      <c r="L143" s="81">
        <f>VLOOKUP(C143,Prevs!$C$7:$I$279,3,FALSE)-IFERROR(VLOOKUP(E143,Prevs!$C$7:$I$279,3,FALSE),0)-IFERROR(VLOOKUP(D143,Prevs!$C$7:$I$279,3,FALSE),0)</f>
        <v>48</v>
      </c>
      <c r="M143" s="81">
        <f>VLOOKUP(C143,Prevs!$C$7:$I$279,4,FALSE)-IFERROR(VLOOKUP(E143,Prevs!$C$7:$I$279,4,FALSE),0)-IFERROR(VLOOKUP(D143,Prevs!$C$7:$I$279,4,FALSE),0)</f>
        <v>48</v>
      </c>
      <c r="N143" s="81">
        <f>VLOOKUP(C143,Prevs!$C$7:$I$279,5,FALSE)-IFERROR(VLOOKUP(E143,Prevs!$C$7:$I$279,5,FALSE),0)-IFERROR(VLOOKUP(D143,Prevs!$C$7:$I$279,5,FALSE),0)</f>
        <v>50</v>
      </c>
      <c r="O143" s="81">
        <f>VLOOKUP(C143,Prevs!$C$7:$I$279,6,FALSE)-IFERROR(VLOOKUP(E143,Prevs!$C$7:$I$279,6,FALSE),0)-IFERROR(VLOOKUP(D143,Prevs!$C$7:$I$279,6,FALSE),0)</f>
        <v>36</v>
      </c>
      <c r="P143" s="84">
        <f>VLOOKUP(C143,Prevs!$C$7:$I$279,7,FALSE)-IFERROR(VLOOKUP(E143,Prevs!$C$7:$I$279,7,FALSE),0)-IFERROR(VLOOKUP(D143,Prevs!$C$7:$I$279,7,FALSE),0)</f>
        <v>41</v>
      </c>
      <c r="Q143" s="248">
        <f t="shared" ref="Q143" si="193">K143*$J$143</f>
        <v>99.881082435374239</v>
      </c>
      <c r="R143" s="96">
        <f t="shared" ref="R143" si="194">L143*$J$143</f>
        <v>85.612356373177917</v>
      </c>
      <c r="S143" s="96">
        <f t="shared" ref="S143" si="195">M143*$J$143</f>
        <v>85.612356373177917</v>
      </c>
      <c r="T143" s="96">
        <f t="shared" ref="T143" si="196">N143*$J$143</f>
        <v>89.179537888726998</v>
      </c>
      <c r="U143" s="96">
        <f t="shared" ref="U143" si="197">O143*$J$143</f>
        <v>64.209267279883434</v>
      </c>
      <c r="V143" s="152">
        <f t="shared" ref="V143" si="198">P143*$J$143</f>
        <v>73.127221068756143</v>
      </c>
      <c r="X143" s="83"/>
      <c r="Y143" s="81"/>
      <c r="Z143" s="81"/>
      <c r="AA143" s="81"/>
      <c r="AB143" s="81"/>
      <c r="AC143" s="84"/>
      <c r="AD143" s="85">
        <f t="shared" ref="AD143:AI143" si="199">X143*$J$143</f>
        <v>0</v>
      </c>
      <c r="AE143" s="81">
        <f t="shared" si="199"/>
        <v>0</v>
      </c>
      <c r="AF143" s="81">
        <f t="shared" si="199"/>
        <v>0</v>
      </c>
      <c r="AG143" s="81">
        <f t="shared" si="199"/>
        <v>0</v>
      </c>
      <c r="AH143" s="81">
        <f t="shared" si="199"/>
        <v>0</v>
      </c>
      <c r="AI143" s="84">
        <f t="shared" si="199"/>
        <v>0</v>
      </c>
    </row>
    <row r="144" spans="2:35" s="74" customFormat="1" ht="26.25" hidden="1" customHeight="1" x14ac:dyDescent="0.25">
      <c r="B144" s="151" t="s">
        <v>287</v>
      </c>
      <c r="C144" s="81">
        <v>102</v>
      </c>
      <c r="D144" s="92">
        <v>0</v>
      </c>
      <c r="E144" s="92">
        <v>0</v>
      </c>
      <c r="F144" s="92">
        <v>0</v>
      </c>
      <c r="G144" s="92"/>
      <c r="H144" s="92"/>
      <c r="I144" s="92"/>
      <c r="J144" s="82">
        <v>0.46148983539307098</v>
      </c>
      <c r="K144" s="83">
        <f>VLOOKUP(C144,Prevs!$C$7:$I$279,2,FALSE)-IFERROR(VLOOKUP(E144,Prevs!$C$7:$I$279,2,FALSE),0)-IFERROR(VLOOKUP(D144,Prevs!$C$7:$I$279,2,FALSE),0)</f>
        <v>245</v>
      </c>
      <c r="L144" s="81">
        <f>VLOOKUP(C144,Prevs!$C$7:$I$279,3,FALSE)-IFERROR(VLOOKUP(E144,Prevs!$C$7:$I$279,3,FALSE),0)-IFERROR(VLOOKUP(D144,Prevs!$C$7:$I$279,3,FALSE),0)</f>
        <v>211</v>
      </c>
      <c r="M144" s="81">
        <f>VLOOKUP(C144,Prevs!$C$7:$I$279,4,FALSE)-IFERROR(VLOOKUP(E144,Prevs!$C$7:$I$279,4,FALSE),0)-IFERROR(VLOOKUP(D144,Prevs!$C$7:$I$279,4,FALSE),0)</f>
        <v>155</v>
      </c>
      <c r="N144" s="81">
        <f>VLOOKUP(C144,Prevs!$C$7:$I$279,5,FALSE)-IFERROR(VLOOKUP(E144,Prevs!$C$7:$I$279,5,FALSE),0)-IFERROR(VLOOKUP(D144,Prevs!$C$7:$I$279,5,FALSE),0)</f>
        <v>161</v>
      </c>
      <c r="O144" s="81">
        <f>VLOOKUP(C144,Prevs!$C$7:$I$279,6,FALSE)-IFERROR(VLOOKUP(E144,Prevs!$C$7:$I$279,6,FALSE),0)-IFERROR(VLOOKUP(D144,Prevs!$C$7:$I$279,6,FALSE),0)</f>
        <v>112</v>
      </c>
      <c r="P144" s="84">
        <f>VLOOKUP(C144,Prevs!$C$7:$I$279,7,FALSE)-IFERROR(VLOOKUP(E144,Prevs!$C$7:$I$279,7,FALSE),0)-IFERROR(VLOOKUP(D144,Prevs!$C$7:$I$279,7,FALSE),0)</f>
        <v>120</v>
      </c>
      <c r="Q144" s="248">
        <f t="shared" ref="Q144" si="200">K144*$J$144</f>
        <v>113.06500967130239</v>
      </c>
      <c r="R144" s="96">
        <f t="shared" ref="R144" si="201">L144*$J$144</f>
        <v>97.374355267937972</v>
      </c>
      <c r="S144" s="96">
        <f t="shared" ref="S144" si="202">M144*$J$144</f>
        <v>71.530924485926008</v>
      </c>
      <c r="T144" s="96">
        <f t="shared" ref="T144" si="203">N144*$J$144</f>
        <v>74.299863498284424</v>
      </c>
      <c r="U144" s="96">
        <f t="shared" ref="U144" si="204">O144*$J$144</f>
        <v>51.68686156402395</v>
      </c>
      <c r="V144" s="152">
        <f t="shared" ref="V144" si="205">P144*$J$144</f>
        <v>55.378780247168521</v>
      </c>
      <c r="X144" s="83"/>
      <c r="Y144" s="81"/>
      <c r="Z144" s="81"/>
      <c r="AA144" s="81"/>
      <c r="AB144" s="81"/>
      <c r="AC144" s="84"/>
      <c r="AD144" s="85">
        <f t="shared" ref="AD144:AI144" si="206">X144*$J$144</f>
        <v>0</v>
      </c>
      <c r="AE144" s="81">
        <f t="shared" si="206"/>
        <v>0</v>
      </c>
      <c r="AF144" s="81">
        <f t="shared" si="206"/>
        <v>0</v>
      </c>
      <c r="AG144" s="81">
        <f t="shared" si="206"/>
        <v>0</v>
      </c>
      <c r="AH144" s="81">
        <f t="shared" si="206"/>
        <v>0</v>
      </c>
      <c r="AI144" s="84">
        <f t="shared" si="206"/>
        <v>0</v>
      </c>
    </row>
    <row r="145" spans="1:35" s="93" customFormat="1" ht="42.75" hidden="1" customHeight="1" thickBot="1" x14ac:dyDescent="0.3">
      <c r="B145" s="153" t="s">
        <v>288</v>
      </c>
      <c r="C145" s="154">
        <v>103</v>
      </c>
      <c r="D145" s="155">
        <v>102</v>
      </c>
      <c r="E145" s="155">
        <v>0</v>
      </c>
      <c r="F145" s="155">
        <v>0</v>
      </c>
      <c r="G145" s="155"/>
      <c r="H145" s="155"/>
      <c r="I145" s="155"/>
      <c r="J145" s="156">
        <v>0.26294696463910899</v>
      </c>
      <c r="K145" s="157">
        <f>VLOOKUP(C145,Prevs!$C$7:$I$279,2,FALSE)-IFERROR(VLOOKUP(E145,Prevs!$C$7:$I$279,2,FALSE),0)-IFERROR(VLOOKUP(D145,Prevs!$C$7:$I$279,2,FALSE),0)</f>
        <v>9</v>
      </c>
      <c r="L145" s="154">
        <f>VLOOKUP(C145,Prevs!$C$7:$I$279,3,FALSE)-IFERROR(VLOOKUP(E145,Prevs!$C$7:$I$279,3,FALSE),0)-IFERROR(VLOOKUP(D145,Prevs!$C$7:$I$279,3,FALSE),0)</f>
        <v>8</v>
      </c>
      <c r="M145" s="154">
        <f>VLOOKUP(C145,Prevs!$C$7:$I$279,4,FALSE)-IFERROR(VLOOKUP(E145,Prevs!$C$7:$I$279,4,FALSE),0)-IFERROR(VLOOKUP(D145,Prevs!$C$7:$I$279,4,FALSE),0)</f>
        <v>5</v>
      </c>
      <c r="N145" s="154">
        <f>VLOOKUP(C145,Prevs!$C$7:$I$279,5,FALSE)-IFERROR(VLOOKUP(E145,Prevs!$C$7:$I$279,5,FALSE),0)-IFERROR(VLOOKUP(D145,Prevs!$C$7:$I$279,5,FALSE),0)</f>
        <v>6</v>
      </c>
      <c r="O145" s="154">
        <f>VLOOKUP(C145,Prevs!$C$7:$I$279,6,FALSE)-IFERROR(VLOOKUP(E145,Prevs!$C$7:$I$279,6,FALSE),0)-IFERROR(VLOOKUP(D145,Prevs!$C$7:$I$279,6,FALSE),0)</f>
        <v>4</v>
      </c>
      <c r="P145" s="158">
        <f>VLOOKUP(C145,Prevs!$C$7:$I$279,7,FALSE)-IFERROR(VLOOKUP(E145,Prevs!$C$7:$I$279,7,FALSE),0)-IFERROR(VLOOKUP(D145,Prevs!$C$7:$I$279,7,FALSE),0)</f>
        <v>4</v>
      </c>
      <c r="Q145" s="249">
        <f t="shared" ref="Q145" si="207">K145*$J$145</f>
        <v>2.3665226817519809</v>
      </c>
      <c r="R145" s="159">
        <f t="shared" ref="R145" si="208">L145*$J$145</f>
        <v>2.1035757171128719</v>
      </c>
      <c r="S145" s="159">
        <f t="shared" ref="S145" si="209">M145*$J$145</f>
        <v>1.3147348231955449</v>
      </c>
      <c r="T145" s="159">
        <f t="shared" ref="T145" si="210">N145*$J$145</f>
        <v>1.5776817878346541</v>
      </c>
      <c r="U145" s="159">
        <f t="shared" ref="U145" si="211">O145*$J$145</f>
        <v>1.051787858556436</v>
      </c>
      <c r="V145" s="160">
        <f t="shared" ref="V145" si="212">P145*$J$145</f>
        <v>1.051787858556436</v>
      </c>
      <c r="X145" s="87"/>
      <c r="Y145" s="88"/>
      <c r="Z145" s="88"/>
      <c r="AA145" s="88"/>
      <c r="AB145" s="88"/>
      <c r="AC145" s="89"/>
      <c r="AD145" s="90">
        <f t="shared" ref="AD145:AI145" si="213">X145*$J$145</f>
        <v>0</v>
      </c>
      <c r="AE145" s="88">
        <f t="shared" si="213"/>
        <v>0</v>
      </c>
      <c r="AF145" s="88">
        <f t="shared" si="213"/>
        <v>0</v>
      </c>
      <c r="AG145" s="88">
        <f t="shared" si="213"/>
        <v>0</v>
      </c>
      <c r="AH145" s="88">
        <f t="shared" si="213"/>
        <v>0</v>
      </c>
      <c r="AI145" s="89">
        <f t="shared" si="213"/>
        <v>0</v>
      </c>
    </row>
    <row r="146" spans="1:35" s="74" customFormat="1" ht="26.25" customHeight="1" x14ac:dyDescent="0.25">
      <c r="C146" s="93"/>
      <c r="D146" s="93"/>
      <c r="E146" s="93"/>
      <c r="F146" s="93"/>
      <c r="G146" s="93"/>
      <c r="H146" s="93"/>
      <c r="I146" s="93"/>
    </row>
    <row r="147" spans="1:35" s="74" customFormat="1" ht="26.25" hidden="1" customHeight="1" x14ac:dyDescent="0.25">
      <c r="B147" s="142" t="s">
        <v>193</v>
      </c>
      <c r="C147" s="143">
        <v>156</v>
      </c>
      <c r="D147" s="144">
        <v>155</v>
      </c>
      <c r="E147" s="144">
        <v>0</v>
      </c>
      <c r="F147" s="144">
        <v>0</v>
      </c>
      <c r="G147" s="144"/>
      <c r="H147" s="144"/>
      <c r="I147" s="144"/>
      <c r="J147" s="145">
        <v>2.7935959481441599</v>
      </c>
      <c r="K147" s="250">
        <f>VLOOKUP($C$147,Prevs!$C$7:$I$279,2,FALSE)-IFERROR(VLOOKUP($D$147,Prevs!$C$7:$I$279,2,FALSE),0)</f>
        <v>70</v>
      </c>
      <c r="L147" s="251">
        <f>VLOOKUP($C$147,Prevs!$C$7:$I$279,3,FALSE)-IFERROR(VLOOKUP($D$147,Prevs!$C$7:$I$279,3,FALSE),0)</f>
        <v>69</v>
      </c>
      <c r="M147" s="251">
        <f>VLOOKUP($C$147,Prevs!$C$7:$I$279,4,FALSE)-IFERROR(VLOOKUP($D$147,Prevs!$C$7:$I$279,4,FALSE),0)</f>
        <v>63</v>
      </c>
      <c r="N147" s="251">
        <f>VLOOKUP($C$147,Prevs!$C$7:$I$279,5,FALSE)-IFERROR(VLOOKUP($D$147,Prevs!$C$7:$I$279,5,FALSE),0)</f>
        <v>68</v>
      </c>
      <c r="O147" s="251">
        <f>VLOOKUP($C$147,Prevs!$C$7:$I$279,6,FALSE)-IFERROR(VLOOKUP($D$147,Prevs!$C$7:$I$279,6,FALSE),0)</f>
        <v>68</v>
      </c>
      <c r="P147" s="252">
        <f>VLOOKUP($C$147,Prevs!$C$7:$I$279,7,FALSE)-IFERROR(VLOOKUP($D$147,Prevs!$C$7:$I$279,7,FALSE),0)</f>
        <v>69</v>
      </c>
      <c r="Q147" s="148">
        <f t="shared" ref="Q147:V147" si="214">K147*$J$147</f>
        <v>195.55171637009119</v>
      </c>
      <c r="R147" s="149">
        <f t="shared" si="214"/>
        <v>192.75812042194704</v>
      </c>
      <c r="S147" s="149">
        <f t="shared" si="214"/>
        <v>175.99654473308206</v>
      </c>
      <c r="T147" s="149">
        <f t="shared" si="214"/>
        <v>189.96452447380287</v>
      </c>
      <c r="U147" s="149">
        <f t="shared" si="214"/>
        <v>189.96452447380287</v>
      </c>
      <c r="V147" s="150">
        <f t="shared" si="214"/>
        <v>192.75812042194704</v>
      </c>
      <c r="X147" s="75"/>
      <c r="Y147" s="76"/>
      <c r="Z147" s="76"/>
      <c r="AA147" s="76"/>
      <c r="AB147" s="76"/>
      <c r="AC147" s="91"/>
      <c r="AD147" s="75">
        <f t="shared" ref="AD147:AI147" si="215">X147*$J$147</f>
        <v>0</v>
      </c>
      <c r="AE147" s="76">
        <f t="shared" si="215"/>
        <v>0</v>
      </c>
      <c r="AF147" s="76">
        <f t="shared" si="215"/>
        <v>0</v>
      </c>
      <c r="AG147" s="76">
        <f t="shared" si="215"/>
        <v>0</v>
      </c>
      <c r="AH147" s="76">
        <f t="shared" si="215"/>
        <v>0</v>
      </c>
      <c r="AI147" s="78">
        <f t="shared" si="215"/>
        <v>0</v>
      </c>
    </row>
    <row r="148" spans="1:35" s="74" customFormat="1" ht="26.25" hidden="1" customHeight="1" x14ac:dyDescent="0.25">
      <c r="B148" s="151" t="s">
        <v>194</v>
      </c>
      <c r="C148" s="81">
        <v>158</v>
      </c>
      <c r="D148" s="92">
        <v>0</v>
      </c>
      <c r="E148" s="92">
        <v>0</v>
      </c>
      <c r="F148" s="92">
        <v>0</v>
      </c>
      <c r="G148" s="92"/>
      <c r="H148" s="92"/>
      <c r="I148" s="92"/>
      <c r="J148" s="82">
        <v>2.7935959481441599</v>
      </c>
      <c r="K148" s="253">
        <f>VLOOKUP($C$148,Prevs!$C$7:$I$279,2,FALSE)-IFERROR(VLOOKUP($D$148,Prevs!$C$7:$I$279,2,FALSE),0)</f>
        <v>30</v>
      </c>
      <c r="L148" s="179">
        <f>VLOOKUP($C$148,Prevs!$C$7:$I$279,3,FALSE)-IFERROR(VLOOKUP($D$148,Prevs!$C$7:$I$279,3,FALSE),0)</f>
        <v>29</v>
      </c>
      <c r="M148" s="179">
        <f>VLOOKUP($C$148,Prevs!$C$7:$I$279,4,FALSE)-IFERROR(VLOOKUP($D$148,Prevs!$C$7:$I$279,4,FALSE),0)</f>
        <v>28</v>
      </c>
      <c r="N148" s="179">
        <f>VLOOKUP($C$148,Prevs!$C$7:$I$279,5,FALSE)-IFERROR(VLOOKUP($D$148,Prevs!$C$7:$I$279,5,FALSE),0)</f>
        <v>27</v>
      </c>
      <c r="O148" s="179">
        <f>VLOOKUP($C$148,Prevs!$C$7:$I$279,6,FALSE)-IFERROR(VLOOKUP($D$148,Prevs!$C$7:$I$279,6,FALSE),0)</f>
        <v>25</v>
      </c>
      <c r="P148" s="254">
        <f>VLOOKUP($C$148,Prevs!$C$7:$I$279,7,FALSE)-IFERROR(VLOOKUP($D$148,Prevs!$C$7:$I$279,7,FALSE),0)</f>
        <v>25</v>
      </c>
      <c r="Q148" s="95">
        <f t="shared" ref="Q148:V148" si="216">K148*$J$148</f>
        <v>83.8078784443248</v>
      </c>
      <c r="R148" s="96">
        <f t="shared" si="216"/>
        <v>81.014282496180641</v>
      </c>
      <c r="S148" s="96">
        <f t="shared" si="216"/>
        <v>78.220686548036483</v>
      </c>
      <c r="T148" s="96">
        <f t="shared" si="216"/>
        <v>75.427090599892324</v>
      </c>
      <c r="U148" s="96">
        <f t="shared" si="216"/>
        <v>69.839898703603993</v>
      </c>
      <c r="V148" s="152">
        <f t="shared" si="216"/>
        <v>69.839898703603993</v>
      </c>
      <c r="X148" s="80"/>
      <c r="Y148" s="81"/>
      <c r="Z148" s="81"/>
      <c r="AA148" s="81"/>
      <c r="AB148" s="81"/>
      <c r="AC148" s="92"/>
      <c r="AD148" s="80">
        <f t="shared" ref="AD148:AI148" si="217">X148*$J$148</f>
        <v>0</v>
      </c>
      <c r="AE148" s="81">
        <f t="shared" si="217"/>
        <v>0</v>
      </c>
      <c r="AF148" s="81">
        <f t="shared" si="217"/>
        <v>0</v>
      </c>
      <c r="AG148" s="81">
        <f t="shared" si="217"/>
        <v>0</v>
      </c>
      <c r="AH148" s="81">
        <f t="shared" si="217"/>
        <v>0</v>
      </c>
      <c r="AI148" s="84">
        <f t="shared" si="217"/>
        <v>0</v>
      </c>
    </row>
    <row r="149" spans="1:35" s="74" customFormat="1" ht="26.25" hidden="1" customHeight="1" x14ac:dyDescent="0.25">
      <c r="A149" s="93"/>
      <c r="B149" s="151" t="s">
        <v>266</v>
      </c>
      <c r="C149" s="81">
        <v>255</v>
      </c>
      <c r="D149" s="92">
        <v>0</v>
      </c>
      <c r="E149" s="92">
        <v>0</v>
      </c>
      <c r="F149" s="92">
        <v>0</v>
      </c>
      <c r="G149" s="92"/>
      <c r="H149" s="92"/>
      <c r="I149" s="92"/>
      <c r="J149" s="82">
        <v>0.71770640726309998</v>
      </c>
      <c r="K149" s="83">
        <f>VLOOKUP(C149,Prevs!$C$7:$I$279,2,FALSE)-IFERROR(VLOOKUP(D149,Prevs!$C$7:$I$279,2,FALSE),0)</f>
        <v>33</v>
      </c>
      <c r="L149" s="81">
        <f>VLOOKUP(C149,Prevs!$C$7:$I$279,3,FALSE)-IFERROR(VLOOKUP(D149,Prevs!$C$7:$I$279,3,FALSE),0)</f>
        <v>31</v>
      </c>
      <c r="M149" s="81">
        <f>VLOOKUP(C149,Prevs!$C$7:$I$279,4,FALSE)-IFERROR(VLOOKUP(D149,Prevs!$C$7:$I$279,4,FALSE),0)</f>
        <v>30</v>
      </c>
      <c r="N149" s="81">
        <f>VLOOKUP(C149,Prevs!$C$7:$I$279,5,FALSE)-IFERROR(VLOOKUP(D149,Prevs!$C$7:$I$279,5,FALSE),0)</f>
        <v>30</v>
      </c>
      <c r="O149" s="81">
        <f>VLOOKUP(C149,Prevs!$C$7:$I$279,6,FALSE)-IFERROR(VLOOKUP(D149,Prevs!$C$7:$I$279,6,FALSE),0)</f>
        <v>28</v>
      </c>
      <c r="P149" s="84">
        <f>VLOOKUP(C149,Prevs!$C$7:$I$279,7,FALSE)-IFERROR(VLOOKUP(D149,Prevs!$C$7:$I$279,7,FALSE),0)</f>
        <v>27</v>
      </c>
      <c r="Q149" s="248">
        <f t="shared" ref="Q149:V149" si="218">K149*$J$149</f>
        <v>23.6843114396823</v>
      </c>
      <c r="R149" s="96">
        <f t="shared" si="218"/>
        <v>22.248898625156098</v>
      </c>
      <c r="S149" s="96">
        <f t="shared" si="218"/>
        <v>21.531192217893</v>
      </c>
      <c r="T149" s="96">
        <f t="shared" si="218"/>
        <v>21.531192217893</v>
      </c>
      <c r="U149" s="96">
        <f t="shared" si="218"/>
        <v>20.095779403366798</v>
      </c>
      <c r="V149" s="152">
        <f t="shared" si="218"/>
        <v>19.3780729961037</v>
      </c>
      <c r="X149" s="80"/>
      <c r="Y149" s="81"/>
      <c r="Z149" s="81"/>
      <c r="AA149" s="81"/>
      <c r="AB149" s="81"/>
      <c r="AC149" s="92"/>
      <c r="AD149" s="80">
        <f t="shared" ref="AD149:AI149" si="219">X149*$J$149</f>
        <v>0</v>
      </c>
      <c r="AE149" s="81">
        <f t="shared" si="219"/>
        <v>0</v>
      </c>
      <c r="AF149" s="81">
        <f t="shared" si="219"/>
        <v>0</v>
      </c>
      <c r="AG149" s="81">
        <f t="shared" si="219"/>
        <v>0</v>
      </c>
      <c r="AH149" s="81">
        <f t="shared" si="219"/>
        <v>0</v>
      </c>
      <c r="AI149" s="84">
        <f t="shared" si="219"/>
        <v>0</v>
      </c>
    </row>
    <row r="150" spans="1:35" s="74" customFormat="1" ht="26.25" hidden="1" customHeight="1" x14ac:dyDescent="0.25">
      <c r="B150" s="151" t="s">
        <v>289</v>
      </c>
      <c r="C150" s="81">
        <v>168</v>
      </c>
      <c r="D150" s="92">
        <v>0</v>
      </c>
      <c r="E150" s="92">
        <v>0</v>
      </c>
      <c r="F150" s="92">
        <v>0</v>
      </c>
      <c r="G150" s="92"/>
      <c r="H150" s="92"/>
      <c r="I150" s="92"/>
      <c r="J150" s="82">
        <v>2.7935959481441599</v>
      </c>
      <c r="K150" s="83">
        <f>VLOOKUP(C150,Prevs!$C$7:$I$279,2,FALSE)-IFERROR(VLOOKUP(D150,Prevs!$C$7:$I$279,2,FALSE),0)</f>
        <v>556</v>
      </c>
      <c r="L150" s="81">
        <f>VLOOKUP(C150,Prevs!$C$7:$I$279,3,FALSE)-IFERROR(VLOOKUP(D150,Prevs!$C$7:$I$279,3,FALSE),0)</f>
        <v>596</v>
      </c>
      <c r="M150" s="81">
        <f>VLOOKUP(C150,Prevs!$C$7:$I$279,4,FALSE)-IFERROR(VLOOKUP(D150,Prevs!$C$7:$I$279,4,FALSE),0)</f>
        <v>597</v>
      </c>
      <c r="N150" s="81">
        <f>VLOOKUP(C150,Prevs!$C$7:$I$279,5,FALSE)-IFERROR(VLOOKUP(D150,Prevs!$C$7:$I$279,5,FALSE),0)</f>
        <v>594</v>
      </c>
      <c r="O150" s="81">
        <f>VLOOKUP(C150,Prevs!$C$7:$I$279,6,FALSE)-IFERROR(VLOOKUP(D150,Prevs!$C$7:$I$279,6,FALSE),0)</f>
        <v>578</v>
      </c>
      <c r="P150" s="84">
        <f>VLOOKUP(C150,Prevs!$C$7:$I$279,7,FALSE)-IFERROR(VLOOKUP(D150,Prevs!$C$7:$I$279,7,FALSE),0)</f>
        <v>578</v>
      </c>
      <c r="Q150" s="248">
        <f t="shared" ref="Q150:V150" si="220">K150*$J$150</f>
        <v>1553.239347168153</v>
      </c>
      <c r="R150" s="96">
        <f t="shared" si="220"/>
        <v>1664.9831850939192</v>
      </c>
      <c r="S150" s="96">
        <f t="shared" si="220"/>
        <v>1667.7767810420635</v>
      </c>
      <c r="T150" s="96">
        <f t="shared" si="220"/>
        <v>1659.395993197631</v>
      </c>
      <c r="U150" s="96">
        <f t="shared" si="220"/>
        <v>1614.6984580273245</v>
      </c>
      <c r="V150" s="152">
        <f t="shared" si="220"/>
        <v>1614.6984580273245</v>
      </c>
      <c r="X150" s="80"/>
      <c r="Y150" s="81"/>
      <c r="Z150" s="81"/>
      <c r="AA150" s="81"/>
      <c r="AB150" s="81"/>
      <c r="AC150" s="92"/>
      <c r="AD150" s="80">
        <f t="shared" ref="AD150:AI150" si="221">X150*$J$150</f>
        <v>0</v>
      </c>
      <c r="AE150" s="81">
        <f t="shared" si="221"/>
        <v>0</v>
      </c>
      <c r="AF150" s="81">
        <f t="shared" si="221"/>
        <v>0</v>
      </c>
      <c r="AG150" s="81">
        <f t="shared" si="221"/>
        <v>0</v>
      </c>
      <c r="AH150" s="81">
        <f t="shared" si="221"/>
        <v>0</v>
      </c>
      <c r="AI150" s="84">
        <f t="shared" si="221"/>
        <v>0</v>
      </c>
    </row>
    <row r="151" spans="1:35" s="74" customFormat="1" ht="26.25" hidden="1" customHeight="1" x14ac:dyDescent="0.25">
      <c r="B151" s="151" t="s">
        <v>245</v>
      </c>
      <c r="C151" s="81">
        <v>172</v>
      </c>
      <c r="D151" s="92">
        <v>168</v>
      </c>
      <c r="E151" s="92">
        <v>0</v>
      </c>
      <c r="F151" s="92">
        <v>0</v>
      </c>
      <c r="G151" s="92"/>
      <c r="H151" s="92"/>
      <c r="I151" s="92"/>
      <c r="J151" s="82">
        <v>2.5525736794969101</v>
      </c>
      <c r="K151" s="83">
        <f>VLOOKUP(C151,Prevs!$C$7:$I$279,2,FALSE)-IFERROR(VLOOKUP(D151,Prevs!$C$7:$I$279,2,FALSE),0)</f>
        <v>110</v>
      </c>
      <c r="L151" s="81">
        <f>VLOOKUP(C151,Prevs!$C$7:$I$279,3,FALSE)-IFERROR(VLOOKUP(D151,Prevs!$C$7:$I$279,3,FALSE),0)</f>
        <v>127</v>
      </c>
      <c r="M151" s="81">
        <f>VLOOKUP(C151,Prevs!$C$7:$I$279,4,FALSE)-IFERROR(VLOOKUP(D151,Prevs!$C$7:$I$279,4,FALSE),0)</f>
        <v>128</v>
      </c>
      <c r="N151" s="112">
        <f>VLOOKUP(C151,Prevs!$C$7:$I$279,5,FALSE)-IFERROR(VLOOKUP(D151,Prevs!$C$7:$I$279,5,FALSE),0)</f>
        <v>126</v>
      </c>
      <c r="O151" s="81">
        <f>VLOOKUP(C151,Prevs!$C$7:$I$279,6,FALSE)-IFERROR(VLOOKUP(D151,Prevs!$C$7:$I$279,6,FALSE),0)</f>
        <v>118</v>
      </c>
      <c r="P151" s="84">
        <f>VLOOKUP(C151,Prevs!$C$7:$I$279,7,FALSE)-IFERROR(VLOOKUP(D151,Prevs!$C$7:$I$279,7,FALSE),0)</f>
        <v>118</v>
      </c>
      <c r="Q151" s="248">
        <f t="shared" ref="Q151:V151" si="222">K151*$J$151</f>
        <v>280.78310474466008</v>
      </c>
      <c r="R151" s="96">
        <f t="shared" si="222"/>
        <v>324.17685729610758</v>
      </c>
      <c r="S151" s="96">
        <f t="shared" si="222"/>
        <v>326.72943097560449</v>
      </c>
      <c r="T151" s="96">
        <f t="shared" si="222"/>
        <v>321.62428361661068</v>
      </c>
      <c r="U151" s="96">
        <f t="shared" si="222"/>
        <v>301.20369418063541</v>
      </c>
      <c r="V151" s="152">
        <f t="shared" si="222"/>
        <v>301.20369418063541</v>
      </c>
      <c r="X151" s="80"/>
      <c r="Y151" s="81"/>
      <c r="Z151" s="81"/>
      <c r="AA151" s="81"/>
      <c r="AB151" s="81"/>
      <c r="AC151" s="92"/>
      <c r="AD151" s="80">
        <f t="shared" ref="AD151:AI151" si="223">X151*$J$151</f>
        <v>0</v>
      </c>
      <c r="AE151" s="81">
        <f t="shared" si="223"/>
        <v>0</v>
      </c>
      <c r="AF151" s="81">
        <f t="shared" si="223"/>
        <v>0</v>
      </c>
      <c r="AG151" s="81">
        <f t="shared" si="223"/>
        <v>0</v>
      </c>
      <c r="AH151" s="81">
        <f t="shared" si="223"/>
        <v>0</v>
      </c>
      <c r="AI151" s="84">
        <f t="shared" si="223"/>
        <v>0</v>
      </c>
    </row>
    <row r="152" spans="1:35" s="74" customFormat="1" ht="26.25" hidden="1" customHeight="1" x14ac:dyDescent="0.25">
      <c r="B152" s="151" t="s">
        <v>290</v>
      </c>
      <c r="C152" s="81">
        <v>173</v>
      </c>
      <c r="D152" s="92">
        <v>172</v>
      </c>
      <c r="E152" s="92">
        <v>0</v>
      </c>
      <c r="F152" s="92">
        <v>0</v>
      </c>
      <c r="G152" s="92"/>
      <c r="H152" s="92"/>
      <c r="I152" s="92"/>
      <c r="J152" s="82">
        <v>2.0011674748354</v>
      </c>
      <c r="K152" s="83">
        <f>VLOOKUP(C152,Prevs!$C$7:$I$279,2,FALSE)-IFERROR(VLOOKUP(D152,Prevs!$C$7:$I$279,2,FALSE),0)</f>
        <v>7</v>
      </c>
      <c r="L152" s="81">
        <f>VLOOKUP(C152,Prevs!$C$7:$I$279,3,FALSE)-IFERROR(VLOOKUP(D152,Prevs!$C$7:$I$279,3,FALSE),0)</f>
        <v>7</v>
      </c>
      <c r="M152" s="81">
        <f>VLOOKUP(C152,Prevs!$C$7:$I$279,4,FALSE)-IFERROR(VLOOKUP(D152,Prevs!$C$7:$I$279,4,FALSE),0)</f>
        <v>7</v>
      </c>
      <c r="N152" s="112">
        <f>VLOOKUP(C152,Prevs!$C$7:$I$279,5,FALSE)-IFERROR(VLOOKUP(D152,Prevs!$C$7:$I$279,5,FALSE),0)</f>
        <v>7</v>
      </c>
      <c r="O152" s="81">
        <f>VLOOKUP(C152,Prevs!$C$7:$I$279,6,FALSE)-IFERROR(VLOOKUP(D152,Prevs!$C$7:$I$279,6,FALSE),0)</f>
        <v>7</v>
      </c>
      <c r="P152" s="84">
        <f>VLOOKUP(C152,Prevs!$C$7:$I$279,7,FALSE)-IFERROR(VLOOKUP(D152,Prevs!$C$7:$I$279,7,FALSE),0)</f>
        <v>7</v>
      </c>
      <c r="Q152" s="248">
        <f t="shared" ref="Q152:V152" si="224">K152*$J$152</f>
        <v>14.0081723238478</v>
      </c>
      <c r="R152" s="96">
        <f t="shared" si="224"/>
        <v>14.0081723238478</v>
      </c>
      <c r="S152" s="96">
        <f t="shared" si="224"/>
        <v>14.0081723238478</v>
      </c>
      <c r="T152" s="96">
        <f t="shared" si="224"/>
        <v>14.0081723238478</v>
      </c>
      <c r="U152" s="96">
        <f t="shared" si="224"/>
        <v>14.0081723238478</v>
      </c>
      <c r="V152" s="152">
        <f t="shared" si="224"/>
        <v>14.0081723238478</v>
      </c>
      <c r="X152" s="80"/>
      <c r="Y152" s="81"/>
      <c r="Z152" s="81"/>
      <c r="AA152" s="81"/>
      <c r="AB152" s="81"/>
      <c r="AC152" s="92"/>
      <c r="AD152" s="80">
        <f t="shared" ref="AD152:AI152" si="225">X152*$J$152</f>
        <v>0</v>
      </c>
      <c r="AE152" s="81">
        <f t="shared" si="225"/>
        <v>0</v>
      </c>
      <c r="AF152" s="81">
        <f t="shared" si="225"/>
        <v>0</v>
      </c>
      <c r="AG152" s="81">
        <f t="shared" si="225"/>
        <v>0</v>
      </c>
      <c r="AH152" s="81">
        <f t="shared" si="225"/>
        <v>0</v>
      </c>
      <c r="AI152" s="84">
        <f t="shared" si="225"/>
        <v>0</v>
      </c>
    </row>
    <row r="153" spans="1:35" s="74" customFormat="1" ht="26.25" hidden="1" customHeight="1" x14ac:dyDescent="0.25">
      <c r="B153" s="151" t="s">
        <v>297</v>
      </c>
      <c r="C153" s="81">
        <v>175</v>
      </c>
      <c r="D153" s="92">
        <v>173</v>
      </c>
      <c r="E153" s="92">
        <v>0</v>
      </c>
      <c r="F153" s="92">
        <v>0</v>
      </c>
      <c r="G153" s="92"/>
      <c r="H153" s="92"/>
      <c r="I153" s="92"/>
      <c r="J153" s="82">
        <v>1.8169051494883</v>
      </c>
      <c r="K153" s="83">
        <f>VLOOKUP(C153,Prevs!$C$7:$I$279,2,FALSE)-IFERROR(VLOOKUP(D153,Prevs!$C$7:$I$279,2,FALSE),0)</f>
        <v>0</v>
      </c>
      <c r="L153" s="81">
        <f>VLOOKUP(C153,Prevs!$C$7:$I$279,3,FALSE)-IFERROR(VLOOKUP(D153,Prevs!$C$7:$I$279,3,FALSE),0)</f>
        <v>0</v>
      </c>
      <c r="M153" s="81">
        <f>VLOOKUP(C153,Prevs!$C$7:$I$279,4,FALSE)-IFERROR(VLOOKUP(D153,Prevs!$C$7:$I$279,4,FALSE),0)</f>
        <v>0</v>
      </c>
      <c r="N153" s="81">
        <f>VLOOKUP(C153,Prevs!$C$7:$I$279,5,FALSE)-IFERROR(VLOOKUP(D153,Prevs!$C$7:$I$279,5,FALSE),0)</f>
        <v>0</v>
      </c>
      <c r="O153" s="81">
        <f>VLOOKUP(C153,Prevs!$C$7:$I$279,6,FALSE)-IFERROR(VLOOKUP(D153,Prevs!$C$7:$I$279,6,FALSE),0)</f>
        <v>0</v>
      </c>
      <c r="P153" s="84">
        <f>VLOOKUP(C153,Prevs!$C$7:$I$279,7,FALSE)-IFERROR(VLOOKUP(D153,Prevs!$C$7:$I$279,7,FALSE),0)</f>
        <v>0</v>
      </c>
      <c r="Q153" s="248">
        <f t="shared" ref="Q153:V153" si="226">K153*$J$153</f>
        <v>0</v>
      </c>
      <c r="R153" s="96">
        <f t="shared" si="226"/>
        <v>0</v>
      </c>
      <c r="S153" s="96">
        <f t="shared" si="226"/>
        <v>0</v>
      </c>
      <c r="T153" s="96">
        <f t="shared" si="226"/>
        <v>0</v>
      </c>
      <c r="U153" s="96">
        <f t="shared" si="226"/>
        <v>0</v>
      </c>
      <c r="V153" s="152">
        <f t="shared" si="226"/>
        <v>0</v>
      </c>
      <c r="X153" s="80"/>
      <c r="Y153" s="81"/>
      <c r="Z153" s="81"/>
      <c r="AA153" s="81"/>
      <c r="AB153" s="81"/>
      <c r="AC153" s="92"/>
      <c r="AD153" s="80">
        <f t="shared" ref="AD153:AI153" si="227">X153*$J$153</f>
        <v>0</v>
      </c>
      <c r="AE153" s="81">
        <f t="shared" si="227"/>
        <v>0</v>
      </c>
      <c r="AF153" s="81">
        <f t="shared" si="227"/>
        <v>0</v>
      </c>
      <c r="AG153" s="81">
        <f t="shared" si="227"/>
        <v>0</v>
      </c>
      <c r="AH153" s="81">
        <f t="shared" si="227"/>
        <v>0</v>
      </c>
      <c r="AI153" s="84">
        <f t="shared" si="227"/>
        <v>0</v>
      </c>
    </row>
    <row r="154" spans="1:35" s="74" customFormat="1" ht="26.25" hidden="1" customHeight="1" x14ac:dyDescent="0.25">
      <c r="B154" s="151" t="s">
        <v>291</v>
      </c>
      <c r="C154" s="81">
        <v>178</v>
      </c>
      <c r="D154" s="92">
        <v>175</v>
      </c>
      <c r="E154" s="92">
        <v>0</v>
      </c>
      <c r="F154" s="92">
        <v>0</v>
      </c>
      <c r="G154" s="92"/>
      <c r="H154" s="92"/>
      <c r="I154" s="92"/>
      <c r="J154" s="82">
        <v>1.0846138691189999</v>
      </c>
      <c r="K154" s="83">
        <f>VLOOKUP(C154,Prevs!$C$7:$I$279,2,FALSE)-IFERROR(VLOOKUP(D154,Prevs!$C$7:$I$279,2,FALSE),0)</f>
        <v>0</v>
      </c>
      <c r="L154" s="81">
        <f>VLOOKUP(C154,Prevs!$C$7:$I$279,3,FALSE)-IFERROR(VLOOKUP(D154,Prevs!$C$7:$I$279,3,FALSE),0)</f>
        <v>0</v>
      </c>
      <c r="M154" s="81">
        <f>VLOOKUP(C154,Prevs!$C$7:$I$279,4,FALSE)-IFERROR(VLOOKUP(D154,Prevs!$C$7:$I$279,4,FALSE),0)</f>
        <v>0</v>
      </c>
      <c r="N154" s="81">
        <f>VLOOKUP(C154,Prevs!$C$7:$I$279,5,FALSE)-IFERROR(VLOOKUP(D154,Prevs!$C$7:$I$279,5,FALSE),0)</f>
        <v>0</v>
      </c>
      <c r="O154" s="81">
        <f>VLOOKUP(C154,Prevs!$C$7:$I$279,6,FALSE)-IFERROR(VLOOKUP(D154,Prevs!$C$7:$I$279,6,FALSE),0)</f>
        <v>0</v>
      </c>
      <c r="P154" s="84">
        <f>VLOOKUP(C154,Prevs!$C$7:$I$279,7,FALSE)-IFERROR(VLOOKUP(D154,Prevs!$C$7:$I$279,7,FALSE),0)</f>
        <v>0</v>
      </c>
      <c r="Q154" s="248">
        <f t="shared" ref="Q154:V154" si="228">K154*$J$154</f>
        <v>0</v>
      </c>
      <c r="R154" s="96">
        <f t="shared" si="228"/>
        <v>0</v>
      </c>
      <c r="S154" s="96">
        <f t="shared" si="228"/>
        <v>0</v>
      </c>
      <c r="T154" s="96">
        <f t="shared" si="228"/>
        <v>0</v>
      </c>
      <c r="U154" s="96">
        <f t="shared" si="228"/>
        <v>0</v>
      </c>
      <c r="V154" s="152">
        <f t="shared" si="228"/>
        <v>0</v>
      </c>
      <c r="X154" s="80"/>
      <c r="Y154" s="81"/>
      <c r="Z154" s="81"/>
      <c r="AA154" s="81"/>
      <c r="AB154" s="81"/>
      <c r="AC154" s="92"/>
      <c r="AD154" s="80">
        <f t="shared" ref="AD154:AI154" si="229">X154*$J$154</f>
        <v>0</v>
      </c>
      <c r="AE154" s="81">
        <f t="shared" si="229"/>
        <v>0</v>
      </c>
      <c r="AF154" s="81">
        <f t="shared" si="229"/>
        <v>0</v>
      </c>
      <c r="AG154" s="81">
        <f t="shared" si="229"/>
        <v>0</v>
      </c>
      <c r="AH154" s="81">
        <f t="shared" si="229"/>
        <v>0</v>
      </c>
      <c r="AI154" s="84">
        <f t="shared" si="229"/>
        <v>0</v>
      </c>
    </row>
    <row r="155" spans="1:35" s="74" customFormat="1" ht="26.25" hidden="1" customHeight="1" x14ac:dyDescent="0.25">
      <c r="B155" s="151" t="s">
        <v>298</v>
      </c>
      <c r="C155" s="81">
        <v>190</v>
      </c>
      <c r="D155" s="92">
        <v>0</v>
      </c>
      <c r="E155" s="92">
        <v>0</v>
      </c>
      <c r="F155" s="92">
        <v>0</v>
      </c>
      <c r="G155" s="92"/>
      <c r="H155" s="92"/>
      <c r="I155" s="92"/>
      <c r="J155" s="82">
        <v>0.371869062496122</v>
      </c>
      <c r="K155" s="83">
        <f>VLOOKUP(C155,Prevs!$C$7:$I$279,2,FALSE)-IFERROR(VLOOKUP(D155,Prevs!$C$7:$I$279,2,FALSE),0)</f>
        <v>278</v>
      </c>
      <c r="L155" s="81">
        <f>VLOOKUP(C155,Prevs!$C$7:$I$279,3,FALSE)-IFERROR(VLOOKUP(D155,Prevs!$C$7:$I$279,3,FALSE),0)</f>
        <v>270</v>
      </c>
      <c r="M155" s="81">
        <f>VLOOKUP(C155,Prevs!$C$7:$I$279,4,FALSE)-IFERROR(VLOOKUP(D155,Prevs!$C$7:$I$279,4,FALSE),0)</f>
        <v>260</v>
      </c>
      <c r="N155" s="81">
        <f>VLOOKUP(C155,Prevs!$C$7:$I$279,5,FALSE)-IFERROR(VLOOKUP(D155,Prevs!$C$7:$I$279,5,FALSE),0)</f>
        <v>257</v>
      </c>
      <c r="O155" s="81">
        <f>VLOOKUP(C155,Prevs!$C$7:$I$279,6,FALSE)-IFERROR(VLOOKUP(D155,Prevs!$C$7:$I$279,6,FALSE),0)</f>
        <v>253</v>
      </c>
      <c r="P155" s="84">
        <f>VLOOKUP(C155,Prevs!$C$7:$I$279,7,FALSE)-IFERROR(VLOOKUP(D155,Prevs!$C$7:$I$279,7,FALSE),0)</f>
        <v>254</v>
      </c>
      <c r="Q155" s="248">
        <f t="shared" ref="Q155:V155" si="230">K155*$J$155</f>
        <v>103.37959937392192</v>
      </c>
      <c r="R155" s="96">
        <f t="shared" si="230"/>
        <v>100.40464687395294</v>
      </c>
      <c r="S155" s="96">
        <f t="shared" si="230"/>
        <v>96.685956248991715</v>
      </c>
      <c r="T155" s="96">
        <f t="shared" si="230"/>
        <v>95.57034906150335</v>
      </c>
      <c r="U155" s="96">
        <f t="shared" si="230"/>
        <v>94.082872811518868</v>
      </c>
      <c r="V155" s="152">
        <f t="shared" si="230"/>
        <v>94.454741874014985</v>
      </c>
      <c r="X155" s="80"/>
      <c r="Y155" s="81"/>
      <c r="Z155" s="81"/>
      <c r="AA155" s="81"/>
      <c r="AB155" s="81"/>
      <c r="AC155" s="92"/>
      <c r="AD155" s="80">
        <f t="shared" ref="AD155:AI155" si="231">X155*$J$155</f>
        <v>0</v>
      </c>
      <c r="AE155" s="81">
        <f t="shared" si="231"/>
        <v>0</v>
      </c>
      <c r="AF155" s="81">
        <f t="shared" si="231"/>
        <v>0</v>
      </c>
      <c r="AG155" s="81">
        <f t="shared" si="231"/>
        <v>0</v>
      </c>
      <c r="AH155" s="81">
        <f t="shared" si="231"/>
        <v>0</v>
      </c>
      <c r="AI155" s="84">
        <f t="shared" si="231"/>
        <v>0</v>
      </c>
    </row>
    <row r="156" spans="1:35" s="74" customFormat="1" ht="26.25" hidden="1" customHeight="1" x14ac:dyDescent="0.25">
      <c r="B156" s="151" t="s">
        <v>299</v>
      </c>
      <c r="C156" s="81">
        <v>254</v>
      </c>
      <c r="D156" s="92">
        <v>0</v>
      </c>
      <c r="E156" s="92">
        <v>0</v>
      </c>
      <c r="F156" s="92">
        <v>0</v>
      </c>
      <c r="G156" s="92"/>
      <c r="H156" s="92"/>
      <c r="I156" s="92"/>
      <c r="J156" s="82">
        <v>0.92043119503368898</v>
      </c>
      <c r="K156" s="83">
        <f>VLOOKUP(C156,Prevs!$C$7:$I$279,2,FALSE)-IFERROR(VLOOKUP(D156,Prevs!$C$7:$I$279,2,FALSE),0)</f>
        <v>31</v>
      </c>
      <c r="L156" s="81">
        <f>VLOOKUP(C156,Prevs!$C$7:$I$279,3,FALSE)-IFERROR(VLOOKUP(D156,Prevs!$C$7:$I$279,3,FALSE),0)</f>
        <v>31</v>
      </c>
      <c r="M156" s="81">
        <f>VLOOKUP(C156,Prevs!$C$7:$I$279,4,FALSE)-IFERROR(VLOOKUP(D156,Prevs!$C$7:$I$279,4,FALSE),0)</f>
        <v>34</v>
      </c>
      <c r="N156" s="81">
        <f>VLOOKUP(C156,Prevs!$C$7:$I$279,5,FALSE)-IFERROR(VLOOKUP(D156,Prevs!$C$7:$I$279,5,FALSE),0)</f>
        <v>35</v>
      </c>
      <c r="O156" s="81">
        <f>VLOOKUP(C156,Prevs!$C$7:$I$279,6,FALSE)-IFERROR(VLOOKUP(D156,Prevs!$C$7:$I$279,6,FALSE),0)</f>
        <v>34</v>
      </c>
      <c r="P156" s="84">
        <f>VLOOKUP(C156,Prevs!$C$7:$I$279,7,FALSE)-IFERROR(VLOOKUP(D156,Prevs!$C$7:$I$279,7,FALSE),0)</f>
        <v>34</v>
      </c>
      <c r="Q156" s="248">
        <f t="shared" ref="Q156:V156" si="232">K156*$J$156</f>
        <v>28.533367046044358</v>
      </c>
      <c r="R156" s="96">
        <f t="shared" si="232"/>
        <v>28.533367046044358</v>
      </c>
      <c r="S156" s="96">
        <f t="shared" si="232"/>
        <v>31.294660631145426</v>
      </c>
      <c r="T156" s="96">
        <f t="shared" si="232"/>
        <v>32.215091826179112</v>
      </c>
      <c r="U156" s="96">
        <f t="shared" si="232"/>
        <v>31.294660631145426</v>
      </c>
      <c r="V156" s="152">
        <f t="shared" si="232"/>
        <v>31.294660631145426</v>
      </c>
      <c r="X156" s="80"/>
      <c r="Y156" s="81"/>
      <c r="Z156" s="81"/>
      <c r="AA156" s="81"/>
      <c r="AB156" s="81"/>
      <c r="AC156" s="92"/>
      <c r="AD156" s="80">
        <f t="shared" ref="AD156:AI156" si="233">X156*$J$156</f>
        <v>0</v>
      </c>
      <c r="AE156" s="81">
        <f t="shared" si="233"/>
        <v>0</v>
      </c>
      <c r="AF156" s="81">
        <f t="shared" si="233"/>
        <v>0</v>
      </c>
      <c r="AG156" s="81">
        <f t="shared" si="233"/>
        <v>0</v>
      </c>
      <c r="AH156" s="81">
        <f t="shared" si="233"/>
        <v>0</v>
      </c>
      <c r="AI156" s="84">
        <f t="shared" si="233"/>
        <v>0</v>
      </c>
    </row>
    <row r="157" spans="1:35" s="74" customFormat="1" ht="26.25" hidden="1" customHeight="1" x14ac:dyDescent="0.25">
      <c r="B157" s="151" t="s">
        <v>250</v>
      </c>
      <c r="C157" s="81">
        <v>188</v>
      </c>
      <c r="D157" s="92">
        <v>255</v>
      </c>
      <c r="E157" s="92">
        <v>0</v>
      </c>
      <c r="F157" s="92">
        <v>0</v>
      </c>
      <c r="G157" s="92"/>
      <c r="H157" s="92"/>
      <c r="I157" s="92"/>
      <c r="J157" s="82">
        <v>0.71770640726309998</v>
      </c>
      <c r="K157" s="83">
        <f>VLOOKUP(C157,Prevs!$C$7:$I$279,2,FALSE)-IFERROR(VLOOKUP(D157,Prevs!$C$7:$I$279,2,FALSE),0)</f>
        <v>61</v>
      </c>
      <c r="L157" s="81">
        <f>VLOOKUP(C157,Prevs!$C$7:$I$279,3,FALSE)-IFERROR(VLOOKUP(D157,Prevs!$C$7:$I$279,3,FALSE),0)</f>
        <v>60</v>
      </c>
      <c r="M157" s="81">
        <f>VLOOKUP(C157,Prevs!$C$7:$I$279,4,FALSE)-IFERROR(VLOOKUP(D157,Prevs!$C$7:$I$279,4,FALSE),0)</f>
        <v>58</v>
      </c>
      <c r="N157" s="81">
        <f>VLOOKUP(C157,Prevs!$C$7:$I$279,5,FALSE)-IFERROR(VLOOKUP(D157,Prevs!$C$7:$I$279,5,FALSE),0)</f>
        <v>58</v>
      </c>
      <c r="O157" s="81">
        <f>VLOOKUP(C157,Prevs!$C$7:$I$279,6,FALSE)-IFERROR(VLOOKUP(D157,Prevs!$C$7:$I$279,6,FALSE),0)</f>
        <v>56</v>
      </c>
      <c r="P157" s="84">
        <f>VLOOKUP(C157,Prevs!$C$7:$I$279,7,FALSE)-IFERROR(VLOOKUP(D157,Prevs!$C$7:$I$279,7,FALSE),0)</f>
        <v>55</v>
      </c>
      <c r="Q157" s="248">
        <f t="shared" ref="Q157:V157" si="234">K157*$J$157</f>
        <v>43.780090843049102</v>
      </c>
      <c r="R157" s="96">
        <f t="shared" si="234"/>
        <v>43.062384435786001</v>
      </c>
      <c r="S157" s="96">
        <f t="shared" si="234"/>
        <v>41.626971621259798</v>
      </c>
      <c r="T157" s="96">
        <f t="shared" si="234"/>
        <v>41.626971621259798</v>
      </c>
      <c r="U157" s="96">
        <f t="shared" si="234"/>
        <v>40.191558806733596</v>
      </c>
      <c r="V157" s="152">
        <f t="shared" si="234"/>
        <v>39.473852399470502</v>
      </c>
      <c r="X157" s="80"/>
      <c r="Y157" s="81"/>
      <c r="Z157" s="81"/>
      <c r="AA157" s="81"/>
      <c r="AB157" s="81"/>
      <c r="AC157" s="92"/>
      <c r="AD157" s="80">
        <f t="shared" ref="AD157:AI157" si="235">X157*$J$157</f>
        <v>0</v>
      </c>
      <c r="AE157" s="81">
        <f t="shared" si="235"/>
        <v>0</v>
      </c>
      <c r="AF157" s="81">
        <f t="shared" si="235"/>
        <v>0</v>
      </c>
      <c r="AG157" s="81">
        <f t="shared" si="235"/>
        <v>0</v>
      </c>
      <c r="AH157" s="81">
        <f t="shared" si="235"/>
        <v>0</v>
      </c>
      <c r="AI157" s="84">
        <f t="shared" si="235"/>
        <v>0</v>
      </c>
    </row>
    <row r="158" spans="1:35" s="74" customFormat="1" ht="26.25" hidden="1" customHeight="1" x14ac:dyDescent="0.25">
      <c r="B158" s="151" t="s">
        <v>192</v>
      </c>
      <c r="C158" s="81">
        <v>155</v>
      </c>
      <c r="D158" s="92">
        <v>0</v>
      </c>
      <c r="E158" s="92">
        <v>0</v>
      </c>
      <c r="F158" s="92">
        <v>0</v>
      </c>
      <c r="G158" s="92"/>
      <c r="H158" s="92"/>
      <c r="I158" s="92"/>
      <c r="J158" s="82">
        <v>2.7935959481441599</v>
      </c>
      <c r="K158" s="83">
        <f>VLOOKUP(C158,Prevs!$C$7:$I$279,2,FALSE)-IFERROR(VLOOKUP(D158,Prevs!$C$7:$I$279,2,FALSE),0)</f>
        <v>27</v>
      </c>
      <c r="L158" s="81">
        <f>VLOOKUP(C158,Prevs!$C$7:$I$279,3,FALSE)-IFERROR(VLOOKUP(D158,Prevs!$C$7:$I$279,3,FALSE),0)</f>
        <v>28</v>
      </c>
      <c r="M158" s="81">
        <f>VLOOKUP(C158,Prevs!$C$7:$I$279,4,FALSE)-IFERROR(VLOOKUP(D158,Prevs!$C$7:$I$279,4,FALSE),0)</f>
        <v>27</v>
      </c>
      <c r="N158" s="81">
        <f>VLOOKUP(C158,Prevs!$C$7:$I$279,5,FALSE)-IFERROR(VLOOKUP(D158,Prevs!$C$7:$I$279,5,FALSE),0)</f>
        <v>26</v>
      </c>
      <c r="O158" s="81">
        <f>VLOOKUP(C158,Prevs!$C$7:$I$279,6,FALSE)-IFERROR(VLOOKUP(D158,Prevs!$C$7:$I$279,6,FALSE),0)</f>
        <v>26</v>
      </c>
      <c r="P158" s="84">
        <f>VLOOKUP(C158,Prevs!$C$7:$I$279,7,FALSE)-IFERROR(VLOOKUP(D158,Prevs!$C$7:$I$279,7,FALSE),0)</f>
        <v>26</v>
      </c>
      <c r="Q158" s="248">
        <f t="shared" ref="Q158:V158" si="236">K158*$J$158</f>
        <v>75.427090599892324</v>
      </c>
      <c r="R158" s="96">
        <f t="shared" si="236"/>
        <v>78.220686548036483</v>
      </c>
      <c r="S158" s="96">
        <f t="shared" si="236"/>
        <v>75.427090599892324</v>
      </c>
      <c r="T158" s="96">
        <f t="shared" si="236"/>
        <v>72.633494651748151</v>
      </c>
      <c r="U158" s="96">
        <f t="shared" si="236"/>
        <v>72.633494651748151</v>
      </c>
      <c r="V158" s="152">
        <f t="shared" si="236"/>
        <v>72.633494651748151</v>
      </c>
      <c r="X158" s="80"/>
      <c r="Y158" s="81"/>
      <c r="Z158" s="81"/>
      <c r="AA158" s="81"/>
      <c r="AB158" s="81"/>
      <c r="AC158" s="92"/>
      <c r="AD158" s="80">
        <f t="shared" ref="AD158:AI158" si="237">X158*$J$158</f>
        <v>0</v>
      </c>
      <c r="AE158" s="81">
        <f t="shared" si="237"/>
        <v>0</v>
      </c>
      <c r="AF158" s="81">
        <f t="shared" si="237"/>
        <v>0</v>
      </c>
      <c r="AG158" s="81">
        <f t="shared" si="237"/>
        <v>0</v>
      </c>
      <c r="AH158" s="81">
        <f t="shared" si="237"/>
        <v>0</v>
      </c>
      <c r="AI158" s="84">
        <f t="shared" si="237"/>
        <v>0</v>
      </c>
    </row>
    <row r="159" spans="1:35" s="74" customFormat="1" ht="26.25" hidden="1" customHeight="1" thickBot="1" x14ac:dyDescent="0.3">
      <c r="B159" s="153" t="s">
        <v>296</v>
      </c>
      <c r="C159" s="154">
        <v>300</v>
      </c>
      <c r="D159" s="155">
        <v>0</v>
      </c>
      <c r="E159" s="155">
        <v>0</v>
      </c>
      <c r="F159" s="155">
        <v>0</v>
      </c>
      <c r="G159" s="155"/>
      <c r="H159" s="155"/>
      <c r="I159" s="155"/>
      <c r="J159" s="156">
        <v>2.1335097774154002</v>
      </c>
      <c r="K159" s="157">
        <f>VLOOKUP($C$153,Prevs!$C$7:$I$279,2,FALSE)-IFERROR(VLOOKUP($D$153,Prevs!$C$7:$I$279,2,FALSE),0)</f>
        <v>0</v>
      </c>
      <c r="L159" s="154">
        <f>VLOOKUP($C$153,Prevs!$C$7:$I$279,3,FALSE)-IFERROR(VLOOKUP($D$153,Prevs!$C$7:$I$279,3,FALSE),0)</f>
        <v>0</v>
      </c>
      <c r="M159" s="154">
        <f>VLOOKUP($C$153,Prevs!$C$7:$I$279,4,FALSE)-IFERROR(VLOOKUP($D$153,Prevs!$C$7:$I$279,4,FALSE),0)</f>
        <v>0</v>
      </c>
      <c r="N159" s="154">
        <f>VLOOKUP($C$153,Prevs!$C$7:$I$279,5,FALSE)-IFERROR(VLOOKUP($D$153,Prevs!$C$7:$I$279,5,FALSE),0)</f>
        <v>0</v>
      </c>
      <c r="O159" s="154">
        <f>VLOOKUP($C$153,Prevs!$C$7:$I$279,6,FALSE)-IFERROR(VLOOKUP($D$153,Prevs!$C$7:$I$279,6,FALSE),0)</f>
        <v>0</v>
      </c>
      <c r="P159" s="158">
        <f>VLOOKUP($C$153,Prevs!$C$7:$I$279,7,FALSE)-IFERROR(VLOOKUP($D$153,Prevs!$C$7:$I$279,7,FALSE),0)</f>
        <v>0</v>
      </c>
      <c r="Q159" s="249">
        <f t="shared" ref="Q159:V159" si="238">K159*$J$159</f>
        <v>0</v>
      </c>
      <c r="R159" s="159">
        <f t="shared" si="238"/>
        <v>0</v>
      </c>
      <c r="S159" s="159">
        <f t="shared" si="238"/>
        <v>0</v>
      </c>
      <c r="T159" s="159">
        <f t="shared" si="238"/>
        <v>0</v>
      </c>
      <c r="U159" s="159">
        <f t="shared" si="238"/>
        <v>0</v>
      </c>
      <c r="V159" s="160">
        <f t="shared" si="238"/>
        <v>0</v>
      </c>
      <c r="X159" s="86"/>
      <c r="Y159" s="88"/>
      <c r="Z159" s="88"/>
      <c r="AA159" s="88"/>
      <c r="AB159" s="88"/>
      <c r="AC159" s="94"/>
      <c r="AD159" s="86">
        <f t="shared" ref="AD159:AI159" si="239">X159*$J$159</f>
        <v>0</v>
      </c>
      <c r="AE159" s="88">
        <f t="shared" si="239"/>
        <v>0</v>
      </c>
      <c r="AF159" s="88">
        <f t="shared" si="239"/>
        <v>0</v>
      </c>
      <c r="AG159" s="88">
        <f t="shared" si="239"/>
        <v>0</v>
      </c>
      <c r="AH159" s="88">
        <f t="shared" si="239"/>
        <v>0</v>
      </c>
      <c r="AI159" s="89">
        <f t="shared" si="239"/>
        <v>0</v>
      </c>
    </row>
    <row r="160" spans="1:35" ht="15.75" hidden="1" customHeight="1" thickBot="1" x14ac:dyDescent="0.3"/>
    <row r="161" spans="2:35" s="93" customFormat="1" ht="26.25" hidden="1" customHeight="1" x14ac:dyDescent="0.25">
      <c r="B161" s="142" t="s">
        <v>292</v>
      </c>
      <c r="C161" s="143">
        <v>270</v>
      </c>
      <c r="D161" s="144">
        <v>0</v>
      </c>
      <c r="E161" s="144">
        <v>0</v>
      </c>
      <c r="F161" s="144">
        <v>0</v>
      </c>
      <c r="G161" s="144"/>
      <c r="H161" s="144"/>
      <c r="I161" s="144"/>
      <c r="J161" s="258">
        <v>0.77898980509675997</v>
      </c>
      <c r="K161" s="146">
        <f>VLOOKUP($C$161,Prevs!$C$7:$I$279,2,FALSE)-IFERROR(VLOOKUP($D$161,Prevs!$C$7:$I$279,2,FALSE),0)</f>
        <v>287</v>
      </c>
      <c r="L161" s="143">
        <f>VLOOKUP($C$161,Prevs!$C$7:$I$279,3,FALSE)-IFERROR(VLOOKUP($D$161,Prevs!$C$7:$I$279,3,FALSE),0)</f>
        <v>271</v>
      </c>
      <c r="M161" s="143">
        <f>VLOOKUP($C$161,Prevs!$C$7:$I$279,4,FALSE)-IFERROR(VLOOKUP($D$161,Prevs!$C$7:$I$279,4,FALSE),0)</f>
        <v>233</v>
      </c>
      <c r="N161" s="143">
        <f>VLOOKUP($C$161,Prevs!$C$7:$I$279,5,FALSE)-IFERROR(VLOOKUP($D$161,Prevs!$C$7:$I$279,5,FALSE),0)</f>
        <v>226</v>
      </c>
      <c r="O161" s="143">
        <f>VLOOKUP($C$161,Prevs!$C$7:$I$279,6,FALSE)-IFERROR(VLOOKUP($D$161,Prevs!$C$7:$I$279,6,FALSE),0)</f>
        <v>211</v>
      </c>
      <c r="P161" s="147">
        <f>VLOOKUP($C$161,Prevs!$C$7:$I$279,7,FALSE)-IFERROR(VLOOKUP($D$161,Prevs!$C$7:$I$279,7,FALSE),0)</f>
        <v>211</v>
      </c>
      <c r="Q161" s="247">
        <f t="shared" ref="Q161:V161" si="240">K161*$J$161</f>
        <v>223.57007406277012</v>
      </c>
      <c r="R161" s="149">
        <f t="shared" si="240"/>
        <v>211.10623718122196</v>
      </c>
      <c r="S161" s="149">
        <f t="shared" si="240"/>
        <v>181.50462458754507</v>
      </c>
      <c r="T161" s="149">
        <f t="shared" si="240"/>
        <v>176.05169595186774</v>
      </c>
      <c r="U161" s="149">
        <f t="shared" si="240"/>
        <v>164.36684887541637</v>
      </c>
      <c r="V161" s="150">
        <f t="shared" si="240"/>
        <v>164.36684887541637</v>
      </c>
      <c r="X161" s="75"/>
      <c r="Y161" s="76"/>
      <c r="Z161" s="76"/>
      <c r="AA161" s="76"/>
      <c r="AB161" s="76"/>
      <c r="AC161" s="91"/>
      <c r="AD161" s="75"/>
      <c r="AE161" s="76"/>
      <c r="AF161" s="76"/>
      <c r="AG161" s="76"/>
      <c r="AH161" s="76"/>
      <c r="AI161" s="78"/>
    </row>
    <row r="162" spans="2:35" s="93" customFormat="1" ht="26.25" hidden="1" customHeight="1" x14ac:dyDescent="0.25">
      <c r="B162" s="151" t="s">
        <v>267</v>
      </c>
      <c r="C162" s="81">
        <v>257</v>
      </c>
      <c r="D162" s="92">
        <v>253</v>
      </c>
      <c r="E162" s="92">
        <v>0</v>
      </c>
      <c r="F162" s="92">
        <v>0</v>
      </c>
      <c r="G162" s="92"/>
      <c r="H162" s="92"/>
      <c r="I162" s="92"/>
      <c r="J162" s="259">
        <v>0.77898980509675997</v>
      </c>
      <c r="K162" s="83">
        <f>VLOOKUP(C162,Prevs!$C$7:$I$279,2,FALSE)-IFERROR(VLOOKUP(D162,Prevs!$C$7:$I$279,2,FALSE),0)</f>
        <v>212</v>
      </c>
      <c r="L162" s="81">
        <f>VLOOKUP(C162,Prevs!$C$7:$I$279,3,FALSE)-IFERROR(VLOOKUP(D162,Prevs!$C$7:$I$279,3,FALSE),0)</f>
        <v>192</v>
      </c>
      <c r="M162" s="81">
        <f>VLOOKUP(C162,Prevs!$C$7:$I$279,4,FALSE)-IFERROR(VLOOKUP(D162,Prevs!$C$7:$I$279,4,FALSE),0)</f>
        <v>210</v>
      </c>
      <c r="N162" s="81">
        <f>VLOOKUP(C162,Prevs!$C$7:$I$279,5,FALSE)-IFERROR(VLOOKUP(D162,Prevs!$C$7:$I$279,5,FALSE),0)</f>
        <v>188</v>
      </c>
      <c r="O162" s="81">
        <f>VLOOKUP(C162,Prevs!$C$7:$I$279,6,FALSE)-IFERROR(VLOOKUP(D162,Prevs!$C$7:$I$279,6,FALSE),0)</f>
        <v>173</v>
      </c>
      <c r="P162" s="84">
        <f>VLOOKUP(C162,Prevs!$C$7:$I$279,7,FALSE)-IFERROR(VLOOKUP(D162,Prevs!$C$7:$I$279,7,FALSE),0)</f>
        <v>163</v>
      </c>
      <c r="Q162" s="248">
        <f t="shared" ref="Q162:V162" si="241">K162*$J$162</f>
        <v>165.14583868051312</v>
      </c>
      <c r="R162" s="96">
        <f t="shared" si="241"/>
        <v>149.56604257857791</v>
      </c>
      <c r="S162" s="96">
        <f t="shared" si="241"/>
        <v>163.58785907031958</v>
      </c>
      <c r="T162" s="96">
        <f t="shared" si="241"/>
        <v>146.45008335819088</v>
      </c>
      <c r="U162" s="96">
        <f t="shared" si="241"/>
        <v>134.76523628173948</v>
      </c>
      <c r="V162" s="152">
        <f t="shared" si="241"/>
        <v>126.97533823077187</v>
      </c>
      <c r="X162" s="80"/>
      <c r="Y162" s="81"/>
      <c r="Z162" s="81"/>
      <c r="AA162" s="81"/>
      <c r="AB162" s="81"/>
      <c r="AC162" s="92"/>
      <c r="AD162" s="80"/>
      <c r="AE162" s="81"/>
      <c r="AF162" s="81"/>
      <c r="AG162" s="81"/>
      <c r="AH162" s="81"/>
      <c r="AI162" s="84"/>
    </row>
    <row r="163" spans="2:35" s="93" customFormat="1" ht="26.25" hidden="1" customHeight="1" x14ac:dyDescent="0.25">
      <c r="B163" s="151" t="s">
        <v>198</v>
      </c>
      <c r="C163" s="81">
        <v>191</v>
      </c>
      <c r="D163" s="92">
        <v>270</v>
      </c>
      <c r="E163" s="92">
        <v>0</v>
      </c>
      <c r="F163" s="92">
        <v>0</v>
      </c>
      <c r="G163" s="92"/>
      <c r="H163" s="92"/>
      <c r="I163" s="92"/>
      <c r="J163" s="259">
        <v>0.77898980509675997</v>
      </c>
      <c r="K163" s="83">
        <f>VLOOKUP(C163,Prevs!$C$7:$I$279,2,FALSE)-IFERROR(VLOOKUP(D163,Prevs!$C$7:$I$279,2,FALSE),0)</f>
        <v>37</v>
      </c>
      <c r="L163" s="81">
        <f>VLOOKUP(C163,Prevs!$C$7:$I$279,3,FALSE)-IFERROR(VLOOKUP(D163,Prevs!$C$7:$I$279,3,FALSE),0)</f>
        <v>35</v>
      </c>
      <c r="M163" s="81">
        <f>VLOOKUP(C163,Prevs!$C$7:$I$279,4,FALSE)-IFERROR(VLOOKUP(D163,Prevs!$C$7:$I$279,4,FALSE),0)</f>
        <v>31</v>
      </c>
      <c r="N163" s="81">
        <f>VLOOKUP(C163,Prevs!$C$7:$I$279,5,FALSE)-IFERROR(VLOOKUP(D163,Prevs!$C$7:$I$279,5,FALSE),0)</f>
        <v>30</v>
      </c>
      <c r="O163" s="81">
        <f>VLOOKUP(C163,Prevs!$C$7:$I$279,6,FALSE)-IFERROR(VLOOKUP(D163,Prevs!$C$7:$I$279,6,FALSE),0)</f>
        <v>29</v>
      </c>
      <c r="P163" s="84">
        <f>VLOOKUP(C163,Prevs!$C$7:$I$279,7,FALSE)-IFERROR(VLOOKUP(D163,Prevs!$C$7:$I$279,7,FALSE),0)</f>
        <v>30</v>
      </c>
      <c r="Q163" s="248">
        <f t="shared" ref="Q163:V163" si="242">K163*$J$163</f>
        <v>28.822622788580119</v>
      </c>
      <c r="R163" s="96">
        <f t="shared" si="242"/>
        <v>27.264643178386599</v>
      </c>
      <c r="S163" s="96">
        <f t="shared" si="242"/>
        <v>24.148683957999559</v>
      </c>
      <c r="T163" s="96">
        <f t="shared" si="242"/>
        <v>23.369694152902799</v>
      </c>
      <c r="U163" s="96">
        <f t="shared" si="242"/>
        <v>22.590704347806039</v>
      </c>
      <c r="V163" s="152">
        <f t="shared" si="242"/>
        <v>23.369694152902799</v>
      </c>
      <c r="X163" s="80"/>
      <c r="Y163" s="81"/>
      <c r="Z163" s="81"/>
      <c r="AA163" s="81"/>
      <c r="AB163" s="81"/>
      <c r="AC163" s="92"/>
      <c r="AD163" s="80"/>
      <c r="AE163" s="81"/>
      <c r="AF163" s="81"/>
      <c r="AG163" s="81"/>
      <c r="AH163" s="81"/>
      <c r="AI163" s="84"/>
    </row>
    <row r="164" spans="2:35" s="93" customFormat="1" ht="26.25" hidden="1" customHeight="1" x14ac:dyDescent="0.25">
      <c r="B164" s="151" t="s">
        <v>271</v>
      </c>
      <c r="C164" s="81">
        <v>253</v>
      </c>
      <c r="D164" s="92">
        <v>191</v>
      </c>
      <c r="E164" s="92">
        <v>0</v>
      </c>
      <c r="F164" s="92">
        <v>0</v>
      </c>
      <c r="G164" s="92"/>
      <c r="H164" s="92"/>
      <c r="I164" s="92"/>
      <c r="J164" s="259">
        <v>0.77898980509675997</v>
      </c>
      <c r="K164" s="83">
        <f>VLOOKUP(C164,Prevs!$C$7:$I$279,2,FALSE)-IFERROR(VLOOKUP(D164,Prevs!$C$7:$I$279,2,FALSE),0)</f>
        <v>33</v>
      </c>
      <c r="L164" s="81">
        <f>VLOOKUP(C164,Prevs!$C$7:$I$279,3,FALSE)-IFERROR(VLOOKUP(D164,Prevs!$C$7:$I$279,3,FALSE),0)</f>
        <v>31</v>
      </c>
      <c r="M164" s="81">
        <f>VLOOKUP(C164,Prevs!$C$7:$I$279,4,FALSE)-IFERROR(VLOOKUP(D164,Prevs!$C$7:$I$279,4,FALSE),0)</f>
        <v>28</v>
      </c>
      <c r="N164" s="81">
        <f>VLOOKUP(C164,Prevs!$C$7:$I$279,5,FALSE)-IFERROR(VLOOKUP(D164,Prevs!$C$7:$I$279,5,FALSE),0)</f>
        <v>28</v>
      </c>
      <c r="O164" s="81">
        <f>VLOOKUP(C164,Prevs!$C$7:$I$279,6,FALSE)-IFERROR(VLOOKUP(D164,Prevs!$C$7:$I$279,6,FALSE),0)</f>
        <v>26</v>
      </c>
      <c r="P164" s="84">
        <f>VLOOKUP(C164,Prevs!$C$7:$I$279,7,FALSE)-IFERROR(VLOOKUP(D164,Prevs!$C$7:$I$279,7,FALSE),0)</f>
        <v>25</v>
      </c>
      <c r="Q164" s="248">
        <f t="shared" ref="Q164:V164" si="243">K164*$J$164</f>
        <v>25.706663568193079</v>
      </c>
      <c r="R164" s="96">
        <f t="shared" si="243"/>
        <v>24.148683957999559</v>
      </c>
      <c r="S164" s="96">
        <f t="shared" si="243"/>
        <v>21.811714542709279</v>
      </c>
      <c r="T164" s="96">
        <f t="shared" si="243"/>
        <v>21.811714542709279</v>
      </c>
      <c r="U164" s="96">
        <f t="shared" si="243"/>
        <v>20.253734932515759</v>
      </c>
      <c r="V164" s="152">
        <f t="shared" si="243"/>
        <v>19.474745127418998</v>
      </c>
      <c r="X164" s="80"/>
      <c r="Y164" s="81"/>
      <c r="Z164" s="81"/>
      <c r="AA164" s="81"/>
      <c r="AB164" s="81"/>
      <c r="AC164" s="92"/>
      <c r="AD164" s="80"/>
      <c r="AE164" s="81"/>
      <c r="AF164" s="81"/>
      <c r="AG164" s="81"/>
      <c r="AH164" s="81"/>
      <c r="AI164" s="84"/>
    </row>
    <row r="165" spans="2:35" s="93" customFormat="1" ht="26.25" hidden="1" customHeight="1" x14ac:dyDescent="0.25">
      <c r="B165" s="151" t="s">
        <v>259</v>
      </c>
      <c r="C165" s="81">
        <v>271</v>
      </c>
      <c r="D165" s="92">
        <v>273</v>
      </c>
      <c r="E165" s="92">
        <v>0</v>
      </c>
      <c r="F165" s="92">
        <v>0</v>
      </c>
      <c r="G165" s="92"/>
      <c r="H165" s="92"/>
      <c r="I165" s="92"/>
      <c r="J165" s="259">
        <v>0.77898980509675997</v>
      </c>
      <c r="K165" s="83">
        <f>VLOOKUP(C165,Prevs!$C$7:$I$279,2,FALSE)-IFERROR(VLOOKUP(D165,Prevs!$C$7:$I$279,2,FALSE),0)</f>
        <v>750</v>
      </c>
      <c r="L165" s="81">
        <f>VLOOKUP(C165,Prevs!$C$7:$I$279,3,FALSE)-IFERROR(VLOOKUP(D165,Prevs!$C$7:$I$279,3,FALSE),0)</f>
        <v>709</v>
      </c>
      <c r="M165" s="81">
        <f>VLOOKUP(C165,Prevs!$C$7:$I$279,4,FALSE)-IFERROR(VLOOKUP(D165,Prevs!$C$7:$I$279,4,FALSE),0)</f>
        <v>670</v>
      </c>
      <c r="N165" s="81">
        <f>VLOOKUP(C165,Prevs!$C$7:$I$279,5,FALSE)-IFERROR(VLOOKUP(D165,Prevs!$C$7:$I$279,5,FALSE),0)</f>
        <v>633</v>
      </c>
      <c r="O165" s="81">
        <f>VLOOKUP(C165,Prevs!$C$7:$I$279,6,FALSE)-IFERROR(VLOOKUP(D165,Prevs!$C$7:$I$279,6,FALSE),0)</f>
        <v>613</v>
      </c>
      <c r="P165" s="84">
        <f>VLOOKUP(C165,Prevs!$C$7:$I$279,7,FALSE)-IFERROR(VLOOKUP(D165,Prevs!$C$7:$I$279,7,FALSE),0)</f>
        <v>603</v>
      </c>
      <c r="Q165" s="248">
        <f t="shared" ref="Q165:V165" si="244">K165*$J$165</f>
        <v>584.24235382256995</v>
      </c>
      <c r="R165" s="96">
        <f t="shared" si="244"/>
        <v>552.30377181360279</v>
      </c>
      <c r="S165" s="96">
        <f t="shared" si="244"/>
        <v>521.9231694148292</v>
      </c>
      <c r="T165" s="96">
        <f t="shared" si="244"/>
        <v>493.10054662624907</v>
      </c>
      <c r="U165" s="96">
        <f t="shared" si="244"/>
        <v>477.52075052431388</v>
      </c>
      <c r="V165" s="152">
        <f t="shared" si="244"/>
        <v>469.73085247334626</v>
      </c>
      <c r="X165" s="80"/>
      <c r="Y165" s="81"/>
      <c r="Z165" s="81"/>
      <c r="AA165" s="81"/>
      <c r="AB165" s="81"/>
      <c r="AC165" s="92"/>
      <c r="AD165" s="80"/>
      <c r="AE165" s="81"/>
      <c r="AF165" s="81"/>
      <c r="AG165" s="81"/>
      <c r="AH165" s="81"/>
      <c r="AI165" s="84"/>
    </row>
    <row r="166" spans="2:35" s="93" customFormat="1" ht="26.25" hidden="1" customHeight="1" x14ac:dyDescent="0.25">
      <c r="B166" s="151" t="s">
        <v>293</v>
      </c>
      <c r="C166" s="81">
        <v>275</v>
      </c>
      <c r="D166" s="92">
        <v>271</v>
      </c>
      <c r="E166" s="92">
        <v>0</v>
      </c>
      <c r="F166" s="92">
        <v>0</v>
      </c>
      <c r="G166" s="92"/>
      <c r="H166" s="92"/>
      <c r="I166" s="92"/>
      <c r="J166" s="259">
        <v>0.57861172938546002</v>
      </c>
      <c r="K166" s="83">
        <f>VLOOKUP(C166,Prevs!$C$7:$I$279,2,FALSE)-IFERROR(VLOOKUP(D166,Prevs!$C$7:$I$279,2,FALSE),0)</f>
        <v>2846</v>
      </c>
      <c r="L166" s="81">
        <f>VLOOKUP(C166,Prevs!$C$7:$I$279,3,FALSE)-IFERROR(VLOOKUP(D166,Prevs!$C$7:$I$279,3,FALSE),0)</f>
        <v>2563</v>
      </c>
      <c r="M166" s="81">
        <f>VLOOKUP(C166,Prevs!$C$7:$I$279,4,FALSE)-IFERROR(VLOOKUP(D166,Prevs!$C$7:$I$279,4,FALSE),0)</f>
        <v>2263</v>
      </c>
      <c r="N166" s="81">
        <f>VLOOKUP(C166,Prevs!$C$7:$I$279,5,FALSE)-IFERROR(VLOOKUP(D166,Prevs!$C$7:$I$279,5,FALSE),0)</f>
        <v>2042</v>
      </c>
      <c r="O166" s="81">
        <f>VLOOKUP(C166,Prevs!$C$7:$I$279,6,FALSE)-IFERROR(VLOOKUP(D166,Prevs!$C$7:$I$279,6,FALSE),0)</f>
        <v>1814</v>
      </c>
      <c r="P166" s="84">
        <f>VLOOKUP(C166,Prevs!$C$7:$I$279,7,FALSE)-IFERROR(VLOOKUP(D166,Prevs!$C$7:$I$279,7,FALSE),0)</f>
        <v>1653</v>
      </c>
      <c r="Q166" s="248">
        <f t="shared" ref="Q166:V166" si="245">K166*$J$166</f>
        <v>1646.7289818310192</v>
      </c>
      <c r="R166" s="96">
        <f t="shared" si="245"/>
        <v>1482.9818624149341</v>
      </c>
      <c r="S166" s="96">
        <f t="shared" si="245"/>
        <v>1309.3983435992959</v>
      </c>
      <c r="T166" s="96">
        <f t="shared" si="245"/>
        <v>1181.5251514051095</v>
      </c>
      <c r="U166" s="96">
        <f t="shared" si="245"/>
        <v>1049.6016771052246</v>
      </c>
      <c r="V166" s="152">
        <f t="shared" si="245"/>
        <v>956.44518867416537</v>
      </c>
      <c r="X166" s="80"/>
      <c r="Y166" s="81"/>
      <c r="Z166" s="81"/>
      <c r="AA166" s="81"/>
      <c r="AB166" s="81"/>
      <c r="AC166" s="92"/>
      <c r="AD166" s="80"/>
      <c r="AE166" s="81"/>
      <c r="AF166" s="81"/>
      <c r="AG166" s="81"/>
      <c r="AH166" s="81"/>
      <c r="AI166" s="84"/>
    </row>
    <row r="167" spans="2:35" s="93" customFormat="1" ht="26.25" hidden="1" customHeight="1" x14ac:dyDescent="0.25">
      <c r="B167" s="151" t="s">
        <v>294</v>
      </c>
      <c r="C167" s="81">
        <v>277</v>
      </c>
      <c r="D167" s="92">
        <v>0</v>
      </c>
      <c r="E167" s="92">
        <v>0</v>
      </c>
      <c r="F167" s="92">
        <v>0</v>
      </c>
      <c r="G167" s="92"/>
      <c r="H167" s="92"/>
      <c r="I167" s="92"/>
      <c r="J167" s="259">
        <v>0.157004642064972</v>
      </c>
      <c r="K167" s="83">
        <f>VLOOKUP(C167,Prevs!$C$7:$I$279,2,FALSE)-IFERROR(VLOOKUP(D167,Prevs!$C$7:$I$279,2,FALSE),0)</f>
        <v>269</v>
      </c>
      <c r="L167" s="81">
        <f>VLOOKUP(C167,Prevs!$C$7:$I$279,3,FALSE)-IFERROR(VLOOKUP(D167,Prevs!$C$7:$I$279,3,FALSE),0)</f>
        <v>246</v>
      </c>
      <c r="M167" s="81">
        <f>VLOOKUP(C167,Prevs!$C$7:$I$279,4,FALSE)-IFERROR(VLOOKUP(D167,Prevs!$C$7:$I$279,4,FALSE),0)</f>
        <v>229</v>
      </c>
      <c r="N167" s="81">
        <f>VLOOKUP(C167,Prevs!$C$7:$I$279,5,FALSE)-IFERROR(VLOOKUP(D167,Prevs!$C$7:$I$279,5,FALSE),0)</f>
        <v>227</v>
      </c>
      <c r="O167" s="81">
        <f>VLOOKUP(C167,Prevs!$C$7:$I$279,6,FALSE)-IFERROR(VLOOKUP(D167,Prevs!$C$7:$I$279,6,FALSE),0)</f>
        <v>205</v>
      </c>
      <c r="P167" s="84">
        <f>VLOOKUP(C167,Prevs!$C$7:$I$279,7,FALSE)-IFERROR(VLOOKUP(D167,Prevs!$C$7:$I$279,7,FALSE),0)</f>
        <v>193</v>
      </c>
      <c r="Q167" s="248">
        <f t="shared" ref="Q167:V167" si="246">K167*$J$167</f>
        <v>42.23424871547747</v>
      </c>
      <c r="R167" s="96">
        <f t="shared" si="246"/>
        <v>38.623141947983115</v>
      </c>
      <c r="S167" s="96">
        <f t="shared" si="246"/>
        <v>35.954063032878587</v>
      </c>
      <c r="T167" s="96">
        <f t="shared" si="246"/>
        <v>35.640053748748642</v>
      </c>
      <c r="U167" s="96">
        <f t="shared" si="246"/>
        <v>32.185951623319262</v>
      </c>
      <c r="V167" s="152">
        <f t="shared" si="246"/>
        <v>30.301895918539596</v>
      </c>
      <c r="X167" s="80"/>
      <c r="Y167" s="81"/>
      <c r="Z167" s="81"/>
      <c r="AA167" s="81"/>
      <c r="AB167" s="81"/>
      <c r="AC167" s="92"/>
      <c r="AD167" s="80"/>
      <c r="AE167" s="81"/>
      <c r="AF167" s="81"/>
      <c r="AG167" s="81"/>
      <c r="AH167" s="81"/>
      <c r="AI167" s="84"/>
    </row>
    <row r="168" spans="2:35" s="93" customFormat="1" ht="26.25" hidden="1" customHeight="1" x14ac:dyDescent="0.25">
      <c r="B168" s="151" t="s">
        <v>201</v>
      </c>
      <c r="C168" s="81">
        <v>273</v>
      </c>
      <c r="D168" s="92">
        <v>257</v>
      </c>
      <c r="E168" s="92">
        <v>0</v>
      </c>
      <c r="F168" s="92">
        <v>0</v>
      </c>
      <c r="G168" s="92"/>
      <c r="H168" s="92"/>
      <c r="I168" s="92"/>
      <c r="J168" s="259">
        <v>0.77898980509675997</v>
      </c>
      <c r="K168" s="83">
        <f>VLOOKUP($C$168,Prevs!$C$7:$I$279,2,FALSE)-IFERROR(VLOOKUP($D$168,Prevs!$C$7:$I$279,2,FALSE),0)</f>
        <v>204</v>
      </c>
      <c r="L168" s="81">
        <f>VLOOKUP($C$168,Prevs!$C$7:$I$279,3,FALSE)-IFERROR(VLOOKUP($D$168,Prevs!$C$7:$I$279,3,FALSE),0)</f>
        <v>194</v>
      </c>
      <c r="M168" s="81">
        <f>VLOOKUP($C$168,Prevs!$C$7:$I$279,4,FALSE)-IFERROR(VLOOKUP($D$168,Prevs!$C$7:$I$279,4,FALSE),0)</f>
        <v>186</v>
      </c>
      <c r="N168" s="81">
        <f>VLOOKUP($C$168,Prevs!$C$7:$I$279,5,FALSE)-IFERROR(VLOOKUP($D$168,Prevs!$C$7:$I$279,5,FALSE),0)</f>
        <v>179</v>
      </c>
      <c r="O168" s="81">
        <f>VLOOKUP($C$168,Prevs!$C$7:$I$279,6,FALSE)-IFERROR(VLOOKUP($D$168,Prevs!$C$7:$I$279,6,FALSE),0)</f>
        <v>169</v>
      </c>
      <c r="P168" s="84">
        <f>VLOOKUP($C$168,Prevs!$C$7:$I$279,7,FALSE)-IFERROR(VLOOKUP($D$168,Prevs!$C$7:$I$279,7,FALSE),0)</f>
        <v>132</v>
      </c>
      <c r="Q168" s="248">
        <f t="shared" ref="Q168:V168" si="247">K168*$J$168</f>
        <v>158.91392023973904</v>
      </c>
      <c r="R168" s="96">
        <f t="shared" si="247"/>
        <v>151.12402218877142</v>
      </c>
      <c r="S168" s="96">
        <f t="shared" si="247"/>
        <v>144.89210374799737</v>
      </c>
      <c r="T168" s="96">
        <f t="shared" si="247"/>
        <v>139.43917511232004</v>
      </c>
      <c r="U168" s="96">
        <f t="shared" si="247"/>
        <v>131.64927706135242</v>
      </c>
      <c r="V168" s="152">
        <f t="shared" si="247"/>
        <v>102.82665427277232</v>
      </c>
      <c r="X168" s="80"/>
      <c r="Y168" s="81"/>
      <c r="Z168" s="81"/>
      <c r="AA168" s="81"/>
      <c r="AB168" s="81"/>
      <c r="AC168" s="92"/>
      <c r="AD168" s="80"/>
      <c r="AE168" s="81"/>
      <c r="AF168" s="81"/>
      <c r="AG168" s="81"/>
      <c r="AH168" s="81"/>
      <c r="AI168" s="84"/>
    </row>
    <row r="169" spans="2:35" s="93" customFormat="1" ht="26.25" hidden="1" customHeight="1" x14ac:dyDescent="0.25">
      <c r="B169" s="151" t="s">
        <v>262</v>
      </c>
      <c r="C169" s="81">
        <v>269</v>
      </c>
      <c r="D169" s="92">
        <v>0</v>
      </c>
      <c r="E169" s="92">
        <v>0</v>
      </c>
      <c r="F169" s="92">
        <v>0</v>
      </c>
      <c r="G169" s="92"/>
      <c r="H169" s="92"/>
      <c r="I169" s="92"/>
      <c r="J169" s="259">
        <v>0.20481410969823799</v>
      </c>
      <c r="K169" s="83">
        <f>VLOOKUP($C$169,Prevs!$C$7:$I$279,2,FALSE)-IFERROR(VLOOKUP($D$169,Prevs!$C$7:$I$279,2,FALSE),0)</f>
        <v>688</v>
      </c>
      <c r="L169" s="81">
        <f>VLOOKUP($C$169,Prevs!$C$7:$I$279,3,FALSE)-IFERROR(VLOOKUP($D$169,Prevs!$C$7:$I$279,3,FALSE),0)</f>
        <v>643</v>
      </c>
      <c r="M169" s="81">
        <f>VLOOKUP($C$169,Prevs!$C$7:$I$279,4,FALSE)-IFERROR(VLOOKUP($D$169,Prevs!$C$7:$I$279,4,FALSE),0)</f>
        <v>568</v>
      </c>
      <c r="N169" s="81">
        <f>VLOOKUP($C$169,Prevs!$C$7:$I$279,5,FALSE)-IFERROR(VLOOKUP($D$169,Prevs!$C$7:$I$279,5,FALSE),0)</f>
        <v>441</v>
      </c>
      <c r="O169" s="81">
        <f>VLOOKUP($C$169,Prevs!$C$7:$I$279,6,FALSE)-IFERROR(VLOOKUP($D$169,Prevs!$C$7:$I$279,6,FALSE),0)</f>
        <v>428</v>
      </c>
      <c r="P169" s="84">
        <f>VLOOKUP($C$169,Prevs!$C$7:$I$279,7,FALSE)-IFERROR(VLOOKUP($D$169,Prevs!$C$7:$I$279,7,FALSE),0)</f>
        <v>374</v>
      </c>
      <c r="Q169" s="248">
        <f t="shared" ref="Q169:V169" si="248">K169*$J$169</f>
        <v>140.91210747238773</v>
      </c>
      <c r="R169" s="96">
        <f t="shared" si="248"/>
        <v>131.69547253596701</v>
      </c>
      <c r="S169" s="96">
        <f t="shared" si="248"/>
        <v>116.33441430859918</v>
      </c>
      <c r="T169" s="96">
        <f t="shared" si="248"/>
        <v>90.32302237692295</v>
      </c>
      <c r="U169" s="96">
        <f t="shared" si="248"/>
        <v>87.660438950845858</v>
      </c>
      <c r="V169" s="152">
        <f t="shared" si="248"/>
        <v>76.600477027141011</v>
      </c>
      <c r="X169" s="80"/>
      <c r="Y169" s="81"/>
      <c r="Z169" s="81"/>
      <c r="AA169" s="81"/>
      <c r="AB169" s="81"/>
      <c r="AC169" s="92"/>
      <c r="AD169" s="80"/>
      <c r="AE169" s="81"/>
      <c r="AF169" s="81"/>
      <c r="AG169" s="81"/>
      <c r="AH169" s="81"/>
      <c r="AI169" s="84"/>
    </row>
    <row r="170" spans="2:35" s="93" customFormat="1" ht="26.25" hidden="1" customHeight="1" x14ac:dyDescent="0.25">
      <c r="B170" s="151" t="s">
        <v>394</v>
      </c>
      <c r="C170" s="81"/>
      <c r="D170" s="92"/>
      <c r="E170" s="92"/>
      <c r="F170" s="92"/>
      <c r="G170" s="92"/>
      <c r="H170" s="92"/>
      <c r="I170" s="92"/>
      <c r="J170" s="259"/>
      <c r="K170" s="83"/>
      <c r="L170" s="81"/>
      <c r="M170" s="81"/>
      <c r="N170" s="81"/>
      <c r="O170" s="81"/>
      <c r="P170" s="84"/>
      <c r="Q170" s="248"/>
      <c r="R170" s="96"/>
      <c r="S170" s="96"/>
      <c r="T170" s="96"/>
      <c r="U170" s="96"/>
      <c r="V170" s="152"/>
      <c r="X170" s="80"/>
      <c r="Y170" s="81"/>
      <c r="Z170" s="81"/>
      <c r="AA170" s="81"/>
      <c r="AB170" s="81"/>
      <c r="AC170" s="92"/>
      <c r="AD170" s="80"/>
      <c r="AE170" s="81"/>
      <c r="AF170" s="81"/>
      <c r="AG170" s="81"/>
      <c r="AH170" s="81"/>
      <c r="AI170" s="84"/>
    </row>
    <row r="171" spans="2:35" s="93" customFormat="1" ht="26.25" hidden="1" customHeight="1" x14ac:dyDescent="0.25">
      <c r="B171" s="151" t="s">
        <v>392</v>
      </c>
      <c r="C171" s="81"/>
      <c r="D171" s="92"/>
      <c r="E171" s="92"/>
      <c r="F171" s="92"/>
      <c r="G171" s="92"/>
      <c r="H171" s="92"/>
      <c r="I171" s="92"/>
      <c r="J171" s="82"/>
      <c r="K171" s="83"/>
      <c r="L171" s="81"/>
      <c r="M171" s="81"/>
      <c r="N171" s="81"/>
      <c r="O171" s="81"/>
      <c r="P171" s="84"/>
      <c r="Q171" s="248"/>
      <c r="R171" s="96"/>
      <c r="S171" s="96"/>
      <c r="T171" s="96"/>
      <c r="U171" s="96"/>
      <c r="V171" s="152"/>
      <c r="X171" s="80"/>
      <c r="Y171" s="81"/>
      <c r="Z171" s="81"/>
      <c r="AA171" s="81"/>
      <c r="AB171" s="81"/>
      <c r="AC171" s="92"/>
      <c r="AD171" s="80"/>
      <c r="AE171" s="81"/>
      <c r="AF171" s="81"/>
      <c r="AG171" s="81"/>
      <c r="AH171" s="81"/>
      <c r="AI171" s="84"/>
    </row>
    <row r="172" spans="2:35" s="93" customFormat="1" ht="26.25" hidden="1" customHeight="1" thickBot="1" x14ac:dyDescent="0.3">
      <c r="B172" s="153" t="s">
        <v>393</v>
      </c>
      <c r="C172" s="154"/>
      <c r="D172" s="155"/>
      <c r="E172" s="155"/>
      <c r="F172" s="155"/>
      <c r="G172" s="155"/>
      <c r="H172" s="155"/>
      <c r="I172" s="155"/>
      <c r="J172" s="156"/>
      <c r="K172" s="157"/>
      <c r="L172" s="154"/>
      <c r="M172" s="154"/>
      <c r="N172" s="154"/>
      <c r="O172" s="154"/>
      <c r="P172" s="158"/>
      <c r="Q172" s="249"/>
      <c r="R172" s="159"/>
      <c r="S172" s="159"/>
      <c r="T172" s="159"/>
      <c r="U172" s="159"/>
      <c r="V172" s="160"/>
      <c r="X172" s="86"/>
      <c r="Y172" s="88"/>
      <c r="Z172" s="88"/>
      <c r="AA172" s="88"/>
      <c r="AB172" s="88"/>
      <c r="AC172" s="94"/>
      <c r="AD172" s="86"/>
      <c r="AE172" s="88"/>
      <c r="AF172" s="88"/>
      <c r="AG172" s="88"/>
      <c r="AH172" s="88"/>
      <c r="AI172" s="89"/>
    </row>
  </sheetData>
  <mergeCells count="2">
    <mergeCell ref="K1:V1"/>
    <mergeCell ref="X1:AI1"/>
  </mergeCells>
  <conditionalFormatting sqref="K2:P2">
    <cfRule type="cellIs" dxfId="3" priority="6" operator="equal">
      <formula>$J$4</formula>
    </cfRule>
  </conditionalFormatting>
  <conditionalFormatting sqref="Q2:V2">
    <cfRule type="cellIs" dxfId="2" priority="5" operator="equal">
      <formula>$J$4</formula>
    </cfRule>
  </conditionalFormatting>
  <conditionalFormatting sqref="X2:AC2">
    <cfRule type="cellIs" dxfId="1" priority="2" operator="equal">
      <formula>$J$4</formula>
    </cfRule>
  </conditionalFormatting>
  <conditionalFormatting sqref="AD2:AI2">
    <cfRule type="cellIs" dxfId="0" priority="1" operator="equal">
      <formula>$J$4</formula>
    </cfRule>
  </conditionalFormatting>
  <pageMargins left="0.511811024" right="0.511811024" top="0.78740157499999996" bottom="0.78740157499999996" header="0.31496062000000002" footer="0.31496062000000002"/>
  <ignoredErrors>
    <ignoredError sqref="U16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F9:M18"/>
  <sheetViews>
    <sheetView workbookViewId="0"/>
  </sheetViews>
  <sheetFormatPr defaultRowHeight="15" x14ac:dyDescent="0.25"/>
  <cols>
    <col min="1" max="5" width="9.140625" style="1"/>
    <col min="6" max="13" width="9.140625" style="52"/>
    <col min="14" max="16384" width="9.140625" style="1"/>
  </cols>
  <sheetData>
    <row r="9" spans="6:13" x14ac:dyDescent="0.25">
      <c r="F9" s="52">
        <v>156</v>
      </c>
      <c r="G9" s="255" t="s">
        <v>395</v>
      </c>
      <c r="H9" s="255">
        <v>360</v>
      </c>
      <c r="I9" s="255">
        <v>144</v>
      </c>
      <c r="J9" s="255">
        <v>141</v>
      </c>
      <c r="K9" s="255">
        <v>142</v>
      </c>
      <c r="L9" s="255">
        <v>151</v>
      </c>
      <c r="M9" s="255">
        <v>158</v>
      </c>
    </row>
    <row r="10" spans="6:13" x14ac:dyDescent="0.25">
      <c r="F10" s="52">
        <v>162</v>
      </c>
      <c r="G10" s="255" t="s">
        <v>395</v>
      </c>
      <c r="H10" s="255">
        <v>360</v>
      </c>
      <c r="I10" s="255">
        <v>39</v>
      </c>
      <c r="J10" s="255">
        <v>40</v>
      </c>
      <c r="K10" s="255">
        <v>34</v>
      </c>
      <c r="L10" s="255">
        <v>38</v>
      </c>
      <c r="M10" s="255">
        <v>42</v>
      </c>
    </row>
    <row r="12" spans="6:13" x14ac:dyDescent="0.25">
      <c r="F12" s="52">
        <v>156</v>
      </c>
      <c r="G12" s="255" t="s">
        <v>396</v>
      </c>
      <c r="H12" s="255"/>
      <c r="I12" s="255">
        <v>43</v>
      </c>
      <c r="J12" s="255">
        <v>33</v>
      </c>
      <c r="K12" s="255">
        <v>27</v>
      </c>
      <c r="L12" s="255">
        <v>24</v>
      </c>
      <c r="M12" s="255">
        <v>31</v>
      </c>
    </row>
    <row r="13" spans="6:13" x14ac:dyDescent="0.25">
      <c r="F13" s="52">
        <v>162</v>
      </c>
      <c r="G13" s="255" t="s">
        <v>396</v>
      </c>
      <c r="H13" s="255"/>
      <c r="I13" s="255">
        <v>16</v>
      </c>
      <c r="J13" s="255">
        <v>14</v>
      </c>
      <c r="K13" s="255">
        <v>10</v>
      </c>
      <c r="L13" s="255">
        <v>12</v>
      </c>
      <c r="M13" s="255">
        <v>15</v>
      </c>
    </row>
    <row r="15" spans="6:13" x14ac:dyDescent="0.25">
      <c r="I15" s="256"/>
      <c r="J15" s="256"/>
      <c r="K15" s="256"/>
      <c r="L15" s="256"/>
      <c r="M15" s="256"/>
    </row>
    <row r="17" spans="7:7" x14ac:dyDescent="0.25">
      <c r="G17" s="52">
        <f>1/7*151</f>
        <v>21.571428571428569</v>
      </c>
    </row>
    <row r="18" spans="7:7" x14ac:dyDescent="0.25">
      <c r="G18" s="52">
        <v>32.142857142857103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7" tint="0.39997558519241921"/>
  </sheetPr>
  <dimension ref="A2:N16"/>
  <sheetViews>
    <sheetView workbookViewId="0"/>
  </sheetViews>
  <sheetFormatPr defaultRowHeight="15" x14ac:dyDescent="0.25"/>
  <cols>
    <col min="1" max="1" width="5.42578125" style="1" customWidth="1"/>
    <col min="2" max="2" width="10.140625" style="1" bestFit="1" customWidth="1"/>
    <col min="3" max="14" width="12.140625" style="1" customWidth="1"/>
    <col min="15" max="16384" width="9.140625" style="1"/>
  </cols>
  <sheetData>
    <row r="2" spans="1:14" x14ac:dyDescent="0.25">
      <c r="B2" s="116"/>
      <c r="C2" s="117">
        <v>1</v>
      </c>
      <c r="D2" s="117">
        <v>2</v>
      </c>
      <c r="E2" s="117">
        <v>3</v>
      </c>
      <c r="F2" s="117">
        <v>4</v>
      </c>
      <c r="G2" s="117">
        <v>5</v>
      </c>
      <c r="H2" s="117">
        <v>6</v>
      </c>
      <c r="I2" s="117">
        <v>7</v>
      </c>
      <c r="J2" s="117">
        <v>8</v>
      </c>
      <c r="K2" s="117">
        <v>9</v>
      </c>
      <c r="L2" s="117">
        <v>10</v>
      </c>
      <c r="M2" s="117">
        <v>11</v>
      </c>
      <c r="N2" s="117">
        <v>12</v>
      </c>
    </row>
    <row r="3" spans="1:14" ht="15.75" x14ac:dyDescent="0.25">
      <c r="A3" s="529" t="s">
        <v>319</v>
      </c>
      <c r="B3" s="118" t="s">
        <v>320</v>
      </c>
      <c r="C3" s="119">
        <v>0</v>
      </c>
      <c r="D3" s="119">
        <v>0</v>
      </c>
      <c r="E3" s="119">
        <v>0</v>
      </c>
      <c r="F3" s="119">
        <v>0</v>
      </c>
      <c r="G3" s="119">
        <v>0</v>
      </c>
      <c r="H3" s="119">
        <v>0</v>
      </c>
      <c r="I3" s="119">
        <v>0</v>
      </c>
      <c r="J3" s="119">
        <v>0</v>
      </c>
      <c r="K3" s="119">
        <v>0</v>
      </c>
      <c r="L3" s="119">
        <v>0</v>
      </c>
      <c r="M3" s="119">
        <v>0</v>
      </c>
      <c r="N3" s="119">
        <v>0</v>
      </c>
    </row>
    <row r="4" spans="1:14" ht="15.75" x14ac:dyDescent="0.25">
      <c r="A4" s="529"/>
      <c r="B4" s="118" t="s">
        <v>321</v>
      </c>
      <c r="C4" s="119">
        <v>0</v>
      </c>
      <c r="D4" s="119">
        <v>0</v>
      </c>
      <c r="E4" s="119">
        <v>0</v>
      </c>
      <c r="F4" s="119">
        <v>0</v>
      </c>
      <c r="G4" s="119">
        <v>0</v>
      </c>
      <c r="H4" s="119">
        <v>0</v>
      </c>
      <c r="I4" s="119">
        <v>0</v>
      </c>
      <c r="J4" s="119">
        <v>0</v>
      </c>
      <c r="K4" s="119">
        <v>0</v>
      </c>
      <c r="L4" s="119">
        <v>0</v>
      </c>
      <c r="M4" s="119">
        <v>0</v>
      </c>
      <c r="N4" s="119">
        <v>0</v>
      </c>
    </row>
    <row r="5" spans="1:14" ht="15.75" x14ac:dyDescent="0.25">
      <c r="A5" s="529"/>
      <c r="B5" s="118" t="s">
        <v>322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19">
        <v>0</v>
      </c>
      <c r="J5" s="119">
        <v>0</v>
      </c>
      <c r="K5" s="119">
        <v>0</v>
      </c>
      <c r="L5" s="119">
        <v>0</v>
      </c>
      <c r="M5" s="119">
        <v>0</v>
      </c>
      <c r="N5" s="119">
        <v>0</v>
      </c>
    </row>
    <row r="6" spans="1:14" ht="15.75" x14ac:dyDescent="0.25">
      <c r="A6" s="529"/>
      <c r="B6" s="118" t="s">
        <v>323</v>
      </c>
      <c r="C6" s="119">
        <v>0</v>
      </c>
      <c r="D6" s="119">
        <v>0</v>
      </c>
      <c r="E6" s="119">
        <v>0</v>
      </c>
      <c r="F6" s="119">
        <v>0</v>
      </c>
      <c r="G6" s="119">
        <v>0</v>
      </c>
      <c r="H6" s="119">
        <v>0</v>
      </c>
      <c r="I6" s="119">
        <v>0</v>
      </c>
      <c r="J6" s="119">
        <v>0</v>
      </c>
      <c r="K6" s="119">
        <v>0</v>
      </c>
      <c r="L6" s="119">
        <v>0</v>
      </c>
      <c r="M6" s="119">
        <v>0</v>
      </c>
      <c r="N6" s="119">
        <v>0</v>
      </c>
    </row>
    <row r="7" spans="1:14" ht="15.75" customHeight="1" x14ac:dyDescent="0.25"/>
    <row r="8" spans="1:14" s="122" customFormat="1" ht="24.75" customHeight="1" x14ac:dyDescent="0.25"/>
    <row r="9" spans="1:14" s="122" customFormat="1" ht="24.75" customHeight="1" x14ac:dyDescent="0.25"/>
    <row r="10" spans="1:14" s="122" customFormat="1" ht="24.75" customHeight="1" x14ac:dyDescent="0.25"/>
    <row r="11" spans="1:14" s="122" customFormat="1" ht="24.75" customHeight="1" x14ac:dyDescent="0.25">
      <c r="B11" s="122">
        <v>0</v>
      </c>
    </row>
    <row r="12" spans="1:14" s="122" customFormat="1" ht="24.75" customHeight="1" x14ac:dyDescent="0.25">
      <c r="B12" s="122">
        <v>1</v>
      </c>
    </row>
    <row r="13" spans="1:14" s="122" customFormat="1" ht="24.75" customHeight="1" x14ac:dyDescent="0.25">
      <c r="B13" s="122">
        <v>2</v>
      </c>
    </row>
    <row r="14" spans="1:14" s="122" customFormat="1" ht="24.75" customHeight="1" x14ac:dyDescent="0.25">
      <c r="B14" s="122">
        <v>3</v>
      </c>
    </row>
    <row r="15" spans="1:14" x14ac:dyDescent="0.25">
      <c r="B15" s="1">
        <v>4</v>
      </c>
    </row>
    <row r="16" spans="1:14" x14ac:dyDescent="0.25">
      <c r="B16" s="1">
        <v>5</v>
      </c>
    </row>
  </sheetData>
  <mergeCells count="1">
    <mergeCell ref="A3:A6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3:E14"/>
  <sheetViews>
    <sheetView workbookViewId="0"/>
  </sheetViews>
  <sheetFormatPr defaultRowHeight="15" x14ac:dyDescent="0.25"/>
  <cols>
    <col min="1" max="1" width="9.140625" style="1"/>
    <col min="2" max="2" width="12.5703125" style="52" customWidth="1"/>
    <col min="3" max="3" width="9.140625" style="1"/>
    <col min="4" max="4" width="11.85546875" style="1" customWidth="1"/>
    <col min="5" max="16384" width="9.140625" style="1"/>
  </cols>
  <sheetData>
    <row r="3" spans="2:5" x14ac:dyDescent="0.25">
      <c r="B3" s="52" t="s">
        <v>69</v>
      </c>
      <c r="C3" s="1" t="s">
        <v>398</v>
      </c>
      <c r="D3" s="1">
        <v>1</v>
      </c>
      <c r="E3" s="1">
        <v>1</v>
      </c>
    </row>
    <row r="4" spans="2:5" x14ac:dyDescent="0.25">
      <c r="B4" s="52" t="s">
        <v>70</v>
      </c>
      <c r="C4" s="1" t="s">
        <v>399</v>
      </c>
      <c r="D4" s="1">
        <v>2</v>
      </c>
      <c r="E4" s="1">
        <v>2</v>
      </c>
    </row>
    <row r="5" spans="2:5" x14ac:dyDescent="0.25">
      <c r="B5" s="52" t="s">
        <v>71</v>
      </c>
      <c r="C5" s="1" t="s">
        <v>400</v>
      </c>
      <c r="D5" s="1">
        <v>3</v>
      </c>
      <c r="E5" s="1">
        <v>3</v>
      </c>
    </row>
    <row r="6" spans="2:5" x14ac:dyDescent="0.25">
      <c r="B6" s="52" t="s">
        <v>72</v>
      </c>
      <c r="C6" s="1" t="s">
        <v>401</v>
      </c>
      <c r="D6" s="1">
        <v>4</v>
      </c>
      <c r="E6" s="1">
        <v>4</v>
      </c>
    </row>
    <row r="7" spans="2:5" x14ac:dyDescent="0.25">
      <c r="B7" s="52" t="s">
        <v>73</v>
      </c>
      <c r="C7" s="1" t="s">
        <v>402</v>
      </c>
      <c r="D7" s="1">
        <v>5</v>
      </c>
      <c r="E7" s="1">
        <v>5</v>
      </c>
    </row>
    <row r="8" spans="2:5" x14ac:dyDescent="0.25">
      <c r="B8" s="52" t="s">
        <v>74</v>
      </c>
      <c r="D8" s="1">
        <v>6</v>
      </c>
      <c r="E8" s="1">
        <v>6</v>
      </c>
    </row>
    <row r="9" spans="2:5" x14ac:dyDescent="0.25">
      <c r="D9" s="1">
        <v>7</v>
      </c>
      <c r="E9" s="1">
        <v>7</v>
      </c>
    </row>
    <row r="10" spans="2:5" x14ac:dyDescent="0.25">
      <c r="D10" s="1">
        <v>8</v>
      </c>
      <c r="E10" s="1">
        <v>8</v>
      </c>
    </row>
    <row r="11" spans="2:5" x14ac:dyDescent="0.25">
      <c r="D11" s="1">
        <v>9</v>
      </c>
      <c r="E11" s="1">
        <v>9</v>
      </c>
    </row>
    <row r="12" spans="2:5" x14ac:dyDescent="0.25">
      <c r="D12" s="1">
        <v>10</v>
      </c>
      <c r="E12" s="1">
        <v>10</v>
      </c>
    </row>
    <row r="13" spans="2:5" x14ac:dyDescent="0.25">
      <c r="D13" s="1">
        <v>11</v>
      </c>
      <c r="E13" s="1">
        <v>11</v>
      </c>
    </row>
    <row r="14" spans="2:5" x14ac:dyDescent="0.25">
      <c r="D14" s="1">
        <v>12</v>
      </c>
      <c r="E14" s="1">
        <v>12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7" tint="0.39997558519241921"/>
  </sheetPr>
  <dimension ref="A1:E179"/>
  <sheetViews>
    <sheetView workbookViewId="0"/>
  </sheetViews>
  <sheetFormatPr defaultRowHeight="15" x14ac:dyDescent="0.25"/>
  <cols>
    <col min="1" max="1" width="31.7109375" bestFit="1" customWidth="1"/>
    <col min="2" max="2" width="13.5703125" style="298" bestFit="1" customWidth="1"/>
    <col min="3" max="3" width="7.7109375" bestFit="1" customWidth="1"/>
    <col min="4" max="4" width="16.42578125" bestFit="1" customWidth="1"/>
  </cols>
  <sheetData>
    <row r="1" spans="1:4" ht="15.75" x14ac:dyDescent="0.25">
      <c r="A1" s="299" t="s">
        <v>601</v>
      </c>
      <c r="B1" s="299" t="s">
        <v>203</v>
      </c>
      <c r="C1" s="299" t="s">
        <v>602</v>
      </c>
      <c r="D1" s="299" t="s">
        <v>310</v>
      </c>
    </row>
    <row r="2" spans="1:4" x14ac:dyDescent="0.25">
      <c r="A2" s="337" t="s">
        <v>78</v>
      </c>
      <c r="B2" s="337">
        <v>1</v>
      </c>
      <c r="C2" s="337">
        <v>1</v>
      </c>
      <c r="D2" s="339">
        <v>0.1971</v>
      </c>
    </row>
    <row r="3" spans="1:4" x14ac:dyDescent="0.25">
      <c r="A3" s="337" t="s">
        <v>79</v>
      </c>
      <c r="B3" s="337">
        <v>1</v>
      </c>
      <c r="C3" s="337">
        <v>2</v>
      </c>
      <c r="D3" s="339">
        <v>0.2447</v>
      </c>
    </row>
    <row r="4" spans="1:4" x14ac:dyDescent="0.25">
      <c r="A4" s="337" t="s">
        <v>58</v>
      </c>
      <c r="B4" s="337">
        <v>1</v>
      </c>
      <c r="C4" s="337">
        <v>6</v>
      </c>
      <c r="D4" s="339">
        <v>0.77259999999999995</v>
      </c>
    </row>
    <row r="5" spans="1:4" x14ac:dyDescent="0.25">
      <c r="A5" s="337" t="s">
        <v>81</v>
      </c>
      <c r="B5" s="337">
        <v>1</v>
      </c>
      <c r="C5" s="337">
        <v>7</v>
      </c>
      <c r="D5" s="339">
        <v>0.3337</v>
      </c>
    </row>
    <row r="6" spans="1:4" x14ac:dyDescent="0.25">
      <c r="A6" s="337" t="s">
        <v>82</v>
      </c>
      <c r="B6" s="337">
        <v>1</v>
      </c>
      <c r="C6" s="337">
        <v>8</v>
      </c>
      <c r="D6" s="339">
        <v>0.56269999999999998</v>
      </c>
    </row>
    <row r="7" spans="1:4" x14ac:dyDescent="0.25">
      <c r="A7" s="337" t="s">
        <v>83</v>
      </c>
      <c r="B7" s="337">
        <v>1</v>
      </c>
      <c r="C7" s="337">
        <v>9</v>
      </c>
      <c r="D7" s="339">
        <v>0.40429999999999999</v>
      </c>
    </row>
    <row r="8" spans="1:4" x14ac:dyDescent="0.25">
      <c r="A8" s="337" t="s">
        <v>84</v>
      </c>
      <c r="B8" s="337">
        <v>1</v>
      </c>
      <c r="C8" s="337">
        <v>10</v>
      </c>
      <c r="D8" s="339">
        <v>0.1525</v>
      </c>
    </row>
    <row r="9" spans="1:4" x14ac:dyDescent="0.25">
      <c r="A9" s="337" t="s">
        <v>85</v>
      </c>
      <c r="B9" s="337">
        <v>1</v>
      </c>
      <c r="C9" s="337">
        <v>11</v>
      </c>
      <c r="D9" s="339">
        <v>0.2472</v>
      </c>
    </row>
    <row r="10" spans="1:4" x14ac:dyDescent="0.25">
      <c r="A10" s="337" t="s">
        <v>86</v>
      </c>
      <c r="B10" s="337">
        <v>1</v>
      </c>
      <c r="C10" s="337">
        <v>12</v>
      </c>
      <c r="D10" s="339">
        <v>0.20380000000000001</v>
      </c>
    </row>
    <row r="11" spans="1:4" x14ac:dyDescent="0.25">
      <c r="A11" s="337" t="s">
        <v>87</v>
      </c>
      <c r="B11" s="337">
        <v>1</v>
      </c>
      <c r="C11" s="337">
        <v>14</v>
      </c>
      <c r="D11" s="339">
        <v>0.81459999999999999</v>
      </c>
    </row>
    <row r="12" spans="1:4" x14ac:dyDescent="0.25">
      <c r="A12" s="337" t="s">
        <v>88</v>
      </c>
      <c r="B12" s="337">
        <v>1</v>
      </c>
      <c r="C12" s="337">
        <v>15</v>
      </c>
      <c r="D12" s="339">
        <v>0.74609999999999999</v>
      </c>
    </row>
    <row r="13" spans="1:4" x14ac:dyDescent="0.25">
      <c r="A13" s="337" t="s">
        <v>89</v>
      </c>
      <c r="B13" s="337">
        <v>1</v>
      </c>
      <c r="C13" s="337">
        <v>16</v>
      </c>
      <c r="D13" s="339">
        <v>0.2064</v>
      </c>
    </row>
    <row r="14" spans="1:4" x14ac:dyDescent="0.25">
      <c r="A14" s="337" t="s">
        <v>90</v>
      </c>
      <c r="B14" s="337">
        <v>1</v>
      </c>
      <c r="C14" s="337">
        <v>17</v>
      </c>
      <c r="D14" s="339">
        <v>0.49390000000000001</v>
      </c>
    </row>
    <row r="15" spans="1:4" x14ac:dyDescent="0.25">
      <c r="A15" s="337" t="s">
        <v>91</v>
      </c>
      <c r="B15" s="337">
        <v>1</v>
      </c>
      <c r="C15" s="337">
        <v>18</v>
      </c>
      <c r="D15" s="339">
        <v>0.47099999999999997</v>
      </c>
    </row>
    <row r="16" spans="1:4" x14ac:dyDescent="0.25">
      <c r="A16" s="337" t="s">
        <v>96</v>
      </c>
      <c r="B16" s="337">
        <v>1</v>
      </c>
      <c r="C16" s="337">
        <v>22</v>
      </c>
      <c r="D16" s="339">
        <v>0.35020000000000001</v>
      </c>
    </row>
    <row r="17" spans="1:4" x14ac:dyDescent="0.25">
      <c r="A17" s="337" t="s">
        <v>102</v>
      </c>
      <c r="B17" s="337">
        <v>1</v>
      </c>
      <c r="C17" s="337">
        <v>23</v>
      </c>
      <c r="D17" s="339">
        <v>0.36209999999999998</v>
      </c>
    </row>
    <row r="18" spans="1:4" x14ac:dyDescent="0.25">
      <c r="A18" s="337" t="s">
        <v>59</v>
      </c>
      <c r="B18" s="337">
        <v>1</v>
      </c>
      <c r="C18" s="337">
        <v>24</v>
      </c>
      <c r="D18" s="339">
        <v>1.1027</v>
      </c>
    </row>
    <row r="19" spans="1:4" x14ac:dyDescent="0.25">
      <c r="A19" s="337" t="s">
        <v>60</v>
      </c>
      <c r="B19" s="337">
        <v>1</v>
      </c>
      <c r="C19" s="337">
        <v>25</v>
      </c>
      <c r="D19" s="339">
        <v>1.0024999999999999</v>
      </c>
    </row>
    <row r="20" spans="1:4" x14ac:dyDescent="0.25">
      <c r="A20" s="337" t="s">
        <v>100</v>
      </c>
      <c r="B20" s="337">
        <v>1</v>
      </c>
      <c r="C20" s="337">
        <v>28</v>
      </c>
      <c r="D20" s="339">
        <v>0.40179999999999999</v>
      </c>
    </row>
    <row r="21" spans="1:4" x14ac:dyDescent="0.25">
      <c r="A21" s="337" t="s">
        <v>104</v>
      </c>
      <c r="B21" s="337">
        <v>1</v>
      </c>
      <c r="C21" s="337">
        <v>31</v>
      </c>
      <c r="D21" s="339">
        <v>0.68130000000000002</v>
      </c>
    </row>
    <row r="22" spans="1:4" x14ac:dyDescent="0.25">
      <c r="A22" s="337" t="s">
        <v>105</v>
      </c>
      <c r="B22" s="337">
        <v>1</v>
      </c>
      <c r="C22" s="337">
        <v>32</v>
      </c>
      <c r="D22" s="339">
        <v>0.28260000000000002</v>
      </c>
    </row>
    <row r="23" spans="1:4" x14ac:dyDescent="0.25">
      <c r="A23" s="337" t="s">
        <v>106</v>
      </c>
      <c r="B23" s="337">
        <v>1</v>
      </c>
      <c r="C23" s="337">
        <v>33</v>
      </c>
      <c r="D23" s="339">
        <v>0.62409999999999999</v>
      </c>
    </row>
    <row r="24" spans="1:4" x14ac:dyDescent="0.25">
      <c r="A24" s="337" t="s">
        <v>138</v>
      </c>
      <c r="B24" s="337">
        <v>1</v>
      </c>
      <c r="C24" s="337">
        <v>34</v>
      </c>
      <c r="D24" s="339">
        <v>0.3901</v>
      </c>
    </row>
    <row r="25" spans="1:4" x14ac:dyDescent="0.25">
      <c r="A25" s="337" t="s">
        <v>126</v>
      </c>
      <c r="B25" s="337">
        <v>1</v>
      </c>
      <c r="C25" s="337">
        <v>47</v>
      </c>
      <c r="D25" s="339">
        <v>0.29260000000000003</v>
      </c>
    </row>
    <row r="26" spans="1:4" x14ac:dyDescent="0.25">
      <c r="A26" s="337" t="s">
        <v>127</v>
      </c>
      <c r="B26" s="337">
        <v>1</v>
      </c>
      <c r="C26" s="337">
        <v>48</v>
      </c>
      <c r="D26" s="339">
        <v>0.2296</v>
      </c>
    </row>
    <row r="27" spans="1:4" x14ac:dyDescent="0.25">
      <c r="A27" s="337" t="s">
        <v>128</v>
      </c>
      <c r="B27" s="337">
        <v>1</v>
      </c>
      <c r="C27" s="337">
        <v>49</v>
      </c>
      <c r="D27" s="339">
        <v>0.62470000000000003</v>
      </c>
    </row>
    <row r="28" spans="1:4" x14ac:dyDescent="0.25">
      <c r="A28" s="337" t="s">
        <v>130</v>
      </c>
      <c r="B28" s="337">
        <v>1</v>
      </c>
      <c r="C28" s="337">
        <v>50</v>
      </c>
      <c r="D28" s="339">
        <v>0.1497</v>
      </c>
    </row>
    <row r="29" spans="1:4" x14ac:dyDescent="0.25">
      <c r="A29" s="337" t="s">
        <v>131</v>
      </c>
      <c r="B29" s="337">
        <v>1</v>
      </c>
      <c r="C29" s="337">
        <v>51</v>
      </c>
      <c r="D29" s="339">
        <v>0.12889999999999999</v>
      </c>
    </row>
    <row r="30" spans="1:4" x14ac:dyDescent="0.25">
      <c r="A30" s="337" t="s">
        <v>132</v>
      </c>
      <c r="B30" s="337">
        <v>1</v>
      </c>
      <c r="C30" s="337">
        <v>52</v>
      </c>
      <c r="D30" s="339">
        <v>0.15090000000000001</v>
      </c>
    </row>
    <row r="31" spans="1:4" x14ac:dyDescent="0.25">
      <c r="A31" s="337" t="s">
        <v>242</v>
      </c>
      <c r="B31" s="337">
        <v>2</v>
      </c>
      <c r="C31" s="337">
        <v>57</v>
      </c>
      <c r="D31" s="339">
        <v>1.0462</v>
      </c>
    </row>
    <row r="32" spans="1:4" x14ac:dyDescent="0.25">
      <c r="A32" s="337" t="s">
        <v>133</v>
      </c>
      <c r="B32" s="337">
        <v>1</v>
      </c>
      <c r="C32" s="337">
        <v>61</v>
      </c>
      <c r="D32" s="339">
        <v>0.37119999999999997</v>
      </c>
    </row>
    <row r="33" spans="1:4" x14ac:dyDescent="0.25">
      <c r="A33" s="337" t="s">
        <v>134</v>
      </c>
      <c r="B33" s="337">
        <v>1</v>
      </c>
      <c r="C33" s="337">
        <v>62</v>
      </c>
      <c r="D33" s="339">
        <v>0.2243</v>
      </c>
    </row>
    <row r="34" spans="1:4" x14ac:dyDescent="0.25">
      <c r="A34" s="337" t="s">
        <v>135</v>
      </c>
      <c r="B34" s="337">
        <v>1</v>
      </c>
      <c r="C34" s="337">
        <v>63</v>
      </c>
      <c r="D34" s="339">
        <v>0.18629999999999999</v>
      </c>
    </row>
    <row r="35" spans="1:4" x14ac:dyDescent="0.25">
      <c r="A35" s="337" t="s">
        <v>207</v>
      </c>
      <c r="B35" s="337">
        <v>2</v>
      </c>
      <c r="C35" s="337">
        <v>71</v>
      </c>
      <c r="D35" s="339">
        <v>0.81330000000000002</v>
      </c>
    </row>
    <row r="36" spans="1:4" x14ac:dyDescent="0.25">
      <c r="A36" s="337" t="s">
        <v>208</v>
      </c>
      <c r="B36" s="337">
        <v>2</v>
      </c>
      <c r="C36" s="337">
        <v>72</v>
      </c>
      <c r="D36" s="339">
        <v>0.82989999999999997</v>
      </c>
    </row>
    <row r="37" spans="1:4" x14ac:dyDescent="0.25">
      <c r="A37" s="337" t="s">
        <v>603</v>
      </c>
      <c r="B37" s="337">
        <v>2</v>
      </c>
      <c r="C37" s="337">
        <v>73</v>
      </c>
      <c r="D37" s="339">
        <v>0</v>
      </c>
    </row>
    <row r="38" spans="1:4" x14ac:dyDescent="0.25">
      <c r="A38" s="337" t="s">
        <v>61</v>
      </c>
      <c r="B38" s="337">
        <v>2</v>
      </c>
      <c r="C38" s="337">
        <v>74</v>
      </c>
      <c r="D38" s="339">
        <v>1.1476999999999999</v>
      </c>
    </row>
    <row r="39" spans="1:4" x14ac:dyDescent="0.25">
      <c r="A39" s="337" t="s">
        <v>604</v>
      </c>
      <c r="B39" s="337">
        <v>2</v>
      </c>
      <c r="C39" s="337">
        <v>76</v>
      </c>
      <c r="D39" s="339">
        <v>0</v>
      </c>
    </row>
    <row r="40" spans="1:4" x14ac:dyDescent="0.25">
      <c r="A40" s="337" t="s">
        <v>210</v>
      </c>
      <c r="B40" s="337">
        <v>2</v>
      </c>
      <c r="C40" s="337">
        <v>77</v>
      </c>
      <c r="D40" s="339">
        <v>0.878</v>
      </c>
    </row>
    <row r="41" spans="1:4" x14ac:dyDescent="0.25">
      <c r="A41" s="337" t="s">
        <v>211</v>
      </c>
      <c r="B41" s="337">
        <v>2</v>
      </c>
      <c r="C41" s="337">
        <v>78</v>
      </c>
      <c r="D41" s="339">
        <v>0.63070000000000004</v>
      </c>
    </row>
    <row r="42" spans="1:4" x14ac:dyDescent="0.25">
      <c r="A42" s="337" t="s">
        <v>225</v>
      </c>
      <c r="B42" s="337">
        <v>2</v>
      </c>
      <c r="C42" s="337">
        <v>89</v>
      </c>
      <c r="D42" s="339">
        <v>0.3851</v>
      </c>
    </row>
    <row r="43" spans="1:4" x14ac:dyDescent="0.25">
      <c r="A43" s="337" t="s">
        <v>63</v>
      </c>
      <c r="B43" s="337">
        <v>2</v>
      </c>
      <c r="C43" s="337">
        <v>92</v>
      </c>
      <c r="D43" s="339">
        <v>0.91859999999999997</v>
      </c>
    </row>
    <row r="44" spans="1:4" x14ac:dyDescent="0.25">
      <c r="A44" s="337" t="s">
        <v>279</v>
      </c>
      <c r="B44" s="337">
        <v>2</v>
      </c>
      <c r="C44" s="337">
        <v>93</v>
      </c>
      <c r="D44" s="339">
        <v>2.2427000000000001</v>
      </c>
    </row>
    <row r="45" spans="1:4" x14ac:dyDescent="0.25">
      <c r="A45" s="337" t="s">
        <v>230</v>
      </c>
      <c r="B45" s="337">
        <v>2</v>
      </c>
      <c r="C45" s="337">
        <v>94</v>
      </c>
      <c r="D45" s="339">
        <v>0.45889999999999997</v>
      </c>
    </row>
    <row r="46" spans="1:4" x14ac:dyDescent="0.25">
      <c r="A46" s="337" t="s">
        <v>219</v>
      </c>
      <c r="B46" s="337">
        <v>2</v>
      </c>
      <c r="C46" s="337">
        <v>97</v>
      </c>
      <c r="D46" s="339">
        <v>0.36009999999999998</v>
      </c>
    </row>
    <row r="47" spans="1:4" x14ac:dyDescent="0.25">
      <c r="A47" s="337" t="s">
        <v>220</v>
      </c>
      <c r="B47" s="337">
        <v>2</v>
      </c>
      <c r="C47" s="337">
        <v>98</v>
      </c>
      <c r="D47" s="339">
        <v>0.75849999999999995</v>
      </c>
    </row>
    <row r="48" spans="1:4" x14ac:dyDescent="0.25">
      <c r="A48" s="337" t="s">
        <v>112</v>
      </c>
      <c r="B48" s="337">
        <v>1</v>
      </c>
      <c r="C48" s="337">
        <v>99</v>
      </c>
      <c r="D48" s="339">
        <v>0.39950000000000002</v>
      </c>
    </row>
    <row r="49" spans="1:4" x14ac:dyDescent="0.25">
      <c r="A49" s="337" t="s">
        <v>239</v>
      </c>
      <c r="B49" s="337">
        <v>2</v>
      </c>
      <c r="C49" s="337">
        <v>101</v>
      </c>
      <c r="D49" s="339">
        <v>1.7836000000000001</v>
      </c>
    </row>
    <row r="50" spans="1:4" x14ac:dyDescent="0.25">
      <c r="A50" s="337" t="s">
        <v>232</v>
      </c>
      <c r="B50" s="337">
        <v>2</v>
      </c>
      <c r="C50" s="337">
        <v>102</v>
      </c>
      <c r="D50" s="339">
        <v>0.19850000000000001</v>
      </c>
    </row>
    <row r="51" spans="1:4" x14ac:dyDescent="0.25">
      <c r="A51" s="337" t="s">
        <v>233</v>
      </c>
      <c r="B51" s="337">
        <v>2</v>
      </c>
      <c r="C51" s="337">
        <v>103</v>
      </c>
      <c r="D51" s="339">
        <v>0.26290000000000002</v>
      </c>
    </row>
    <row r="52" spans="1:4" x14ac:dyDescent="0.25">
      <c r="A52" s="337" t="s">
        <v>466</v>
      </c>
      <c r="B52" s="337">
        <v>1</v>
      </c>
      <c r="C52" s="337">
        <v>104</v>
      </c>
      <c r="D52" s="339">
        <v>0</v>
      </c>
    </row>
    <row r="53" spans="1:4" x14ac:dyDescent="0.25">
      <c r="A53" s="337" t="s">
        <v>469</v>
      </c>
      <c r="B53" s="337">
        <v>1</v>
      </c>
      <c r="C53" s="337">
        <v>109</v>
      </c>
      <c r="D53" s="339">
        <v>0</v>
      </c>
    </row>
    <row r="54" spans="1:4" x14ac:dyDescent="0.25">
      <c r="A54" s="337" t="s">
        <v>215</v>
      </c>
      <c r="B54" s="337">
        <v>2</v>
      </c>
      <c r="C54" s="337">
        <v>110</v>
      </c>
      <c r="D54" s="339">
        <v>0</v>
      </c>
    </row>
    <row r="55" spans="1:4" x14ac:dyDescent="0.25">
      <c r="A55" s="337" t="s">
        <v>272</v>
      </c>
      <c r="B55" s="337">
        <v>2</v>
      </c>
      <c r="C55" s="337">
        <v>111</v>
      </c>
      <c r="D55" s="339">
        <v>0.37969999999999998</v>
      </c>
    </row>
    <row r="56" spans="1:4" x14ac:dyDescent="0.25">
      <c r="A56" s="337" t="s">
        <v>471</v>
      </c>
      <c r="B56" s="337">
        <v>2</v>
      </c>
      <c r="C56" s="337">
        <v>112</v>
      </c>
      <c r="D56" s="339">
        <v>0.82820000000000005</v>
      </c>
    </row>
    <row r="57" spans="1:4" x14ac:dyDescent="0.25">
      <c r="A57" s="337" t="s">
        <v>274</v>
      </c>
      <c r="B57" s="337">
        <v>2</v>
      </c>
      <c r="C57" s="337">
        <v>113</v>
      </c>
      <c r="D57" s="339">
        <v>0.82589999999999997</v>
      </c>
    </row>
    <row r="58" spans="1:4" x14ac:dyDescent="0.25">
      <c r="A58" s="337" t="s">
        <v>218</v>
      </c>
      <c r="B58" s="337">
        <v>2</v>
      </c>
      <c r="C58" s="337">
        <v>114</v>
      </c>
      <c r="D58" s="339">
        <v>0.34320000000000001</v>
      </c>
    </row>
    <row r="59" spans="1:4" x14ac:dyDescent="0.25">
      <c r="A59" s="337" t="s">
        <v>605</v>
      </c>
      <c r="B59" s="337">
        <v>2</v>
      </c>
      <c r="C59" s="337">
        <v>115</v>
      </c>
      <c r="D59" s="339">
        <v>6.5259</v>
      </c>
    </row>
    <row r="60" spans="1:4" x14ac:dyDescent="0.25">
      <c r="A60" s="337" t="s">
        <v>475</v>
      </c>
      <c r="B60" s="337">
        <v>1</v>
      </c>
      <c r="C60" s="337">
        <v>116</v>
      </c>
      <c r="D60" s="339">
        <v>0</v>
      </c>
    </row>
    <row r="61" spans="1:4" x14ac:dyDescent="0.25">
      <c r="A61" s="337" t="s">
        <v>269</v>
      </c>
      <c r="B61" s="337">
        <v>1</v>
      </c>
      <c r="C61" s="337">
        <v>117</v>
      </c>
      <c r="D61" s="339">
        <v>0</v>
      </c>
    </row>
    <row r="62" spans="1:4" x14ac:dyDescent="0.25">
      <c r="A62" s="337" t="s">
        <v>270</v>
      </c>
      <c r="B62" s="337">
        <v>1</v>
      </c>
      <c r="C62" s="337">
        <v>118</v>
      </c>
      <c r="D62" s="339">
        <v>0</v>
      </c>
    </row>
    <row r="63" spans="1:4" x14ac:dyDescent="0.25">
      <c r="A63" s="337" t="s">
        <v>480</v>
      </c>
      <c r="B63" s="337">
        <v>1</v>
      </c>
      <c r="C63" s="337">
        <v>119</v>
      </c>
      <c r="D63" s="339">
        <v>0</v>
      </c>
    </row>
    <row r="64" spans="1:4" x14ac:dyDescent="0.25">
      <c r="A64" s="337" t="s">
        <v>146</v>
      </c>
      <c r="B64" s="337">
        <v>1</v>
      </c>
      <c r="C64" s="337">
        <v>120</v>
      </c>
      <c r="D64" s="339">
        <v>0.50460000000000005</v>
      </c>
    </row>
    <row r="65" spans="1:4" x14ac:dyDescent="0.25">
      <c r="A65" s="337" t="s">
        <v>147</v>
      </c>
      <c r="B65" s="337">
        <v>1</v>
      </c>
      <c r="C65" s="337">
        <v>121</v>
      </c>
      <c r="D65" s="339">
        <v>0.70030000000000003</v>
      </c>
    </row>
    <row r="66" spans="1:4" x14ac:dyDescent="0.25">
      <c r="A66" s="337" t="s">
        <v>148</v>
      </c>
      <c r="B66" s="337">
        <v>1</v>
      </c>
      <c r="C66" s="337">
        <v>122</v>
      </c>
      <c r="D66" s="339">
        <v>0.35239999999999999</v>
      </c>
    </row>
    <row r="67" spans="1:4" x14ac:dyDescent="0.25">
      <c r="A67" s="337" t="s">
        <v>149</v>
      </c>
      <c r="B67" s="337">
        <v>1</v>
      </c>
      <c r="C67" s="337">
        <v>123</v>
      </c>
      <c r="D67" s="339">
        <v>0.53269999999999995</v>
      </c>
    </row>
    <row r="68" spans="1:4" x14ac:dyDescent="0.25">
      <c r="A68" s="337" t="s">
        <v>606</v>
      </c>
      <c r="B68" s="337">
        <v>1</v>
      </c>
      <c r="C68" s="337">
        <v>125</v>
      </c>
      <c r="D68" s="339">
        <v>0</v>
      </c>
    </row>
    <row r="69" spans="1:4" x14ac:dyDescent="0.25">
      <c r="A69" s="337" t="s">
        <v>607</v>
      </c>
      <c r="B69" s="337">
        <v>1</v>
      </c>
      <c r="C69" s="337">
        <v>129</v>
      </c>
      <c r="D69" s="339">
        <v>0</v>
      </c>
    </row>
    <row r="70" spans="1:4" x14ac:dyDescent="0.25">
      <c r="A70" s="337" t="s">
        <v>608</v>
      </c>
      <c r="B70" s="337">
        <v>1</v>
      </c>
      <c r="C70" s="337">
        <v>130</v>
      </c>
      <c r="D70" s="339">
        <v>0</v>
      </c>
    </row>
    <row r="71" spans="1:4" x14ac:dyDescent="0.25">
      <c r="A71" s="337" t="s">
        <v>166</v>
      </c>
      <c r="B71" s="337">
        <v>1</v>
      </c>
      <c r="C71" s="337">
        <v>134</v>
      </c>
      <c r="D71" s="339">
        <v>0.78290000000000004</v>
      </c>
    </row>
    <row r="72" spans="1:4" x14ac:dyDescent="0.25">
      <c r="A72" s="337" t="s">
        <v>169</v>
      </c>
      <c r="B72" s="337">
        <v>1</v>
      </c>
      <c r="C72" s="337">
        <v>141</v>
      </c>
      <c r="D72" s="339">
        <v>0.1623</v>
      </c>
    </row>
    <row r="73" spans="1:4" x14ac:dyDescent="0.25">
      <c r="A73" s="337" t="s">
        <v>171</v>
      </c>
      <c r="B73" s="337">
        <v>1</v>
      </c>
      <c r="C73" s="337">
        <v>144</v>
      </c>
      <c r="D73" s="339">
        <v>0.18079999999999999</v>
      </c>
    </row>
    <row r="74" spans="1:4" x14ac:dyDescent="0.25">
      <c r="A74" s="337" t="s">
        <v>185</v>
      </c>
      <c r="B74" s="337">
        <v>1</v>
      </c>
      <c r="C74" s="337">
        <v>145</v>
      </c>
      <c r="D74" s="339">
        <v>0.53680000000000005</v>
      </c>
    </row>
    <row r="75" spans="1:4" x14ac:dyDescent="0.25">
      <c r="A75" s="337" t="s">
        <v>170</v>
      </c>
      <c r="B75" s="337">
        <v>1</v>
      </c>
      <c r="C75" s="337">
        <v>148</v>
      </c>
      <c r="D75" s="339">
        <v>0.24709999999999999</v>
      </c>
    </row>
    <row r="76" spans="1:4" x14ac:dyDescent="0.25">
      <c r="A76" s="337" t="s">
        <v>168</v>
      </c>
      <c r="B76" s="337">
        <v>1</v>
      </c>
      <c r="C76" s="337">
        <v>149</v>
      </c>
      <c r="D76" s="339">
        <v>0.46639999999999998</v>
      </c>
    </row>
    <row r="77" spans="1:4" x14ac:dyDescent="0.25">
      <c r="A77" s="337" t="s">
        <v>192</v>
      </c>
      <c r="B77" s="337">
        <v>1</v>
      </c>
      <c r="C77" s="337">
        <v>155</v>
      </c>
      <c r="D77" s="339">
        <v>0.3261</v>
      </c>
    </row>
    <row r="78" spans="1:4" x14ac:dyDescent="0.25">
      <c r="A78" s="337" t="s">
        <v>193</v>
      </c>
      <c r="B78" s="337">
        <v>1</v>
      </c>
      <c r="C78" s="337">
        <v>156</v>
      </c>
      <c r="D78" s="339">
        <v>0.43009999999999998</v>
      </c>
    </row>
    <row r="79" spans="1:4" x14ac:dyDescent="0.25">
      <c r="A79" s="337" t="s">
        <v>194</v>
      </c>
      <c r="B79" s="337">
        <v>1</v>
      </c>
      <c r="C79" s="337">
        <v>158</v>
      </c>
      <c r="D79" s="339">
        <v>1.6039000000000001</v>
      </c>
    </row>
    <row r="80" spans="1:4" x14ac:dyDescent="0.25">
      <c r="A80" s="337" t="s">
        <v>504</v>
      </c>
      <c r="B80" s="337">
        <v>1</v>
      </c>
      <c r="C80" s="337">
        <v>160</v>
      </c>
      <c r="D80" s="339">
        <v>0</v>
      </c>
    </row>
    <row r="81" spans="1:4" x14ac:dyDescent="0.25">
      <c r="A81" s="337" t="s">
        <v>609</v>
      </c>
      <c r="B81" s="337">
        <v>1</v>
      </c>
      <c r="C81" s="337">
        <v>161</v>
      </c>
      <c r="D81" s="339">
        <v>0</v>
      </c>
    </row>
    <row r="82" spans="1:4" x14ac:dyDescent="0.25">
      <c r="A82" s="337" t="s">
        <v>610</v>
      </c>
      <c r="B82" s="337">
        <v>3</v>
      </c>
      <c r="C82" s="337">
        <v>168</v>
      </c>
      <c r="D82" s="339">
        <v>0</v>
      </c>
    </row>
    <row r="83" spans="1:4" x14ac:dyDescent="0.25">
      <c r="A83" s="337" t="s">
        <v>511</v>
      </c>
      <c r="B83" s="337">
        <v>3</v>
      </c>
      <c r="C83" s="337">
        <v>169</v>
      </c>
      <c r="D83" s="339">
        <v>0.24099999999999999</v>
      </c>
    </row>
    <row r="84" spans="1:4" x14ac:dyDescent="0.25">
      <c r="A84" s="337" t="s">
        <v>611</v>
      </c>
      <c r="B84" s="337">
        <v>3</v>
      </c>
      <c r="C84" s="337">
        <v>171</v>
      </c>
      <c r="D84" s="339">
        <v>0</v>
      </c>
    </row>
    <row r="85" spans="1:4" x14ac:dyDescent="0.25">
      <c r="A85" s="337" t="s">
        <v>245</v>
      </c>
      <c r="B85" s="337">
        <v>3</v>
      </c>
      <c r="C85" s="337">
        <v>172</v>
      </c>
      <c r="D85" s="339">
        <v>0.44790000000000002</v>
      </c>
    </row>
    <row r="86" spans="1:4" x14ac:dyDescent="0.25">
      <c r="A86" s="337" t="s">
        <v>290</v>
      </c>
      <c r="B86" s="337">
        <v>3</v>
      </c>
      <c r="C86" s="337">
        <v>173</v>
      </c>
      <c r="D86" s="339">
        <v>0</v>
      </c>
    </row>
    <row r="87" spans="1:4" x14ac:dyDescent="0.25">
      <c r="A87" s="337" t="s">
        <v>515</v>
      </c>
      <c r="B87" s="337">
        <v>3</v>
      </c>
      <c r="C87" s="337">
        <v>175</v>
      </c>
      <c r="D87" s="339">
        <v>0</v>
      </c>
    </row>
    <row r="88" spans="1:4" x14ac:dyDescent="0.25">
      <c r="A88" s="337" t="s">
        <v>246</v>
      </c>
      <c r="B88" s="337">
        <v>3</v>
      </c>
      <c r="C88" s="337">
        <v>176</v>
      </c>
      <c r="D88" s="339">
        <v>1.0201</v>
      </c>
    </row>
    <row r="89" spans="1:4" x14ac:dyDescent="0.25">
      <c r="A89" s="337" t="s">
        <v>247</v>
      </c>
      <c r="B89" s="337">
        <v>3</v>
      </c>
      <c r="C89" s="337">
        <v>178</v>
      </c>
      <c r="D89" s="339">
        <v>1.0846</v>
      </c>
    </row>
    <row r="90" spans="1:4" x14ac:dyDescent="0.25">
      <c r="A90" s="337" t="s">
        <v>165</v>
      </c>
      <c r="B90" s="337">
        <v>1</v>
      </c>
      <c r="C90" s="337">
        <v>183</v>
      </c>
      <c r="D90" s="339">
        <v>0.9375</v>
      </c>
    </row>
    <row r="91" spans="1:4" x14ac:dyDescent="0.25">
      <c r="A91" s="337" t="s">
        <v>250</v>
      </c>
      <c r="B91" s="337">
        <v>3</v>
      </c>
      <c r="C91" s="337">
        <v>188</v>
      </c>
      <c r="D91" s="339">
        <v>0.7177</v>
      </c>
    </row>
    <row r="92" spans="1:4" x14ac:dyDescent="0.25">
      <c r="A92" s="337" t="s">
        <v>253</v>
      </c>
      <c r="B92" s="337">
        <v>3</v>
      </c>
      <c r="C92" s="337">
        <v>190</v>
      </c>
      <c r="D92" s="339">
        <v>0.37190000000000001</v>
      </c>
    </row>
    <row r="93" spans="1:4" x14ac:dyDescent="0.25">
      <c r="A93" s="337" t="s">
        <v>198</v>
      </c>
      <c r="B93" s="337">
        <v>1</v>
      </c>
      <c r="C93" s="337">
        <v>191</v>
      </c>
      <c r="D93" s="339">
        <v>0.39900000000000002</v>
      </c>
    </row>
    <row r="94" spans="1:4" x14ac:dyDescent="0.25">
      <c r="A94" s="337" t="s">
        <v>158</v>
      </c>
      <c r="B94" s="337">
        <v>1</v>
      </c>
      <c r="C94" s="337">
        <v>196</v>
      </c>
      <c r="D94" s="339">
        <v>1.6950000000000001</v>
      </c>
    </row>
    <row r="95" spans="1:4" x14ac:dyDescent="0.25">
      <c r="A95" s="337" t="s">
        <v>150</v>
      </c>
      <c r="B95" s="337">
        <v>1</v>
      </c>
      <c r="C95" s="337">
        <v>197</v>
      </c>
      <c r="D95" s="339">
        <v>1.1053999999999999</v>
      </c>
    </row>
    <row r="96" spans="1:4" x14ac:dyDescent="0.25">
      <c r="A96" s="337" t="s">
        <v>151</v>
      </c>
      <c r="B96" s="337">
        <v>1</v>
      </c>
      <c r="C96" s="337">
        <v>198</v>
      </c>
      <c r="D96" s="339">
        <v>0.62519999999999998</v>
      </c>
    </row>
    <row r="97" spans="1:4" x14ac:dyDescent="0.25">
      <c r="A97" s="337" t="s">
        <v>268</v>
      </c>
      <c r="B97" s="337">
        <v>1</v>
      </c>
      <c r="C97" s="337">
        <v>201</v>
      </c>
      <c r="D97" s="339">
        <v>0</v>
      </c>
    </row>
    <row r="98" spans="1:4" x14ac:dyDescent="0.25">
      <c r="A98" s="337" t="s">
        <v>612</v>
      </c>
      <c r="B98" s="337">
        <v>1</v>
      </c>
      <c r="C98" s="337">
        <v>202</v>
      </c>
      <c r="D98" s="339">
        <v>0</v>
      </c>
    </row>
    <row r="99" spans="1:4" x14ac:dyDescent="0.25">
      <c r="A99" s="337" t="s">
        <v>613</v>
      </c>
      <c r="B99" s="337">
        <v>1</v>
      </c>
      <c r="C99" s="337">
        <v>203</v>
      </c>
      <c r="D99" s="339">
        <v>0</v>
      </c>
    </row>
    <row r="100" spans="1:4" x14ac:dyDescent="0.25">
      <c r="A100" s="337" t="s">
        <v>101</v>
      </c>
      <c r="B100" s="337">
        <v>1</v>
      </c>
      <c r="C100" s="337">
        <v>205</v>
      </c>
      <c r="D100" s="339">
        <v>0.62260000000000004</v>
      </c>
    </row>
    <row r="101" spans="1:4" x14ac:dyDescent="0.25">
      <c r="A101" s="337" t="s">
        <v>98</v>
      </c>
      <c r="B101" s="337">
        <v>1</v>
      </c>
      <c r="C101" s="337">
        <v>206</v>
      </c>
      <c r="D101" s="339">
        <v>0.61429999999999996</v>
      </c>
    </row>
    <row r="102" spans="1:4" x14ac:dyDescent="0.25">
      <c r="A102" s="337" t="s">
        <v>99</v>
      </c>
      <c r="B102" s="337">
        <v>1</v>
      </c>
      <c r="C102" s="337">
        <v>207</v>
      </c>
      <c r="D102" s="339">
        <v>0.50360000000000005</v>
      </c>
    </row>
    <row r="103" spans="1:4" x14ac:dyDescent="0.25">
      <c r="A103" s="337" t="s">
        <v>103</v>
      </c>
      <c r="B103" s="337">
        <v>1</v>
      </c>
      <c r="C103" s="337">
        <v>209</v>
      </c>
      <c r="D103" s="339">
        <v>0.61060000000000003</v>
      </c>
    </row>
    <row r="104" spans="1:4" x14ac:dyDescent="0.25">
      <c r="A104" s="337" t="s">
        <v>80</v>
      </c>
      <c r="B104" s="337">
        <v>1</v>
      </c>
      <c r="C104" s="337">
        <v>211</v>
      </c>
      <c r="D104" s="339">
        <v>0.34570000000000001</v>
      </c>
    </row>
    <row r="105" spans="1:4" x14ac:dyDescent="0.25">
      <c r="A105" s="337" t="s">
        <v>224</v>
      </c>
      <c r="B105" s="337">
        <v>2</v>
      </c>
      <c r="C105" s="337">
        <v>215</v>
      </c>
      <c r="D105" s="339">
        <v>1.3895999999999999</v>
      </c>
    </row>
    <row r="106" spans="1:4" x14ac:dyDescent="0.25">
      <c r="A106" s="337" t="s">
        <v>226</v>
      </c>
      <c r="B106" s="337">
        <v>2</v>
      </c>
      <c r="C106" s="337">
        <v>216</v>
      </c>
      <c r="D106" s="339">
        <v>1.6245000000000001</v>
      </c>
    </row>
    <row r="107" spans="1:4" x14ac:dyDescent="0.25">
      <c r="A107" s="337" t="s">
        <v>227</v>
      </c>
      <c r="B107" s="337">
        <v>2</v>
      </c>
      <c r="C107" s="337">
        <v>217</v>
      </c>
      <c r="D107" s="339">
        <v>0.91869999999999996</v>
      </c>
    </row>
    <row r="108" spans="1:4" x14ac:dyDescent="0.25">
      <c r="A108" s="337" t="s">
        <v>229</v>
      </c>
      <c r="B108" s="337">
        <v>2</v>
      </c>
      <c r="C108" s="337">
        <v>220</v>
      </c>
      <c r="D108" s="339">
        <v>0.55549999999999999</v>
      </c>
    </row>
    <row r="109" spans="1:4" x14ac:dyDescent="0.25">
      <c r="A109" s="337" t="s">
        <v>212</v>
      </c>
      <c r="B109" s="337">
        <v>2</v>
      </c>
      <c r="C109" s="337">
        <v>222</v>
      </c>
      <c r="D109" s="339">
        <v>0.59299999999999997</v>
      </c>
    </row>
    <row r="110" spans="1:4" x14ac:dyDescent="0.25">
      <c r="A110" s="337" t="s">
        <v>614</v>
      </c>
      <c r="B110" s="337">
        <v>1</v>
      </c>
      <c r="C110" s="337">
        <v>237</v>
      </c>
      <c r="D110" s="339">
        <v>0</v>
      </c>
    </row>
    <row r="111" spans="1:4" x14ac:dyDescent="0.25">
      <c r="A111" s="337" t="s">
        <v>615</v>
      </c>
      <c r="B111" s="337">
        <v>1</v>
      </c>
      <c r="C111" s="337">
        <v>238</v>
      </c>
      <c r="D111" s="339">
        <v>0</v>
      </c>
    </row>
    <row r="112" spans="1:4" x14ac:dyDescent="0.25">
      <c r="A112" s="337" t="s">
        <v>616</v>
      </c>
      <c r="B112" s="337">
        <v>1</v>
      </c>
      <c r="C112" s="337">
        <v>239</v>
      </c>
      <c r="D112" s="339">
        <v>0</v>
      </c>
    </row>
    <row r="113" spans="1:4" x14ac:dyDescent="0.25">
      <c r="A113" s="337" t="s">
        <v>617</v>
      </c>
      <c r="B113" s="337">
        <v>1</v>
      </c>
      <c r="C113" s="337">
        <v>240</v>
      </c>
      <c r="D113" s="339">
        <v>0</v>
      </c>
    </row>
    <row r="114" spans="1:4" x14ac:dyDescent="0.25">
      <c r="A114" s="337" t="s">
        <v>111</v>
      </c>
      <c r="B114" s="337">
        <v>1</v>
      </c>
      <c r="C114" s="337">
        <v>241</v>
      </c>
      <c r="D114" s="339">
        <v>0.36570000000000003</v>
      </c>
    </row>
    <row r="115" spans="1:4" x14ac:dyDescent="0.25">
      <c r="A115" s="337" t="s">
        <v>618</v>
      </c>
      <c r="B115" s="337">
        <v>1</v>
      </c>
      <c r="C115" s="337">
        <v>242</v>
      </c>
      <c r="D115" s="339">
        <v>0</v>
      </c>
    </row>
    <row r="116" spans="1:4" x14ac:dyDescent="0.25">
      <c r="A116" s="337" t="s">
        <v>619</v>
      </c>
      <c r="B116" s="337">
        <v>1</v>
      </c>
      <c r="C116" s="337">
        <v>243</v>
      </c>
      <c r="D116" s="339">
        <v>0</v>
      </c>
    </row>
    <row r="117" spans="1:4" x14ac:dyDescent="0.25">
      <c r="A117" s="337" t="s">
        <v>620</v>
      </c>
      <c r="B117" s="337">
        <v>1</v>
      </c>
      <c r="C117" s="337">
        <v>244</v>
      </c>
      <c r="D117" s="339">
        <v>0</v>
      </c>
    </row>
    <row r="118" spans="1:4" x14ac:dyDescent="0.25">
      <c r="A118" s="337" t="s">
        <v>621</v>
      </c>
      <c r="B118" s="337">
        <v>1</v>
      </c>
      <c r="C118" s="337">
        <v>245</v>
      </c>
      <c r="D118" s="339">
        <v>0</v>
      </c>
    </row>
    <row r="119" spans="1:4" x14ac:dyDescent="0.25">
      <c r="A119" s="337" t="s">
        <v>622</v>
      </c>
      <c r="B119" s="337">
        <v>1</v>
      </c>
      <c r="C119" s="337">
        <v>246</v>
      </c>
      <c r="D119" s="339">
        <v>0</v>
      </c>
    </row>
    <row r="120" spans="1:4" x14ac:dyDescent="0.25">
      <c r="A120" s="337" t="s">
        <v>107</v>
      </c>
      <c r="B120" s="337">
        <v>1</v>
      </c>
      <c r="C120" s="337">
        <v>247</v>
      </c>
      <c r="D120" s="339">
        <v>0.24079999999999999</v>
      </c>
    </row>
    <row r="121" spans="1:4" x14ac:dyDescent="0.25">
      <c r="A121" s="337" t="s">
        <v>108</v>
      </c>
      <c r="B121" s="337">
        <v>1</v>
      </c>
      <c r="C121" s="337">
        <v>248</v>
      </c>
      <c r="D121" s="339">
        <v>0.3347</v>
      </c>
    </row>
    <row r="122" spans="1:4" x14ac:dyDescent="0.25">
      <c r="A122" s="337" t="s">
        <v>129</v>
      </c>
      <c r="B122" s="337">
        <v>1</v>
      </c>
      <c r="C122" s="337">
        <v>249</v>
      </c>
      <c r="D122" s="339">
        <v>9.4399999999999998E-2</v>
      </c>
    </row>
    <row r="123" spans="1:4" x14ac:dyDescent="0.25">
      <c r="A123" s="337" t="s">
        <v>97</v>
      </c>
      <c r="B123" s="337">
        <v>1</v>
      </c>
      <c r="C123" s="337">
        <v>251</v>
      </c>
      <c r="D123" s="339">
        <v>0.64290000000000003</v>
      </c>
    </row>
    <row r="124" spans="1:4" x14ac:dyDescent="0.25">
      <c r="A124" s="337" t="s">
        <v>178</v>
      </c>
      <c r="B124" s="337">
        <v>1</v>
      </c>
      <c r="C124" s="337">
        <v>252</v>
      </c>
      <c r="D124" s="339">
        <v>1.2441</v>
      </c>
    </row>
    <row r="125" spans="1:4" x14ac:dyDescent="0.25">
      <c r="A125" s="337" t="s">
        <v>199</v>
      </c>
      <c r="B125" s="337">
        <v>1</v>
      </c>
      <c r="C125" s="337">
        <v>253</v>
      </c>
      <c r="D125" s="339">
        <v>0.20349999999999999</v>
      </c>
    </row>
    <row r="126" spans="1:4" x14ac:dyDescent="0.25">
      <c r="A126" s="337" t="s">
        <v>256</v>
      </c>
      <c r="B126" s="337">
        <v>3</v>
      </c>
      <c r="C126" s="337">
        <v>254</v>
      </c>
      <c r="D126" s="339">
        <v>0.9204</v>
      </c>
    </row>
    <row r="127" spans="1:4" x14ac:dyDescent="0.25">
      <c r="A127" s="337" t="s">
        <v>181</v>
      </c>
      <c r="B127" s="337">
        <v>1</v>
      </c>
      <c r="C127" s="337">
        <v>255</v>
      </c>
      <c r="D127" s="339">
        <v>1.4925999999999999</v>
      </c>
    </row>
    <row r="128" spans="1:4" x14ac:dyDescent="0.25">
      <c r="A128" s="337" t="s">
        <v>200</v>
      </c>
      <c r="B128" s="337">
        <v>1</v>
      </c>
      <c r="C128" s="337">
        <v>257</v>
      </c>
      <c r="D128" s="339">
        <v>0.2414</v>
      </c>
    </row>
    <row r="129" spans="1:4" x14ac:dyDescent="0.25">
      <c r="A129" s="337" t="s">
        <v>177</v>
      </c>
      <c r="B129" s="337">
        <v>1</v>
      </c>
      <c r="C129" s="337">
        <v>259</v>
      </c>
      <c r="D129" s="339">
        <v>0.76419999999999999</v>
      </c>
    </row>
    <row r="130" spans="1:4" x14ac:dyDescent="0.25">
      <c r="A130" s="337" t="s">
        <v>109</v>
      </c>
      <c r="B130" s="337">
        <v>1</v>
      </c>
      <c r="C130" s="337">
        <v>261</v>
      </c>
      <c r="D130" s="339">
        <v>0.248</v>
      </c>
    </row>
    <row r="131" spans="1:4" x14ac:dyDescent="0.25">
      <c r="A131" s="337" t="s">
        <v>164</v>
      </c>
      <c r="B131" s="337">
        <v>1</v>
      </c>
      <c r="C131" s="337">
        <v>262</v>
      </c>
      <c r="D131" s="339">
        <v>1.0242</v>
      </c>
    </row>
    <row r="132" spans="1:4" x14ac:dyDescent="0.25">
      <c r="A132" s="337" t="s">
        <v>167</v>
      </c>
      <c r="B132" s="337">
        <v>1</v>
      </c>
      <c r="C132" s="337">
        <v>263</v>
      </c>
      <c r="D132" s="339">
        <v>0.42420000000000002</v>
      </c>
    </row>
    <row r="133" spans="1:4" x14ac:dyDescent="0.25">
      <c r="A133" s="337" t="s">
        <v>623</v>
      </c>
      <c r="B133" s="337">
        <v>1</v>
      </c>
      <c r="C133" s="337">
        <v>66</v>
      </c>
      <c r="D133" s="339">
        <v>1.0647</v>
      </c>
    </row>
    <row r="134" spans="1:4" x14ac:dyDescent="0.25">
      <c r="A134" s="337" t="s">
        <v>262</v>
      </c>
      <c r="B134" s="337">
        <v>4</v>
      </c>
      <c r="C134" s="337">
        <v>269</v>
      </c>
      <c r="D134" s="339">
        <v>0.20480000000000001</v>
      </c>
    </row>
    <row r="135" spans="1:4" x14ac:dyDescent="0.25">
      <c r="A135" s="337" t="s">
        <v>197</v>
      </c>
      <c r="B135" s="337">
        <v>1</v>
      </c>
      <c r="C135" s="337">
        <v>270</v>
      </c>
      <c r="D135" s="339">
        <v>1.0315000000000001</v>
      </c>
    </row>
    <row r="136" spans="1:4" x14ac:dyDescent="0.25">
      <c r="A136" s="337" t="s">
        <v>259</v>
      </c>
      <c r="B136" s="337">
        <v>4</v>
      </c>
      <c r="C136" s="337">
        <v>271</v>
      </c>
      <c r="D136" s="339">
        <v>0.20039999999999999</v>
      </c>
    </row>
    <row r="137" spans="1:4" x14ac:dyDescent="0.25">
      <c r="A137" s="337" t="s">
        <v>201</v>
      </c>
      <c r="B137" s="337">
        <v>1</v>
      </c>
      <c r="C137" s="337">
        <v>273</v>
      </c>
      <c r="D137" s="339">
        <v>0.32479999999999998</v>
      </c>
    </row>
    <row r="138" spans="1:4" x14ac:dyDescent="0.25">
      <c r="A138" s="337" t="s">
        <v>293</v>
      </c>
      <c r="B138" s="337">
        <v>4</v>
      </c>
      <c r="C138" s="337">
        <v>275</v>
      </c>
      <c r="D138" s="339">
        <v>0.54820000000000002</v>
      </c>
    </row>
    <row r="139" spans="1:4" x14ac:dyDescent="0.25">
      <c r="A139" s="337" t="s">
        <v>624</v>
      </c>
      <c r="B139" s="337">
        <v>4</v>
      </c>
      <c r="C139" s="337">
        <v>277</v>
      </c>
      <c r="D139" s="339">
        <v>0.157</v>
      </c>
    </row>
    <row r="140" spans="1:4" x14ac:dyDescent="0.25">
      <c r="A140" s="337" t="s">
        <v>174</v>
      </c>
      <c r="B140" s="337">
        <v>1</v>
      </c>
      <c r="C140" s="337">
        <v>278</v>
      </c>
      <c r="D140" s="339">
        <v>0.51449999999999996</v>
      </c>
    </row>
    <row r="141" spans="1:4" x14ac:dyDescent="0.25">
      <c r="A141" s="337" t="s">
        <v>184</v>
      </c>
      <c r="B141" s="337">
        <v>1</v>
      </c>
      <c r="C141" s="337">
        <v>279</v>
      </c>
      <c r="D141" s="339">
        <v>0.2505</v>
      </c>
    </row>
    <row r="142" spans="1:4" x14ac:dyDescent="0.25">
      <c r="A142" s="337" t="s">
        <v>175</v>
      </c>
      <c r="B142" s="337">
        <v>1</v>
      </c>
      <c r="C142" s="337">
        <v>281</v>
      </c>
      <c r="D142" s="339">
        <v>2.2012</v>
      </c>
    </row>
    <row r="143" spans="1:4" x14ac:dyDescent="0.25">
      <c r="A143" s="337" t="s">
        <v>161</v>
      </c>
      <c r="B143" s="337">
        <v>1</v>
      </c>
      <c r="C143" s="337">
        <v>283</v>
      </c>
      <c r="D143" s="339">
        <v>0.45839999999999997</v>
      </c>
    </row>
    <row r="144" spans="1:4" x14ac:dyDescent="0.25">
      <c r="A144" s="337" t="s">
        <v>221</v>
      </c>
      <c r="B144" s="337">
        <v>2</v>
      </c>
      <c r="C144" s="337">
        <v>284</v>
      </c>
      <c r="D144" s="339">
        <v>0.30609999999999998</v>
      </c>
    </row>
    <row r="145" spans="1:5" x14ac:dyDescent="0.25">
      <c r="A145" s="337" t="s">
        <v>186</v>
      </c>
      <c r="B145" s="337">
        <v>1</v>
      </c>
      <c r="C145" s="337">
        <v>285</v>
      </c>
      <c r="D145" s="339">
        <v>0</v>
      </c>
      <c r="E145" s="339">
        <v>0.15509999999999999</v>
      </c>
    </row>
    <row r="146" spans="1:5" x14ac:dyDescent="0.25">
      <c r="A146" s="337" t="s">
        <v>231</v>
      </c>
      <c r="B146" s="337">
        <v>2</v>
      </c>
      <c r="C146" s="337">
        <v>286</v>
      </c>
      <c r="D146" s="339">
        <v>1.0522</v>
      </c>
    </row>
    <row r="147" spans="1:5" x14ac:dyDescent="0.25">
      <c r="A147" s="337" t="s">
        <v>187</v>
      </c>
      <c r="B147" s="337">
        <v>1</v>
      </c>
      <c r="C147" s="337">
        <v>287</v>
      </c>
      <c r="D147" s="339">
        <v>0</v>
      </c>
    </row>
    <row r="148" spans="1:5" x14ac:dyDescent="0.25">
      <c r="A148" s="337" t="s">
        <v>188</v>
      </c>
      <c r="B148" s="337">
        <v>1</v>
      </c>
      <c r="C148" s="337">
        <v>291</v>
      </c>
      <c r="D148" s="339">
        <v>0.86890000000000001</v>
      </c>
    </row>
    <row r="149" spans="1:5" x14ac:dyDescent="0.25">
      <c r="A149" s="337" t="s">
        <v>110</v>
      </c>
      <c r="B149" s="337">
        <v>1</v>
      </c>
      <c r="C149" s="337">
        <v>294</v>
      </c>
      <c r="D149" s="339">
        <v>0.44919999999999999</v>
      </c>
    </row>
    <row r="150" spans="1:5" x14ac:dyDescent="0.25">
      <c r="A150" s="337" t="s">
        <v>176</v>
      </c>
      <c r="B150" s="337">
        <v>1</v>
      </c>
      <c r="C150" s="337">
        <v>295</v>
      </c>
      <c r="D150" s="339">
        <v>0.91820000000000002</v>
      </c>
    </row>
    <row r="151" spans="1:5" x14ac:dyDescent="0.25">
      <c r="A151" s="337" t="s">
        <v>189</v>
      </c>
      <c r="B151" s="337">
        <v>1</v>
      </c>
      <c r="C151" s="337">
        <v>296</v>
      </c>
      <c r="D151" s="339">
        <v>1.4108000000000001</v>
      </c>
    </row>
    <row r="152" spans="1:5" x14ac:dyDescent="0.25">
      <c r="A152" s="337" t="s">
        <v>625</v>
      </c>
      <c r="B152" s="337">
        <v>1</v>
      </c>
      <c r="C152" s="337">
        <v>301</v>
      </c>
      <c r="D152" s="339">
        <v>0</v>
      </c>
    </row>
    <row r="153" spans="1:5" x14ac:dyDescent="0.25">
      <c r="A153" s="337" t="s">
        <v>480</v>
      </c>
      <c r="B153" s="337">
        <v>1</v>
      </c>
      <c r="C153" s="337">
        <v>320</v>
      </c>
      <c r="D153" s="339">
        <v>0</v>
      </c>
    </row>
    <row r="154" spans="1:5" x14ac:dyDescent="0.25">
      <c r="A154" s="337" t="s">
        <v>209</v>
      </c>
      <c r="B154" s="337">
        <v>2</v>
      </c>
      <c r="C154" s="337">
        <v>75</v>
      </c>
      <c r="D154" s="339">
        <v>1.0242</v>
      </c>
    </row>
    <row r="155" spans="1:5" x14ac:dyDescent="0.25">
      <c r="A155" s="337" t="s">
        <v>115</v>
      </c>
      <c r="B155" s="337">
        <v>1</v>
      </c>
      <c r="C155" s="337">
        <v>318</v>
      </c>
      <c r="D155" s="339">
        <v>5.6536999999999997</v>
      </c>
    </row>
    <row r="156" spans="1:5" x14ac:dyDescent="0.25">
      <c r="A156" s="337" t="s">
        <v>118</v>
      </c>
      <c r="B156" s="337">
        <v>1</v>
      </c>
      <c r="C156" s="337">
        <v>37</v>
      </c>
      <c r="D156" s="339">
        <v>0.17230000000000001</v>
      </c>
    </row>
    <row r="157" spans="1:5" x14ac:dyDescent="0.25">
      <c r="A157" s="337" t="s">
        <v>119</v>
      </c>
      <c r="B157" s="337">
        <v>1</v>
      </c>
      <c r="C157" s="337">
        <v>38</v>
      </c>
      <c r="D157" s="339">
        <v>0.18809999999999999</v>
      </c>
    </row>
    <row r="158" spans="1:5" x14ac:dyDescent="0.25">
      <c r="A158" s="337" t="s">
        <v>120</v>
      </c>
      <c r="B158" s="337">
        <v>1</v>
      </c>
      <c r="C158" s="337">
        <v>39</v>
      </c>
      <c r="D158" s="339">
        <v>0.18720000000000001</v>
      </c>
    </row>
    <row r="159" spans="1:5" x14ac:dyDescent="0.25">
      <c r="A159" s="337" t="s">
        <v>121</v>
      </c>
      <c r="B159" s="337">
        <v>1</v>
      </c>
      <c r="C159" s="337">
        <v>40</v>
      </c>
      <c r="D159" s="339">
        <v>0.2059</v>
      </c>
    </row>
    <row r="160" spans="1:5" x14ac:dyDescent="0.25">
      <c r="A160" s="337" t="s">
        <v>122</v>
      </c>
      <c r="B160" s="337">
        <v>1</v>
      </c>
      <c r="C160" s="337">
        <v>42</v>
      </c>
      <c r="D160" s="339">
        <v>0.2601</v>
      </c>
    </row>
    <row r="161" spans="1:4" x14ac:dyDescent="0.25">
      <c r="A161" s="337" t="s">
        <v>123</v>
      </c>
      <c r="B161" s="337">
        <v>1</v>
      </c>
      <c r="C161" s="337">
        <v>43</v>
      </c>
      <c r="D161" s="339">
        <v>0.3901</v>
      </c>
    </row>
    <row r="162" spans="1:4" x14ac:dyDescent="0.25">
      <c r="A162" s="337" t="s">
        <v>139</v>
      </c>
      <c r="B162" s="337">
        <v>1</v>
      </c>
      <c r="C162" s="337">
        <v>45</v>
      </c>
      <c r="D162" s="339">
        <v>0.19800000000000001</v>
      </c>
    </row>
    <row r="163" spans="1:4" x14ac:dyDescent="0.25">
      <c r="A163" s="337" t="s">
        <v>142</v>
      </c>
      <c r="B163" s="337">
        <v>1</v>
      </c>
      <c r="C163" s="337">
        <v>46</v>
      </c>
      <c r="D163" s="339">
        <v>0.1593</v>
      </c>
    </row>
    <row r="164" spans="1:4" x14ac:dyDescent="0.25">
      <c r="A164" s="337" t="s">
        <v>126</v>
      </c>
      <c r="B164" s="337">
        <v>1</v>
      </c>
      <c r="C164" s="337">
        <v>47</v>
      </c>
      <c r="D164" s="339">
        <v>0.29260000000000003</v>
      </c>
    </row>
    <row r="165" spans="1:4" x14ac:dyDescent="0.25">
      <c r="A165" s="337" t="s">
        <v>127</v>
      </c>
      <c r="B165" s="337">
        <v>1</v>
      </c>
      <c r="C165" s="337">
        <v>48</v>
      </c>
      <c r="D165" s="339">
        <v>0.2296</v>
      </c>
    </row>
    <row r="166" spans="1:4" x14ac:dyDescent="0.25">
      <c r="A166" s="337" t="s">
        <v>128</v>
      </c>
      <c r="B166" s="337">
        <v>1</v>
      </c>
      <c r="C166" s="337">
        <v>49</v>
      </c>
      <c r="D166" s="339">
        <v>0.62470000000000003</v>
      </c>
    </row>
    <row r="167" spans="1:4" x14ac:dyDescent="0.25">
      <c r="A167" s="337" t="s">
        <v>130</v>
      </c>
      <c r="B167" s="337">
        <v>1</v>
      </c>
      <c r="C167" s="337">
        <v>50</v>
      </c>
      <c r="D167" s="339">
        <v>0.1497</v>
      </c>
    </row>
    <row r="168" spans="1:4" x14ac:dyDescent="0.25">
      <c r="A168" s="337" t="s">
        <v>626</v>
      </c>
      <c r="B168" s="337">
        <v>1</v>
      </c>
      <c r="C168" s="337">
        <v>266</v>
      </c>
      <c r="D168" s="339">
        <v>0</v>
      </c>
    </row>
    <row r="169" spans="1:4" x14ac:dyDescent="0.25">
      <c r="A169" s="337" t="s">
        <v>153</v>
      </c>
      <c r="B169" s="337">
        <v>1</v>
      </c>
      <c r="C169" s="337">
        <v>303</v>
      </c>
      <c r="D169" s="339">
        <v>2.5295000000000001</v>
      </c>
    </row>
    <row r="170" spans="1:4" x14ac:dyDescent="0.25">
      <c r="A170" s="337" t="s">
        <v>155</v>
      </c>
      <c r="B170" s="337">
        <v>1</v>
      </c>
      <c r="C170" s="337">
        <v>306</v>
      </c>
      <c r="D170" s="339">
        <v>0.314</v>
      </c>
    </row>
    <row r="171" spans="1:4" x14ac:dyDescent="0.25">
      <c r="A171" s="337" t="s">
        <v>156</v>
      </c>
      <c r="B171" s="337">
        <v>1</v>
      </c>
      <c r="C171" s="337">
        <v>299</v>
      </c>
      <c r="D171" s="339">
        <v>0.25879999999999997</v>
      </c>
    </row>
    <row r="172" spans="1:4" x14ac:dyDescent="0.25">
      <c r="A172" s="337" t="s">
        <v>153</v>
      </c>
      <c r="B172" s="337">
        <v>1</v>
      </c>
      <c r="C172" s="337">
        <v>303</v>
      </c>
      <c r="D172" s="339">
        <v>2.5295000000000001</v>
      </c>
    </row>
    <row r="173" spans="1:4" x14ac:dyDescent="0.25">
      <c r="A173" s="337" t="s">
        <v>155</v>
      </c>
      <c r="B173" s="337">
        <v>1</v>
      </c>
      <c r="C173" s="337">
        <v>306</v>
      </c>
      <c r="D173" s="339">
        <v>0.314</v>
      </c>
    </row>
    <row r="174" spans="1:4" x14ac:dyDescent="0.25">
      <c r="A174" s="337" t="s">
        <v>115</v>
      </c>
      <c r="B174" s="337">
        <v>1</v>
      </c>
      <c r="C174" s="337">
        <v>318</v>
      </c>
      <c r="D174" s="339">
        <v>5.6536999999999997</v>
      </c>
    </row>
    <row r="175" spans="1:4" x14ac:dyDescent="0.25">
      <c r="A175" s="337" t="s">
        <v>152</v>
      </c>
      <c r="B175" s="337">
        <v>1</v>
      </c>
      <c r="C175" s="337">
        <v>126</v>
      </c>
      <c r="D175" s="339">
        <v>0.92749999999999999</v>
      </c>
    </row>
    <row r="176" spans="1:4" x14ac:dyDescent="0.25">
      <c r="A176" s="337" t="s">
        <v>154</v>
      </c>
      <c r="B176" s="337">
        <v>1</v>
      </c>
      <c r="C176" s="337">
        <v>131</v>
      </c>
      <c r="D176" s="339">
        <v>2.633</v>
      </c>
    </row>
    <row r="177" spans="1:5" x14ac:dyDescent="0.25">
      <c r="A177" s="337" t="s">
        <v>316</v>
      </c>
      <c r="B177" s="337">
        <v>4</v>
      </c>
      <c r="C177" s="337">
        <v>290</v>
      </c>
      <c r="D177" s="339">
        <v>0.2339</v>
      </c>
      <c r="E177" s="339"/>
    </row>
    <row r="178" spans="1:5" x14ac:dyDescent="0.25">
      <c r="A178" s="337" t="s">
        <v>392</v>
      </c>
      <c r="B178" s="337">
        <v>4</v>
      </c>
      <c r="C178" s="337">
        <v>297</v>
      </c>
      <c r="D178" s="339">
        <v>0.15629999999999999</v>
      </c>
      <c r="E178" s="339"/>
    </row>
    <row r="179" spans="1:5" x14ac:dyDescent="0.25">
      <c r="A179" s="337" t="s">
        <v>317</v>
      </c>
      <c r="B179" s="337">
        <v>4</v>
      </c>
      <c r="C179" s="337">
        <v>280</v>
      </c>
      <c r="D179" s="339">
        <v>0</v>
      </c>
      <c r="E179" s="339">
        <v>0.1794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7" tint="0.39997558519241921"/>
  </sheetPr>
  <dimension ref="A1:H197"/>
  <sheetViews>
    <sheetView workbookViewId="0"/>
  </sheetViews>
  <sheetFormatPr defaultRowHeight="15" x14ac:dyDescent="0.25"/>
  <cols>
    <col min="1" max="1" width="9.42578125" bestFit="1" customWidth="1"/>
    <col min="2" max="2" width="35.7109375" bestFit="1" customWidth="1"/>
    <col min="3" max="3" width="17.85546875" bestFit="1" customWidth="1"/>
    <col min="4" max="4" width="19.7109375" bestFit="1" customWidth="1"/>
    <col min="5" max="5" width="15.140625" bestFit="1" customWidth="1"/>
    <col min="6" max="6" width="19" bestFit="1" customWidth="1"/>
    <col min="7" max="7" width="29.5703125" customWidth="1"/>
    <col min="8" max="8" width="27" customWidth="1"/>
  </cols>
  <sheetData>
    <row r="1" spans="1:8" ht="15.75" x14ac:dyDescent="0.25">
      <c r="A1" s="190" t="s">
        <v>409</v>
      </c>
      <c r="B1" s="190" t="s">
        <v>410</v>
      </c>
      <c r="C1" s="190" t="s">
        <v>411</v>
      </c>
      <c r="D1" s="190" t="s">
        <v>412</v>
      </c>
      <c r="E1" s="190" t="s">
        <v>413</v>
      </c>
      <c r="F1" s="190" t="s">
        <v>414</v>
      </c>
      <c r="G1" s="190" t="s">
        <v>415</v>
      </c>
      <c r="H1" s="190" t="s">
        <v>416</v>
      </c>
    </row>
    <row r="2" spans="1:8" x14ac:dyDescent="0.25">
      <c r="A2" s="188">
        <v>1</v>
      </c>
      <c r="B2" s="189" t="s">
        <v>78</v>
      </c>
      <c r="C2" s="188" t="s">
        <v>22</v>
      </c>
      <c r="D2" s="189" t="s">
        <v>22</v>
      </c>
      <c r="E2" s="188" t="s">
        <v>417</v>
      </c>
      <c r="F2" s="189" t="s">
        <v>418</v>
      </c>
      <c r="G2" s="188"/>
      <c r="H2" s="188"/>
    </row>
    <row r="3" spans="1:8" x14ac:dyDescent="0.25">
      <c r="A3" s="188">
        <v>2</v>
      </c>
      <c r="B3" s="189" t="s">
        <v>79</v>
      </c>
      <c r="C3" s="188" t="s">
        <v>22</v>
      </c>
      <c r="D3" s="189" t="s">
        <v>22</v>
      </c>
      <c r="E3" s="188" t="s">
        <v>417</v>
      </c>
      <c r="F3" s="189" t="s">
        <v>418</v>
      </c>
      <c r="G3" s="188"/>
      <c r="H3" s="188"/>
    </row>
    <row r="4" spans="1:8" x14ac:dyDescent="0.25">
      <c r="A4" s="188">
        <v>6</v>
      </c>
      <c r="B4" s="189" t="s">
        <v>58</v>
      </c>
      <c r="C4" s="188" t="s">
        <v>22</v>
      </c>
      <c r="D4" s="189" t="s">
        <v>22</v>
      </c>
      <c r="E4" s="188" t="s">
        <v>417</v>
      </c>
      <c r="F4" s="189" t="s">
        <v>418</v>
      </c>
      <c r="G4" s="188"/>
      <c r="H4" s="188"/>
    </row>
    <row r="5" spans="1:8" x14ac:dyDescent="0.25">
      <c r="A5" s="188">
        <v>7</v>
      </c>
      <c r="B5" s="189" t="s">
        <v>419</v>
      </c>
      <c r="C5" s="188" t="s">
        <v>22</v>
      </c>
      <c r="D5" s="189" t="s">
        <v>22</v>
      </c>
      <c r="E5" s="188" t="s">
        <v>417</v>
      </c>
      <c r="F5" s="189" t="s">
        <v>418</v>
      </c>
      <c r="G5" s="188"/>
      <c r="H5" s="188"/>
    </row>
    <row r="6" spans="1:8" x14ac:dyDescent="0.25">
      <c r="A6" s="188">
        <v>8</v>
      </c>
      <c r="B6" s="189" t="s">
        <v>82</v>
      </c>
      <c r="C6" s="188" t="s">
        <v>22</v>
      </c>
      <c r="D6" s="189" t="s">
        <v>22</v>
      </c>
      <c r="E6" s="188" t="s">
        <v>417</v>
      </c>
      <c r="F6" s="189" t="s">
        <v>418</v>
      </c>
      <c r="G6" s="188"/>
      <c r="H6" s="188"/>
    </row>
    <row r="7" spans="1:8" x14ac:dyDescent="0.25">
      <c r="A7" s="188">
        <v>9</v>
      </c>
      <c r="B7" s="189" t="s">
        <v>83</v>
      </c>
      <c r="C7" s="188" t="s">
        <v>22</v>
      </c>
      <c r="D7" s="189" t="s">
        <v>22</v>
      </c>
      <c r="E7" s="188" t="s">
        <v>417</v>
      </c>
      <c r="F7" s="189" t="s">
        <v>418</v>
      </c>
      <c r="G7" s="188"/>
      <c r="H7" s="188"/>
    </row>
    <row r="8" spans="1:8" x14ac:dyDescent="0.25">
      <c r="A8" s="188">
        <v>10</v>
      </c>
      <c r="B8" s="189" t="s">
        <v>84</v>
      </c>
      <c r="C8" s="188" t="s">
        <v>22</v>
      </c>
      <c r="D8" s="189" t="s">
        <v>22</v>
      </c>
      <c r="E8" s="188" t="s">
        <v>417</v>
      </c>
      <c r="F8" s="189" t="s">
        <v>418</v>
      </c>
      <c r="G8" s="188"/>
      <c r="H8" s="188"/>
    </row>
    <row r="9" spans="1:8" x14ac:dyDescent="0.25">
      <c r="A9" s="188">
        <v>11</v>
      </c>
      <c r="B9" s="189" t="s">
        <v>85</v>
      </c>
      <c r="C9" s="188" t="s">
        <v>22</v>
      </c>
      <c r="D9" s="189" t="s">
        <v>22</v>
      </c>
      <c r="E9" s="188" t="s">
        <v>417</v>
      </c>
      <c r="F9" s="189" t="s">
        <v>418</v>
      </c>
      <c r="G9" s="188"/>
      <c r="H9" s="188"/>
    </row>
    <row r="10" spans="1:8" x14ac:dyDescent="0.25">
      <c r="A10" s="188">
        <v>12</v>
      </c>
      <c r="B10" s="189" t="s">
        <v>420</v>
      </c>
      <c r="C10" s="188" t="s">
        <v>22</v>
      </c>
      <c r="D10" s="189" t="s">
        <v>22</v>
      </c>
      <c r="E10" s="188" t="s">
        <v>417</v>
      </c>
      <c r="F10" s="189" t="s">
        <v>418</v>
      </c>
      <c r="G10" s="188"/>
      <c r="H10" s="188"/>
    </row>
    <row r="11" spans="1:8" x14ac:dyDescent="0.25">
      <c r="A11" s="188">
        <v>14</v>
      </c>
      <c r="B11" s="189" t="s">
        <v>87</v>
      </c>
      <c r="C11" s="188" t="s">
        <v>22</v>
      </c>
      <c r="D11" s="189" t="s">
        <v>421</v>
      </c>
      <c r="E11" s="188" t="s">
        <v>417</v>
      </c>
      <c r="F11" s="189" t="s">
        <v>418</v>
      </c>
      <c r="G11" s="188"/>
      <c r="H11" s="188"/>
    </row>
    <row r="12" spans="1:8" x14ac:dyDescent="0.25">
      <c r="A12" s="188">
        <v>15</v>
      </c>
      <c r="B12" s="189" t="s">
        <v>88</v>
      </c>
      <c r="C12" s="188" t="s">
        <v>22</v>
      </c>
      <c r="D12" s="189" t="s">
        <v>421</v>
      </c>
      <c r="E12" s="188" t="s">
        <v>417</v>
      </c>
      <c r="F12" s="189" t="s">
        <v>418</v>
      </c>
      <c r="G12" s="188"/>
      <c r="H12" s="188"/>
    </row>
    <row r="13" spans="1:8" x14ac:dyDescent="0.25">
      <c r="A13" s="188">
        <v>16</v>
      </c>
      <c r="B13" s="189" t="s">
        <v>89</v>
      </c>
      <c r="C13" s="188" t="s">
        <v>22</v>
      </c>
      <c r="D13" s="189" t="s">
        <v>421</v>
      </c>
      <c r="E13" s="188" t="s">
        <v>417</v>
      </c>
      <c r="F13" s="189" t="s">
        <v>418</v>
      </c>
      <c r="G13" s="188"/>
      <c r="H13" s="188"/>
    </row>
    <row r="14" spans="1:8" x14ac:dyDescent="0.25">
      <c r="A14" s="188">
        <v>17</v>
      </c>
      <c r="B14" s="189" t="s">
        <v>90</v>
      </c>
      <c r="C14" s="188" t="s">
        <v>22</v>
      </c>
      <c r="D14" s="189" t="s">
        <v>22</v>
      </c>
      <c r="E14" s="188" t="s">
        <v>417</v>
      </c>
      <c r="F14" s="189" t="s">
        <v>418</v>
      </c>
      <c r="G14" s="188"/>
      <c r="H14" s="188"/>
    </row>
    <row r="15" spans="1:8" x14ac:dyDescent="0.25">
      <c r="A15" s="338">
        <v>18</v>
      </c>
      <c r="B15" s="189" t="s">
        <v>91</v>
      </c>
      <c r="C15" s="188" t="s">
        <v>22</v>
      </c>
      <c r="D15" s="189" t="s">
        <v>22</v>
      </c>
      <c r="E15" s="188" t="s">
        <v>417</v>
      </c>
      <c r="F15" s="189" t="s">
        <v>418</v>
      </c>
      <c r="G15" s="188"/>
      <c r="H15" s="188"/>
    </row>
    <row r="16" spans="1:8" x14ac:dyDescent="0.25">
      <c r="A16" s="188">
        <v>22</v>
      </c>
      <c r="B16" s="189" t="s">
        <v>96</v>
      </c>
      <c r="C16" s="188" t="s">
        <v>23</v>
      </c>
      <c r="D16" s="189" t="s">
        <v>422</v>
      </c>
      <c r="E16" s="188" t="s">
        <v>417</v>
      </c>
      <c r="F16" s="189" t="s">
        <v>418</v>
      </c>
      <c r="G16" s="188"/>
      <c r="H16" s="188"/>
    </row>
    <row r="17" spans="1:8" x14ac:dyDescent="0.25">
      <c r="A17" s="188">
        <v>23</v>
      </c>
      <c r="B17" s="189" t="s">
        <v>102</v>
      </c>
      <c r="C17" s="188" t="s">
        <v>23</v>
      </c>
      <c r="D17" s="189" t="s">
        <v>423</v>
      </c>
      <c r="E17" s="188" t="s">
        <v>417</v>
      </c>
      <c r="F17" s="189" t="s">
        <v>418</v>
      </c>
      <c r="G17" s="188"/>
      <c r="H17" s="188"/>
    </row>
    <row r="18" spans="1:8" x14ac:dyDescent="0.25">
      <c r="A18" s="188">
        <v>24</v>
      </c>
      <c r="B18" s="189" t="s">
        <v>59</v>
      </c>
      <c r="C18" s="188" t="s">
        <v>23</v>
      </c>
      <c r="D18" s="189" t="s">
        <v>23</v>
      </c>
      <c r="E18" s="188" t="s">
        <v>417</v>
      </c>
      <c r="F18" s="189" t="s">
        <v>418</v>
      </c>
      <c r="G18" s="188"/>
      <c r="H18" s="188"/>
    </row>
    <row r="19" spans="1:8" x14ac:dyDescent="0.25">
      <c r="A19" s="188">
        <v>25</v>
      </c>
      <c r="B19" s="189" t="s">
        <v>60</v>
      </c>
      <c r="C19" s="188" t="s">
        <v>23</v>
      </c>
      <c r="D19" s="189" t="s">
        <v>424</v>
      </c>
      <c r="E19" s="188" t="s">
        <v>417</v>
      </c>
      <c r="F19" s="189" t="s">
        <v>418</v>
      </c>
      <c r="G19" s="188"/>
      <c r="H19" s="188"/>
    </row>
    <row r="20" spans="1:8" x14ac:dyDescent="0.25">
      <c r="A20" s="188">
        <v>28</v>
      </c>
      <c r="B20" s="189" t="s">
        <v>100</v>
      </c>
      <c r="C20" s="188" t="s">
        <v>23</v>
      </c>
      <c r="D20" s="189" t="s">
        <v>424</v>
      </c>
      <c r="E20" s="188" t="s">
        <v>417</v>
      </c>
      <c r="F20" s="189" t="s">
        <v>418</v>
      </c>
      <c r="G20" s="188"/>
      <c r="H20" s="188"/>
    </row>
    <row r="21" spans="1:8" x14ac:dyDescent="0.25">
      <c r="A21" s="188">
        <v>31</v>
      </c>
      <c r="B21" s="189" t="s">
        <v>104</v>
      </c>
      <c r="C21" s="188" t="s">
        <v>23</v>
      </c>
      <c r="D21" s="189" t="s">
        <v>23</v>
      </c>
      <c r="E21" s="188" t="s">
        <v>417</v>
      </c>
      <c r="F21" s="189" t="s">
        <v>418</v>
      </c>
      <c r="G21" s="188"/>
      <c r="H21" s="188"/>
    </row>
    <row r="22" spans="1:8" x14ac:dyDescent="0.25">
      <c r="A22" s="188">
        <v>32</v>
      </c>
      <c r="B22" s="189" t="s">
        <v>425</v>
      </c>
      <c r="C22" s="188" t="s">
        <v>23</v>
      </c>
      <c r="D22" s="189" t="s">
        <v>23</v>
      </c>
      <c r="E22" s="188" t="s">
        <v>417</v>
      </c>
      <c r="F22" s="189" t="s">
        <v>418</v>
      </c>
      <c r="G22" s="188"/>
      <c r="H22" s="188"/>
    </row>
    <row r="23" spans="1:8" x14ac:dyDescent="0.25">
      <c r="A23" s="188">
        <v>33</v>
      </c>
      <c r="B23" s="189" t="s">
        <v>106</v>
      </c>
      <c r="C23" s="188" t="s">
        <v>23</v>
      </c>
      <c r="D23" s="189" t="s">
        <v>23</v>
      </c>
      <c r="E23" s="188" t="s">
        <v>417</v>
      </c>
      <c r="F23" s="189" t="s">
        <v>418</v>
      </c>
      <c r="G23" s="188"/>
      <c r="H23" s="188"/>
    </row>
    <row r="24" spans="1:8" x14ac:dyDescent="0.25">
      <c r="A24" s="188">
        <v>34</v>
      </c>
      <c r="B24" s="189" t="s">
        <v>138</v>
      </c>
      <c r="C24" s="188" t="s">
        <v>426</v>
      </c>
      <c r="D24" s="189" t="s">
        <v>426</v>
      </c>
      <c r="E24" s="188" t="s">
        <v>417</v>
      </c>
      <c r="F24" s="189" t="s">
        <v>418</v>
      </c>
      <c r="G24" s="188"/>
      <c r="H24" s="188"/>
    </row>
    <row r="25" spans="1:8" x14ac:dyDescent="0.25">
      <c r="A25" s="188">
        <v>37</v>
      </c>
      <c r="B25" s="189" t="s">
        <v>118</v>
      </c>
      <c r="C25" s="188" t="s">
        <v>24</v>
      </c>
      <c r="D25" s="189" t="s">
        <v>24</v>
      </c>
      <c r="E25" s="188" t="s">
        <v>417</v>
      </c>
      <c r="F25" s="189" t="s">
        <v>427</v>
      </c>
      <c r="G25" s="188" t="s">
        <v>428</v>
      </c>
      <c r="H25" s="188" t="s">
        <v>429</v>
      </c>
    </row>
    <row r="26" spans="1:8" x14ac:dyDescent="0.25">
      <c r="A26" s="188">
        <v>38</v>
      </c>
      <c r="B26" s="189" t="s">
        <v>119</v>
      </c>
      <c r="C26" s="188" t="s">
        <v>24</v>
      </c>
      <c r="D26" s="189" t="s">
        <v>24</v>
      </c>
      <c r="E26" s="188" t="s">
        <v>417</v>
      </c>
      <c r="F26" s="189" t="s">
        <v>427</v>
      </c>
      <c r="G26" s="188" t="s">
        <v>430</v>
      </c>
      <c r="H26" s="188" t="s">
        <v>429</v>
      </c>
    </row>
    <row r="27" spans="1:8" x14ac:dyDescent="0.25">
      <c r="A27" s="188">
        <v>39</v>
      </c>
      <c r="B27" s="189" t="s">
        <v>120</v>
      </c>
      <c r="C27" s="188" t="s">
        <v>24</v>
      </c>
      <c r="D27" s="189" t="s">
        <v>24</v>
      </c>
      <c r="E27" s="188" t="s">
        <v>417</v>
      </c>
      <c r="F27" s="189" t="s">
        <v>427</v>
      </c>
      <c r="G27" s="188" t="s">
        <v>431</v>
      </c>
      <c r="H27" s="188" t="s">
        <v>429</v>
      </c>
    </row>
    <row r="28" spans="1:8" x14ac:dyDescent="0.25">
      <c r="A28" s="188">
        <v>40</v>
      </c>
      <c r="B28" s="189" t="s">
        <v>121</v>
      </c>
      <c r="C28" s="188" t="s">
        <v>24</v>
      </c>
      <c r="D28" s="189" t="s">
        <v>24</v>
      </c>
      <c r="E28" s="188" t="s">
        <v>417</v>
      </c>
      <c r="F28" s="189" t="s">
        <v>427</v>
      </c>
      <c r="G28" s="188" t="s">
        <v>432</v>
      </c>
      <c r="H28" s="188" t="s">
        <v>429</v>
      </c>
    </row>
    <row r="29" spans="1:8" x14ac:dyDescent="0.25">
      <c r="A29" s="188">
        <v>42</v>
      </c>
      <c r="B29" s="189" t="s">
        <v>433</v>
      </c>
      <c r="C29" s="188" t="s">
        <v>24</v>
      </c>
      <c r="D29" s="189" t="s">
        <v>24</v>
      </c>
      <c r="E29" s="188" t="s">
        <v>417</v>
      </c>
      <c r="F29" s="189" t="s">
        <v>427</v>
      </c>
      <c r="G29" s="188" t="s">
        <v>434</v>
      </c>
      <c r="H29" s="188" t="s">
        <v>429</v>
      </c>
    </row>
    <row r="30" spans="1:8" x14ac:dyDescent="0.25">
      <c r="A30" s="188">
        <v>43</v>
      </c>
      <c r="B30" s="189" t="s">
        <v>123</v>
      </c>
      <c r="C30" s="188" t="s">
        <v>24</v>
      </c>
      <c r="D30" s="189" t="s">
        <v>24</v>
      </c>
      <c r="E30" s="188" t="s">
        <v>417</v>
      </c>
      <c r="F30" s="189" t="s">
        <v>427</v>
      </c>
      <c r="G30" s="188" t="s">
        <v>435</v>
      </c>
      <c r="H30" s="188" t="s">
        <v>429</v>
      </c>
    </row>
    <row r="31" spans="1:8" x14ac:dyDescent="0.25">
      <c r="A31" s="188">
        <v>44</v>
      </c>
      <c r="B31" s="189" t="s">
        <v>436</v>
      </c>
      <c r="C31" s="188" t="s">
        <v>426</v>
      </c>
      <c r="D31" s="189" t="s">
        <v>437</v>
      </c>
      <c r="E31" s="188" t="s">
        <v>417</v>
      </c>
      <c r="F31" s="189" t="s">
        <v>427</v>
      </c>
      <c r="G31" s="188" t="s">
        <v>438</v>
      </c>
      <c r="H31" s="188" t="s">
        <v>429</v>
      </c>
    </row>
    <row r="32" spans="1:8" x14ac:dyDescent="0.25">
      <c r="A32" s="188">
        <v>45</v>
      </c>
      <c r="B32" s="189" t="s">
        <v>139</v>
      </c>
      <c r="C32" s="188" t="s">
        <v>426</v>
      </c>
      <c r="D32" s="189" t="s">
        <v>426</v>
      </c>
      <c r="E32" s="188" t="s">
        <v>417</v>
      </c>
      <c r="F32" s="189" t="s">
        <v>427</v>
      </c>
      <c r="G32" s="188" t="s">
        <v>439</v>
      </c>
      <c r="H32" s="188" t="s">
        <v>429</v>
      </c>
    </row>
    <row r="33" spans="1:8" x14ac:dyDescent="0.25">
      <c r="A33" s="188">
        <v>46</v>
      </c>
      <c r="B33" s="189" t="s">
        <v>440</v>
      </c>
      <c r="C33" s="188" t="s">
        <v>426</v>
      </c>
      <c r="D33" s="189" t="s">
        <v>426</v>
      </c>
      <c r="E33" s="188" t="s">
        <v>417</v>
      </c>
      <c r="F33" s="189" t="s">
        <v>427</v>
      </c>
      <c r="G33" s="188" t="s">
        <v>441</v>
      </c>
      <c r="H33" s="188" t="s">
        <v>429</v>
      </c>
    </row>
    <row r="34" spans="1:8" x14ac:dyDescent="0.25">
      <c r="A34" s="188">
        <v>47</v>
      </c>
      <c r="B34" s="189" t="s">
        <v>126</v>
      </c>
      <c r="C34" s="188" t="s">
        <v>442</v>
      </c>
      <c r="D34" s="189" t="s">
        <v>442</v>
      </c>
      <c r="E34" s="188" t="s">
        <v>417</v>
      </c>
      <c r="F34" s="189" t="s">
        <v>418</v>
      </c>
      <c r="G34" s="188"/>
      <c r="H34" s="188"/>
    </row>
    <row r="35" spans="1:8" x14ac:dyDescent="0.25">
      <c r="A35" s="188">
        <v>48</v>
      </c>
      <c r="B35" s="189" t="s">
        <v>127</v>
      </c>
      <c r="C35" s="188" t="s">
        <v>442</v>
      </c>
      <c r="D35" s="189" t="s">
        <v>442</v>
      </c>
      <c r="E35" s="188" t="s">
        <v>417</v>
      </c>
      <c r="F35" s="189" t="s">
        <v>418</v>
      </c>
      <c r="G35" s="188"/>
      <c r="H35" s="188"/>
    </row>
    <row r="36" spans="1:8" x14ac:dyDescent="0.25">
      <c r="A36" s="188">
        <v>49</v>
      </c>
      <c r="B36" s="189" t="s">
        <v>128</v>
      </c>
      <c r="C36" s="188" t="s">
        <v>442</v>
      </c>
      <c r="D36" s="189" t="s">
        <v>442</v>
      </c>
      <c r="E36" s="188" t="s">
        <v>417</v>
      </c>
      <c r="F36" s="189" t="s">
        <v>418</v>
      </c>
      <c r="G36" s="188"/>
      <c r="H36" s="188"/>
    </row>
    <row r="37" spans="1:8" x14ac:dyDescent="0.25">
      <c r="A37" s="188">
        <v>50</v>
      </c>
      <c r="B37" s="189" t="s">
        <v>130</v>
      </c>
      <c r="C37" s="188" t="s">
        <v>442</v>
      </c>
      <c r="D37" s="189" t="s">
        <v>442</v>
      </c>
      <c r="E37" s="188" t="s">
        <v>417</v>
      </c>
      <c r="F37" s="189" t="s">
        <v>418</v>
      </c>
      <c r="G37" s="188"/>
      <c r="H37" s="188"/>
    </row>
    <row r="38" spans="1:8" x14ac:dyDescent="0.25">
      <c r="A38" s="188">
        <v>51</v>
      </c>
      <c r="B38" s="189" t="s">
        <v>131</v>
      </c>
      <c r="C38" s="188" t="s">
        <v>442</v>
      </c>
      <c r="D38" s="189" t="s">
        <v>442</v>
      </c>
      <c r="E38" s="188" t="s">
        <v>417</v>
      </c>
      <c r="F38" s="189" t="s">
        <v>418</v>
      </c>
      <c r="G38" s="188"/>
      <c r="H38" s="188"/>
    </row>
    <row r="39" spans="1:8" x14ac:dyDescent="0.25">
      <c r="A39" s="188">
        <v>52</v>
      </c>
      <c r="B39" s="189" t="s">
        <v>132</v>
      </c>
      <c r="C39" s="188" t="s">
        <v>442</v>
      </c>
      <c r="D39" s="189" t="s">
        <v>442</v>
      </c>
      <c r="E39" s="188" t="s">
        <v>417</v>
      </c>
      <c r="F39" s="189" t="s">
        <v>418</v>
      </c>
      <c r="G39" s="188"/>
      <c r="H39" s="188"/>
    </row>
    <row r="40" spans="1:8" x14ac:dyDescent="0.25">
      <c r="A40" s="188">
        <v>57</v>
      </c>
      <c r="B40" s="189" t="s">
        <v>242</v>
      </c>
      <c r="C40" s="188" t="s">
        <v>442</v>
      </c>
      <c r="D40" s="189" t="s">
        <v>443</v>
      </c>
      <c r="E40" s="188" t="s">
        <v>417</v>
      </c>
      <c r="F40" s="189" t="s">
        <v>418</v>
      </c>
      <c r="G40" s="188"/>
      <c r="H40" s="188"/>
    </row>
    <row r="41" spans="1:8" x14ac:dyDescent="0.25">
      <c r="A41" s="188">
        <v>61</v>
      </c>
      <c r="B41" s="189" t="s">
        <v>133</v>
      </c>
      <c r="C41" s="188" t="s">
        <v>442</v>
      </c>
      <c r="D41" s="189" t="s">
        <v>442</v>
      </c>
      <c r="E41" s="188" t="s">
        <v>417</v>
      </c>
      <c r="F41" s="189" t="s">
        <v>418</v>
      </c>
      <c r="G41" s="188"/>
      <c r="H41" s="188"/>
    </row>
    <row r="42" spans="1:8" x14ac:dyDescent="0.25">
      <c r="A42" s="188">
        <v>62</v>
      </c>
      <c r="B42" s="189" t="s">
        <v>134</v>
      </c>
      <c r="C42" s="188" t="s">
        <v>442</v>
      </c>
      <c r="D42" s="189" t="s">
        <v>442</v>
      </c>
      <c r="E42" s="188" t="s">
        <v>417</v>
      </c>
      <c r="F42" s="189" t="s">
        <v>418</v>
      </c>
      <c r="G42" s="188"/>
      <c r="H42" s="188"/>
    </row>
    <row r="43" spans="1:8" x14ac:dyDescent="0.25">
      <c r="A43" s="188">
        <v>63</v>
      </c>
      <c r="B43" s="189" t="s">
        <v>135</v>
      </c>
      <c r="C43" s="188" t="s">
        <v>442</v>
      </c>
      <c r="D43" s="189" t="s">
        <v>442</v>
      </c>
      <c r="E43" s="188" t="s">
        <v>417</v>
      </c>
      <c r="F43" s="189" t="s">
        <v>418</v>
      </c>
      <c r="G43" s="188"/>
      <c r="H43" s="188"/>
    </row>
    <row r="44" spans="1:8" x14ac:dyDescent="0.25">
      <c r="A44" s="188">
        <v>66</v>
      </c>
      <c r="B44" s="189" t="s">
        <v>143</v>
      </c>
      <c r="C44" s="188" t="s">
        <v>426</v>
      </c>
      <c r="D44" s="189" t="s">
        <v>426</v>
      </c>
      <c r="E44" s="188" t="s">
        <v>417</v>
      </c>
      <c r="F44" s="189" t="s">
        <v>427</v>
      </c>
      <c r="G44" s="188" t="s">
        <v>444</v>
      </c>
      <c r="H44" s="188" t="s">
        <v>429</v>
      </c>
    </row>
    <row r="45" spans="1:8" x14ac:dyDescent="0.25">
      <c r="A45" s="188">
        <v>70</v>
      </c>
      <c r="B45" s="189" t="s">
        <v>445</v>
      </c>
      <c r="C45" s="188" t="s">
        <v>36</v>
      </c>
      <c r="D45" s="189" t="s">
        <v>446</v>
      </c>
      <c r="E45" s="188" t="s">
        <v>417</v>
      </c>
      <c r="F45" s="189" t="s">
        <v>427</v>
      </c>
      <c r="G45" s="188" t="s">
        <v>447</v>
      </c>
      <c r="H45" s="188" t="s">
        <v>448</v>
      </c>
    </row>
    <row r="46" spans="1:8" x14ac:dyDescent="0.25">
      <c r="A46" s="188">
        <v>71</v>
      </c>
      <c r="B46" s="189" t="s">
        <v>449</v>
      </c>
      <c r="C46" s="188" t="s">
        <v>36</v>
      </c>
      <c r="D46" s="189" t="s">
        <v>450</v>
      </c>
      <c r="E46" s="188" t="s">
        <v>417</v>
      </c>
      <c r="F46" s="189" t="s">
        <v>418</v>
      </c>
      <c r="G46" s="188"/>
      <c r="H46" s="188"/>
    </row>
    <row r="47" spans="1:8" x14ac:dyDescent="0.25">
      <c r="A47" s="188">
        <v>72</v>
      </c>
      <c r="B47" s="189" t="s">
        <v>276</v>
      </c>
      <c r="C47" s="188" t="s">
        <v>36</v>
      </c>
      <c r="D47" s="189" t="s">
        <v>451</v>
      </c>
      <c r="E47" s="188" t="s">
        <v>417</v>
      </c>
      <c r="F47" s="189" t="s">
        <v>418</v>
      </c>
      <c r="G47" s="188"/>
      <c r="H47" s="188"/>
    </row>
    <row r="48" spans="1:8" x14ac:dyDescent="0.25">
      <c r="A48" s="188">
        <v>73</v>
      </c>
      <c r="B48" s="189" t="s">
        <v>275</v>
      </c>
      <c r="C48" s="188" t="s">
        <v>36</v>
      </c>
      <c r="D48" s="189" t="s">
        <v>446</v>
      </c>
      <c r="E48" s="188" t="s">
        <v>417</v>
      </c>
      <c r="F48" s="189" t="s">
        <v>418</v>
      </c>
      <c r="G48" s="188"/>
      <c r="H48" s="188"/>
    </row>
    <row r="49" spans="1:8" x14ac:dyDescent="0.25">
      <c r="A49" s="188">
        <v>74</v>
      </c>
      <c r="B49" s="189" t="s">
        <v>61</v>
      </c>
      <c r="C49" s="188" t="s">
        <v>36</v>
      </c>
      <c r="D49" s="189" t="s">
        <v>36</v>
      </c>
      <c r="E49" s="188" t="s">
        <v>417</v>
      </c>
      <c r="F49" s="189" t="s">
        <v>418</v>
      </c>
      <c r="G49" s="188"/>
      <c r="H49" s="188"/>
    </row>
    <row r="50" spans="1:8" x14ac:dyDescent="0.25">
      <c r="A50" s="188">
        <v>75</v>
      </c>
      <c r="B50" s="189" t="s">
        <v>452</v>
      </c>
      <c r="C50" s="188" t="s">
        <v>36</v>
      </c>
      <c r="D50" s="189" t="s">
        <v>36</v>
      </c>
      <c r="E50" s="188" t="s">
        <v>417</v>
      </c>
      <c r="F50" s="189" t="s">
        <v>427</v>
      </c>
      <c r="G50" s="188" t="s">
        <v>453</v>
      </c>
      <c r="H50" s="188" t="s">
        <v>454</v>
      </c>
    </row>
    <row r="51" spans="1:8" x14ac:dyDescent="0.25">
      <c r="A51" s="188">
        <v>76</v>
      </c>
      <c r="B51" s="189" t="s">
        <v>209</v>
      </c>
      <c r="C51" s="188" t="s">
        <v>36</v>
      </c>
      <c r="D51" s="189" t="s">
        <v>36</v>
      </c>
      <c r="E51" s="188" t="s">
        <v>417</v>
      </c>
      <c r="F51" s="189" t="s">
        <v>418</v>
      </c>
      <c r="G51" s="188"/>
      <c r="H51" s="188"/>
    </row>
    <row r="52" spans="1:8" x14ac:dyDescent="0.25">
      <c r="A52" s="188">
        <v>77</v>
      </c>
      <c r="B52" s="189" t="s">
        <v>455</v>
      </c>
      <c r="C52" s="188" t="s">
        <v>36</v>
      </c>
      <c r="D52" s="189" t="s">
        <v>36</v>
      </c>
      <c r="E52" s="188" t="s">
        <v>417</v>
      </c>
      <c r="F52" s="189" t="s">
        <v>418</v>
      </c>
      <c r="G52" s="188"/>
      <c r="H52" s="188"/>
    </row>
    <row r="53" spans="1:8" x14ac:dyDescent="0.25">
      <c r="A53" s="188">
        <v>78</v>
      </c>
      <c r="B53" s="189" t="s">
        <v>211</v>
      </c>
      <c r="C53" s="188" t="s">
        <v>36</v>
      </c>
      <c r="D53" s="189" t="s">
        <v>36</v>
      </c>
      <c r="E53" s="188" t="s">
        <v>417</v>
      </c>
      <c r="F53" s="189" t="s">
        <v>418</v>
      </c>
      <c r="G53" s="188"/>
      <c r="H53" s="188"/>
    </row>
    <row r="54" spans="1:8" x14ac:dyDescent="0.25">
      <c r="A54" s="188">
        <v>81</v>
      </c>
      <c r="B54" s="189" t="s">
        <v>456</v>
      </c>
      <c r="C54" s="188" t="s">
        <v>36</v>
      </c>
      <c r="D54" s="189" t="s">
        <v>36</v>
      </c>
      <c r="E54" s="188" t="s">
        <v>457</v>
      </c>
      <c r="F54" s="189" t="s">
        <v>418</v>
      </c>
      <c r="G54" s="188"/>
      <c r="H54" s="188"/>
    </row>
    <row r="55" spans="1:8" x14ac:dyDescent="0.25">
      <c r="A55" s="188">
        <v>88</v>
      </c>
      <c r="B55" s="189" t="s">
        <v>458</v>
      </c>
      <c r="C55" s="188" t="s">
        <v>38</v>
      </c>
      <c r="D55" s="189" t="s">
        <v>459</v>
      </c>
      <c r="E55" s="188" t="s">
        <v>457</v>
      </c>
      <c r="F55" s="189" t="s">
        <v>418</v>
      </c>
      <c r="G55" s="188"/>
      <c r="H55" s="188"/>
    </row>
    <row r="56" spans="1:8" x14ac:dyDescent="0.25">
      <c r="A56" s="188">
        <v>89</v>
      </c>
      <c r="B56" s="189" t="s">
        <v>225</v>
      </c>
      <c r="C56" s="188" t="s">
        <v>38</v>
      </c>
      <c r="D56" s="189" t="s">
        <v>459</v>
      </c>
      <c r="E56" s="188" t="s">
        <v>457</v>
      </c>
      <c r="F56" s="189" t="s">
        <v>418</v>
      </c>
      <c r="G56" s="188"/>
      <c r="H56" s="188"/>
    </row>
    <row r="57" spans="1:8" x14ac:dyDescent="0.25">
      <c r="A57" s="188">
        <v>92</v>
      </c>
      <c r="B57" s="189" t="s">
        <v>63</v>
      </c>
      <c r="C57" s="188" t="s">
        <v>38</v>
      </c>
      <c r="D57" s="189" t="s">
        <v>38</v>
      </c>
      <c r="E57" s="188" t="s">
        <v>417</v>
      </c>
      <c r="F57" s="189" t="s">
        <v>418</v>
      </c>
      <c r="G57" s="188"/>
      <c r="H57" s="188"/>
    </row>
    <row r="58" spans="1:8" x14ac:dyDescent="0.25">
      <c r="A58" s="188">
        <v>93</v>
      </c>
      <c r="B58" s="189" t="s">
        <v>279</v>
      </c>
      <c r="C58" s="188" t="s">
        <v>38</v>
      </c>
      <c r="D58" s="189" t="s">
        <v>460</v>
      </c>
      <c r="E58" s="188" t="s">
        <v>417</v>
      </c>
      <c r="F58" s="189" t="s">
        <v>418</v>
      </c>
      <c r="G58" s="188"/>
      <c r="H58" s="188"/>
    </row>
    <row r="59" spans="1:8" x14ac:dyDescent="0.25">
      <c r="A59" s="188">
        <v>94</v>
      </c>
      <c r="B59" s="189" t="s">
        <v>461</v>
      </c>
      <c r="C59" s="188" t="s">
        <v>38</v>
      </c>
      <c r="D59" s="189" t="s">
        <v>38</v>
      </c>
      <c r="E59" s="188" t="s">
        <v>417</v>
      </c>
      <c r="F59" s="189" t="s">
        <v>418</v>
      </c>
      <c r="G59" s="188"/>
      <c r="H59" s="188"/>
    </row>
    <row r="60" spans="1:8" x14ac:dyDescent="0.25">
      <c r="A60" s="188">
        <v>97</v>
      </c>
      <c r="B60" s="189" t="s">
        <v>219</v>
      </c>
      <c r="C60" s="188" t="s">
        <v>37</v>
      </c>
      <c r="D60" s="189" t="s">
        <v>462</v>
      </c>
      <c r="E60" s="188" t="s">
        <v>417</v>
      </c>
      <c r="F60" s="189" t="s">
        <v>418</v>
      </c>
      <c r="G60" s="188"/>
      <c r="H60" s="188"/>
    </row>
    <row r="61" spans="1:8" x14ac:dyDescent="0.25">
      <c r="A61" s="188">
        <v>98</v>
      </c>
      <c r="B61" s="189" t="s">
        <v>220</v>
      </c>
      <c r="C61" s="188" t="s">
        <v>37</v>
      </c>
      <c r="D61" s="189" t="s">
        <v>462</v>
      </c>
      <c r="E61" s="188" t="s">
        <v>417</v>
      </c>
      <c r="F61" s="189" t="s">
        <v>418</v>
      </c>
      <c r="G61" s="188"/>
      <c r="H61" s="188"/>
    </row>
    <row r="62" spans="1:8" x14ac:dyDescent="0.25">
      <c r="A62" s="188">
        <v>99</v>
      </c>
      <c r="B62" s="189" t="s">
        <v>112</v>
      </c>
      <c r="C62" s="188" t="s">
        <v>23</v>
      </c>
      <c r="D62" s="189" t="s">
        <v>463</v>
      </c>
      <c r="E62" s="188" t="s">
        <v>417</v>
      </c>
      <c r="F62" s="189" t="s">
        <v>418</v>
      </c>
      <c r="G62" s="188"/>
      <c r="H62" s="188"/>
    </row>
    <row r="63" spans="1:8" x14ac:dyDescent="0.25">
      <c r="A63" s="188">
        <v>101</v>
      </c>
      <c r="B63" s="189" t="s">
        <v>239</v>
      </c>
      <c r="C63" s="188" t="s">
        <v>464</v>
      </c>
      <c r="D63" s="189" t="s">
        <v>40</v>
      </c>
      <c r="E63" s="188" t="s">
        <v>417</v>
      </c>
      <c r="F63" s="189" t="s">
        <v>418</v>
      </c>
      <c r="G63" s="188"/>
      <c r="H63" s="188"/>
    </row>
    <row r="64" spans="1:8" x14ac:dyDescent="0.25">
      <c r="A64" s="188">
        <v>102</v>
      </c>
      <c r="B64" s="189" t="s">
        <v>232</v>
      </c>
      <c r="C64" s="188" t="s">
        <v>38</v>
      </c>
      <c r="D64" s="189" t="s">
        <v>465</v>
      </c>
      <c r="E64" s="188" t="s">
        <v>417</v>
      </c>
      <c r="F64" s="189" t="s">
        <v>418</v>
      </c>
      <c r="G64" s="188"/>
      <c r="H64" s="188"/>
    </row>
    <row r="65" spans="1:8" x14ac:dyDescent="0.25">
      <c r="A65" s="188">
        <v>103</v>
      </c>
      <c r="B65" s="189" t="s">
        <v>233</v>
      </c>
      <c r="C65" s="188" t="s">
        <v>38</v>
      </c>
      <c r="D65" s="189" t="s">
        <v>465</v>
      </c>
      <c r="E65" s="188" t="s">
        <v>417</v>
      </c>
      <c r="F65" s="189" t="s">
        <v>418</v>
      </c>
      <c r="G65" s="188"/>
      <c r="H65" s="188"/>
    </row>
    <row r="66" spans="1:8" x14ac:dyDescent="0.25">
      <c r="A66" s="188">
        <v>104</v>
      </c>
      <c r="B66" s="189" t="s">
        <v>466</v>
      </c>
      <c r="C66" s="188" t="s">
        <v>24</v>
      </c>
      <c r="D66" s="189" t="s">
        <v>467</v>
      </c>
      <c r="E66" s="188" t="s">
        <v>417</v>
      </c>
      <c r="F66" s="189" t="s">
        <v>418</v>
      </c>
      <c r="G66" s="188" t="s">
        <v>468</v>
      </c>
      <c r="H66" s="188"/>
    </row>
    <row r="67" spans="1:8" x14ac:dyDescent="0.25">
      <c r="A67" s="188">
        <v>109</v>
      </c>
      <c r="B67" s="189" t="s">
        <v>469</v>
      </c>
      <c r="C67" s="188" t="s">
        <v>24</v>
      </c>
      <c r="D67" s="189" t="s">
        <v>467</v>
      </c>
      <c r="E67" s="188" t="s">
        <v>417</v>
      </c>
      <c r="F67" s="189" t="s">
        <v>418</v>
      </c>
      <c r="G67" s="188" t="s">
        <v>470</v>
      </c>
      <c r="H67" s="188"/>
    </row>
    <row r="68" spans="1:8" x14ac:dyDescent="0.25">
      <c r="A68" s="188">
        <v>110</v>
      </c>
      <c r="B68" s="189" t="s">
        <v>215</v>
      </c>
      <c r="C68" s="188" t="s">
        <v>37</v>
      </c>
      <c r="D68" s="189" t="s">
        <v>37</v>
      </c>
      <c r="E68" s="188" t="s">
        <v>417</v>
      </c>
      <c r="F68" s="189" t="s">
        <v>418</v>
      </c>
      <c r="G68" s="188"/>
      <c r="H68" s="188"/>
    </row>
    <row r="69" spans="1:8" x14ac:dyDescent="0.25">
      <c r="A69" s="188">
        <v>111</v>
      </c>
      <c r="B69" s="189" t="s">
        <v>272</v>
      </c>
      <c r="C69" s="188" t="s">
        <v>37</v>
      </c>
      <c r="D69" s="189" t="s">
        <v>37</v>
      </c>
      <c r="E69" s="188" t="s">
        <v>417</v>
      </c>
      <c r="F69" s="189" t="s">
        <v>418</v>
      </c>
      <c r="G69" s="188"/>
      <c r="H69" s="188"/>
    </row>
    <row r="70" spans="1:8" x14ac:dyDescent="0.25">
      <c r="A70" s="188">
        <v>112</v>
      </c>
      <c r="B70" s="189" t="s">
        <v>471</v>
      </c>
      <c r="C70" s="188" t="s">
        <v>37</v>
      </c>
      <c r="D70" s="189" t="s">
        <v>37</v>
      </c>
      <c r="E70" s="188" t="s">
        <v>417</v>
      </c>
      <c r="F70" s="189" t="s">
        <v>418</v>
      </c>
      <c r="G70" s="188"/>
      <c r="H70" s="188"/>
    </row>
    <row r="71" spans="1:8" x14ac:dyDescent="0.25">
      <c r="A71" s="188">
        <v>113</v>
      </c>
      <c r="B71" s="189" t="s">
        <v>274</v>
      </c>
      <c r="C71" s="188" t="s">
        <v>37</v>
      </c>
      <c r="D71" s="189" t="s">
        <v>37</v>
      </c>
      <c r="E71" s="188" t="s">
        <v>417</v>
      </c>
      <c r="F71" s="189" t="s">
        <v>418</v>
      </c>
      <c r="G71" s="188"/>
      <c r="H71" s="188"/>
    </row>
    <row r="72" spans="1:8" x14ac:dyDescent="0.25">
      <c r="A72" s="188">
        <v>114</v>
      </c>
      <c r="B72" s="189" t="s">
        <v>472</v>
      </c>
      <c r="C72" s="188" t="s">
        <v>37</v>
      </c>
      <c r="D72" s="189" t="s">
        <v>37</v>
      </c>
      <c r="E72" s="188" t="s">
        <v>417</v>
      </c>
      <c r="F72" s="189" t="s">
        <v>418</v>
      </c>
      <c r="G72" s="188"/>
      <c r="H72" s="188"/>
    </row>
    <row r="73" spans="1:8" x14ac:dyDescent="0.25">
      <c r="A73" s="188">
        <v>115</v>
      </c>
      <c r="B73" s="189" t="s">
        <v>473</v>
      </c>
      <c r="C73" s="188" t="s">
        <v>474</v>
      </c>
      <c r="D73" s="189" t="s">
        <v>474</v>
      </c>
      <c r="E73" s="188" t="s">
        <v>417</v>
      </c>
      <c r="F73" s="189" t="s">
        <v>418</v>
      </c>
      <c r="G73" s="188"/>
      <c r="H73" s="188"/>
    </row>
    <row r="74" spans="1:8" x14ac:dyDescent="0.25">
      <c r="A74" s="188">
        <v>116</v>
      </c>
      <c r="B74" s="189" t="s">
        <v>475</v>
      </c>
      <c r="C74" s="188" t="s">
        <v>476</v>
      </c>
      <c r="D74" s="189" t="s">
        <v>477</v>
      </c>
      <c r="E74" s="188" t="s">
        <v>417</v>
      </c>
      <c r="F74" s="189" t="s">
        <v>418</v>
      </c>
      <c r="G74" s="188" t="s">
        <v>478</v>
      </c>
      <c r="H74" s="188"/>
    </row>
    <row r="75" spans="1:8" x14ac:dyDescent="0.25">
      <c r="A75" s="188">
        <v>117</v>
      </c>
      <c r="B75" s="189" t="s">
        <v>269</v>
      </c>
      <c r="C75" s="188" t="s">
        <v>24</v>
      </c>
      <c r="D75" s="189" t="s">
        <v>479</v>
      </c>
      <c r="E75" s="188" t="s">
        <v>417</v>
      </c>
      <c r="F75" s="189" t="s">
        <v>418</v>
      </c>
      <c r="G75" s="188"/>
      <c r="H75" s="188"/>
    </row>
    <row r="76" spans="1:8" x14ac:dyDescent="0.25">
      <c r="A76" s="188">
        <v>118</v>
      </c>
      <c r="B76" s="189" t="s">
        <v>270</v>
      </c>
      <c r="C76" s="188" t="s">
        <v>24</v>
      </c>
      <c r="D76" s="189" t="s">
        <v>467</v>
      </c>
      <c r="E76" s="188" t="s">
        <v>417</v>
      </c>
      <c r="F76" s="189" t="s">
        <v>418</v>
      </c>
      <c r="G76" s="188"/>
      <c r="H76" s="188"/>
    </row>
    <row r="77" spans="1:8" x14ac:dyDescent="0.25">
      <c r="A77" s="188">
        <v>119</v>
      </c>
      <c r="B77" s="189" t="s">
        <v>480</v>
      </c>
      <c r="C77" s="188" t="s">
        <v>481</v>
      </c>
      <c r="D77" s="189" t="s">
        <v>482</v>
      </c>
      <c r="E77" s="188" t="s">
        <v>417</v>
      </c>
      <c r="F77" s="189" t="s">
        <v>418</v>
      </c>
      <c r="G77" s="188" t="s">
        <v>483</v>
      </c>
      <c r="H77" s="188" t="s">
        <v>484</v>
      </c>
    </row>
    <row r="78" spans="1:8" x14ac:dyDescent="0.25">
      <c r="A78" s="188">
        <v>120</v>
      </c>
      <c r="B78" s="189" t="s">
        <v>146</v>
      </c>
      <c r="C78" s="188" t="s">
        <v>31</v>
      </c>
      <c r="D78" s="189" t="s">
        <v>485</v>
      </c>
      <c r="E78" s="188" t="s">
        <v>417</v>
      </c>
      <c r="F78" s="189" t="s">
        <v>418</v>
      </c>
      <c r="G78" s="188"/>
      <c r="H78" s="188"/>
    </row>
    <row r="79" spans="1:8" x14ac:dyDescent="0.25">
      <c r="A79" s="188">
        <v>121</v>
      </c>
      <c r="B79" s="189" t="s">
        <v>147</v>
      </c>
      <c r="C79" s="188" t="s">
        <v>31</v>
      </c>
      <c r="D79" s="189" t="s">
        <v>486</v>
      </c>
      <c r="E79" s="188" t="s">
        <v>417</v>
      </c>
      <c r="F79" s="189" t="s">
        <v>418</v>
      </c>
      <c r="G79" s="188"/>
      <c r="H79" s="188"/>
    </row>
    <row r="80" spans="1:8" x14ac:dyDescent="0.25">
      <c r="A80" s="188">
        <v>122</v>
      </c>
      <c r="B80" s="189" t="s">
        <v>148</v>
      </c>
      <c r="C80" s="188" t="s">
        <v>31</v>
      </c>
      <c r="D80" s="189" t="s">
        <v>31</v>
      </c>
      <c r="E80" s="188" t="s">
        <v>417</v>
      </c>
      <c r="F80" s="189" t="s">
        <v>418</v>
      </c>
      <c r="G80" s="188"/>
      <c r="H80" s="188"/>
    </row>
    <row r="81" spans="1:8" x14ac:dyDescent="0.25">
      <c r="A81" s="188">
        <v>123</v>
      </c>
      <c r="B81" s="189" t="s">
        <v>149</v>
      </c>
      <c r="C81" s="188" t="s">
        <v>31</v>
      </c>
      <c r="D81" s="189" t="s">
        <v>31</v>
      </c>
      <c r="E81" s="188" t="s">
        <v>417</v>
      </c>
      <c r="F81" s="189" t="s">
        <v>418</v>
      </c>
      <c r="G81" s="188"/>
      <c r="H81" s="188"/>
    </row>
    <row r="82" spans="1:8" x14ac:dyDescent="0.25">
      <c r="A82" s="188">
        <v>125</v>
      </c>
      <c r="B82" s="189" t="s">
        <v>487</v>
      </c>
      <c r="C82" s="188" t="s">
        <v>31</v>
      </c>
      <c r="D82" s="189" t="s">
        <v>31</v>
      </c>
      <c r="E82" s="188" t="s">
        <v>417</v>
      </c>
      <c r="F82" s="189" t="s">
        <v>418</v>
      </c>
      <c r="G82" s="188"/>
      <c r="H82" s="188"/>
    </row>
    <row r="83" spans="1:8" x14ac:dyDescent="0.25">
      <c r="A83" s="188">
        <v>126</v>
      </c>
      <c r="B83" s="189" t="s">
        <v>343</v>
      </c>
      <c r="C83" s="188" t="s">
        <v>31</v>
      </c>
      <c r="D83" s="189" t="s">
        <v>31</v>
      </c>
      <c r="E83" s="188" t="s">
        <v>417</v>
      </c>
      <c r="F83" s="189" t="s">
        <v>427</v>
      </c>
      <c r="G83" s="188" t="s">
        <v>488</v>
      </c>
      <c r="H83" s="188" t="s">
        <v>489</v>
      </c>
    </row>
    <row r="84" spans="1:8" x14ac:dyDescent="0.25">
      <c r="A84" s="188">
        <v>127</v>
      </c>
      <c r="B84" s="189" t="s">
        <v>326</v>
      </c>
      <c r="C84" s="188" t="s">
        <v>31</v>
      </c>
      <c r="D84" s="189" t="s">
        <v>31</v>
      </c>
      <c r="E84" s="188" t="s">
        <v>417</v>
      </c>
      <c r="F84" s="189" t="s">
        <v>427</v>
      </c>
      <c r="G84" s="188" t="s">
        <v>490</v>
      </c>
      <c r="H84" s="188" t="s">
        <v>491</v>
      </c>
    </row>
    <row r="85" spans="1:8" x14ac:dyDescent="0.25">
      <c r="A85" s="188">
        <v>129</v>
      </c>
      <c r="B85" s="189" t="s">
        <v>326</v>
      </c>
      <c r="C85" s="188" t="s">
        <v>31</v>
      </c>
      <c r="D85" s="189" t="s">
        <v>31</v>
      </c>
      <c r="E85" s="188" t="s">
        <v>417</v>
      </c>
      <c r="F85" s="189" t="s">
        <v>418</v>
      </c>
      <c r="G85" s="188"/>
      <c r="H85" s="188"/>
    </row>
    <row r="86" spans="1:8" x14ac:dyDescent="0.25">
      <c r="A86" s="188">
        <v>130</v>
      </c>
      <c r="B86" s="189" t="s">
        <v>156</v>
      </c>
      <c r="C86" s="188" t="s">
        <v>31</v>
      </c>
      <c r="D86" s="189" t="s">
        <v>31</v>
      </c>
      <c r="E86" s="188" t="s">
        <v>417</v>
      </c>
      <c r="F86" s="189" t="s">
        <v>418</v>
      </c>
      <c r="G86" s="188"/>
      <c r="H86" s="188"/>
    </row>
    <row r="87" spans="1:8" x14ac:dyDescent="0.25">
      <c r="A87" s="188">
        <v>131</v>
      </c>
      <c r="B87" s="189" t="s">
        <v>492</v>
      </c>
      <c r="C87" s="188" t="s">
        <v>31</v>
      </c>
      <c r="D87" s="189" t="s">
        <v>493</v>
      </c>
      <c r="E87" s="188" t="s">
        <v>417</v>
      </c>
      <c r="F87" s="189" t="s">
        <v>427</v>
      </c>
      <c r="G87" s="188" t="s">
        <v>494</v>
      </c>
      <c r="H87" s="188" t="s">
        <v>495</v>
      </c>
    </row>
    <row r="88" spans="1:8" x14ac:dyDescent="0.25">
      <c r="A88" s="188">
        <v>132</v>
      </c>
      <c r="B88" s="189" t="s">
        <v>327</v>
      </c>
      <c r="C88" s="188" t="s">
        <v>31</v>
      </c>
      <c r="D88" s="189" t="s">
        <v>496</v>
      </c>
      <c r="E88" s="188" t="s">
        <v>417</v>
      </c>
      <c r="F88" s="189" t="s">
        <v>427</v>
      </c>
      <c r="G88" s="188" t="s">
        <v>497</v>
      </c>
      <c r="H88" s="188" t="s">
        <v>498</v>
      </c>
    </row>
    <row r="89" spans="1:8" x14ac:dyDescent="0.25">
      <c r="A89" s="188">
        <v>134</v>
      </c>
      <c r="B89" s="189" t="s">
        <v>166</v>
      </c>
      <c r="C89" s="188" t="s">
        <v>34</v>
      </c>
      <c r="D89" s="189" t="s">
        <v>34</v>
      </c>
      <c r="E89" s="188" t="s">
        <v>417</v>
      </c>
      <c r="F89" s="189" t="s">
        <v>418</v>
      </c>
      <c r="G89" s="188"/>
      <c r="H89" s="188"/>
    </row>
    <row r="90" spans="1:8" x14ac:dyDescent="0.25">
      <c r="A90" s="188">
        <v>141</v>
      </c>
      <c r="B90" s="189" t="s">
        <v>169</v>
      </c>
      <c r="C90" s="188" t="s">
        <v>34</v>
      </c>
      <c r="D90" s="189" t="s">
        <v>34</v>
      </c>
      <c r="E90" s="188" t="s">
        <v>417</v>
      </c>
      <c r="F90" s="189" t="s">
        <v>418</v>
      </c>
      <c r="G90" s="188"/>
      <c r="H90" s="188"/>
    </row>
    <row r="91" spans="1:8" x14ac:dyDescent="0.25">
      <c r="A91" s="188">
        <v>144</v>
      </c>
      <c r="B91" s="189" t="s">
        <v>171</v>
      </c>
      <c r="C91" s="188" t="s">
        <v>34</v>
      </c>
      <c r="D91" s="189" t="s">
        <v>34</v>
      </c>
      <c r="E91" s="188" t="s">
        <v>417</v>
      </c>
      <c r="F91" s="189" t="s">
        <v>418</v>
      </c>
      <c r="G91" s="188"/>
      <c r="H91" s="188"/>
    </row>
    <row r="92" spans="1:8" x14ac:dyDescent="0.25">
      <c r="A92" s="188">
        <v>145</v>
      </c>
      <c r="B92" s="189" t="s">
        <v>185</v>
      </c>
      <c r="C92" s="188" t="s">
        <v>499</v>
      </c>
      <c r="D92" s="189" t="s">
        <v>500</v>
      </c>
      <c r="E92" s="188" t="s">
        <v>417</v>
      </c>
      <c r="F92" s="189" t="s">
        <v>418</v>
      </c>
      <c r="G92" s="188"/>
      <c r="H92" s="188"/>
    </row>
    <row r="93" spans="1:8" x14ac:dyDescent="0.25">
      <c r="A93" s="188">
        <v>148</v>
      </c>
      <c r="B93" s="189" t="s">
        <v>331</v>
      </c>
      <c r="C93" s="188" t="s">
        <v>34</v>
      </c>
      <c r="D93" s="189" t="s">
        <v>34</v>
      </c>
      <c r="E93" s="188" t="s">
        <v>417</v>
      </c>
      <c r="F93" s="189" t="s">
        <v>418</v>
      </c>
      <c r="G93" s="188"/>
      <c r="H93" s="188"/>
    </row>
    <row r="94" spans="1:8" x14ac:dyDescent="0.25">
      <c r="A94" s="188">
        <v>149</v>
      </c>
      <c r="B94" s="189" t="s">
        <v>168</v>
      </c>
      <c r="C94" s="188" t="s">
        <v>34</v>
      </c>
      <c r="D94" s="189" t="s">
        <v>34</v>
      </c>
      <c r="E94" s="188" t="s">
        <v>417</v>
      </c>
      <c r="F94" s="189" t="s">
        <v>418</v>
      </c>
      <c r="G94" s="188"/>
      <c r="H94" s="188"/>
    </row>
    <row r="95" spans="1:8" x14ac:dyDescent="0.25">
      <c r="A95" s="188">
        <v>155</v>
      </c>
      <c r="B95" s="189" t="s">
        <v>192</v>
      </c>
      <c r="C95" s="188" t="s">
        <v>501</v>
      </c>
      <c r="D95" s="189" t="s">
        <v>502</v>
      </c>
      <c r="E95" s="188" t="s">
        <v>417</v>
      </c>
      <c r="F95" s="189" t="s">
        <v>418</v>
      </c>
      <c r="G95" s="188"/>
      <c r="H95" s="188"/>
    </row>
    <row r="96" spans="1:8" x14ac:dyDescent="0.25">
      <c r="A96" s="188">
        <v>156</v>
      </c>
      <c r="B96" s="189" t="s">
        <v>193</v>
      </c>
      <c r="C96" s="188" t="s">
        <v>501</v>
      </c>
      <c r="D96" s="189" t="s">
        <v>501</v>
      </c>
      <c r="E96" s="188" t="s">
        <v>417</v>
      </c>
      <c r="F96" s="189" t="s">
        <v>418</v>
      </c>
      <c r="G96" s="188"/>
      <c r="H96" s="188"/>
    </row>
    <row r="97" spans="1:8" x14ac:dyDescent="0.25">
      <c r="A97" s="188">
        <v>158</v>
      </c>
      <c r="B97" s="189" t="s">
        <v>194</v>
      </c>
      <c r="C97" s="188" t="s">
        <v>501</v>
      </c>
      <c r="D97" s="189" t="s">
        <v>503</v>
      </c>
      <c r="E97" s="188" t="s">
        <v>417</v>
      </c>
      <c r="F97" s="189" t="s">
        <v>418</v>
      </c>
      <c r="G97" s="188"/>
      <c r="H97" s="188"/>
    </row>
    <row r="98" spans="1:8" x14ac:dyDescent="0.25">
      <c r="A98" s="188">
        <v>160</v>
      </c>
      <c r="B98" s="189" t="s">
        <v>504</v>
      </c>
      <c r="C98" s="188" t="s">
        <v>24</v>
      </c>
      <c r="D98" s="189" t="s">
        <v>24</v>
      </c>
      <c r="E98" s="188" t="s">
        <v>417</v>
      </c>
      <c r="F98" s="189" t="s">
        <v>418</v>
      </c>
      <c r="G98" s="188"/>
      <c r="H98" s="188"/>
    </row>
    <row r="99" spans="1:8" x14ac:dyDescent="0.25">
      <c r="A99" s="188">
        <v>161</v>
      </c>
      <c r="B99" s="189" t="s">
        <v>505</v>
      </c>
      <c r="C99" s="188" t="s">
        <v>24</v>
      </c>
      <c r="D99" s="189" t="s">
        <v>24</v>
      </c>
      <c r="E99" s="188" t="s">
        <v>417</v>
      </c>
      <c r="F99" s="189" t="s">
        <v>418</v>
      </c>
      <c r="G99" s="188"/>
      <c r="H99" s="188"/>
    </row>
    <row r="100" spans="1:8" x14ac:dyDescent="0.25">
      <c r="A100" s="413">
        <v>164</v>
      </c>
      <c r="B100" s="189" t="s">
        <v>506</v>
      </c>
      <c r="C100" s="188" t="s">
        <v>24</v>
      </c>
      <c r="D100" s="189" t="s">
        <v>24</v>
      </c>
      <c r="E100" s="188" t="s">
        <v>417</v>
      </c>
      <c r="F100" s="189" t="s">
        <v>418</v>
      </c>
      <c r="G100" s="188" t="s">
        <v>507</v>
      </c>
      <c r="H100" s="188" t="s">
        <v>508</v>
      </c>
    </row>
    <row r="101" spans="1:8" x14ac:dyDescent="0.25">
      <c r="A101" s="188">
        <v>168</v>
      </c>
      <c r="B101" s="189" t="s">
        <v>509</v>
      </c>
      <c r="C101" s="188" t="s">
        <v>501</v>
      </c>
      <c r="D101" s="189" t="s">
        <v>501</v>
      </c>
      <c r="E101" s="188" t="s">
        <v>417</v>
      </c>
      <c r="F101" s="189" t="s">
        <v>418</v>
      </c>
      <c r="G101" s="188"/>
      <c r="H101" s="188" t="s">
        <v>510</v>
      </c>
    </row>
    <row r="102" spans="1:8" x14ac:dyDescent="0.25">
      <c r="A102" s="188">
        <v>169</v>
      </c>
      <c r="B102" s="189" t="s">
        <v>511</v>
      </c>
      <c r="C102" s="188" t="s">
        <v>501</v>
      </c>
      <c r="D102" s="189" t="s">
        <v>501</v>
      </c>
      <c r="E102" s="188" t="s">
        <v>417</v>
      </c>
      <c r="F102" s="189" t="s">
        <v>418</v>
      </c>
      <c r="G102" s="188"/>
      <c r="H102" s="188"/>
    </row>
    <row r="103" spans="1:8" x14ac:dyDescent="0.25">
      <c r="A103" s="188">
        <v>171</v>
      </c>
      <c r="B103" s="189" t="s">
        <v>512</v>
      </c>
      <c r="C103" s="188" t="s">
        <v>501</v>
      </c>
      <c r="D103" s="189" t="s">
        <v>501</v>
      </c>
      <c r="E103" s="188" t="s">
        <v>417</v>
      </c>
      <c r="F103" s="189" t="s">
        <v>418</v>
      </c>
      <c r="G103" s="188"/>
      <c r="H103" s="188" t="s">
        <v>513</v>
      </c>
    </row>
    <row r="104" spans="1:8" x14ac:dyDescent="0.25">
      <c r="A104" s="188">
        <v>172</v>
      </c>
      <c r="B104" s="189" t="s">
        <v>245</v>
      </c>
      <c r="C104" s="188" t="s">
        <v>501</v>
      </c>
      <c r="D104" s="189" t="s">
        <v>501</v>
      </c>
      <c r="E104" s="188" t="s">
        <v>417</v>
      </c>
      <c r="F104" s="189" t="s">
        <v>418</v>
      </c>
      <c r="G104" s="188"/>
      <c r="H104" s="188"/>
    </row>
    <row r="105" spans="1:8" x14ac:dyDescent="0.25">
      <c r="A105" s="188">
        <v>173</v>
      </c>
      <c r="B105" s="189" t="s">
        <v>290</v>
      </c>
      <c r="C105" s="188" t="s">
        <v>501</v>
      </c>
      <c r="D105" s="189" t="s">
        <v>501</v>
      </c>
      <c r="E105" s="188" t="s">
        <v>417</v>
      </c>
      <c r="F105" s="189" t="s">
        <v>418</v>
      </c>
      <c r="G105" s="188" t="s">
        <v>514</v>
      </c>
      <c r="H105" s="188"/>
    </row>
    <row r="106" spans="1:8" x14ac:dyDescent="0.25">
      <c r="A106" s="188">
        <v>175</v>
      </c>
      <c r="B106" s="189" t="s">
        <v>515</v>
      </c>
      <c r="C106" s="188" t="s">
        <v>501</v>
      </c>
      <c r="D106" s="189" t="s">
        <v>501</v>
      </c>
      <c r="E106" s="188" t="s">
        <v>417</v>
      </c>
      <c r="F106" s="189" t="s">
        <v>418</v>
      </c>
      <c r="G106" s="188"/>
      <c r="H106" s="188"/>
    </row>
    <row r="107" spans="1:8" x14ac:dyDescent="0.25">
      <c r="A107" s="188">
        <v>176</v>
      </c>
      <c r="B107" s="189" t="s">
        <v>516</v>
      </c>
      <c r="C107" s="188" t="s">
        <v>501</v>
      </c>
      <c r="D107" s="189" t="s">
        <v>501</v>
      </c>
      <c r="E107" s="188" t="s">
        <v>417</v>
      </c>
      <c r="F107" s="189" t="s">
        <v>418</v>
      </c>
      <c r="G107" s="188" t="s">
        <v>517</v>
      </c>
      <c r="H107" s="188"/>
    </row>
    <row r="108" spans="1:8" x14ac:dyDescent="0.25">
      <c r="A108" s="188">
        <v>178</v>
      </c>
      <c r="B108" s="189" t="s">
        <v>247</v>
      </c>
      <c r="C108" s="188" t="s">
        <v>501</v>
      </c>
      <c r="D108" s="189" t="s">
        <v>501</v>
      </c>
      <c r="E108" s="188" t="s">
        <v>417</v>
      </c>
      <c r="F108" s="189" t="s">
        <v>418</v>
      </c>
      <c r="G108" s="188"/>
      <c r="H108" s="188"/>
    </row>
    <row r="109" spans="1:8" x14ac:dyDescent="0.25">
      <c r="A109" s="188">
        <v>183</v>
      </c>
      <c r="B109" s="189" t="s">
        <v>518</v>
      </c>
      <c r="C109" s="188" t="s">
        <v>34</v>
      </c>
      <c r="D109" s="189" t="s">
        <v>519</v>
      </c>
      <c r="E109" s="188" t="s">
        <v>417</v>
      </c>
      <c r="F109" s="189" t="s">
        <v>418</v>
      </c>
      <c r="G109" s="188"/>
      <c r="H109" s="188"/>
    </row>
    <row r="110" spans="1:8" x14ac:dyDescent="0.25">
      <c r="A110" s="188">
        <v>188</v>
      </c>
      <c r="B110" s="189" t="s">
        <v>250</v>
      </c>
      <c r="C110" s="188" t="s">
        <v>520</v>
      </c>
      <c r="D110" s="189" t="s">
        <v>520</v>
      </c>
      <c r="E110" s="188" t="s">
        <v>417</v>
      </c>
      <c r="F110" s="189" t="s">
        <v>418</v>
      </c>
      <c r="G110" s="188"/>
      <c r="H110" s="188"/>
    </row>
    <row r="111" spans="1:8" x14ac:dyDescent="0.25">
      <c r="A111" s="188">
        <v>190</v>
      </c>
      <c r="B111" s="189" t="s">
        <v>521</v>
      </c>
      <c r="C111" s="188" t="s">
        <v>44</v>
      </c>
      <c r="D111" s="189" t="s">
        <v>44</v>
      </c>
      <c r="E111" s="188" t="s">
        <v>417</v>
      </c>
      <c r="F111" s="189" t="s">
        <v>418</v>
      </c>
      <c r="G111" s="188"/>
      <c r="H111" s="188"/>
    </row>
    <row r="112" spans="1:8" x14ac:dyDescent="0.25">
      <c r="A112" s="188">
        <v>191</v>
      </c>
      <c r="B112" s="189" t="s">
        <v>198</v>
      </c>
      <c r="C112" s="188" t="s">
        <v>522</v>
      </c>
      <c r="D112" s="189" t="s">
        <v>522</v>
      </c>
      <c r="E112" s="188" t="s">
        <v>417</v>
      </c>
      <c r="F112" s="189" t="s">
        <v>418</v>
      </c>
      <c r="G112" s="188"/>
      <c r="H112" s="188"/>
    </row>
    <row r="113" spans="1:8" x14ac:dyDescent="0.25">
      <c r="A113" s="188">
        <v>196</v>
      </c>
      <c r="B113" s="189" t="s">
        <v>158</v>
      </c>
      <c r="C113" s="188" t="s">
        <v>32</v>
      </c>
      <c r="D113" s="189" t="s">
        <v>32</v>
      </c>
      <c r="E113" s="188" t="s">
        <v>417</v>
      </c>
      <c r="F113" s="189" t="s">
        <v>418</v>
      </c>
      <c r="G113" s="188"/>
      <c r="H113" s="188"/>
    </row>
    <row r="114" spans="1:8" x14ac:dyDescent="0.25">
      <c r="A114" s="188">
        <v>197</v>
      </c>
      <c r="B114" s="189" t="s">
        <v>150</v>
      </c>
      <c r="C114" s="188" t="s">
        <v>31</v>
      </c>
      <c r="D114" s="189" t="s">
        <v>523</v>
      </c>
      <c r="E114" s="188" t="s">
        <v>417</v>
      </c>
      <c r="F114" s="189" t="s">
        <v>418</v>
      </c>
      <c r="G114" s="188"/>
      <c r="H114" s="188"/>
    </row>
    <row r="115" spans="1:8" x14ac:dyDescent="0.25">
      <c r="A115" s="188">
        <v>198</v>
      </c>
      <c r="B115" s="189" t="s">
        <v>151</v>
      </c>
      <c r="C115" s="188" t="s">
        <v>31</v>
      </c>
      <c r="D115" s="189" t="s">
        <v>524</v>
      </c>
      <c r="E115" s="188" t="s">
        <v>417</v>
      </c>
      <c r="F115" s="189" t="s">
        <v>418</v>
      </c>
      <c r="G115" s="188"/>
      <c r="H115" s="188"/>
    </row>
    <row r="116" spans="1:8" x14ac:dyDescent="0.25">
      <c r="A116" s="188">
        <v>199</v>
      </c>
      <c r="B116" s="189" t="s">
        <v>525</v>
      </c>
      <c r="C116" s="188" t="s">
        <v>31</v>
      </c>
      <c r="D116" s="189" t="s">
        <v>31</v>
      </c>
      <c r="E116" s="188" t="s">
        <v>457</v>
      </c>
      <c r="F116" s="189" t="s">
        <v>418</v>
      </c>
      <c r="G116" s="188"/>
      <c r="H116" s="188"/>
    </row>
    <row r="117" spans="1:8" x14ac:dyDescent="0.25">
      <c r="A117" s="188">
        <v>201</v>
      </c>
      <c r="B117" s="189" t="s">
        <v>268</v>
      </c>
      <c r="C117" s="188" t="s">
        <v>31</v>
      </c>
      <c r="D117" s="189" t="s">
        <v>526</v>
      </c>
      <c r="E117" s="188" t="s">
        <v>417</v>
      </c>
      <c r="F117" s="189" t="s">
        <v>418</v>
      </c>
      <c r="G117" s="188"/>
      <c r="H117" s="188"/>
    </row>
    <row r="118" spans="1:8" x14ac:dyDescent="0.25">
      <c r="A118" s="188">
        <v>202</v>
      </c>
      <c r="B118" s="189" t="s">
        <v>527</v>
      </c>
      <c r="C118" s="188" t="s">
        <v>31</v>
      </c>
      <c r="D118" s="189" t="s">
        <v>496</v>
      </c>
      <c r="E118" s="188" t="s">
        <v>417</v>
      </c>
      <c r="F118" s="189" t="s">
        <v>418</v>
      </c>
      <c r="G118" s="188"/>
      <c r="H118" s="188"/>
    </row>
    <row r="119" spans="1:8" x14ac:dyDescent="0.25">
      <c r="A119" s="188">
        <v>203</v>
      </c>
      <c r="B119" s="189" t="s">
        <v>324</v>
      </c>
      <c r="C119" s="188" t="s">
        <v>31</v>
      </c>
      <c r="D119" s="189" t="s">
        <v>526</v>
      </c>
      <c r="E119" s="188" t="s">
        <v>417</v>
      </c>
      <c r="F119" s="189" t="s">
        <v>418</v>
      </c>
      <c r="G119" s="188"/>
      <c r="H119" s="188"/>
    </row>
    <row r="120" spans="1:8" x14ac:dyDescent="0.25">
      <c r="A120" s="188">
        <v>204</v>
      </c>
      <c r="B120" s="189" t="s">
        <v>528</v>
      </c>
      <c r="C120" s="188" t="s">
        <v>424</v>
      </c>
      <c r="D120" s="189" t="s">
        <v>424</v>
      </c>
      <c r="E120" s="188" t="s">
        <v>457</v>
      </c>
      <c r="F120" s="189" t="s">
        <v>418</v>
      </c>
      <c r="G120" s="188"/>
      <c r="H120" s="188"/>
    </row>
    <row r="121" spans="1:8" x14ac:dyDescent="0.25">
      <c r="A121" s="188">
        <v>205</v>
      </c>
      <c r="B121" s="189" t="s">
        <v>529</v>
      </c>
      <c r="C121" s="188" t="s">
        <v>23</v>
      </c>
      <c r="D121" s="189" t="s">
        <v>423</v>
      </c>
      <c r="E121" s="188" t="s">
        <v>417</v>
      </c>
      <c r="F121" s="189" t="s">
        <v>418</v>
      </c>
      <c r="G121" s="188"/>
      <c r="H121" s="188"/>
    </row>
    <row r="122" spans="1:8" x14ac:dyDescent="0.25">
      <c r="A122" s="188">
        <v>206</v>
      </c>
      <c r="B122" s="189" t="s">
        <v>98</v>
      </c>
      <c r="C122" s="188" t="s">
        <v>23</v>
      </c>
      <c r="D122" s="189" t="s">
        <v>424</v>
      </c>
      <c r="E122" s="188" t="s">
        <v>417</v>
      </c>
      <c r="F122" s="189" t="s">
        <v>418</v>
      </c>
      <c r="G122" s="188"/>
      <c r="H122" s="188"/>
    </row>
    <row r="123" spans="1:8" x14ac:dyDescent="0.25">
      <c r="A123" s="188">
        <v>207</v>
      </c>
      <c r="B123" s="189" t="s">
        <v>99</v>
      </c>
      <c r="C123" s="188" t="s">
        <v>23</v>
      </c>
      <c r="D123" s="189" t="s">
        <v>424</v>
      </c>
      <c r="E123" s="188" t="s">
        <v>417</v>
      </c>
      <c r="F123" s="189" t="s">
        <v>418</v>
      </c>
      <c r="G123" s="188"/>
      <c r="H123" s="188"/>
    </row>
    <row r="124" spans="1:8" x14ac:dyDescent="0.25">
      <c r="A124" s="188">
        <v>209</v>
      </c>
      <c r="B124" s="189" t="s">
        <v>530</v>
      </c>
      <c r="C124" s="188" t="s">
        <v>23</v>
      </c>
      <c r="D124" s="189" t="s">
        <v>423</v>
      </c>
      <c r="E124" s="188" t="s">
        <v>417</v>
      </c>
      <c r="F124" s="189" t="s">
        <v>418</v>
      </c>
      <c r="G124" s="188"/>
      <c r="H124" s="188"/>
    </row>
    <row r="125" spans="1:8" x14ac:dyDescent="0.25">
      <c r="A125" s="188">
        <v>211</v>
      </c>
      <c r="B125" s="189" t="s">
        <v>80</v>
      </c>
      <c r="C125" s="188" t="s">
        <v>22</v>
      </c>
      <c r="D125" s="189" t="s">
        <v>22</v>
      </c>
      <c r="E125" s="188" t="s">
        <v>417</v>
      </c>
      <c r="F125" s="189" t="s">
        <v>418</v>
      </c>
      <c r="G125" s="188"/>
      <c r="H125" s="188"/>
    </row>
    <row r="126" spans="1:8" x14ac:dyDescent="0.25">
      <c r="A126" s="188">
        <v>215</v>
      </c>
      <c r="B126" s="189" t="s">
        <v>224</v>
      </c>
      <c r="C126" s="188" t="s">
        <v>38</v>
      </c>
      <c r="D126" s="189" t="s">
        <v>531</v>
      </c>
      <c r="E126" s="188" t="s">
        <v>417</v>
      </c>
      <c r="F126" s="189" t="s">
        <v>418</v>
      </c>
      <c r="G126" s="188"/>
      <c r="H126" s="188"/>
    </row>
    <row r="127" spans="1:8" x14ac:dyDescent="0.25">
      <c r="A127" s="188">
        <v>216</v>
      </c>
      <c r="B127" s="189" t="s">
        <v>226</v>
      </c>
      <c r="C127" s="188" t="s">
        <v>38</v>
      </c>
      <c r="D127" s="189" t="s">
        <v>459</v>
      </c>
      <c r="E127" s="188" t="s">
        <v>417</v>
      </c>
      <c r="F127" s="189" t="s">
        <v>418</v>
      </c>
      <c r="G127" s="188"/>
      <c r="H127" s="188"/>
    </row>
    <row r="128" spans="1:8" x14ac:dyDescent="0.25">
      <c r="A128" s="188">
        <v>217</v>
      </c>
      <c r="B128" s="189" t="s">
        <v>227</v>
      </c>
      <c r="C128" s="188" t="s">
        <v>38</v>
      </c>
      <c r="D128" s="189" t="s">
        <v>531</v>
      </c>
      <c r="E128" s="188" t="s">
        <v>417</v>
      </c>
      <c r="F128" s="189" t="s">
        <v>418</v>
      </c>
      <c r="G128" s="188"/>
      <c r="H128" s="188"/>
    </row>
    <row r="129" spans="1:8" x14ac:dyDescent="0.25">
      <c r="A129" s="188">
        <v>220</v>
      </c>
      <c r="B129" s="189" t="s">
        <v>229</v>
      </c>
      <c r="C129" s="188" t="s">
        <v>38</v>
      </c>
      <c r="D129" s="189" t="s">
        <v>460</v>
      </c>
      <c r="E129" s="188" t="s">
        <v>417</v>
      </c>
      <c r="F129" s="189" t="s">
        <v>418</v>
      </c>
      <c r="G129" s="188"/>
      <c r="H129" s="188"/>
    </row>
    <row r="130" spans="1:8" x14ac:dyDescent="0.25">
      <c r="A130" s="188">
        <v>222</v>
      </c>
      <c r="B130" s="189" t="s">
        <v>212</v>
      </c>
      <c r="C130" s="188" t="s">
        <v>36</v>
      </c>
      <c r="D130" s="189" t="s">
        <v>36</v>
      </c>
      <c r="E130" s="188" t="s">
        <v>417</v>
      </c>
      <c r="F130" s="189" t="s">
        <v>418</v>
      </c>
      <c r="G130" s="188"/>
      <c r="H130" s="188"/>
    </row>
    <row r="131" spans="1:8" x14ac:dyDescent="0.25">
      <c r="A131" s="188">
        <v>225</v>
      </c>
      <c r="B131" s="189" t="s">
        <v>532</v>
      </c>
      <c r="C131" s="188" t="s">
        <v>499</v>
      </c>
      <c r="D131" s="189" t="s">
        <v>533</v>
      </c>
      <c r="E131" s="188" t="s">
        <v>457</v>
      </c>
      <c r="F131" s="189" t="s">
        <v>418</v>
      </c>
      <c r="G131" s="188"/>
      <c r="H131" s="188"/>
    </row>
    <row r="132" spans="1:8" x14ac:dyDescent="0.25">
      <c r="A132" s="188">
        <v>227</v>
      </c>
      <c r="B132" s="189" t="s">
        <v>534</v>
      </c>
      <c r="C132" s="188" t="s">
        <v>499</v>
      </c>
      <c r="D132" s="189" t="s">
        <v>535</v>
      </c>
      <c r="E132" s="188" t="s">
        <v>457</v>
      </c>
      <c r="F132" s="189" t="s">
        <v>418</v>
      </c>
      <c r="G132" s="188"/>
      <c r="H132" s="188"/>
    </row>
    <row r="133" spans="1:8" x14ac:dyDescent="0.25">
      <c r="A133" s="188">
        <v>228</v>
      </c>
      <c r="B133" s="189" t="s">
        <v>536</v>
      </c>
      <c r="C133" s="188" t="s">
        <v>499</v>
      </c>
      <c r="D133" s="189" t="s">
        <v>535</v>
      </c>
      <c r="E133" s="188" t="s">
        <v>457</v>
      </c>
      <c r="F133" s="189" t="s">
        <v>418</v>
      </c>
      <c r="G133" s="188"/>
      <c r="H133" s="414"/>
    </row>
    <row r="134" spans="1:8" x14ac:dyDescent="0.25">
      <c r="A134" s="188">
        <v>229</v>
      </c>
      <c r="B134" s="189" t="s">
        <v>537</v>
      </c>
      <c r="C134" s="188" t="s">
        <v>499</v>
      </c>
      <c r="D134" s="189" t="s">
        <v>535</v>
      </c>
      <c r="E134" s="188" t="s">
        <v>457</v>
      </c>
      <c r="F134" s="189" t="s">
        <v>418</v>
      </c>
      <c r="G134" s="188"/>
      <c r="H134" s="414"/>
    </row>
    <row r="135" spans="1:8" x14ac:dyDescent="0.25">
      <c r="A135" s="188">
        <v>230</v>
      </c>
      <c r="B135" s="189" t="s">
        <v>538</v>
      </c>
      <c r="C135" s="188" t="s">
        <v>499</v>
      </c>
      <c r="D135" s="189" t="s">
        <v>535</v>
      </c>
      <c r="E135" s="188" t="s">
        <v>457</v>
      </c>
      <c r="F135" s="189" t="s">
        <v>418</v>
      </c>
      <c r="G135" s="188"/>
      <c r="H135" s="414"/>
    </row>
    <row r="136" spans="1:8" x14ac:dyDescent="0.25">
      <c r="A136" s="188">
        <v>237</v>
      </c>
      <c r="B136" s="189" t="s">
        <v>118</v>
      </c>
      <c r="C136" s="188" t="s">
        <v>24</v>
      </c>
      <c r="D136" s="189" t="s">
        <v>24</v>
      </c>
      <c r="E136" s="188" t="s">
        <v>417</v>
      </c>
      <c r="F136" s="189" t="s">
        <v>418</v>
      </c>
      <c r="G136" s="188"/>
      <c r="H136" s="188"/>
    </row>
    <row r="137" spans="1:8" x14ac:dyDescent="0.25">
      <c r="A137" s="188">
        <v>238</v>
      </c>
      <c r="B137" s="189" t="s">
        <v>119</v>
      </c>
      <c r="C137" s="188" t="s">
        <v>24</v>
      </c>
      <c r="D137" s="189" t="s">
        <v>24</v>
      </c>
      <c r="E137" s="188" t="s">
        <v>417</v>
      </c>
      <c r="F137" s="189" t="s">
        <v>418</v>
      </c>
      <c r="G137" s="188"/>
      <c r="H137" s="188"/>
    </row>
    <row r="138" spans="1:8" x14ac:dyDescent="0.25">
      <c r="A138" s="188">
        <v>239</v>
      </c>
      <c r="B138" s="189" t="s">
        <v>120</v>
      </c>
      <c r="C138" s="188" t="s">
        <v>24</v>
      </c>
      <c r="D138" s="189" t="s">
        <v>24</v>
      </c>
      <c r="E138" s="188" t="s">
        <v>417</v>
      </c>
      <c r="F138" s="189" t="s">
        <v>418</v>
      </c>
      <c r="G138" s="188"/>
      <c r="H138" s="188"/>
    </row>
    <row r="139" spans="1:8" x14ac:dyDescent="0.25">
      <c r="A139" s="188">
        <v>240</v>
      </c>
      <c r="B139" s="189" t="s">
        <v>121</v>
      </c>
      <c r="C139" s="188" t="s">
        <v>24</v>
      </c>
      <c r="D139" s="189" t="s">
        <v>24</v>
      </c>
      <c r="E139" s="188" t="s">
        <v>417</v>
      </c>
      <c r="F139" s="189" t="s">
        <v>418</v>
      </c>
      <c r="G139" s="188"/>
      <c r="H139" s="188"/>
    </row>
    <row r="140" spans="1:8" x14ac:dyDescent="0.25">
      <c r="A140" s="188">
        <v>241</v>
      </c>
      <c r="B140" s="189" t="s">
        <v>539</v>
      </c>
      <c r="C140" s="188" t="s">
        <v>23</v>
      </c>
      <c r="D140" s="189" t="s">
        <v>540</v>
      </c>
      <c r="E140" s="188" t="s">
        <v>417</v>
      </c>
      <c r="F140" s="189" t="s">
        <v>418</v>
      </c>
      <c r="G140" s="188"/>
      <c r="H140" s="188"/>
    </row>
    <row r="141" spans="1:8" x14ac:dyDescent="0.25">
      <c r="A141" s="188">
        <v>242</v>
      </c>
      <c r="B141" s="189" t="s">
        <v>433</v>
      </c>
      <c r="C141" s="188" t="s">
        <v>24</v>
      </c>
      <c r="D141" s="189" t="s">
        <v>24</v>
      </c>
      <c r="E141" s="188" t="s">
        <v>417</v>
      </c>
      <c r="F141" s="189" t="s">
        <v>418</v>
      </c>
      <c r="G141" s="188"/>
      <c r="H141" s="188"/>
    </row>
    <row r="142" spans="1:8" x14ac:dyDescent="0.25">
      <c r="A142" s="188">
        <v>243</v>
      </c>
      <c r="B142" s="189" t="s">
        <v>123</v>
      </c>
      <c r="C142" s="188" t="s">
        <v>24</v>
      </c>
      <c r="D142" s="189" t="s">
        <v>24</v>
      </c>
      <c r="E142" s="188" t="s">
        <v>417</v>
      </c>
      <c r="F142" s="189" t="s">
        <v>418</v>
      </c>
      <c r="G142" s="188"/>
      <c r="H142" s="188"/>
    </row>
    <row r="143" spans="1:8" x14ac:dyDescent="0.25">
      <c r="A143" s="188">
        <v>244</v>
      </c>
      <c r="B143" s="189" t="s">
        <v>436</v>
      </c>
      <c r="C143" s="188" t="s">
        <v>426</v>
      </c>
      <c r="D143" s="189" t="s">
        <v>437</v>
      </c>
      <c r="E143" s="188" t="s">
        <v>417</v>
      </c>
      <c r="F143" s="189" t="s">
        <v>418</v>
      </c>
      <c r="G143" s="188" t="s">
        <v>541</v>
      </c>
      <c r="H143" s="188"/>
    </row>
    <row r="144" spans="1:8" x14ac:dyDescent="0.25">
      <c r="A144" s="188">
        <v>245</v>
      </c>
      <c r="B144" s="189" t="s">
        <v>139</v>
      </c>
      <c r="C144" s="188" t="s">
        <v>426</v>
      </c>
      <c r="D144" s="189" t="s">
        <v>426</v>
      </c>
      <c r="E144" s="188" t="s">
        <v>417</v>
      </c>
      <c r="F144" s="189" t="s">
        <v>418</v>
      </c>
      <c r="G144" s="188"/>
      <c r="H144" s="188"/>
    </row>
    <row r="145" spans="1:8" x14ac:dyDescent="0.25">
      <c r="A145" s="188">
        <v>246</v>
      </c>
      <c r="B145" s="189" t="s">
        <v>440</v>
      </c>
      <c r="C145" s="188" t="s">
        <v>426</v>
      </c>
      <c r="D145" s="189" t="s">
        <v>426</v>
      </c>
      <c r="E145" s="188" t="s">
        <v>417</v>
      </c>
      <c r="F145" s="189" t="s">
        <v>418</v>
      </c>
      <c r="G145" s="188"/>
      <c r="H145" s="188"/>
    </row>
    <row r="146" spans="1:8" x14ac:dyDescent="0.25">
      <c r="A146" s="188">
        <v>247</v>
      </c>
      <c r="B146" s="189" t="s">
        <v>542</v>
      </c>
      <c r="C146" s="188" t="s">
        <v>23</v>
      </c>
      <c r="D146" s="189" t="s">
        <v>543</v>
      </c>
      <c r="E146" s="188" t="s">
        <v>417</v>
      </c>
      <c r="F146" s="189" t="s">
        <v>418</v>
      </c>
      <c r="G146" s="188"/>
      <c r="H146" s="188"/>
    </row>
    <row r="147" spans="1:8" x14ac:dyDescent="0.25">
      <c r="A147" s="188">
        <v>248</v>
      </c>
      <c r="B147" s="189" t="s">
        <v>544</v>
      </c>
      <c r="C147" s="188" t="s">
        <v>23</v>
      </c>
      <c r="D147" s="189" t="s">
        <v>543</v>
      </c>
      <c r="E147" s="188" t="s">
        <v>417</v>
      </c>
      <c r="F147" s="189" t="s">
        <v>418</v>
      </c>
      <c r="G147" s="188"/>
      <c r="H147" s="188"/>
    </row>
    <row r="148" spans="1:8" x14ac:dyDescent="0.25">
      <c r="A148" s="188">
        <v>249</v>
      </c>
      <c r="B148" s="189" t="s">
        <v>129</v>
      </c>
      <c r="C148" s="188" t="s">
        <v>442</v>
      </c>
      <c r="D148" s="189" t="s">
        <v>442</v>
      </c>
      <c r="E148" s="188" t="s">
        <v>417</v>
      </c>
      <c r="F148" s="189" t="s">
        <v>418</v>
      </c>
      <c r="G148" s="188"/>
      <c r="H148" s="188"/>
    </row>
    <row r="149" spans="1:8" x14ac:dyDescent="0.25">
      <c r="A149" s="188">
        <v>251</v>
      </c>
      <c r="B149" s="189" t="s">
        <v>97</v>
      </c>
      <c r="C149" s="188" t="s">
        <v>23</v>
      </c>
      <c r="D149" s="189" t="s">
        <v>422</v>
      </c>
      <c r="E149" s="188" t="s">
        <v>417</v>
      </c>
      <c r="F149" s="189" t="s">
        <v>418</v>
      </c>
      <c r="G149" s="188"/>
      <c r="H149" s="188"/>
    </row>
    <row r="150" spans="1:8" x14ac:dyDescent="0.25">
      <c r="A150" s="188">
        <v>253</v>
      </c>
      <c r="B150" s="189" t="s">
        <v>199</v>
      </c>
      <c r="C150" s="188" t="s">
        <v>522</v>
      </c>
      <c r="D150" s="189" t="s">
        <v>522</v>
      </c>
      <c r="E150" s="188" t="s">
        <v>417</v>
      </c>
      <c r="F150" s="189" t="s">
        <v>418</v>
      </c>
      <c r="G150" s="188"/>
      <c r="H150" s="188"/>
    </row>
    <row r="151" spans="1:8" x14ac:dyDescent="0.25">
      <c r="A151" s="188">
        <v>254</v>
      </c>
      <c r="B151" s="189" t="s">
        <v>256</v>
      </c>
      <c r="C151" s="188" t="s">
        <v>545</v>
      </c>
      <c r="D151" s="189" t="s">
        <v>45</v>
      </c>
      <c r="E151" s="188" t="s">
        <v>417</v>
      </c>
      <c r="F151" s="189" t="s">
        <v>418</v>
      </c>
      <c r="G151" s="188"/>
      <c r="H151" s="188"/>
    </row>
    <row r="152" spans="1:8" x14ac:dyDescent="0.25">
      <c r="A152" s="188">
        <v>255</v>
      </c>
      <c r="B152" s="189" t="s">
        <v>266</v>
      </c>
      <c r="C152" s="188" t="s">
        <v>520</v>
      </c>
      <c r="D152" s="189" t="s">
        <v>520</v>
      </c>
      <c r="E152" s="188" t="s">
        <v>417</v>
      </c>
      <c r="F152" s="189" t="s">
        <v>418</v>
      </c>
      <c r="G152" s="188"/>
      <c r="H152" s="188"/>
    </row>
    <row r="153" spans="1:8" x14ac:dyDescent="0.25">
      <c r="A153" s="188">
        <v>257</v>
      </c>
      <c r="B153" s="189" t="s">
        <v>200</v>
      </c>
      <c r="C153" s="188" t="s">
        <v>522</v>
      </c>
      <c r="D153" s="189" t="s">
        <v>522</v>
      </c>
      <c r="E153" s="188" t="s">
        <v>417</v>
      </c>
      <c r="F153" s="189" t="s">
        <v>418</v>
      </c>
      <c r="G153" s="188"/>
      <c r="H153" s="188"/>
    </row>
    <row r="154" spans="1:8" x14ac:dyDescent="0.25">
      <c r="A154" s="188">
        <v>258</v>
      </c>
      <c r="B154" s="189" t="s">
        <v>546</v>
      </c>
      <c r="C154" s="188" t="s">
        <v>520</v>
      </c>
      <c r="D154" s="189" t="s">
        <v>520</v>
      </c>
      <c r="E154" s="188" t="s">
        <v>457</v>
      </c>
      <c r="F154" s="189" t="s">
        <v>418</v>
      </c>
      <c r="G154" s="188"/>
      <c r="H154" s="188"/>
    </row>
    <row r="155" spans="1:8" x14ac:dyDescent="0.25">
      <c r="A155" s="188">
        <v>259</v>
      </c>
      <c r="B155" s="189" t="s">
        <v>547</v>
      </c>
      <c r="C155" s="188" t="s">
        <v>35</v>
      </c>
      <c r="D155" s="189" t="s">
        <v>548</v>
      </c>
      <c r="E155" s="188" t="s">
        <v>417</v>
      </c>
      <c r="F155" s="189" t="s">
        <v>418</v>
      </c>
      <c r="G155" s="188"/>
      <c r="H155" s="188"/>
    </row>
    <row r="156" spans="1:8" x14ac:dyDescent="0.25">
      <c r="A156" s="188">
        <v>261</v>
      </c>
      <c r="B156" s="189" t="s">
        <v>109</v>
      </c>
      <c r="C156" s="188" t="s">
        <v>23</v>
      </c>
      <c r="D156" s="189" t="s">
        <v>543</v>
      </c>
      <c r="E156" s="188" t="s">
        <v>417</v>
      </c>
      <c r="F156" s="189" t="s">
        <v>418</v>
      </c>
      <c r="G156" s="188"/>
      <c r="H156" s="188"/>
    </row>
    <row r="157" spans="1:8" x14ac:dyDescent="0.25">
      <c r="A157" s="188">
        <v>262</v>
      </c>
      <c r="B157" s="189" t="s">
        <v>549</v>
      </c>
      <c r="C157" s="188" t="s">
        <v>34</v>
      </c>
      <c r="D157" s="189" t="s">
        <v>550</v>
      </c>
      <c r="E157" s="188" t="s">
        <v>417</v>
      </c>
      <c r="F157" s="189" t="s">
        <v>418</v>
      </c>
      <c r="G157" s="188"/>
      <c r="H157" s="188"/>
    </row>
    <row r="158" spans="1:8" x14ac:dyDescent="0.25">
      <c r="A158" s="188">
        <v>263</v>
      </c>
      <c r="B158" s="189" t="s">
        <v>167</v>
      </c>
      <c r="C158" s="188" t="s">
        <v>34</v>
      </c>
      <c r="D158" s="189" t="s">
        <v>551</v>
      </c>
      <c r="E158" s="188" t="s">
        <v>417</v>
      </c>
      <c r="F158" s="189" t="s">
        <v>418</v>
      </c>
      <c r="G158" s="188"/>
      <c r="H158" s="188"/>
    </row>
    <row r="159" spans="1:8" x14ac:dyDescent="0.25">
      <c r="A159" s="188">
        <v>266</v>
      </c>
      <c r="B159" s="189" t="s">
        <v>143</v>
      </c>
      <c r="C159" s="188" t="s">
        <v>426</v>
      </c>
      <c r="D159" s="189" t="s">
        <v>426</v>
      </c>
      <c r="E159" s="188" t="s">
        <v>417</v>
      </c>
      <c r="F159" s="189" t="s">
        <v>418</v>
      </c>
      <c r="G159" s="188"/>
      <c r="H159" s="188"/>
    </row>
    <row r="160" spans="1:8" x14ac:dyDescent="0.25">
      <c r="A160" s="188">
        <v>269</v>
      </c>
      <c r="B160" s="189" t="s">
        <v>262</v>
      </c>
      <c r="C160" s="188" t="s">
        <v>499</v>
      </c>
      <c r="D160" s="189" t="s">
        <v>552</v>
      </c>
      <c r="E160" s="188" t="s">
        <v>417</v>
      </c>
      <c r="F160" s="189" t="s">
        <v>418</v>
      </c>
      <c r="G160" s="188"/>
      <c r="H160" s="414"/>
    </row>
    <row r="161" spans="1:8" x14ac:dyDescent="0.25">
      <c r="A161" s="188">
        <v>270</v>
      </c>
      <c r="B161" s="189" t="s">
        <v>197</v>
      </c>
      <c r="C161" s="188" t="s">
        <v>522</v>
      </c>
      <c r="D161" s="189" t="s">
        <v>522</v>
      </c>
      <c r="E161" s="188" t="s">
        <v>417</v>
      </c>
      <c r="F161" s="189" t="s">
        <v>418</v>
      </c>
      <c r="G161" s="188"/>
      <c r="H161" s="188"/>
    </row>
    <row r="162" spans="1:8" x14ac:dyDescent="0.25">
      <c r="A162" s="188">
        <v>271</v>
      </c>
      <c r="B162" s="189" t="s">
        <v>553</v>
      </c>
      <c r="C162" s="188" t="s">
        <v>522</v>
      </c>
      <c r="D162" s="189" t="s">
        <v>522</v>
      </c>
      <c r="E162" s="188" t="s">
        <v>417</v>
      </c>
      <c r="F162" s="189" t="s">
        <v>418</v>
      </c>
      <c r="G162" s="188"/>
      <c r="H162" s="188"/>
    </row>
    <row r="163" spans="1:8" x14ac:dyDescent="0.25">
      <c r="A163" s="188">
        <v>273</v>
      </c>
      <c r="B163" s="189" t="s">
        <v>201</v>
      </c>
      <c r="C163" s="188" t="s">
        <v>522</v>
      </c>
      <c r="D163" s="189" t="s">
        <v>522</v>
      </c>
      <c r="E163" s="188" t="s">
        <v>417</v>
      </c>
      <c r="F163" s="189" t="s">
        <v>418</v>
      </c>
      <c r="G163" s="188"/>
      <c r="H163" s="188"/>
    </row>
    <row r="164" spans="1:8" x14ac:dyDescent="0.25">
      <c r="A164" s="188">
        <v>275</v>
      </c>
      <c r="B164" s="189" t="s">
        <v>293</v>
      </c>
      <c r="C164" s="188" t="s">
        <v>522</v>
      </c>
      <c r="D164" s="189" t="s">
        <v>522</v>
      </c>
      <c r="E164" s="188" t="s">
        <v>417</v>
      </c>
      <c r="F164" s="189" t="s">
        <v>418</v>
      </c>
      <c r="G164" s="188"/>
      <c r="H164" s="188"/>
    </row>
    <row r="165" spans="1:8" x14ac:dyDescent="0.25">
      <c r="A165" s="188">
        <v>277</v>
      </c>
      <c r="B165" s="189" t="s">
        <v>554</v>
      </c>
      <c r="C165" s="188" t="s">
        <v>499</v>
      </c>
      <c r="D165" s="189" t="s">
        <v>555</v>
      </c>
      <c r="E165" s="188" t="s">
        <v>417</v>
      </c>
      <c r="F165" s="189" t="s">
        <v>418</v>
      </c>
      <c r="G165" s="188"/>
      <c r="H165" s="188"/>
    </row>
    <row r="166" spans="1:8" x14ac:dyDescent="0.25">
      <c r="A166" s="188">
        <v>278</v>
      </c>
      <c r="B166" s="189" t="s">
        <v>174</v>
      </c>
      <c r="C166" s="188" t="s">
        <v>35</v>
      </c>
      <c r="D166" s="189" t="s">
        <v>556</v>
      </c>
      <c r="E166" s="188" t="s">
        <v>417</v>
      </c>
      <c r="F166" s="189" t="s">
        <v>418</v>
      </c>
      <c r="G166" s="188"/>
      <c r="H166" s="188"/>
    </row>
    <row r="167" spans="1:8" x14ac:dyDescent="0.25">
      <c r="A167" s="188">
        <v>279</v>
      </c>
      <c r="B167" s="189" t="s">
        <v>184</v>
      </c>
      <c r="C167" s="188" t="s">
        <v>499</v>
      </c>
      <c r="D167" s="189" t="s">
        <v>557</v>
      </c>
      <c r="E167" s="188" t="s">
        <v>417</v>
      </c>
      <c r="F167" s="189" t="s">
        <v>418</v>
      </c>
      <c r="G167" s="188"/>
      <c r="H167" s="188"/>
    </row>
    <row r="168" spans="1:8" x14ac:dyDescent="0.25">
      <c r="A168" s="188">
        <v>280</v>
      </c>
      <c r="B168" s="189" t="s">
        <v>317</v>
      </c>
      <c r="C168" s="188" t="s">
        <v>499</v>
      </c>
      <c r="D168" s="189" t="s">
        <v>424</v>
      </c>
      <c r="E168" s="188" t="s">
        <v>417</v>
      </c>
      <c r="F168" s="189" t="s">
        <v>418</v>
      </c>
      <c r="G168" s="188"/>
      <c r="H168" s="188"/>
    </row>
    <row r="169" spans="1:8" x14ac:dyDescent="0.25">
      <c r="A169" s="188">
        <v>281</v>
      </c>
      <c r="B169" s="189" t="s">
        <v>558</v>
      </c>
      <c r="C169" s="188" t="s">
        <v>35</v>
      </c>
      <c r="D169" s="189" t="s">
        <v>559</v>
      </c>
      <c r="E169" s="188" t="s">
        <v>417</v>
      </c>
      <c r="F169" s="189" t="s">
        <v>418</v>
      </c>
      <c r="G169" s="188"/>
      <c r="H169" s="188"/>
    </row>
    <row r="170" spans="1:8" x14ac:dyDescent="0.25">
      <c r="A170" s="188">
        <v>283</v>
      </c>
      <c r="B170" s="189" t="s">
        <v>560</v>
      </c>
      <c r="C170" s="188" t="s">
        <v>33</v>
      </c>
      <c r="D170" s="189" t="s">
        <v>33</v>
      </c>
      <c r="E170" s="188" t="s">
        <v>417</v>
      </c>
      <c r="F170" s="189" t="s">
        <v>418</v>
      </c>
      <c r="G170" s="188"/>
      <c r="H170" s="188"/>
    </row>
    <row r="171" spans="1:8" x14ac:dyDescent="0.25">
      <c r="A171" s="188">
        <v>284</v>
      </c>
      <c r="B171" s="189" t="s">
        <v>221</v>
      </c>
      <c r="C171" s="188" t="s">
        <v>37</v>
      </c>
      <c r="D171" s="189" t="s">
        <v>561</v>
      </c>
      <c r="E171" s="188" t="s">
        <v>417</v>
      </c>
      <c r="F171" s="189" t="s">
        <v>418</v>
      </c>
      <c r="G171" s="188"/>
      <c r="H171" s="188"/>
    </row>
    <row r="172" spans="1:8" x14ac:dyDescent="0.25">
      <c r="A172" s="188">
        <v>285</v>
      </c>
      <c r="B172" s="189" t="s">
        <v>186</v>
      </c>
      <c r="C172" s="188" t="s">
        <v>499</v>
      </c>
      <c r="D172" s="189" t="s">
        <v>562</v>
      </c>
      <c r="E172" s="188" t="s">
        <v>457</v>
      </c>
      <c r="F172" s="189" t="s">
        <v>418</v>
      </c>
      <c r="G172" s="188"/>
      <c r="H172" s="188"/>
    </row>
    <row r="173" spans="1:8" x14ac:dyDescent="0.25">
      <c r="A173" s="188">
        <v>286</v>
      </c>
      <c r="B173" s="189" t="s">
        <v>563</v>
      </c>
      <c r="C173" s="188" t="s">
        <v>38</v>
      </c>
      <c r="D173" s="189" t="s">
        <v>564</v>
      </c>
      <c r="E173" s="188" t="s">
        <v>417</v>
      </c>
      <c r="F173" s="189" t="s">
        <v>418</v>
      </c>
      <c r="G173" s="188"/>
      <c r="H173" s="188"/>
    </row>
    <row r="174" spans="1:8" x14ac:dyDescent="0.25">
      <c r="A174" s="188">
        <v>287</v>
      </c>
      <c r="B174" s="189" t="s">
        <v>187</v>
      </c>
      <c r="C174" s="188" t="s">
        <v>499</v>
      </c>
      <c r="D174" s="189" t="s">
        <v>562</v>
      </c>
      <c r="E174" s="188" t="s">
        <v>457</v>
      </c>
      <c r="F174" s="189" t="s">
        <v>418</v>
      </c>
      <c r="G174" s="188"/>
      <c r="H174" s="188"/>
    </row>
    <row r="175" spans="1:8" x14ac:dyDescent="0.25">
      <c r="A175" s="416">
        <v>288</v>
      </c>
      <c r="B175" s="189" t="s">
        <v>565</v>
      </c>
      <c r="C175" s="188" t="s">
        <v>499</v>
      </c>
      <c r="D175" s="189" t="s">
        <v>566</v>
      </c>
      <c r="E175" s="188" t="s">
        <v>457</v>
      </c>
      <c r="F175" s="189" t="s">
        <v>418</v>
      </c>
      <c r="G175" s="188"/>
      <c r="H175" s="414"/>
    </row>
    <row r="176" spans="1:8" x14ac:dyDescent="0.25">
      <c r="A176" s="188">
        <v>290</v>
      </c>
      <c r="B176" s="189" t="s">
        <v>567</v>
      </c>
      <c r="C176" s="188" t="s">
        <v>499</v>
      </c>
      <c r="D176" s="189" t="s">
        <v>568</v>
      </c>
      <c r="E176" s="188" t="s">
        <v>457</v>
      </c>
      <c r="F176" s="189" t="s">
        <v>418</v>
      </c>
      <c r="G176" s="188"/>
      <c r="H176" s="338"/>
    </row>
    <row r="177" spans="1:8" x14ac:dyDescent="0.25">
      <c r="A177" s="188">
        <v>291</v>
      </c>
      <c r="B177" s="189" t="s">
        <v>188</v>
      </c>
      <c r="C177" s="188" t="s">
        <v>499</v>
      </c>
      <c r="D177" s="189" t="s">
        <v>569</v>
      </c>
      <c r="E177" s="188" t="s">
        <v>417</v>
      </c>
      <c r="F177" s="189" t="s">
        <v>418</v>
      </c>
      <c r="G177" s="188"/>
      <c r="H177" s="338"/>
    </row>
    <row r="178" spans="1:8" x14ac:dyDescent="0.25">
      <c r="A178" s="188">
        <v>292</v>
      </c>
      <c r="B178" s="189" t="s">
        <v>570</v>
      </c>
      <c r="C178" s="188" t="s">
        <v>499</v>
      </c>
      <c r="D178" s="189" t="s">
        <v>566</v>
      </c>
      <c r="E178" s="188" t="s">
        <v>457</v>
      </c>
      <c r="F178" s="189" t="s">
        <v>427</v>
      </c>
      <c r="G178" s="188"/>
      <c r="H178" s="414" t="s">
        <v>571</v>
      </c>
    </row>
    <row r="179" spans="1:8" x14ac:dyDescent="0.25">
      <c r="A179" s="338">
        <v>293</v>
      </c>
      <c r="B179" s="189" t="s">
        <v>572</v>
      </c>
      <c r="C179" s="188" t="s">
        <v>499</v>
      </c>
      <c r="D179" s="189" t="s">
        <v>566</v>
      </c>
      <c r="E179" s="188" t="s">
        <v>457</v>
      </c>
      <c r="F179" s="189" t="s">
        <v>427</v>
      </c>
      <c r="G179" s="188"/>
      <c r="H179" s="414" t="s">
        <v>573</v>
      </c>
    </row>
    <row r="180" spans="1:8" x14ac:dyDescent="0.25">
      <c r="A180" s="188">
        <v>294</v>
      </c>
      <c r="B180" s="189" t="s">
        <v>110</v>
      </c>
      <c r="C180" s="188" t="s">
        <v>23</v>
      </c>
      <c r="D180" s="189" t="s">
        <v>540</v>
      </c>
      <c r="E180" s="188" t="s">
        <v>417</v>
      </c>
      <c r="F180" s="189" t="s">
        <v>418</v>
      </c>
      <c r="G180" s="188"/>
      <c r="H180" s="188"/>
    </row>
    <row r="181" spans="1:8" x14ac:dyDescent="0.25">
      <c r="A181" s="188">
        <v>295</v>
      </c>
      <c r="B181" s="189" t="s">
        <v>176</v>
      </c>
      <c r="C181" s="188" t="s">
        <v>35</v>
      </c>
      <c r="D181" s="189" t="s">
        <v>574</v>
      </c>
      <c r="E181" s="188" t="s">
        <v>417</v>
      </c>
      <c r="F181" s="189" t="s">
        <v>418</v>
      </c>
      <c r="G181" s="188"/>
      <c r="H181" s="188"/>
    </row>
    <row r="182" spans="1:8" x14ac:dyDescent="0.25">
      <c r="A182" s="188">
        <v>296</v>
      </c>
      <c r="B182" s="189" t="s">
        <v>360</v>
      </c>
      <c r="C182" s="188" t="s">
        <v>499</v>
      </c>
      <c r="D182" s="189" t="s">
        <v>575</v>
      </c>
      <c r="E182" s="188" t="s">
        <v>417</v>
      </c>
      <c r="F182" s="189" t="s">
        <v>418</v>
      </c>
      <c r="G182" s="188"/>
      <c r="H182" s="338"/>
    </row>
    <row r="183" spans="1:8" x14ac:dyDescent="0.25">
      <c r="A183" s="188">
        <v>297</v>
      </c>
      <c r="B183" s="189" t="s">
        <v>392</v>
      </c>
      <c r="C183" s="188" t="s">
        <v>499</v>
      </c>
      <c r="D183" s="189" t="s">
        <v>424</v>
      </c>
      <c r="E183" s="188" t="s">
        <v>457</v>
      </c>
      <c r="F183" s="189" t="s">
        <v>418</v>
      </c>
      <c r="G183" s="188"/>
      <c r="H183" s="338"/>
    </row>
    <row r="184" spans="1:8" x14ac:dyDescent="0.25">
      <c r="A184" s="188">
        <v>298</v>
      </c>
      <c r="B184" s="189" t="s">
        <v>576</v>
      </c>
      <c r="C184" s="188" t="s">
        <v>31</v>
      </c>
      <c r="D184" s="189" t="s">
        <v>31</v>
      </c>
      <c r="E184" s="188" t="s">
        <v>417</v>
      </c>
      <c r="F184" s="189" t="s">
        <v>427</v>
      </c>
      <c r="G184" s="188" t="s">
        <v>577</v>
      </c>
      <c r="H184" s="188" t="s">
        <v>578</v>
      </c>
    </row>
    <row r="185" spans="1:8" x14ac:dyDescent="0.25">
      <c r="A185" s="188">
        <v>299</v>
      </c>
      <c r="B185" s="189" t="s">
        <v>579</v>
      </c>
      <c r="C185" s="188" t="s">
        <v>31</v>
      </c>
      <c r="D185" s="189" t="s">
        <v>31</v>
      </c>
      <c r="E185" s="188" t="s">
        <v>417</v>
      </c>
      <c r="F185" s="189" t="s">
        <v>427</v>
      </c>
      <c r="G185" s="188" t="s">
        <v>580</v>
      </c>
      <c r="H185" s="188" t="s">
        <v>491</v>
      </c>
    </row>
    <row r="186" spans="1:8" x14ac:dyDescent="0.25">
      <c r="A186" s="188">
        <v>300</v>
      </c>
      <c r="B186" s="189" t="s">
        <v>581</v>
      </c>
      <c r="C186" s="188" t="s">
        <v>493</v>
      </c>
      <c r="D186" s="189" t="s">
        <v>493</v>
      </c>
      <c r="E186" s="188" t="s">
        <v>417</v>
      </c>
      <c r="F186" s="189" t="s">
        <v>418</v>
      </c>
      <c r="G186" s="188"/>
      <c r="H186" s="338" t="s">
        <v>582</v>
      </c>
    </row>
    <row r="187" spans="1:8" x14ac:dyDescent="0.25">
      <c r="A187" s="188">
        <v>302</v>
      </c>
      <c r="B187" s="189" t="s">
        <v>583</v>
      </c>
      <c r="C187" s="188" t="s">
        <v>499</v>
      </c>
      <c r="D187" s="189" t="s">
        <v>566</v>
      </c>
      <c r="E187" s="188" t="s">
        <v>457</v>
      </c>
      <c r="F187" s="189" t="s">
        <v>427</v>
      </c>
      <c r="G187" s="188"/>
      <c r="H187" s="414" t="s">
        <v>584</v>
      </c>
    </row>
    <row r="188" spans="1:8" x14ac:dyDescent="0.25">
      <c r="A188" s="188">
        <v>303</v>
      </c>
      <c r="B188" s="189" t="s">
        <v>153</v>
      </c>
      <c r="C188" s="188" t="s">
        <v>31</v>
      </c>
      <c r="D188" s="189" t="s">
        <v>496</v>
      </c>
      <c r="E188" s="188" t="s">
        <v>417</v>
      </c>
      <c r="F188" s="189" t="s">
        <v>427</v>
      </c>
      <c r="G188" s="188" t="s">
        <v>585</v>
      </c>
      <c r="H188" s="338"/>
    </row>
    <row r="189" spans="1:8" x14ac:dyDescent="0.25">
      <c r="A189" s="188">
        <v>304</v>
      </c>
      <c r="B189" s="189" t="s">
        <v>586</v>
      </c>
      <c r="C189" s="188" t="s">
        <v>31</v>
      </c>
      <c r="D189" s="189" t="s">
        <v>526</v>
      </c>
      <c r="E189" s="188" t="s">
        <v>417</v>
      </c>
      <c r="F189" s="189" t="s">
        <v>427</v>
      </c>
      <c r="G189" s="188" t="s">
        <v>587</v>
      </c>
      <c r="H189" s="338"/>
    </row>
    <row r="190" spans="1:8" x14ac:dyDescent="0.25">
      <c r="A190" s="338">
        <v>306</v>
      </c>
      <c r="B190" s="189" t="s">
        <v>155</v>
      </c>
      <c r="C190" s="188" t="s">
        <v>31</v>
      </c>
      <c r="D190" s="189" t="s">
        <v>496</v>
      </c>
      <c r="E190" s="188" t="s">
        <v>417</v>
      </c>
      <c r="F190" s="189" t="s">
        <v>427</v>
      </c>
      <c r="G190" s="188" t="s">
        <v>588</v>
      </c>
      <c r="H190" s="338" t="s">
        <v>589</v>
      </c>
    </row>
    <row r="191" spans="1:8" x14ac:dyDescent="0.25">
      <c r="A191" s="188">
        <v>314</v>
      </c>
      <c r="B191" s="189" t="s">
        <v>525</v>
      </c>
      <c r="C191" s="188" t="s">
        <v>31</v>
      </c>
      <c r="D191" s="189" t="s">
        <v>31</v>
      </c>
      <c r="E191" s="188" t="s">
        <v>417</v>
      </c>
      <c r="F191" s="189" t="s">
        <v>427</v>
      </c>
      <c r="G191" s="188" t="s">
        <v>590</v>
      </c>
      <c r="H191" s="188" t="s">
        <v>491</v>
      </c>
    </row>
    <row r="192" spans="1:8" x14ac:dyDescent="0.25">
      <c r="A192" s="188">
        <v>315</v>
      </c>
      <c r="B192" s="189" t="s">
        <v>324</v>
      </c>
      <c r="C192" s="188" t="s">
        <v>31</v>
      </c>
      <c r="D192" s="189" t="s">
        <v>496</v>
      </c>
      <c r="E192" s="188" t="s">
        <v>417</v>
      </c>
      <c r="F192" s="189" t="s">
        <v>427</v>
      </c>
      <c r="G192" s="188" t="s">
        <v>591</v>
      </c>
      <c r="H192" s="188"/>
    </row>
    <row r="193" spans="1:8" x14ac:dyDescent="0.25">
      <c r="A193" s="188">
        <v>316</v>
      </c>
      <c r="B193" s="189" t="s">
        <v>325</v>
      </c>
      <c r="C193" s="188" t="s">
        <v>31</v>
      </c>
      <c r="D193" s="189" t="s">
        <v>496</v>
      </c>
      <c r="E193" s="188" t="s">
        <v>417</v>
      </c>
      <c r="F193" s="189" t="s">
        <v>427</v>
      </c>
      <c r="G193" s="188" t="s">
        <v>592</v>
      </c>
      <c r="H193" s="338"/>
    </row>
    <row r="194" spans="1:8" x14ac:dyDescent="0.25">
      <c r="A194" s="188">
        <v>317</v>
      </c>
      <c r="B194" s="189" t="s">
        <v>593</v>
      </c>
      <c r="C194" s="188" t="s">
        <v>31</v>
      </c>
      <c r="D194" s="189" t="s">
        <v>526</v>
      </c>
      <c r="E194" s="188" t="s">
        <v>417</v>
      </c>
      <c r="F194" s="189" t="s">
        <v>427</v>
      </c>
      <c r="G194" s="188" t="s">
        <v>594</v>
      </c>
      <c r="H194" s="338" t="s">
        <v>595</v>
      </c>
    </row>
    <row r="195" spans="1:8" x14ac:dyDescent="0.25">
      <c r="A195" s="188">
        <v>318</v>
      </c>
      <c r="B195" s="189" t="s">
        <v>596</v>
      </c>
      <c r="C195" s="188" t="s">
        <v>464</v>
      </c>
      <c r="D195" s="189" t="s">
        <v>476</v>
      </c>
      <c r="E195" s="188" t="s">
        <v>417</v>
      </c>
      <c r="F195" s="189" t="s">
        <v>427</v>
      </c>
      <c r="G195" s="188" t="s">
        <v>597</v>
      </c>
      <c r="H195" s="188" t="s">
        <v>598</v>
      </c>
    </row>
    <row r="196" spans="1:8" x14ac:dyDescent="0.25">
      <c r="A196" s="188">
        <v>319</v>
      </c>
      <c r="B196" s="189" t="s">
        <v>270</v>
      </c>
      <c r="C196" s="188" t="s">
        <v>24</v>
      </c>
      <c r="D196" s="189" t="s">
        <v>467</v>
      </c>
      <c r="E196" s="188" t="s">
        <v>417</v>
      </c>
      <c r="F196" s="189" t="s">
        <v>427</v>
      </c>
      <c r="G196" s="188" t="s">
        <v>599</v>
      </c>
      <c r="H196" s="338" t="s">
        <v>600</v>
      </c>
    </row>
    <row r="197" spans="1:8" x14ac:dyDescent="0.25">
      <c r="H197" s="415"/>
    </row>
  </sheetData>
  <autoFilter ref="A1:H196">
    <sortState ref="A2:H196">
      <sortCondition ref="A1:A196"/>
    </sortState>
  </autoFilter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theme="7" tint="0.39997558519241921"/>
  </sheetPr>
  <dimension ref="A1:B29"/>
  <sheetViews>
    <sheetView workbookViewId="0"/>
  </sheetViews>
  <sheetFormatPr defaultRowHeight="15" x14ac:dyDescent="0.25"/>
  <cols>
    <col min="1" max="1" width="23.85546875" customWidth="1"/>
    <col min="2" max="2" width="15.85546875" customWidth="1"/>
  </cols>
  <sheetData>
    <row r="1" spans="1:2" ht="31.5" x14ac:dyDescent="0.25">
      <c r="A1" s="190" t="s">
        <v>308</v>
      </c>
      <c r="B1" s="190" t="s">
        <v>309</v>
      </c>
    </row>
    <row r="2" spans="1:2" x14ac:dyDescent="0.25">
      <c r="A2" s="187" t="s">
        <v>137</v>
      </c>
      <c r="B2" s="187">
        <v>1</v>
      </c>
    </row>
    <row r="3" spans="1:2" x14ac:dyDescent="0.25">
      <c r="A3" s="187" t="s">
        <v>114</v>
      </c>
      <c r="B3" s="187">
        <v>1</v>
      </c>
    </row>
    <row r="4" spans="1:2" x14ac:dyDescent="0.25">
      <c r="A4" s="187" t="s">
        <v>183</v>
      </c>
      <c r="B4" s="187">
        <v>1</v>
      </c>
    </row>
    <row r="5" spans="1:2" x14ac:dyDescent="0.25">
      <c r="A5" s="187" t="s">
        <v>141</v>
      </c>
      <c r="B5" s="187">
        <v>1</v>
      </c>
    </row>
    <row r="6" spans="1:2" x14ac:dyDescent="0.25">
      <c r="A6" s="187" t="s">
        <v>163</v>
      </c>
      <c r="B6" s="187">
        <v>1</v>
      </c>
    </row>
    <row r="7" spans="1:2" x14ac:dyDescent="0.25">
      <c r="A7" s="187" t="s">
        <v>311</v>
      </c>
      <c r="B7" s="187">
        <v>1</v>
      </c>
    </row>
    <row r="8" spans="1:2" x14ac:dyDescent="0.25">
      <c r="A8" s="187" t="s">
        <v>145</v>
      </c>
      <c r="B8" s="187">
        <v>1</v>
      </c>
    </row>
    <row r="9" spans="1:2" x14ac:dyDescent="0.25">
      <c r="A9" s="187" t="s">
        <v>180</v>
      </c>
      <c r="B9" s="187">
        <v>1</v>
      </c>
    </row>
    <row r="10" spans="1:2" x14ac:dyDescent="0.25">
      <c r="A10" s="187" t="s">
        <v>160</v>
      </c>
      <c r="B10" s="187">
        <v>1</v>
      </c>
    </row>
    <row r="11" spans="1:2" x14ac:dyDescent="0.25">
      <c r="A11" s="187" t="s">
        <v>173</v>
      </c>
      <c r="B11" s="187">
        <v>1</v>
      </c>
    </row>
    <row r="12" spans="1:2" x14ac:dyDescent="0.25">
      <c r="A12" s="187" t="s">
        <v>312</v>
      </c>
      <c r="B12" s="187">
        <v>1</v>
      </c>
    </row>
    <row r="13" spans="1:2" x14ac:dyDescent="0.25">
      <c r="A13" s="187" t="s">
        <v>95</v>
      </c>
      <c r="B13" s="187">
        <v>1</v>
      </c>
    </row>
    <row r="14" spans="1:2" x14ac:dyDescent="0.25">
      <c r="A14" s="187" t="s">
        <v>125</v>
      </c>
      <c r="B14" s="187">
        <v>1</v>
      </c>
    </row>
    <row r="15" spans="1:2" x14ac:dyDescent="0.25">
      <c r="A15" s="187" t="s">
        <v>191</v>
      </c>
      <c r="B15" s="187">
        <v>1</v>
      </c>
    </row>
    <row r="16" spans="1:2" x14ac:dyDescent="0.25">
      <c r="A16" s="187" t="s">
        <v>117</v>
      </c>
      <c r="B16" s="187">
        <v>1</v>
      </c>
    </row>
    <row r="17" spans="1:2" x14ac:dyDescent="0.25">
      <c r="A17" s="187" t="s">
        <v>196</v>
      </c>
      <c r="B17" s="187">
        <v>1</v>
      </c>
    </row>
    <row r="18" spans="1:2" x14ac:dyDescent="0.25">
      <c r="A18" s="187" t="s">
        <v>235</v>
      </c>
      <c r="B18" s="187">
        <v>2</v>
      </c>
    </row>
    <row r="19" spans="1:2" x14ac:dyDescent="0.25">
      <c r="A19" s="187" t="s">
        <v>206</v>
      </c>
      <c r="B19" s="187">
        <v>2</v>
      </c>
    </row>
    <row r="20" spans="1:2" x14ac:dyDescent="0.25">
      <c r="A20" s="187" t="s">
        <v>238</v>
      </c>
      <c r="B20" s="187">
        <v>2</v>
      </c>
    </row>
    <row r="21" spans="1:2" x14ac:dyDescent="0.25">
      <c r="A21" s="187" t="s">
        <v>214</v>
      </c>
      <c r="B21" s="187">
        <v>2</v>
      </c>
    </row>
    <row r="22" spans="1:2" x14ac:dyDescent="0.25">
      <c r="A22" s="187" t="s">
        <v>241</v>
      </c>
      <c r="B22" s="187">
        <v>2</v>
      </c>
    </row>
    <row r="23" spans="1:2" x14ac:dyDescent="0.25">
      <c r="A23" s="187" t="s">
        <v>223</v>
      </c>
      <c r="B23" s="187">
        <v>2</v>
      </c>
    </row>
    <row r="24" spans="1:2" x14ac:dyDescent="0.25">
      <c r="A24" s="187" t="s">
        <v>249</v>
      </c>
      <c r="B24" s="187">
        <v>3</v>
      </c>
    </row>
    <row r="25" spans="1:2" x14ac:dyDescent="0.25">
      <c r="A25" s="187" t="s">
        <v>255</v>
      </c>
      <c r="B25" s="187">
        <v>3</v>
      </c>
    </row>
    <row r="26" spans="1:2" x14ac:dyDescent="0.25">
      <c r="A26" s="187" t="s">
        <v>252</v>
      </c>
      <c r="B26" s="187">
        <v>3</v>
      </c>
    </row>
    <row r="27" spans="1:2" x14ac:dyDescent="0.25">
      <c r="A27" s="187" t="s">
        <v>313</v>
      </c>
      <c r="B27" s="187">
        <v>3</v>
      </c>
    </row>
    <row r="28" spans="1:2" x14ac:dyDescent="0.25">
      <c r="A28" s="187" t="s">
        <v>314</v>
      </c>
      <c r="B28" s="187">
        <v>4</v>
      </c>
    </row>
    <row r="29" spans="1:2" x14ac:dyDescent="0.25">
      <c r="A29" s="187" t="s">
        <v>315</v>
      </c>
      <c r="B29" s="187">
        <v>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XEQ161"/>
  <sheetViews>
    <sheetView workbookViewId="0"/>
  </sheetViews>
  <sheetFormatPr defaultRowHeight="15" x14ac:dyDescent="0.25"/>
  <cols>
    <col min="1" max="1" width="11.28515625" customWidth="1"/>
    <col min="2" max="2" width="18" bestFit="1" customWidth="1"/>
    <col min="3" max="3" width="20.140625" bestFit="1" customWidth="1"/>
    <col min="4" max="4" width="21.140625" bestFit="1" customWidth="1"/>
    <col min="5" max="5" width="9" bestFit="1" customWidth="1"/>
    <col min="6" max="6" width="8.42578125" bestFit="1" customWidth="1"/>
    <col min="7" max="9" width="9" bestFit="1" customWidth="1"/>
    <col min="10" max="10" width="8.42578125" bestFit="1" customWidth="1"/>
    <col min="11" max="30" width="7.140625" customWidth="1"/>
    <col min="31" max="31" width="10.5703125" bestFit="1" customWidth="1"/>
    <col min="32" max="34" width="11" bestFit="1" customWidth="1"/>
    <col min="35" max="35" width="10.85546875" bestFit="1" customWidth="1"/>
    <col min="36" max="36" width="11" bestFit="1" customWidth="1"/>
    <col min="37" max="37" width="10" bestFit="1" customWidth="1"/>
    <col min="38" max="40" width="10.5703125" bestFit="1" customWidth="1"/>
    <col min="41" max="41" width="10.28515625" bestFit="1" customWidth="1"/>
    <col min="42" max="42" width="10.5703125" bestFit="1" customWidth="1"/>
    <col min="43" max="44" width="7.140625" style="419" customWidth="1"/>
    <col min="45" max="45" width="10.5703125" style="419" bestFit="1" customWidth="1"/>
    <col min="46" max="48" width="11" style="419" bestFit="1" customWidth="1"/>
    <col min="49" max="49" width="10.85546875" style="419" bestFit="1" customWidth="1"/>
    <col min="50" max="50" width="11" style="419" bestFit="1" customWidth="1"/>
    <col min="51" max="51" width="10" style="419" bestFit="1" customWidth="1"/>
    <col min="52" max="54" width="10.5703125" style="419" bestFit="1" customWidth="1"/>
    <col min="55" max="55" width="10.28515625" style="419" bestFit="1" customWidth="1"/>
    <col min="56" max="56" width="10.5703125" style="419" bestFit="1" customWidth="1"/>
    <col min="57" max="58" width="7.140625" style="419" customWidth="1"/>
    <col min="59" max="59" width="10.5703125" style="419" bestFit="1" customWidth="1"/>
    <col min="60" max="62" width="11" style="419" bestFit="1" customWidth="1"/>
    <col min="63" max="63" width="10.85546875" style="419" bestFit="1" customWidth="1"/>
    <col min="64" max="64" width="11" style="419" bestFit="1" customWidth="1"/>
    <col min="65" max="65" width="10" style="419" bestFit="1" customWidth="1"/>
    <col min="66" max="68" width="10.5703125" style="419" bestFit="1" customWidth="1"/>
    <col min="69" max="69" width="10.28515625" style="419" bestFit="1" customWidth="1"/>
    <col min="70" max="70" width="10.5703125" style="419" bestFit="1" customWidth="1"/>
  </cols>
  <sheetData>
    <row r="1" spans="1:70 16371:16371" s="419" customFormat="1" ht="15.75" thickBot="1" x14ac:dyDescent="0.3">
      <c r="K1" s="419">
        <v>2</v>
      </c>
      <c r="L1" s="419">
        <v>3</v>
      </c>
      <c r="M1" s="419">
        <v>4</v>
      </c>
      <c r="N1" s="419">
        <v>5</v>
      </c>
      <c r="O1" s="419">
        <v>6</v>
      </c>
      <c r="P1" s="419">
        <v>7</v>
      </c>
      <c r="Q1" s="419">
        <v>2</v>
      </c>
      <c r="R1" s="419">
        <v>3</v>
      </c>
      <c r="S1" s="419">
        <v>4</v>
      </c>
      <c r="T1" s="419">
        <v>5</v>
      </c>
      <c r="U1" s="419">
        <v>6</v>
      </c>
      <c r="V1" s="419">
        <v>7</v>
      </c>
      <c r="AE1" s="420">
        <f>IF(_REV&gt;0,0,1)</f>
        <v>1</v>
      </c>
      <c r="AF1" s="420">
        <f>IF(_REV&gt;1,0,1)</f>
        <v>1</v>
      </c>
      <c r="AG1" s="420">
        <f>IF(_REV&gt;2,0,1)</f>
        <v>1</v>
      </c>
      <c r="AH1" s="420">
        <f>IF(_REV&gt;3,0,1)</f>
        <v>1</v>
      </c>
      <c r="AI1" s="420">
        <f>IF(_REV&gt;4,0,1)</f>
        <v>1</v>
      </c>
      <c r="AJ1" s="420">
        <f>IF(_REV&gt;5,0,1)</f>
        <v>1</v>
      </c>
      <c r="AK1" s="421">
        <v>37</v>
      </c>
      <c r="AL1" s="421">
        <v>38</v>
      </c>
      <c r="AM1" s="421">
        <v>39</v>
      </c>
      <c r="AN1" s="421">
        <v>40</v>
      </c>
      <c r="AO1" s="421">
        <v>41</v>
      </c>
      <c r="AP1" s="421">
        <v>42</v>
      </c>
      <c r="AS1" s="420"/>
      <c r="AT1" s="420"/>
      <c r="AU1" s="420"/>
      <c r="AV1" s="420"/>
      <c r="AW1" s="420"/>
      <c r="AX1" s="420"/>
      <c r="AY1" s="421">
        <f>COLUMN()</f>
        <v>51</v>
      </c>
      <c r="AZ1" s="421">
        <f>COLUMN()</f>
        <v>52</v>
      </c>
      <c r="BA1" s="421">
        <f>COLUMN()</f>
        <v>53</v>
      </c>
      <c r="BB1" s="421">
        <f>COLUMN()</f>
        <v>54</v>
      </c>
      <c r="BC1" s="421">
        <f>COLUMN()</f>
        <v>55</v>
      </c>
      <c r="BD1" s="421">
        <f>COLUMN()</f>
        <v>56</v>
      </c>
      <c r="BG1" s="420"/>
      <c r="BH1" s="420"/>
      <c r="BI1" s="420"/>
      <c r="BJ1" s="420"/>
      <c r="BK1" s="420"/>
      <c r="BL1" s="420"/>
      <c r="BM1" s="421">
        <f>COLUMN()</f>
        <v>65</v>
      </c>
      <c r="BN1" s="421">
        <f>COLUMN()</f>
        <v>66</v>
      </c>
      <c r="BO1" s="421">
        <f>COLUMN()</f>
        <v>67</v>
      </c>
      <c r="BP1" s="421">
        <f>COLUMN()</f>
        <v>68</v>
      </c>
      <c r="BQ1" s="421">
        <f>COLUMN()</f>
        <v>69</v>
      </c>
      <c r="BR1" s="421">
        <f>COLUMN()</f>
        <v>70</v>
      </c>
    </row>
    <row r="2" spans="1:70 16371:16371" x14ac:dyDescent="0.25">
      <c r="A2" s="428" t="s">
        <v>67</v>
      </c>
      <c r="B2" s="429" t="s">
        <v>627</v>
      </c>
      <c r="C2" s="429" t="s">
        <v>628</v>
      </c>
      <c r="D2" s="436" t="s">
        <v>629</v>
      </c>
      <c r="E2" s="442" t="s">
        <v>636</v>
      </c>
      <c r="F2" s="430" t="s">
        <v>637</v>
      </c>
      <c r="G2" s="430" t="s">
        <v>638</v>
      </c>
      <c r="H2" s="430" t="s">
        <v>639</v>
      </c>
      <c r="I2" s="443" t="s">
        <v>640</v>
      </c>
      <c r="J2" s="439" t="s">
        <v>635</v>
      </c>
      <c r="K2" t="s">
        <v>641</v>
      </c>
      <c r="L2" t="s">
        <v>642</v>
      </c>
      <c r="M2" t="s">
        <v>643</v>
      </c>
      <c r="N2" t="s">
        <v>644</v>
      </c>
      <c r="O2" t="s">
        <v>646</v>
      </c>
      <c r="P2" t="s">
        <v>645</v>
      </c>
      <c r="Q2" t="s">
        <v>647</v>
      </c>
      <c r="R2" s="419" t="s">
        <v>648</v>
      </c>
      <c r="S2" s="419" t="s">
        <v>649</v>
      </c>
      <c r="T2" s="419" t="s">
        <v>650</v>
      </c>
      <c r="U2" s="419" t="s">
        <v>651</v>
      </c>
      <c r="V2" s="419" t="s">
        <v>652</v>
      </c>
      <c r="W2" t="s">
        <v>664</v>
      </c>
      <c r="X2" s="419" t="s">
        <v>665</v>
      </c>
      <c r="Y2" s="419" t="s">
        <v>666</v>
      </c>
      <c r="Z2" s="419" t="s">
        <v>667</v>
      </c>
      <c r="AA2" s="419" t="s">
        <v>668</v>
      </c>
      <c r="AB2" s="419" t="s">
        <v>669</v>
      </c>
      <c r="AC2" t="s">
        <v>653</v>
      </c>
      <c r="AD2" t="s">
        <v>654</v>
      </c>
      <c r="AE2" s="420" t="s">
        <v>658</v>
      </c>
      <c r="AF2" s="420" t="s">
        <v>659</v>
      </c>
      <c r="AG2" s="420" t="s">
        <v>660</v>
      </c>
      <c r="AH2" s="420" t="s">
        <v>661</v>
      </c>
      <c r="AI2" s="420" t="s">
        <v>662</v>
      </c>
      <c r="AJ2" s="420" t="s">
        <v>663</v>
      </c>
      <c r="AK2" s="421" t="s">
        <v>670</v>
      </c>
      <c r="AL2" s="421" t="s">
        <v>671</v>
      </c>
      <c r="AM2" s="421" t="s">
        <v>672</v>
      </c>
      <c r="AN2" s="421" t="s">
        <v>673</v>
      </c>
      <c r="AO2" s="421" t="s">
        <v>674</v>
      </c>
      <c r="AP2" s="421" t="s">
        <v>675</v>
      </c>
      <c r="AQ2" s="419" t="s">
        <v>653</v>
      </c>
      <c r="AR2" s="419" t="s">
        <v>654</v>
      </c>
      <c r="AS2" s="420" t="s">
        <v>658</v>
      </c>
      <c r="AT2" s="420" t="s">
        <v>659</v>
      </c>
      <c r="AU2" s="420" t="s">
        <v>660</v>
      </c>
      <c r="AV2" s="420" t="s">
        <v>661</v>
      </c>
      <c r="AW2" s="420" t="s">
        <v>662</v>
      </c>
      <c r="AX2" s="420" t="s">
        <v>663</v>
      </c>
      <c r="AY2" s="421" t="s">
        <v>670</v>
      </c>
      <c r="AZ2" s="421" t="s">
        <v>671</v>
      </c>
      <c r="BA2" s="421" t="s">
        <v>672</v>
      </c>
      <c r="BB2" s="421" t="s">
        <v>673</v>
      </c>
      <c r="BC2" s="421" t="s">
        <v>674</v>
      </c>
      <c r="BD2" s="421" t="s">
        <v>675</v>
      </c>
      <c r="BE2" s="419" t="s">
        <v>653</v>
      </c>
      <c r="BF2" s="419" t="s">
        <v>654</v>
      </c>
      <c r="BG2" s="420" t="s">
        <v>658</v>
      </c>
      <c r="BH2" s="420" t="s">
        <v>659</v>
      </c>
      <c r="BI2" s="420" t="s">
        <v>660</v>
      </c>
      <c r="BJ2" s="420" t="s">
        <v>661</v>
      </c>
      <c r="BK2" s="420" t="s">
        <v>662</v>
      </c>
      <c r="BL2" s="420" t="s">
        <v>663</v>
      </c>
      <c r="BM2" s="421" t="s">
        <v>670</v>
      </c>
      <c r="BN2" s="421" t="s">
        <v>671</v>
      </c>
      <c r="BO2" s="421" t="s">
        <v>672</v>
      </c>
      <c r="BP2" s="421" t="s">
        <v>673</v>
      </c>
      <c r="BQ2" s="421" t="s">
        <v>674</v>
      </c>
      <c r="BR2" s="421" t="s">
        <v>675</v>
      </c>
      <c r="XEQ2" s="418"/>
    </row>
    <row r="3" spans="1:70 16371:16371" x14ac:dyDescent="0.25">
      <c r="A3" s="431">
        <v>1</v>
      </c>
      <c r="B3" s="424"/>
      <c r="C3" s="424" t="s">
        <v>22</v>
      </c>
      <c r="D3" s="437" t="s">
        <v>22</v>
      </c>
      <c r="E3" s="431"/>
      <c r="F3" s="424"/>
      <c r="G3" s="424"/>
      <c r="H3" s="424"/>
      <c r="I3" s="432"/>
      <c r="J3" s="440">
        <v>1</v>
      </c>
      <c r="K3">
        <f>VLOOKUP($A3,Prevs!$C:$I,Ajustes!K$1,FALSE)</f>
        <v>37</v>
      </c>
      <c r="L3" s="419">
        <f>VLOOKUP($A3,Prevs!$C:$I,Ajustes!L$1,FALSE)</f>
        <v>35</v>
      </c>
      <c r="M3" s="419">
        <f>VLOOKUP($A3,Prevs!$C:$I,Ajustes!M$1,FALSE)</f>
        <v>35</v>
      </c>
      <c r="N3" s="419">
        <f>VLOOKUP($A3,Prevs!$C:$I,Ajustes!N$1,FALSE)</f>
        <v>35</v>
      </c>
      <c r="O3" s="419">
        <f>VLOOKUP($A3,Prevs!$C:$I,Ajustes!O$1,FALSE)</f>
        <v>34</v>
      </c>
      <c r="P3" s="419">
        <f>VLOOKUP($A3,Prevs!$C:$I,Ajustes!P$1,FALSE)</f>
        <v>34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419">
        <f t="shared" ref="W3:AB4" si="0">K3-Q3</f>
        <v>37</v>
      </c>
      <c r="X3" s="419">
        <f t="shared" si="0"/>
        <v>35</v>
      </c>
      <c r="Y3" s="419">
        <f t="shared" si="0"/>
        <v>35</v>
      </c>
      <c r="Z3" s="419">
        <f t="shared" si="0"/>
        <v>35</v>
      </c>
      <c r="AA3" s="419">
        <f t="shared" si="0"/>
        <v>34</v>
      </c>
      <c r="AB3" s="419">
        <f t="shared" si="0"/>
        <v>34</v>
      </c>
      <c r="AC3" s="417">
        <f>VLOOKUP($J3,Fatores!$G$1:$J$5,2,FALSE)</f>
        <v>1.5531612828314754</v>
      </c>
      <c r="AD3" s="417">
        <f>VLOOKUP($C3,Fatores!$A:$D,2,FALSE)</f>
        <v>1</v>
      </c>
      <c r="AE3" s="420">
        <f>W3*(($AC3*$AD3-1)*AE$1+1)</f>
        <v>57.466967464764586</v>
      </c>
      <c r="AF3" s="420">
        <f t="shared" ref="AF3:AJ3" si="1">X3*(($AC3*$AD3-1)*AF$1+1)</f>
        <v>54.360644899101636</v>
      </c>
      <c r="AG3" s="420">
        <f t="shared" si="1"/>
        <v>54.360644899101636</v>
      </c>
      <c r="AH3" s="420">
        <f t="shared" si="1"/>
        <v>54.360644899101636</v>
      </c>
      <c r="AI3" s="420">
        <f t="shared" si="1"/>
        <v>52.807483616270162</v>
      </c>
      <c r="AJ3" s="420">
        <f t="shared" si="1"/>
        <v>52.807483616270162</v>
      </c>
      <c r="AK3" s="421">
        <f t="shared" ref="AK3:AP3" si="2">AE3</f>
        <v>57.466967464764586</v>
      </c>
      <c r="AL3" s="421">
        <f t="shared" si="2"/>
        <v>54.360644899101636</v>
      </c>
      <c r="AM3" s="421">
        <f t="shared" si="2"/>
        <v>54.360644899101636</v>
      </c>
      <c r="AN3" s="421">
        <f t="shared" si="2"/>
        <v>54.360644899101636</v>
      </c>
      <c r="AO3" s="421">
        <f t="shared" si="2"/>
        <v>52.807483616270162</v>
      </c>
      <c r="AP3" s="421">
        <f t="shared" si="2"/>
        <v>52.807483616270162</v>
      </c>
      <c r="AQ3" s="417">
        <f>VLOOKUP($J3,Fatores!$G$1:$J$5,3,FALSE)</f>
        <v>1.3186317794730578</v>
      </c>
      <c r="AR3" s="417">
        <f>VLOOKUP($C3,Fatores!$A:$D,3,FALSE)</f>
        <v>1</v>
      </c>
      <c r="AS3" s="420">
        <f>W3*(($AQ3*$AR3-1)*AE$1+1)</f>
        <v>48.789375840503141</v>
      </c>
      <c r="AT3" s="420">
        <f t="shared" ref="AT3:AX3" si="3">X3*(($AQ3*$AR3-1)*AF$1+1)</f>
        <v>46.152112281557024</v>
      </c>
      <c r="AU3" s="420">
        <f t="shared" si="3"/>
        <v>46.152112281557024</v>
      </c>
      <c r="AV3" s="420">
        <f t="shared" si="3"/>
        <v>46.152112281557024</v>
      </c>
      <c r="AW3" s="420">
        <f t="shared" si="3"/>
        <v>44.833480502083965</v>
      </c>
      <c r="AX3" s="420">
        <f t="shared" si="3"/>
        <v>44.833480502083965</v>
      </c>
      <c r="AY3" s="421">
        <f t="shared" ref="AY3:BD3" si="4">AS3</f>
        <v>48.789375840503141</v>
      </c>
      <c r="AZ3" s="421">
        <f t="shared" si="4"/>
        <v>46.152112281557024</v>
      </c>
      <c r="BA3" s="421">
        <f t="shared" si="4"/>
        <v>46.152112281557024</v>
      </c>
      <c r="BB3" s="421">
        <f t="shared" si="4"/>
        <v>46.152112281557024</v>
      </c>
      <c r="BC3" s="421">
        <f t="shared" si="4"/>
        <v>44.833480502083965</v>
      </c>
      <c r="BD3" s="421">
        <f t="shared" si="4"/>
        <v>44.833480502083965</v>
      </c>
      <c r="BE3" s="417">
        <f>VLOOKUP($J3,Fatores!$G$1:$J$5,4,FALSE)</f>
        <v>1</v>
      </c>
      <c r="BF3" s="417">
        <f>VLOOKUP($C3,Fatores!$A:$D,4,FALSE)</f>
        <v>1</v>
      </c>
      <c r="BG3" s="420">
        <f>W3*(($BE3*$BF3-1)*AE$1+1)</f>
        <v>37</v>
      </c>
      <c r="BH3" s="420">
        <f t="shared" ref="BH3:BL3" si="5">X3*(($BE3*$BF3-1)*AF$1+1)</f>
        <v>35</v>
      </c>
      <c r="BI3" s="420">
        <f t="shared" si="5"/>
        <v>35</v>
      </c>
      <c r="BJ3" s="420">
        <f t="shared" si="5"/>
        <v>35</v>
      </c>
      <c r="BK3" s="420">
        <f t="shared" si="5"/>
        <v>34</v>
      </c>
      <c r="BL3" s="420">
        <f t="shared" si="5"/>
        <v>34</v>
      </c>
      <c r="BM3" s="421">
        <f>BG3</f>
        <v>37</v>
      </c>
      <c r="BN3" s="421">
        <f>BH3</f>
        <v>35</v>
      </c>
      <c r="BO3" s="421">
        <f>BI3</f>
        <v>35</v>
      </c>
      <c r="BP3" s="421">
        <f>BJ3</f>
        <v>35</v>
      </c>
      <c r="BQ3" s="421">
        <f>BK3</f>
        <v>34</v>
      </c>
      <c r="BR3" s="421">
        <f>BL3</f>
        <v>34</v>
      </c>
      <c r="XEQ3" s="418"/>
    </row>
    <row r="4" spans="1:70 16371:16371" x14ac:dyDescent="0.25">
      <c r="A4" s="431">
        <v>2</v>
      </c>
      <c r="B4" s="424"/>
      <c r="C4" s="424" t="s">
        <v>22</v>
      </c>
      <c r="D4" s="437" t="s">
        <v>22</v>
      </c>
      <c r="E4" s="444">
        <v>1</v>
      </c>
      <c r="F4" s="424"/>
      <c r="G4" s="424"/>
      <c r="H4" s="424"/>
      <c r="I4" s="432"/>
      <c r="J4" s="440">
        <v>1</v>
      </c>
      <c r="K4" s="419">
        <f>VLOOKUP($A4,Prevs!$C:$I,Ajustes!K$1,FALSE)</f>
        <v>37</v>
      </c>
      <c r="L4" s="419">
        <f>VLOOKUP($A4,Prevs!$C:$I,Ajustes!L$1,FALSE)</f>
        <v>35</v>
      </c>
      <c r="M4" s="419">
        <f>VLOOKUP($A4,Prevs!$C:$I,Ajustes!M$1,FALSE)</f>
        <v>35</v>
      </c>
      <c r="N4" s="419">
        <f>VLOOKUP($A4,Prevs!$C:$I,Ajustes!N$1,FALSE)</f>
        <v>35</v>
      </c>
      <c r="O4" s="419">
        <f>VLOOKUP($A4,Prevs!$C:$I,Ajustes!O$1,FALSE)</f>
        <v>34</v>
      </c>
      <c r="P4" s="419">
        <f>VLOOKUP($A4,Prevs!$C:$I,Ajustes!P$1,FALSE)</f>
        <v>34</v>
      </c>
      <c r="Q4" s="419">
        <f>VLOOKUP($E4,Prevs!$C:$I,Ajustes!K$1,FALSE)</f>
        <v>37</v>
      </c>
      <c r="R4" s="419">
        <f>VLOOKUP($E4,Prevs!$C:$I,Ajustes!L$1,FALSE)</f>
        <v>35</v>
      </c>
      <c r="S4" s="419">
        <f>VLOOKUP($E4,Prevs!$C:$I,Ajustes!M$1,FALSE)</f>
        <v>35</v>
      </c>
      <c r="T4" s="419">
        <f>VLOOKUP($E4,Prevs!$C:$I,Ajustes!N$1,FALSE)</f>
        <v>35</v>
      </c>
      <c r="U4" s="419">
        <f>VLOOKUP($E4,Prevs!$C:$I,Ajustes!O$1,FALSE)</f>
        <v>34</v>
      </c>
      <c r="V4" s="419">
        <f>VLOOKUP($E4,Prevs!$C:$I,Ajustes!P$1,FALSE)</f>
        <v>34</v>
      </c>
      <c r="W4" s="419">
        <f t="shared" si="0"/>
        <v>0</v>
      </c>
      <c r="X4" s="419">
        <f t="shared" si="0"/>
        <v>0</v>
      </c>
      <c r="Y4" s="419">
        <f t="shared" si="0"/>
        <v>0</v>
      </c>
      <c r="Z4" s="419">
        <f t="shared" si="0"/>
        <v>0</v>
      </c>
      <c r="AA4" s="419">
        <f t="shared" si="0"/>
        <v>0</v>
      </c>
      <c r="AB4" s="419">
        <f t="shared" si="0"/>
        <v>0</v>
      </c>
      <c r="AC4" s="417">
        <f>VLOOKUP($J4,Fatores!$G$1:$J$5,2,FALSE)</f>
        <v>1.5531612828314754</v>
      </c>
      <c r="AD4" s="417">
        <f>VLOOKUP($C4,Fatores!$A:$D,2,FALSE)</f>
        <v>1</v>
      </c>
      <c r="AE4" s="420">
        <f t="shared" ref="AE4:AE67" si="6">W4*(($AC4*$AD4-1)*AE$1+1)</f>
        <v>0</v>
      </c>
      <c r="AF4" s="420">
        <f t="shared" ref="AF4:AF67" si="7">X4*(($AC4*$AD4-1)*AF$1+1)</f>
        <v>0</v>
      </c>
      <c r="AG4" s="420">
        <f t="shared" ref="AG4:AG67" si="8">Y4*(($AC4*$AD4-1)*AG$1+1)</f>
        <v>0</v>
      </c>
      <c r="AH4" s="420">
        <f t="shared" ref="AH4:AH67" si="9">Z4*(($AC4*$AD4-1)*AH$1+1)</f>
        <v>0</v>
      </c>
      <c r="AI4" s="420">
        <f t="shared" ref="AI4:AI67" si="10">AA4*(($AC4*$AD4-1)*AI$1+1)</f>
        <v>0</v>
      </c>
      <c r="AJ4" s="420">
        <f t="shared" ref="AJ4:AJ67" si="11">AB4*(($AC4*$AD4-1)*AJ$1+1)</f>
        <v>0</v>
      </c>
      <c r="AK4" s="421">
        <f t="shared" ref="AK4:AP11" si="12">AE4+VLOOKUP($E4,$A:$BR,AK$1,FALSE)</f>
        <v>57.466967464764586</v>
      </c>
      <c r="AL4" s="421">
        <f t="shared" si="12"/>
        <v>54.360644899101636</v>
      </c>
      <c r="AM4" s="421">
        <f t="shared" si="12"/>
        <v>54.360644899101636</v>
      </c>
      <c r="AN4" s="421">
        <f t="shared" si="12"/>
        <v>54.360644899101636</v>
      </c>
      <c r="AO4" s="421">
        <f t="shared" si="12"/>
        <v>52.807483616270162</v>
      </c>
      <c r="AP4" s="421">
        <f t="shared" si="12"/>
        <v>52.807483616270162</v>
      </c>
      <c r="AQ4" s="417">
        <f>VLOOKUP($J4,Fatores!$G$1:$J$5,3,FALSE)</f>
        <v>1.3186317794730578</v>
      </c>
      <c r="AR4" s="417">
        <f>VLOOKUP($C4,Fatores!$A:$D,3,FALSE)</f>
        <v>1</v>
      </c>
      <c r="AS4" s="420">
        <f t="shared" ref="AS4:AS67" si="13">W4*(($AQ4*$AR4-1)*AE$1+1)</f>
        <v>0</v>
      </c>
      <c r="AT4" s="420">
        <f t="shared" ref="AT4:AT67" si="14">X4*(($AQ4*$AR4-1)*AF$1+1)</f>
        <v>0</v>
      </c>
      <c r="AU4" s="420">
        <f t="shared" ref="AU4:AU67" si="15">Y4*(($AQ4*$AR4-1)*AG$1+1)</f>
        <v>0</v>
      </c>
      <c r="AV4" s="420">
        <f t="shared" ref="AV4:AV67" si="16">Z4*(($AQ4*$AR4-1)*AH$1+1)</f>
        <v>0</v>
      </c>
      <c r="AW4" s="420">
        <f t="shared" ref="AW4:AW67" si="17">AA4*(($AQ4*$AR4-1)*AI$1+1)</f>
        <v>0</v>
      </c>
      <c r="AX4" s="420">
        <f t="shared" ref="AX4:AX67" si="18">AB4*(($AQ4*$AR4-1)*AJ$1+1)</f>
        <v>0</v>
      </c>
      <c r="AY4" s="421">
        <f t="shared" ref="AY4:BD11" si="19">AS4+VLOOKUP($E4,$A:$BR,AY$1,FALSE)</f>
        <v>48.789375840503141</v>
      </c>
      <c r="AZ4" s="421">
        <f t="shared" si="19"/>
        <v>46.152112281557024</v>
      </c>
      <c r="BA4" s="421">
        <f t="shared" si="19"/>
        <v>46.152112281557024</v>
      </c>
      <c r="BB4" s="421">
        <f t="shared" si="19"/>
        <v>46.152112281557024</v>
      </c>
      <c r="BC4" s="421">
        <f t="shared" si="19"/>
        <v>44.833480502083965</v>
      </c>
      <c r="BD4" s="421">
        <f t="shared" si="19"/>
        <v>44.833480502083965</v>
      </c>
      <c r="BE4" s="417">
        <f>VLOOKUP($J4,Fatores!$G$1:$J$5,4,FALSE)</f>
        <v>1</v>
      </c>
      <c r="BF4" s="417">
        <f>VLOOKUP($C4,Fatores!$A:$D,4,FALSE)</f>
        <v>1</v>
      </c>
      <c r="BG4" s="420">
        <f t="shared" ref="BG4:BG67" si="20">W4*(($BE4*$BF4-1)*AE$1+1)</f>
        <v>0</v>
      </c>
      <c r="BH4" s="420">
        <f t="shared" ref="BH4:BH67" si="21">X4*(($BE4*$BF4-1)*AF$1+1)</f>
        <v>0</v>
      </c>
      <c r="BI4" s="420">
        <f t="shared" ref="BI4:BI67" si="22">Y4*(($BE4*$BF4-1)*AG$1+1)</f>
        <v>0</v>
      </c>
      <c r="BJ4" s="420">
        <f t="shared" ref="BJ4:BJ67" si="23">Z4*(($BE4*$BF4-1)*AH$1+1)</f>
        <v>0</v>
      </c>
      <c r="BK4" s="420">
        <f t="shared" ref="BK4:BK67" si="24">AA4*(($BE4*$BF4-1)*AI$1+1)</f>
        <v>0</v>
      </c>
      <c r="BL4" s="420">
        <f t="shared" ref="BL4:BL67" si="25">AB4*(($BE4*$BF4-1)*AJ$1+1)</f>
        <v>0</v>
      </c>
      <c r="BM4" s="421">
        <f>BG4+VLOOKUP($E4,$A:$BR,BM$1,FALSE)</f>
        <v>37</v>
      </c>
      <c r="BN4" s="421">
        <f>BH4+VLOOKUP($E4,$A:$BR,BN$1,FALSE)</f>
        <v>35</v>
      </c>
      <c r="BO4" s="421">
        <f>BI4+VLOOKUP($E4,$A:$BR,BO$1,FALSE)</f>
        <v>35</v>
      </c>
      <c r="BP4" s="421">
        <f>BJ4+VLOOKUP($E4,$A:$BR,BP$1,FALSE)</f>
        <v>35</v>
      </c>
      <c r="BQ4" s="421">
        <f>BK4+VLOOKUP($E4,$A:$BR,BQ$1,FALSE)</f>
        <v>34</v>
      </c>
      <c r="BR4" s="421">
        <f>BL4+VLOOKUP($E4,$A:$BR,BR$1,FALSE)</f>
        <v>34</v>
      </c>
      <c r="XEQ4" s="418"/>
    </row>
    <row r="5" spans="1:70 16371:16371" x14ac:dyDescent="0.25">
      <c r="A5" s="431">
        <v>6</v>
      </c>
      <c r="B5" s="424"/>
      <c r="C5" s="424" t="s">
        <v>22</v>
      </c>
      <c r="D5" s="437" t="s">
        <v>22</v>
      </c>
      <c r="E5" s="444">
        <v>211</v>
      </c>
      <c r="F5" s="424"/>
      <c r="G5" s="424"/>
      <c r="H5" s="424"/>
      <c r="I5" s="432"/>
      <c r="J5" s="440">
        <v>1</v>
      </c>
      <c r="K5" s="419">
        <f>VLOOKUP($A5,Prevs!$C:$I,Ajustes!K$1,FALSE)</f>
        <v>228</v>
      </c>
      <c r="L5" s="419">
        <f>VLOOKUP($A5,Prevs!$C:$I,Ajustes!L$1,FALSE)</f>
        <v>218</v>
      </c>
      <c r="M5" s="419">
        <f>VLOOKUP($A5,Prevs!$C:$I,Ajustes!M$1,FALSE)</f>
        <v>207</v>
      </c>
      <c r="N5" s="419">
        <f>VLOOKUP($A5,Prevs!$C:$I,Ajustes!N$1,FALSE)</f>
        <v>205</v>
      </c>
      <c r="O5" s="419">
        <f>VLOOKUP($A5,Prevs!$C:$I,Ajustes!O$1,FALSE)</f>
        <v>199</v>
      </c>
      <c r="P5" s="419">
        <f>VLOOKUP($A5,Prevs!$C:$I,Ajustes!P$1,FALSE)</f>
        <v>154</v>
      </c>
      <c r="Q5" s="419">
        <f>VLOOKUP($E5,Prevs!$C:$I,Ajustes!K$1,FALSE)</f>
        <v>85</v>
      </c>
      <c r="R5" s="419">
        <f>VLOOKUP($E5,Prevs!$C:$I,Ajustes!L$1,FALSE)</f>
        <v>84</v>
      </c>
      <c r="S5" s="419">
        <f>VLOOKUP($E5,Prevs!$C:$I,Ajustes!M$1,FALSE)</f>
        <v>85</v>
      </c>
      <c r="T5" s="419">
        <f>VLOOKUP($E5,Prevs!$C:$I,Ajustes!N$1,FALSE)</f>
        <v>89</v>
      </c>
      <c r="U5" s="419">
        <f>VLOOKUP($E5,Prevs!$C:$I,Ajustes!O$1,FALSE)</f>
        <v>79</v>
      </c>
      <c r="V5" s="419">
        <f>VLOOKUP($E5,Prevs!$C:$I,Ajustes!P$1,FALSE)</f>
        <v>77</v>
      </c>
      <c r="W5" s="419">
        <f t="shared" ref="W5:W11" si="26">K5-Q5</f>
        <v>143</v>
      </c>
      <c r="X5" s="419">
        <f t="shared" ref="X5:X11" si="27">L5-R5</f>
        <v>134</v>
      </c>
      <c r="Y5" s="419">
        <f t="shared" ref="Y5:Y11" si="28">M5-S5</f>
        <v>122</v>
      </c>
      <c r="Z5" s="419">
        <f t="shared" ref="Z5:Z11" si="29">N5-T5</f>
        <v>116</v>
      </c>
      <c r="AA5" s="419">
        <f t="shared" ref="AA5:AA11" si="30">O5-U5</f>
        <v>120</v>
      </c>
      <c r="AB5" s="419">
        <f t="shared" ref="AB5:AB11" si="31">P5-V5</f>
        <v>77</v>
      </c>
      <c r="AC5" s="417">
        <f>VLOOKUP($J5,Fatores!$G$1:$J$5,2,FALSE)</f>
        <v>1.5531612828314754</v>
      </c>
      <c r="AD5" s="417">
        <f>VLOOKUP($C5,Fatores!$A:$D,2,FALSE)</f>
        <v>1</v>
      </c>
      <c r="AE5" s="420">
        <f t="shared" si="6"/>
        <v>222.10206344490098</v>
      </c>
      <c r="AF5" s="420">
        <f t="shared" si="7"/>
        <v>208.12361189941771</v>
      </c>
      <c r="AG5" s="420">
        <f t="shared" si="8"/>
        <v>189.48567650543998</v>
      </c>
      <c r="AH5" s="420">
        <f t="shared" si="9"/>
        <v>180.16670880845115</v>
      </c>
      <c r="AI5" s="420">
        <f t="shared" si="10"/>
        <v>186.37935393977705</v>
      </c>
      <c r="AJ5" s="420">
        <f t="shared" si="11"/>
        <v>119.5934187780236</v>
      </c>
      <c r="AK5" s="421">
        <f t="shared" si="12"/>
        <v>354.12077248557637</v>
      </c>
      <c r="AL5" s="421">
        <f t="shared" si="12"/>
        <v>338.58915965726163</v>
      </c>
      <c r="AM5" s="421">
        <f t="shared" si="12"/>
        <v>321.50438554611537</v>
      </c>
      <c r="AN5" s="421">
        <f t="shared" si="12"/>
        <v>318.39806298045244</v>
      </c>
      <c r="AO5" s="421">
        <f t="shared" si="12"/>
        <v>309.07909528346363</v>
      </c>
      <c r="AP5" s="421">
        <f t="shared" si="12"/>
        <v>239.18683755604721</v>
      </c>
      <c r="AQ5" s="417">
        <f>VLOOKUP($J5,Fatores!$G$1:$J$5,3,FALSE)</f>
        <v>1.3186317794730578</v>
      </c>
      <c r="AR5" s="417">
        <f>VLOOKUP($C5,Fatores!$A:$D,3,FALSE)</f>
        <v>1</v>
      </c>
      <c r="AS5" s="420">
        <f t="shared" si="13"/>
        <v>188.56434446464726</v>
      </c>
      <c r="AT5" s="420">
        <f t="shared" si="14"/>
        <v>176.69665844938973</v>
      </c>
      <c r="AU5" s="420">
        <f t="shared" si="15"/>
        <v>160.87307709571306</v>
      </c>
      <c r="AV5" s="420">
        <f t="shared" si="16"/>
        <v>152.96128641887469</v>
      </c>
      <c r="AW5" s="420">
        <f t="shared" si="17"/>
        <v>158.23581353676693</v>
      </c>
      <c r="AX5" s="420">
        <f t="shared" si="18"/>
        <v>101.53464701942545</v>
      </c>
      <c r="AY5" s="421">
        <f t="shared" si="19"/>
        <v>300.64804571985718</v>
      </c>
      <c r="AZ5" s="421">
        <f t="shared" si="19"/>
        <v>287.46172792512658</v>
      </c>
      <c r="BA5" s="421">
        <f t="shared" si="19"/>
        <v>272.95677835092295</v>
      </c>
      <c r="BB5" s="421">
        <f t="shared" si="19"/>
        <v>270.31951479197681</v>
      </c>
      <c r="BC5" s="421">
        <f t="shared" si="19"/>
        <v>262.40772411513848</v>
      </c>
      <c r="BD5" s="421">
        <f t="shared" si="19"/>
        <v>203.0692940388509</v>
      </c>
      <c r="BE5" s="417">
        <f>VLOOKUP($J5,Fatores!$G$1:$J$5,4,FALSE)</f>
        <v>1</v>
      </c>
      <c r="BF5" s="417">
        <f>VLOOKUP($C5,Fatores!$A:$D,4,FALSE)</f>
        <v>1</v>
      </c>
      <c r="BG5" s="420">
        <f t="shared" si="20"/>
        <v>143</v>
      </c>
      <c r="BH5" s="420">
        <f t="shared" si="21"/>
        <v>134</v>
      </c>
      <c r="BI5" s="420">
        <f t="shared" si="22"/>
        <v>122</v>
      </c>
      <c r="BJ5" s="420">
        <f t="shared" si="23"/>
        <v>116</v>
      </c>
      <c r="BK5" s="420">
        <f t="shared" si="24"/>
        <v>120</v>
      </c>
      <c r="BL5" s="420">
        <f t="shared" si="25"/>
        <v>77</v>
      </c>
      <c r="BM5" s="421">
        <f>BG5+VLOOKUP($E5,$A:$BR,BM$1,FALSE)</f>
        <v>228</v>
      </c>
      <c r="BN5" s="421">
        <f>BH5+VLOOKUP($E5,$A:$BR,BN$1,FALSE)</f>
        <v>218</v>
      </c>
      <c r="BO5" s="421">
        <f>BI5+VLOOKUP($E5,$A:$BR,BO$1,FALSE)</f>
        <v>207</v>
      </c>
      <c r="BP5" s="421">
        <f>BJ5+VLOOKUP($E5,$A:$BR,BP$1,FALSE)</f>
        <v>205</v>
      </c>
      <c r="BQ5" s="421">
        <f>BK5+VLOOKUP($E5,$A:$BR,BQ$1,FALSE)</f>
        <v>199</v>
      </c>
      <c r="BR5" s="421">
        <f>BL5+VLOOKUP($E5,$A:$BR,BR$1,FALSE)</f>
        <v>154</v>
      </c>
      <c r="XEQ5" s="418"/>
    </row>
    <row r="6" spans="1:70 16371:16371" x14ac:dyDescent="0.25">
      <c r="A6" s="431">
        <v>7</v>
      </c>
      <c r="B6" s="424"/>
      <c r="C6" s="424" t="s">
        <v>22</v>
      </c>
      <c r="D6" s="437" t="s">
        <v>22</v>
      </c>
      <c r="E6" s="444">
        <v>6</v>
      </c>
      <c r="F6" s="424"/>
      <c r="G6" s="424"/>
      <c r="H6" s="424"/>
      <c r="I6" s="432"/>
      <c r="J6" s="440">
        <v>1</v>
      </c>
      <c r="K6" s="419">
        <f>VLOOKUP($A6,Prevs!$C:$I,Ajustes!K$1,FALSE)</f>
        <v>242</v>
      </c>
      <c r="L6" s="419">
        <f>VLOOKUP($A6,Prevs!$C:$I,Ajustes!L$1,FALSE)</f>
        <v>251</v>
      </c>
      <c r="M6" s="419">
        <f>VLOOKUP($A6,Prevs!$C:$I,Ajustes!M$1,FALSE)</f>
        <v>237</v>
      </c>
      <c r="N6" s="419">
        <f>VLOOKUP($A6,Prevs!$C:$I,Ajustes!N$1,FALSE)</f>
        <v>234</v>
      </c>
      <c r="O6" s="419">
        <f>VLOOKUP($A6,Prevs!$C:$I,Ajustes!O$1,FALSE)</f>
        <v>229</v>
      </c>
      <c r="P6" s="419">
        <f>VLOOKUP($A6,Prevs!$C:$I,Ajustes!P$1,FALSE)</f>
        <v>186</v>
      </c>
      <c r="Q6" s="419">
        <f>VLOOKUP($E6,Prevs!$C:$I,Ajustes!K$1,FALSE)</f>
        <v>228</v>
      </c>
      <c r="R6" s="419">
        <f>VLOOKUP($E6,Prevs!$C:$I,Ajustes!L$1,FALSE)</f>
        <v>218</v>
      </c>
      <c r="S6" s="419">
        <f>VLOOKUP($E6,Prevs!$C:$I,Ajustes!M$1,FALSE)</f>
        <v>207</v>
      </c>
      <c r="T6" s="419">
        <f>VLOOKUP($E6,Prevs!$C:$I,Ajustes!N$1,FALSE)</f>
        <v>205</v>
      </c>
      <c r="U6" s="419">
        <f>VLOOKUP($E6,Prevs!$C:$I,Ajustes!O$1,FALSE)</f>
        <v>199</v>
      </c>
      <c r="V6" s="419">
        <f>VLOOKUP($E6,Prevs!$C:$I,Ajustes!P$1,FALSE)</f>
        <v>154</v>
      </c>
      <c r="W6" s="419">
        <f t="shared" si="26"/>
        <v>14</v>
      </c>
      <c r="X6" s="419">
        <f t="shared" si="27"/>
        <v>33</v>
      </c>
      <c r="Y6" s="419">
        <f t="shared" si="28"/>
        <v>30</v>
      </c>
      <c r="Z6" s="419">
        <f t="shared" si="29"/>
        <v>29</v>
      </c>
      <c r="AA6" s="419">
        <f t="shared" si="30"/>
        <v>30</v>
      </c>
      <c r="AB6" s="419">
        <f t="shared" si="31"/>
        <v>32</v>
      </c>
      <c r="AC6" s="417">
        <f>VLOOKUP($J6,Fatores!$G$1:$J$5,2,FALSE)</f>
        <v>1.5531612828314754</v>
      </c>
      <c r="AD6" s="417">
        <f>VLOOKUP($C6,Fatores!$A:$D,2,FALSE)</f>
        <v>1</v>
      </c>
      <c r="AE6" s="420">
        <f t="shared" si="6"/>
        <v>21.744257959640656</v>
      </c>
      <c r="AF6" s="420">
        <f t="shared" si="7"/>
        <v>51.254322333438687</v>
      </c>
      <c r="AG6" s="420">
        <f t="shared" si="8"/>
        <v>46.594838484944262</v>
      </c>
      <c r="AH6" s="420">
        <f t="shared" si="9"/>
        <v>45.041677202112787</v>
      </c>
      <c r="AI6" s="420">
        <f t="shared" si="10"/>
        <v>46.594838484944262</v>
      </c>
      <c r="AJ6" s="420">
        <f t="shared" si="11"/>
        <v>49.701161050607212</v>
      </c>
      <c r="AK6" s="421">
        <f t="shared" si="12"/>
        <v>375.86503044521703</v>
      </c>
      <c r="AL6" s="421">
        <f t="shared" si="12"/>
        <v>389.8434819907003</v>
      </c>
      <c r="AM6" s="421">
        <f t="shared" si="12"/>
        <v>368.09922403105963</v>
      </c>
      <c r="AN6" s="421">
        <f t="shared" si="12"/>
        <v>363.43974018256523</v>
      </c>
      <c r="AO6" s="421">
        <f t="shared" si="12"/>
        <v>355.67393376840789</v>
      </c>
      <c r="AP6" s="421">
        <f t="shared" si="12"/>
        <v>288.88799860665443</v>
      </c>
      <c r="AQ6" s="417">
        <f>VLOOKUP($J6,Fatores!$G$1:$J$5,3,FALSE)</f>
        <v>1.3186317794730578</v>
      </c>
      <c r="AR6" s="417">
        <f>VLOOKUP($C6,Fatores!$A:$D,3,FALSE)</f>
        <v>1</v>
      </c>
      <c r="AS6" s="420">
        <f t="shared" si="13"/>
        <v>18.460844912622807</v>
      </c>
      <c r="AT6" s="420">
        <f t="shared" si="14"/>
        <v>43.514848722610907</v>
      </c>
      <c r="AU6" s="420">
        <f t="shared" si="15"/>
        <v>39.558953384191732</v>
      </c>
      <c r="AV6" s="420">
        <f t="shared" si="16"/>
        <v>38.240321604718673</v>
      </c>
      <c r="AW6" s="420">
        <f t="shared" si="17"/>
        <v>39.558953384191732</v>
      </c>
      <c r="AX6" s="420">
        <f t="shared" si="18"/>
        <v>42.196216943137848</v>
      </c>
      <c r="AY6" s="421">
        <f t="shared" si="19"/>
        <v>319.10889063247998</v>
      </c>
      <c r="AZ6" s="421">
        <f t="shared" si="19"/>
        <v>330.97657664773749</v>
      </c>
      <c r="BA6" s="421">
        <f t="shared" si="19"/>
        <v>312.51573173511468</v>
      </c>
      <c r="BB6" s="421">
        <f t="shared" si="19"/>
        <v>308.55983639669546</v>
      </c>
      <c r="BC6" s="421">
        <f t="shared" si="19"/>
        <v>301.96667749933022</v>
      </c>
      <c r="BD6" s="421">
        <f t="shared" si="19"/>
        <v>245.26551098198874</v>
      </c>
      <c r="BE6" s="417">
        <f>VLOOKUP($J6,Fatores!$G$1:$J$5,4,FALSE)</f>
        <v>1</v>
      </c>
      <c r="BF6" s="417">
        <f>VLOOKUP($C6,Fatores!$A:$D,4,FALSE)</f>
        <v>1</v>
      </c>
      <c r="BG6" s="420">
        <f t="shared" si="20"/>
        <v>14</v>
      </c>
      <c r="BH6" s="420">
        <f t="shared" si="21"/>
        <v>33</v>
      </c>
      <c r="BI6" s="420">
        <f t="shared" si="22"/>
        <v>30</v>
      </c>
      <c r="BJ6" s="420">
        <f t="shared" si="23"/>
        <v>29</v>
      </c>
      <c r="BK6" s="420">
        <f t="shared" si="24"/>
        <v>30</v>
      </c>
      <c r="BL6" s="420">
        <f t="shared" si="25"/>
        <v>32</v>
      </c>
      <c r="BM6" s="421">
        <f>BG6+VLOOKUP($E6,$A:$BR,BM$1,FALSE)</f>
        <v>242</v>
      </c>
      <c r="BN6" s="421">
        <f>BH6+VLOOKUP($E6,$A:$BR,BN$1,FALSE)</f>
        <v>251</v>
      </c>
      <c r="BO6" s="421">
        <f>BI6+VLOOKUP($E6,$A:$BR,BO$1,FALSE)</f>
        <v>237</v>
      </c>
      <c r="BP6" s="421">
        <f>BJ6+VLOOKUP($E6,$A:$BR,BP$1,FALSE)</f>
        <v>234</v>
      </c>
      <c r="BQ6" s="421">
        <f>BK6+VLOOKUP($E6,$A:$BR,BQ$1,FALSE)</f>
        <v>229</v>
      </c>
      <c r="BR6" s="421">
        <f>BL6+VLOOKUP($E6,$A:$BR,BR$1,FALSE)</f>
        <v>186</v>
      </c>
      <c r="XEQ6" s="418"/>
    </row>
    <row r="7" spans="1:70 16371:16371" x14ac:dyDescent="0.25">
      <c r="A7" s="431">
        <v>8</v>
      </c>
      <c r="B7" s="424"/>
      <c r="C7" s="424" t="s">
        <v>22</v>
      </c>
      <c r="D7" s="437" t="s">
        <v>22</v>
      </c>
      <c r="E7" s="444">
        <v>7</v>
      </c>
      <c r="F7" s="424"/>
      <c r="G7" s="424"/>
      <c r="H7" s="424"/>
      <c r="I7" s="432"/>
      <c r="J7" s="440">
        <v>1</v>
      </c>
      <c r="K7" s="419">
        <f>VLOOKUP($A7,Prevs!$C:$I,Ajustes!K$1,FALSE)</f>
        <v>245</v>
      </c>
      <c r="L7" s="419">
        <f>VLOOKUP($A7,Prevs!$C:$I,Ajustes!L$1,FALSE)</f>
        <v>257</v>
      </c>
      <c r="M7" s="419">
        <f>VLOOKUP($A7,Prevs!$C:$I,Ajustes!M$1,FALSE)</f>
        <v>243</v>
      </c>
      <c r="N7" s="419">
        <f>VLOOKUP($A7,Prevs!$C:$I,Ajustes!N$1,FALSE)</f>
        <v>241</v>
      </c>
      <c r="O7" s="419">
        <f>VLOOKUP($A7,Prevs!$C:$I,Ajustes!O$1,FALSE)</f>
        <v>236</v>
      </c>
      <c r="P7" s="419">
        <f>VLOOKUP($A7,Prevs!$C:$I,Ajustes!P$1,FALSE)</f>
        <v>191</v>
      </c>
      <c r="Q7" s="419">
        <f>VLOOKUP($E7,Prevs!$C:$I,Ajustes!K$1,FALSE)</f>
        <v>242</v>
      </c>
      <c r="R7" s="419">
        <f>VLOOKUP($E7,Prevs!$C:$I,Ajustes!L$1,FALSE)</f>
        <v>251</v>
      </c>
      <c r="S7" s="419">
        <f>VLOOKUP($E7,Prevs!$C:$I,Ajustes!M$1,FALSE)</f>
        <v>237</v>
      </c>
      <c r="T7" s="419">
        <f>VLOOKUP($E7,Prevs!$C:$I,Ajustes!N$1,FALSE)</f>
        <v>234</v>
      </c>
      <c r="U7" s="419">
        <f>VLOOKUP($E7,Prevs!$C:$I,Ajustes!O$1,FALSE)</f>
        <v>229</v>
      </c>
      <c r="V7" s="419">
        <f>VLOOKUP($E7,Prevs!$C:$I,Ajustes!P$1,FALSE)</f>
        <v>186</v>
      </c>
      <c r="W7" s="419">
        <f t="shared" si="26"/>
        <v>3</v>
      </c>
      <c r="X7" s="419">
        <f t="shared" si="27"/>
        <v>6</v>
      </c>
      <c r="Y7" s="419">
        <f t="shared" si="28"/>
        <v>6</v>
      </c>
      <c r="Z7" s="419">
        <f t="shared" si="29"/>
        <v>7</v>
      </c>
      <c r="AA7" s="419">
        <f t="shared" si="30"/>
        <v>7</v>
      </c>
      <c r="AB7" s="419">
        <f t="shared" si="31"/>
        <v>5</v>
      </c>
      <c r="AC7" s="417">
        <f>VLOOKUP($J7,Fatores!$G$1:$J$5,2,FALSE)</f>
        <v>1.5531612828314754</v>
      </c>
      <c r="AD7" s="417">
        <f>VLOOKUP($C7,Fatores!$A:$D,2,FALSE)</f>
        <v>1</v>
      </c>
      <c r="AE7" s="420">
        <f t="shared" si="6"/>
        <v>4.6594838484944265</v>
      </c>
      <c r="AF7" s="420">
        <f t="shared" si="7"/>
        <v>9.3189676969888531</v>
      </c>
      <c r="AG7" s="420">
        <f t="shared" si="8"/>
        <v>9.3189676969888531</v>
      </c>
      <c r="AH7" s="420">
        <f t="shared" si="9"/>
        <v>10.872128979820328</v>
      </c>
      <c r="AI7" s="420">
        <f t="shared" si="10"/>
        <v>10.872128979820328</v>
      </c>
      <c r="AJ7" s="420">
        <f t="shared" si="11"/>
        <v>7.7658064141573764</v>
      </c>
      <c r="AK7" s="421">
        <f t="shared" si="12"/>
        <v>380.52451429371143</v>
      </c>
      <c r="AL7" s="421">
        <f t="shared" si="12"/>
        <v>399.16244968768916</v>
      </c>
      <c r="AM7" s="421">
        <f t="shared" si="12"/>
        <v>377.4181917280485</v>
      </c>
      <c r="AN7" s="421">
        <f t="shared" si="12"/>
        <v>374.31186916238556</v>
      </c>
      <c r="AO7" s="421">
        <f t="shared" si="12"/>
        <v>366.54606274822822</v>
      </c>
      <c r="AP7" s="421">
        <f t="shared" si="12"/>
        <v>296.65380502081183</v>
      </c>
      <c r="AQ7" s="417">
        <f>VLOOKUP($J7,Fatores!$G$1:$J$5,3,FALSE)</f>
        <v>1.3186317794730578</v>
      </c>
      <c r="AR7" s="417">
        <f>VLOOKUP($C7,Fatores!$A:$D,3,FALSE)</f>
        <v>1</v>
      </c>
      <c r="AS7" s="420">
        <f t="shared" si="13"/>
        <v>3.9558953384191735</v>
      </c>
      <c r="AT7" s="420">
        <f t="shared" si="14"/>
        <v>7.911790676838347</v>
      </c>
      <c r="AU7" s="420">
        <f t="shared" si="15"/>
        <v>7.911790676838347</v>
      </c>
      <c r="AV7" s="420">
        <f t="shared" si="16"/>
        <v>9.2304224563114037</v>
      </c>
      <c r="AW7" s="420">
        <f t="shared" si="17"/>
        <v>9.2304224563114037</v>
      </c>
      <c r="AX7" s="420">
        <f t="shared" si="18"/>
        <v>6.5931588973652886</v>
      </c>
      <c r="AY7" s="421">
        <f t="shared" si="19"/>
        <v>323.06478597089915</v>
      </c>
      <c r="AZ7" s="421">
        <f t="shared" si="19"/>
        <v>338.88836732457582</v>
      </c>
      <c r="BA7" s="421">
        <f t="shared" si="19"/>
        <v>320.42752241195302</v>
      </c>
      <c r="BB7" s="421">
        <f t="shared" si="19"/>
        <v>317.79025885300689</v>
      </c>
      <c r="BC7" s="421">
        <f t="shared" si="19"/>
        <v>311.19709995564165</v>
      </c>
      <c r="BD7" s="421">
        <f t="shared" si="19"/>
        <v>251.85866987935404</v>
      </c>
      <c r="BE7" s="417">
        <f>VLOOKUP($J7,Fatores!$G$1:$J$5,4,FALSE)</f>
        <v>1</v>
      </c>
      <c r="BF7" s="417">
        <f>VLOOKUP($C7,Fatores!$A:$D,4,FALSE)</f>
        <v>1</v>
      </c>
      <c r="BG7" s="420">
        <f t="shared" si="20"/>
        <v>3</v>
      </c>
      <c r="BH7" s="420">
        <f t="shared" si="21"/>
        <v>6</v>
      </c>
      <c r="BI7" s="420">
        <f t="shared" si="22"/>
        <v>6</v>
      </c>
      <c r="BJ7" s="420">
        <f t="shared" si="23"/>
        <v>7</v>
      </c>
      <c r="BK7" s="420">
        <f t="shared" si="24"/>
        <v>7</v>
      </c>
      <c r="BL7" s="420">
        <f t="shared" si="25"/>
        <v>5</v>
      </c>
      <c r="BM7" s="421">
        <f>BG7+VLOOKUP($E7,$A:$BR,BM$1,FALSE)</f>
        <v>245</v>
      </c>
      <c r="BN7" s="421">
        <f>BH7+VLOOKUP($E7,$A:$BR,BN$1,FALSE)</f>
        <v>257</v>
      </c>
      <c r="BO7" s="421">
        <f>BI7+VLOOKUP($E7,$A:$BR,BO$1,FALSE)</f>
        <v>243</v>
      </c>
      <c r="BP7" s="421">
        <f>BJ7+VLOOKUP($E7,$A:$BR,BP$1,FALSE)</f>
        <v>241</v>
      </c>
      <c r="BQ7" s="421">
        <f>BK7+VLOOKUP($E7,$A:$BR,BQ$1,FALSE)</f>
        <v>236</v>
      </c>
      <c r="BR7" s="421">
        <f>BL7+VLOOKUP($E7,$A:$BR,BR$1,FALSE)</f>
        <v>191</v>
      </c>
      <c r="XEQ7" s="418"/>
    </row>
    <row r="8" spans="1:70 16371:16371" x14ac:dyDescent="0.25">
      <c r="A8" s="431">
        <v>9</v>
      </c>
      <c r="B8" s="424"/>
      <c r="C8" s="424" t="s">
        <v>22</v>
      </c>
      <c r="D8" s="437" t="s">
        <v>22</v>
      </c>
      <c r="E8" s="444">
        <v>8</v>
      </c>
      <c r="F8" s="424"/>
      <c r="G8" s="424"/>
      <c r="H8" s="424"/>
      <c r="I8" s="432"/>
      <c r="J8" s="440">
        <v>1</v>
      </c>
      <c r="K8" s="419">
        <f>VLOOKUP($A8,Prevs!$C:$I,Ajustes!K$1,FALSE)</f>
        <v>246</v>
      </c>
      <c r="L8" s="419">
        <f>VLOOKUP($A8,Prevs!$C:$I,Ajustes!L$1,FALSE)</f>
        <v>260</v>
      </c>
      <c r="M8" s="419">
        <f>VLOOKUP($A8,Prevs!$C:$I,Ajustes!M$1,FALSE)</f>
        <v>246</v>
      </c>
      <c r="N8" s="419">
        <f>VLOOKUP($A8,Prevs!$C:$I,Ajustes!N$1,FALSE)</f>
        <v>243</v>
      </c>
      <c r="O8" s="419">
        <f>VLOOKUP($A8,Prevs!$C:$I,Ajustes!O$1,FALSE)</f>
        <v>238</v>
      </c>
      <c r="P8" s="419">
        <f>VLOOKUP($A8,Prevs!$C:$I,Ajustes!P$1,FALSE)</f>
        <v>193</v>
      </c>
      <c r="Q8" s="419">
        <f>VLOOKUP($E8,Prevs!$C:$I,Ajustes!K$1,FALSE)</f>
        <v>245</v>
      </c>
      <c r="R8" s="419">
        <f>VLOOKUP($E8,Prevs!$C:$I,Ajustes!L$1,FALSE)</f>
        <v>257</v>
      </c>
      <c r="S8" s="419">
        <f>VLOOKUP($E8,Prevs!$C:$I,Ajustes!M$1,FALSE)</f>
        <v>243</v>
      </c>
      <c r="T8" s="419">
        <f>VLOOKUP($E8,Prevs!$C:$I,Ajustes!N$1,FALSE)</f>
        <v>241</v>
      </c>
      <c r="U8" s="419">
        <f>VLOOKUP($E8,Prevs!$C:$I,Ajustes!O$1,FALSE)</f>
        <v>236</v>
      </c>
      <c r="V8" s="419">
        <f>VLOOKUP($E8,Prevs!$C:$I,Ajustes!P$1,FALSE)</f>
        <v>191</v>
      </c>
      <c r="W8" s="419">
        <f t="shared" si="26"/>
        <v>1</v>
      </c>
      <c r="X8" s="419">
        <f t="shared" si="27"/>
        <v>3</v>
      </c>
      <c r="Y8" s="419">
        <f t="shared" si="28"/>
        <v>3</v>
      </c>
      <c r="Z8" s="419">
        <f t="shared" si="29"/>
        <v>2</v>
      </c>
      <c r="AA8" s="419">
        <f t="shared" si="30"/>
        <v>2</v>
      </c>
      <c r="AB8" s="419">
        <f t="shared" si="31"/>
        <v>2</v>
      </c>
      <c r="AC8" s="417">
        <f>VLOOKUP($J8,Fatores!$G$1:$J$5,2,FALSE)</f>
        <v>1.5531612828314754</v>
      </c>
      <c r="AD8" s="417">
        <f>VLOOKUP($C8,Fatores!$A:$D,2,FALSE)</f>
        <v>1</v>
      </c>
      <c r="AE8" s="420">
        <f t="shared" si="6"/>
        <v>1.5531612828314754</v>
      </c>
      <c r="AF8" s="420">
        <f t="shared" si="7"/>
        <v>4.6594838484944265</v>
      </c>
      <c r="AG8" s="420">
        <f t="shared" si="8"/>
        <v>4.6594838484944265</v>
      </c>
      <c r="AH8" s="420">
        <f t="shared" si="9"/>
        <v>3.1063225656629507</v>
      </c>
      <c r="AI8" s="420">
        <f t="shared" si="10"/>
        <v>3.1063225656629507</v>
      </c>
      <c r="AJ8" s="420">
        <f t="shared" si="11"/>
        <v>3.1063225656629507</v>
      </c>
      <c r="AK8" s="421">
        <f t="shared" si="12"/>
        <v>382.0776755765429</v>
      </c>
      <c r="AL8" s="421">
        <f t="shared" si="12"/>
        <v>403.82193353618356</v>
      </c>
      <c r="AM8" s="421">
        <f t="shared" si="12"/>
        <v>382.0776755765429</v>
      </c>
      <c r="AN8" s="421">
        <f t="shared" si="12"/>
        <v>377.4181917280485</v>
      </c>
      <c r="AO8" s="421">
        <f t="shared" si="12"/>
        <v>369.65238531389116</v>
      </c>
      <c r="AP8" s="421">
        <f t="shared" si="12"/>
        <v>299.76012758647477</v>
      </c>
      <c r="AQ8" s="417">
        <f>VLOOKUP($J8,Fatores!$G$1:$J$5,3,FALSE)</f>
        <v>1.3186317794730578</v>
      </c>
      <c r="AR8" s="417">
        <f>VLOOKUP($C8,Fatores!$A:$D,3,FALSE)</f>
        <v>1</v>
      </c>
      <c r="AS8" s="420">
        <f t="shared" si="13"/>
        <v>1.3186317794730578</v>
      </c>
      <c r="AT8" s="420">
        <f t="shared" si="14"/>
        <v>3.9558953384191735</v>
      </c>
      <c r="AU8" s="420">
        <f t="shared" si="15"/>
        <v>3.9558953384191735</v>
      </c>
      <c r="AV8" s="420">
        <f t="shared" si="16"/>
        <v>2.6372635589461155</v>
      </c>
      <c r="AW8" s="420">
        <f t="shared" si="17"/>
        <v>2.6372635589461155</v>
      </c>
      <c r="AX8" s="420">
        <f t="shared" si="18"/>
        <v>2.6372635589461155</v>
      </c>
      <c r="AY8" s="421">
        <f t="shared" si="19"/>
        <v>324.38341775037219</v>
      </c>
      <c r="AZ8" s="421">
        <f t="shared" si="19"/>
        <v>342.84426266299499</v>
      </c>
      <c r="BA8" s="421">
        <f t="shared" si="19"/>
        <v>324.38341775037219</v>
      </c>
      <c r="BB8" s="421">
        <f t="shared" si="19"/>
        <v>320.42752241195302</v>
      </c>
      <c r="BC8" s="421">
        <f t="shared" si="19"/>
        <v>313.83436351458778</v>
      </c>
      <c r="BD8" s="421">
        <f t="shared" si="19"/>
        <v>254.49593343830014</v>
      </c>
      <c r="BE8" s="417">
        <f>VLOOKUP($J8,Fatores!$G$1:$J$5,4,FALSE)</f>
        <v>1</v>
      </c>
      <c r="BF8" s="417">
        <f>VLOOKUP($C8,Fatores!$A:$D,4,FALSE)</f>
        <v>1</v>
      </c>
      <c r="BG8" s="420">
        <f t="shared" si="20"/>
        <v>1</v>
      </c>
      <c r="BH8" s="420">
        <f t="shared" si="21"/>
        <v>3</v>
      </c>
      <c r="BI8" s="420">
        <f t="shared" si="22"/>
        <v>3</v>
      </c>
      <c r="BJ8" s="420">
        <f t="shared" si="23"/>
        <v>2</v>
      </c>
      <c r="BK8" s="420">
        <f t="shared" si="24"/>
        <v>2</v>
      </c>
      <c r="BL8" s="420">
        <f t="shared" si="25"/>
        <v>2</v>
      </c>
      <c r="BM8" s="421">
        <f>BG8+VLOOKUP($E8,$A:$BR,BM$1,FALSE)</f>
        <v>246</v>
      </c>
      <c r="BN8" s="421">
        <f>BH8+VLOOKUP($E8,$A:$BR,BN$1,FALSE)</f>
        <v>260</v>
      </c>
      <c r="BO8" s="421">
        <f>BI8+VLOOKUP($E8,$A:$BR,BO$1,FALSE)</f>
        <v>246</v>
      </c>
      <c r="BP8" s="421">
        <f>BJ8+VLOOKUP($E8,$A:$BR,BP$1,FALSE)</f>
        <v>243</v>
      </c>
      <c r="BQ8" s="421">
        <f>BK8+VLOOKUP($E8,$A:$BR,BQ$1,FALSE)</f>
        <v>238</v>
      </c>
      <c r="BR8" s="421">
        <f>BL8+VLOOKUP($E8,$A:$BR,BR$1,FALSE)</f>
        <v>193</v>
      </c>
      <c r="XEQ8" s="418"/>
    </row>
    <row r="9" spans="1:70 16371:16371" x14ac:dyDescent="0.25">
      <c r="A9" s="431">
        <v>10</v>
      </c>
      <c r="B9" s="424"/>
      <c r="C9" s="424" t="s">
        <v>22</v>
      </c>
      <c r="D9" s="437" t="s">
        <v>22</v>
      </c>
      <c r="E9" s="444">
        <v>9</v>
      </c>
      <c r="F9" s="424"/>
      <c r="G9" s="424"/>
      <c r="H9" s="424"/>
      <c r="I9" s="432"/>
      <c r="J9" s="440">
        <v>1</v>
      </c>
      <c r="K9" s="419">
        <f>VLOOKUP($A9,Prevs!$C:$I,Ajustes!K$1,FALSE)</f>
        <v>251</v>
      </c>
      <c r="L9" s="419">
        <f>VLOOKUP($A9,Prevs!$C:$I,Ajustes!L$1,FALSE)</f>
        <v>268</v>
      </c>
      <c r="M9" s="419">
        <f>VLOOKUP($A9,Prevs!$C:$I,Ajustes!M$1,FALSE)</f>
        <v>254</v>
      </c>
      <c r="N9" s="419">
        <f>VLOOKUP($A9,Prevs!$C:$I,Ajustes!N$1,FALSE)</f>
        <v>251</v>
      </c>
      <c r="O9" s="419">
        <f>VLOOKUP($A9,Prevs!$C:$I,Ajustes!O$1,FALSE)</f>
        <v>245</v>
      </c>
      <c r="P9" s="419">
        <f>VLOOKUP($A9,Prevs!$C:$I,Ajustes!P$1,FALSE)</f>
        <v>199</v>
      </c>
      <c r="Q9" s="419">
        <f>VLOOKUP($E9,Prevs!$C:$I,Ajustes!K$1,FALSE)</f>
        <v>246</v>
      </c>
      <c r="R9" s="419">
        <f>VLOOKUP($E9,Prevs!$C:$I,Ajustes!L$1,FALSE)</f>
        <v>260</v>
      </c>
      <c r="S9" s="419">
        <f>VLOOKUP($E9,Prevs!$C:$I,Ajustes!M$1,FALSE)</f>
        <v>246</v>
      </c>
      <c r="T9" s="419">
        <f>VLOOKUP($E9,Prevs!$C:$I,Ajustes!N$1,FALSE)</f>
        <v>243</v>
      </c>
      <c r="U9" s="419">
        <f>VLOOKUP($E9,Prevs!$C:$I,Ajustes!O$1,FALSE)</f>
        <v>238</v>
      </c>
      <c r="V9" s="419">
        <f>VLOOKUP($E9,Prevs!$C:$I,Ajustes!P$1,FALSE)</f>
        <v>193</v>
      </c>
      <c r="W9" s="419">
        <f t="shared" si="26"/>
        <v>5</v>
      </c>
      <c r="X9" s="419">
        <f t="shared" si="27"/>
        <v>8</v>
      </c>
      <c r="Y9" s="419">
        <f t="shared" si="28"/>
        <v>8</v>
      </c>
      <c r="Z9" s="419">
        <f t="shared" si="29"/>
        <v>8</v>
      </c>
      <c r="AA9" s="419">
        <f t="shared" si="30"/>
        <v>7</v>
      </c>
      <c r="AB9" s="419">
        <f t="shared" si="31"/>
        <v>6</v>
      </c>
      <c r="AC9" s="417">
        <f>VLOOKUP($J9,Fatores!$G$1:$J$5,2,FALSE)</f>
        <v>1.5531612828314754</v>
      </c>
      <c r="AD9" s="417">
        <f>VLOOKUP($C9,Fatores!$A:$D,2,FALSE)</f>
        <v>1</v>
      </c>
      <c r="AE9" s="420">
        <f t="shared" si="6"/>
        <v>7.7658064141573764</v>
      </c>
      <c r="AF9" s="420">
        <f t="shared" si="7"/>
        <v>12.425290262651803</v>
      </c>
      <c r="AG9" s="420">
        <f t="shared" si="8"/>
        <v>12.425290262651803</v>
      </c>
      <c r="AH9" s="420">
        <f t="shared" si="9"/>
        <v>12.425290262651803</v>
      </c>
      <c r="AI9" s="420">
        <f t="shared" si="10"/>
        <v>10.872128979820328</v>
      </c>
      <c r="AJ9" s="420">
        <f t="shared" si="11"/>
        <v>9.3189676969888531</v>
      </c>
      <c r="AK9" s="421">
        <f t="shared" si="12"/>
        <v>389.8434819907003</v>
      </c>
      <c r="AL9" s="421">
        <f t="shared" si="12"/>
        <v>416.24722379883536</v>
      </c>
      <c r="AM9" s="421">
        <f t="shared" si="12"/>
        <v>394.5029658391947</v>
      </c>
      <c r="AN9" s="421">
        <f t="shared" si="12"/>
        <v>389.8434819907003</v>
      </c>
      <c r="AO9" s="421">
        <f t="shared" si="12"/>
        <v>380.52451429371149</v>
      </c>
      <c r="AP9" s="421">
        <f t="shared" si="12"/>
        <v>309.07909528346363</v>
      </c>
      <c r="AQ9" s="417">
        <f>VLOOKUP($J9,Fatores!$G$1:$J$5,3,FALSE)</f>
        <v>1.3186317794730578</v>
      </c>
      <c r="AR9" s="417">
        <f>VLOOKUP($C9,Fatores!$A:$D,3,FALSE)</f>
        <v>1</v>
      </c>
      <c r="AS9" s="420">
        <f t="shared" si="13"/>
        <v>6.5931588973652886</v>
      </c>
      <c r="AT9" s="420">
        <f t="shared" si="14"/>
        <v>10.549054235784462</v>
      </c>
      <c r="AU9" s="420">
        <f t="shared" si="15"/>
        <v>10.549054235784462</v>
      </c>
      <c r="AV9" s="420">
        <f t="shared" si="16"/>
        <v>10.549054235784462</v>
      </c>
      <c r="AW9" s="420">
        <f t="shared" si="17"/>
        <v>9.2304224563114037</v>
      </c>
      <c r="AX9" s="420">
        <f t="shared" si="18"/>
        <v>7.911790676838347</v>
      </c>
      <c r="AY9" s="421">
        <f t="shared" si="19"/>
        <v>330.97657664773749</v>
      </c>
      <c r="AZ9" s="421">
        <f t="shared" si="19"/>
        <v>353.39331689877946</v>
      </c>
      <c r="BA9" s="421">
        <f t="shared" si="19"/>
        <v>334.93247198615666</v>
      </c>
      <c r="BB9" s="421">
        <f t="shared" si="19"/>
        <v>330.97657664773749</v>
      </c>
      <c r="BC9" s="421">
        <f t="shared" si="19"/>
        <v>323.06478597089921</v>
      </c>
      <c r="BD9" s="421">
        <f t="shared" si="19"/>
        <v>262.40772411513848</v>
      </c>
      <c r="BE9" s="417">
        <f>VLOOKUP($J9,Fatores!$G$1:$J$5,4,FALSE)</f>
        <v>1</v>
      </c>
      <c r="BF9" s="417">
        <f>VLOOKUP($C9,Fatores!$A:$D,4,FALSE)</f>
        <v>1</v>
      </c>
      <c r="BG9" s="420">
        <f t="shared" si="20"/>
        <v>5</v>
      </c>
      <c r="BH9" s="420">
        <f t="shared" si="21"/>
        <v>8</v>
      </c>
      <c r="BI9" s="420">
        <f t="shared" si="22"/>
        <v>8</v>
      </c>
      <c r="BJ9" s="420">
        <f t="shared" si="23"/>
        <v>8</v>
      </c>
      <c r="BK9" s="420">
        <f t="shared" si="24"/>
        <v>7</v>
      </c>
      <c r="BL9" s="420">
        <f t="shared" si="25"/>
        <v>6</v>
      </c>
      <c r="BM9" s="421">
        <f>BG9+VLOOKUP($E9,$A:$BR,BM$1,FALSE)</f>
        <v>251</v>
      </c>
      <c r="BN9" s="421">
        <f>BH9+VLOOKUP($E9,$A:$BR,BN$1,FALSE)</f>
        <v>268</v>
      </c>
      <c r="BO9" s="421">
        <f>BI9+VLOOKUP($E9,$A:$BR,BO$1,FALSE)</f>
        <v>254</v>
      </c>
      <c r="BP9" s="421">
        <f>BJ9+VLOOKUP($E9,$A:$BR,BP$1,FALSE)</f>
        <v>251</v>
      </c>
      <c r="BQ9" s="421">
        <f>BK9+VLOOKUP($E9,$A:$BR,BQ$1,FALSE)</f>
        <v>245</v>
      </c>
      <c r="BR9" s="421">
        <f>BL9+VLOOKUP($E9,$A:$BR,BR$1,FALSE)</f>
        <v>199</v>
      </c>
      <c r="XEQ9" s="418"/>
    </row>
    <row r="10" spans="1:70 16371:16371" x14ac:dyDescent="0.25">
      <c r="A10" s="431">
        <v>11</v>
      </c>
      <c r="B10" s="424"/>
      <c r="C10" s="424" t="s">
        <v>22</v>
      </c>
      <c r="D10" s="437" t="s">
        <v>22</v>
      </c>
      <c r="E10" s="444">
        <v>10</v>
      </c>
      <c r="F10" s="424"/>
      <c r="G10" s="424"/>
      <c r="H10" s="424"/>
      <c r="I10" s="432"/>
      <c r="J10" s="440">
        <v>1</v>
      </c>
      <c r="K10" s="419">
        <f>VLOOKUP($A10,Prevs!$C:$I,Ajustes!K$1,FALSE)</f>
        <v>259</v>
      </c>
      <c r="L10" s="419">
        <f>VLOOKUP($A10,Prevs!$C:$I,Ajustes!L$1,FALSE)</f>
        <v>287</v>
      </c>
      <c r="M10" s="419">
        <f>VLOOKUP($A10,Prevs!$C:$I,Ajustes!M$1,FALSE)</f>
        <v>272</v>
      </c>
      <c r="N10" s="419">
        <f>VLOOKUP($A10,Prevs!$C:$I,Ajustes!N$1,FALSE)</f>
        <v>269</v>
      </c>
      <c r="O10" s="419">
        <f>VLOOKUP($A10,Prevs!$C:$I,Ajustes!O$1,FALSE)</f>
        <v>262</v>
      </c>
      <c r="P10" s="419">
        <f>VLOOKUP($A10,Prevs!$C:$I,Ajustes!P$1,FALSE)</f>
        <v>213</v>
      </c>
      <c r="Q10" s="419">
        <f>VLOOKUP($E10,Prevs!$C:$I,Ajustes!K$1,FALSE)</f>
        <v>251</v>
      </c>
      <c r="R10" s="419">
        <f>VLOOKUP($E10,Prevs!$C:$I,Ajustes!L$1,FALSE)</f>
        <v>268</v>
      </c>
      <c r="S10" s="419">
        <f>VLOOKUP($E10,Prevs!$C:$I,Ajustes!M$1,FALSE)</f>
        <v>254</v>
      </c>
      <c r="T10" s="419">
        <f>VLOOKUP($E10,Prevs!$C:$I,Ajustes!N$1,FALSE)</f>
        <v>251</v>
      </c>
      <c r="U10" s="419">
        <f>VLOOKUP($E10,Prevs!$C:$I,Ajustes!O$1,FALSE)</f>
        <v>245</v>
      </c>
      <c r="V10" s="419">
        <f>VLOOKUP($E10,Prevs!$C:$I,Ajustes!P$1,FALSE)</f>
        <v>199</v>
      </c>
      <c r="W10" s="419">
        <f t="shared" si="26"/>
        <v>8</v>
      </c>
      <c r="X10" s="419">
        <f t="shared" si="27"/>
        <v>19</v>
      </c>
      <c r="Y10" s="419">
        <f t="shared" si="28"/>
        <v>18</v>
      </c>
      <c r="Z10" s="419">
        <f t="shared" si="29"/>
        <v>18</v>
      </c>
      <c r="AA10" s="419">
        <f t="shared" si="30"/>
        <v>17</v>
      </c>
      <c r="AB10" s="419">
        <f t="shared" si="31"/>
        <v>14</v>
      </c>
      <c r="AC10" s="417">
        <f>VLOOKUP($J10,Fatores!$G$1:$J$5,2,FALSE)</f>
        <v>1.5531612828314754</v>
      </c>
      <c r="AD10" s="417">
        <f>VLOOKUP($C10,Fatores!$A:$D,2,FALSE)</f>
        <v>1</v>
      </c>
      <c r="AE10" s="420">
        <f t="shared" si="6"/>
        <v>12.425290262651803</v>
      </c>
      <c r="AF10" s="420">
        <f t="shared" si="7"/>
        <v>29.510064373798031</v>
      </c>
      <c r="AG10" s="420">
        <f t="shared" si="8"/>
        <v>27.956903090966556</v>
      </c>
      <c r="AH10" s="420">
        <f t="shared" si="9"/>
        <v>27.956903090966556</v>
      </c>
      <c r="AI10" s="420">
        <f t="shared" si="10"/>
        <v>26.403741808135081</v>
      </c>
      <c r="AJ10" s="420">
        <f t="shared" si="11"/>
        <v>21.744257959640656</v>
      </c>
      <c r="AK10" s="421">
        <f t="shared" si="12"/>
        <v>402.2687722533521</v>
      </c>
      <c r="AL10" s="421">
        <f t="shared" si="12"/>
        <v>445.75728817263337</v>
      </c>
      <c r="AM10" s="421">
        <f t="shared" si="12"/>
        <v>422.45986893016124</v>
      </c>
      <c r="AN10" s="421">
        <f t="shared" si="12"/>
        <v>417.80038508166683</v>
      </c>
      <c r="AO10" s="421">
        <f t="shared" si="12"/>
        <v>406.92825610184656</v>
      </c>
      <c r="AP10" s="421">
        <f t="shared" si="12"/>
        <v>330.82335324310429</v>
      </c>
      <c r="AQ10" s="417">
        <f>VLOOKUP($J10,Fatores!$G$1:$J$5,3,FALSE)</f>
        <v>1.3186317794730578</v>
      </c>
      <c r="AR10" s="417">
        <f>VLOOKUP($C10,Fatores!$A:$D,3,FALSE)</f>
        <v>1</v>
      </c>
      <c r="AS10" s="420">
        <f t="shared" si="13"/>
        <v>10.549054235784462</v>
      </c>
      <c r="AT10" s="420">
        <f t="shared" si="14"/>
        <v>25.054003809988096</v>
      </c>
      <c r="AU10" s="420">
        <f t="shared" si="15"/>
        <v>23.735372030515041</v>
      </c>
      <c r="AV10" s="420">
        <f t="shared" si="16"/>
        <v>23.735372030515041</v>
      </c>
      <c r="AW10" s="420">
        <f t="shared" si="17"/>
        <v>22.416740251041983</v>
      </c>
      <c r="AX10" s="420">
        <f t="shared" si="18"/>
        <v>18.460844912622807</v>
      </c>
      <c r="AY10" s="421">
        <f t="shared" si="19"/>
        <v>341.52563088352196</v>
      </c>
      <c r="AZ10" s="421">
        <f t="shared" si="19"/>
        <v>378.44732070876756</v>
      </c>
      <c r="BA10" s="421">
        <f t="shared" si="19"/>
        <v>358.66784401667172</v>
      </c>
      <c r="BB10" s="421">
        <f t="shared" si="19"/>
        <v>354.71194867825255</v>
      </c>
      <c r="BC10" s="421">
        <f t="shared" si="19"/>
        <v>345.48152622194118</v>
      </c>
      <c r="BD10" s="421">
        <f t="shared" si="19"/>
        <v>280.86856902776128</v>
      </c>
      <c r="BE10" s="417">
        <f>VLOOKUP($J10,Fatores!$G$1:$J$5,4,FALSE)</f>
        <v>1</v>
      </c>
      <c r="BF10" s="417">
        <f>VLOOKUP($C10,Fatores!$A:$D,4,FALSE)</f>
        <v>1</v>
      </c>
      <c r="BG10" s="420">
        <f t="shared" si="20"/>
        <v>8</v>
      </c>
      <c r="BH10" s="420">
        <f t="shared" si="21"/>
        <v>19</v>
      </c>
      <c r="BI10" s="420">
        <f t="shared" si="22"/>
        <v>18</v>
      </c>
      <c r="BJ10" s="420">
        <f t="shared" si="23"/>
        <v>18</v>
      </c>
      <c r="BK10" s="420">
        <f t="shared" si="24"/>
        <v>17</v>
      </c>
      <c r="BL10" s="420">
        <f t="shared" si="25"/>
        <v>14</v>
      </c>
      <c r="BM10" s="421">
        <f>BG10+VLOOKUP($E10,$A:$BR,BM$1,FALSE)</f>
        <v>259</v>
      </c>
      <c r="BN10" s="421">
        <f>BH10+VLOOKUP($E10,$A:$BR,BN$1,FALSE)</f>
        <v>287</v>
      </c>
      <c r="BO10" s="421">
        <f>BI10+VLOOKUP($E10,$A:$BR,BO$1,FALSE)</f>
        <v>272</v>
      </c>
      <c r="BP10" s="421">
        <f>BJ10+VLOOKUP($E10,$A:$BR,BP$1,FALSE)</f>
        <v>269</v>
      </c>
      <c r="BQ10" s="421">
        <f>BK10+VLOOKUP($E10,$A:$BR,BQ$1,FALSE)</f>
        <v>262</v>
      </c>
      <c r="BR10" s="421">
        <f>BL10+VLOOKUP($E10,$A:$BR,BR$1,FALSE)</f>
        <v>213</v>
      </c>
      <c r="XEQ10" s="418"/>
    </row>
    <row r="11" spans="1:70 16371:16371" x14ac:dyDescent="0.25">
      <c r="A11" s="431">
        <v>12</v>
      </c>
      <c r="B11" s="424"/>
      <c r="C11" s="424" t="s">
        <v>22</v>
      </c>
      <c r="D11" s="437" t="s">
        <v>22</v>
      </c>
      <c r="E11" s="444">
        <v>11</v>
      </c>
      <c r="F11" s="424"/>
      <c r="G11" s="424"/>
      <c r="H11" s="424"/>
      <c r="I11" s="432"/>
      <c r="J11" s="440">
        <v>1</v>
      </c>
      <c r="K11" s="419">
        <f>VLOOKUP($A11,Prevs!$C:$I,Ajustes!K$1,FALSE)</f>
        <v>291</v>
      </c>
      <c r="L11" s="419">
        <f>VLOOKUP($A11,Prevs!$C:$I,Ajustes!L$1,FALSE)</f>
        <v>331</v>
      </c>
      <c r="M11" s="419">
        <f>VLOOKUP($A11,Prevs!$C:$I,Ajustes!M$1,FALSE)</f>
        <v>314</v>
      </c>
      <c r="N11" s="419">
        <f>VLOOKUP($A11,Prevs!$C:$I,Ajustes!N$1,FALSE)</f>
        <v>311</v>
      </c>
      <c r="O11" s="419">
        <f>VLOOKUP($A11,Prevs!$C:$I,Ajustes!O$1,FALSE)</f>
        <v>304</v>
      </c>
      <c r="P11" s="419">
        <f>VLOOKUP($A11,Prevs!$C:$I,Ajustes!P$1,FALSE)</f>
        <v>243</v>
      </c>
      <c r="Q11" s="419">
        <f>VLOOKUP($E11,Prevs!$C:$I,Ajustes!K$1,FALSE)</f>
        <v>259</v>
      </c>
      <c r="R11" s="419">
        <f>VLOOKUP($E11,Prevs!$C:$I,Ajustes!L$1,FALSE)</f>
        <v>287</v>
      </c>
      <c r="S11" s="419">
        <f>VLOOKUP($E11,Prevs!$C:$I,Ajustes!M$1,FALSE)</f>
        <v>272</v>
      </c>
      <c r="T11" s="419">
        <f>VLOOKUP($E11,Prevs!$C:$I,Ajustes!N$1,FALSE)</f>
        <v>269</v>
      </c>
      <c r="U11" s="419">
        <f>VLOOKUP($E11,Prevs!$C:$I,Ajustes!O$1,FALSE)</f>
        <v>262</v>
      </c>
      <c r="V11" s="419">
        <f>VLOOKUP($E11,Prevs!$C:$I,Ajustes!P$1,FALSE)</f>
        <v>213</v>
      </c>
      <c r="W11" s="419">
        <f t="shared" si="26"/>
        <v>32</v>
      </c>
      <c r="X11" s="419">
        <f t="shared" si="27"/>
        <v>44</v>
      </c>
      <c r="Y11" s="419">
        <f t="shared" si="28"/>
        <v>42</v>
      </c>
      <c r="Z11" s="419">
        <f t="shared" si="29"/>
        <v>42</v>
      </c>
      <c r="AA11" s="419">
        <f t="shared" si="30"/>
        <v>42</v>
      </c>
      <c r="AB11" s="419">
        <f t="shared" si="31"/>
        <v>30</v>
      </c>
      <c r="AC11" s="417">
        <f>VLOOKUP($J11,Fatores!$G$1:$J$5,2,FALSE)</f>
        <v>1.5531612828314754</v>
      </c>
      <c r="AD11" s="417">
        <f>VLOOKUP($C11,Fatores!$A:$D,2,FALSE)</f>
        <v>1</v>
      </c>
      <c r="AE11" s="420">
        <f t="shared" si="6"/>
        <v>49.701161050607212</v>
      </c>
      <c r="AF11" s="420">
        <f t="shared" si="7"/>
        <v>68.339096444584911</v>
      </c>
      <c r="AG11" s="420">
        <f t="shared" si="8"/>
        <v>65.232773878921961</v>
      </c>
      <c r="AH11" s="420">
        <f t="shared" si="9"/>
        <v>65.232773878921961</v>
      </c>
      <c r="AI11" s="420">
        <f t="shared" si="10"/>
        <v>65.232773878921961</v>
      </c>
      <c r="AJ11" s="420">
        <f t="shared" si="11"/>
        <v>46.594838484944262</v>
      </c>
      <c r="AK11" s="421">
        <f t="shared" si="12"/>
        <v>451.96993330395929</v>
      </c>
      <c r="AL11" s="421">
        <f t="shared" si="12"/>
        <v>514.09638461721829</v>
      </c>
      <c r="AM11" s="421">
        <f t="shared" si="12"/>
        <v>487.69264280908317</v>
      </c>
      <c r="AN11" s="421">
        <f t="shared" si="12"/>
        <v>483.03315896058882</v>
      </c>
      <c r="AO11" s="421">
        <f t="shared" si="12"/>
        <v>472.16102998076849</v>
      </c>
      <c r="AP11" s="421">
        <f t="shared" si="12"/>
        <v>377.41819172804855</v>
      </c>
      <c r="AQ11" s="417">
        <f>VLOOKUP($J11,Fatores!$G$1:$J$5,3,FALSE)</f>
        <v>1.3186317794730578</v>
      </c>
      <c r="AR11" s="417">
        <f>VLOOKUP($C11,Fatores!$A:$D,3,FALSE)</f>
        <v>1</v>
      </c>
      <c r="AS11" s="420">
        <f t="shared" si="13"/>
        <v>42.196216943137848</v>
      </c>
      <c r="AT11" s="420">
        <f t="shared" si="14"/>
        <v>58.019798296814542</v>
      </c>
      <c r="AU11" s="420">
        <f t="shared" si="15"/>
        <v>55.382534737868426</v>
      </c>
      <c r="AV11" s="420">
        <f t="shared" si="16"/>
        <v>55.382534737868426</v>
      </c>
      <c r="AW11" s="420">
        <f t="shared" si="17"/>
        <v>55.382534737868426</v>
      </c>
      <c r="AX11" s="420">
        <f t="shared" si="18"/>
        <v>39.558953384191732</v>
      </c>
      <c r="AY11" s="421">
        <f t="shared" si="19"/>
        <v>383.72184782665983</v>
      </c>
      <c r="AZ11" s="421">
        <f t="shared" si="19"/>
        <v>436.46711900558211</v>
      </c>
      <c r="BA11" s="421">
        <f t="shared" si="19"/>
        <v>414.05037875454013</v>
      </c>
      <c r="BB11" s="421">
        <f t="shared" si="19"/>
        <v>410.09448341612097</v>
      </c>
      <c r="BC11" s="421">
        <f t="shared" si="19"/>
        <v>400.86406095980959</v>
      </c>
      <c r="BD11" s="421">
        <f t="shared" si="19"/>
        <v>320.42752241195302</v>
      </c>
      <c r="BE11" s="417">
        <f>VLOOKUP($J11,Fatores!$G$1:$J$5,4,FALSE)</f>
        <v>1</v>
      </c>
      <c r="BF11" s="417">
        <f>VLOOKUP($C11,Fatores!$A:$D,4,FALSE)</f>
        <v>1</v>
      </c>
      <c r="BG11" s="420">
        <f t="shared" si="20"/>
        <v>32</v>
      </c>
      <c r="BH11" s="420">
        <f t="shared" si="21"/>
        <v>44</v>
      </c>
      <c r="BI11" s="420">
        <f t="shared" si="22"/>
        <v>42</v>
      </c>
      <c r="BJ11" s="420">
        <f t="shared" si="23"/>
        <v>42</v>
      </c>
      <c r="BK11" s="420">
        <f t="shared" si="24"/>
        <v>42</v>
      </c>
      <c r="BL11" s="420">
        <f t="shared" si="25"/>
        <v>30</v>
      </c>
      <c r="BM11" s="421">
        <f>BG11+VLOOKUP($E11,$A:$BR,BM$1,FALSE)</f>
        <v>291</v>
      </c>
      <c r="BN11" s="421">
        <f>BH11+VLOOKUP($E11,$A:$BR,BN$1,FALSE)</f>
        <v>331</v>
      </c>
      <c r="BO11" s="421">
        <f>BI11+VLOOKUP($E11,$A:$BR,BO$1,FALSE)</f>
        <v>314</v>
      </c>
      <c r="BP11" s="421">
        <f>BJ11+VLOOKUP($E11,$A:$BR,BP$1,FALSE)</f>
        <v>311</v>
      </c>
      <c r="BQ11" s="421">
        <f>BK11+VLOOKUP($E11,$A:$BR,BQ$1,FALSE)</f>
        <v>304</v>
      </c>
      <c r="BR11" s="421">
        <f>BL11+VLOOKUP($E11,$A:$BR,BR$1,FALSE)</f>
        <v>243</v>
      </c>
      <c r="XEQ11" s="418"/>
    </row>
    <row r="12" spans="1:70 16371:16371" x14ac:dyDescent="0.25">
      <c r="A12" s="431">
        <v>14</v>
      </c>
      <c r="B12" s="424"/>
      <c r="C12" s="424" t="s">
        <v>22</v>
      </c>
      <c r="D12" s="437" t="s">
        <v>421</v>
      </c>
      <c r="E12" s="431"/>
      <c r="F12" s="424"/>
      <c r="G12" s="424"/>
      <c r="H12" s="424"/>
      <c r="I12" s="432"/>
      <c r="J12" s="440">
        <v>1</v>
      </c>
      <c r="K12" s="419">
        <f>VLOOKUP($A12,Prevs!$C:$I,Ajustes!K$1,FALSE)</f>
        <v>14</v>
      </c>
      <c r="L12" s="419">
        <f>VLOOKUP($A12,Prevs!$C:$I,Ajustes!L$1,FALSE)</f>
        <v>15</v>
      </c>
      <c r="M12" s="419">
        <f>VLOOKUP($A12,Prevs!$C:$I,Ajustes!M$1,FALSE)</f>
        <v>15</v>
      </c>
      <c r="N12" s="419">
        <f>VLOOKUP($A12,Prevs!$C:$I,Ajustes!N$1,FALSE)</f>
        <v>14</v>
      </c>
      <c r="O12" s="419">
        <f>VLOOKUP($A12,Prevs!$C:$I,Ajustes!O$1,FALSE)</f>
        <v>14</v>
      </c>
      <c r="P12" s="419">
        <f>VLOOKUP($A12,Prevs!$C:$I,Ajustes!P$1,FALSE)</f>
        <v>15</v>
      </c>
      <c r="Q12" s="419">
        <v>0</v>
      </c>
      <c r="R12" s="419">
        <v>0</v>
      </c>
      <c r="S12" s="419">
        <v>0</v>
      </c>
      <c r="T12" s="419">
        <v>0</v>
      </c>
      <c r="U12" s="419">
        <v>0</v>
      </c>
      <c r="V12" s="419">
        <v>0</v>
      </c>
      <c r="W12" s="419">
        <f t="shared" ref="W12:AB12" si="32">K12-Q12</f>
        <v>14</v>
      </c>
      <c r="X12" s="419">
        <f t="shared" si="32"/>
        <v>15</v>
      </c>
      <c r="Y12" s="419">
        <f t="shared" si="32"/>
        <v>15</v>
      </c>
      <c r="Z12" s="419">
        <f t="shared" si="32"/>
        <v>14</v>
      </c>
      <c r="AA12" s="419">
        <f t="shared" si="32"/>
        <v>14</v>
      </c>
      <c r="AB12" s="419">
        <f t="shared" si="32"/>
        <v>15</v>
      </c>
      <c r="AC12" s="417">
        <f>VLOOKUP($J12,Fatores!$G$1:$J$5,2,FALSE)</f>
        <v>1.5531612828314754</v>
      </c>
      <c r="AD12" s="417">
        <f>VLOOKUP($C12,Fatores!$A:$D,2,FALSE)</f>
        <v>1</v>
      </c>
      <c r="AE12" s="420">
        <f t="shared" si="6"/>
        <v>21.744257959640656</v>
      </c>
      <c r="AF12" s="420">
        <f t="shared" si="7"/>
        <v>23.297419242472131</v>
      </c>
      <c r="AG12" s="420">
        <f t="shared" si="8"/>
        <v>23.297419242472131</v>
      </c>
      <c r="AH12" s="420">
        <f t="shared" si="9"/>
        <v>21.744257959640656</v>
      </c>
      <c r="AI12" s="420">
        <f t="shared" si="10"/>
        <v>21.744257959640656</v>
      </c>
      <c r="AJ12" s="420">
        <f t="shared" si="11"/>
        <v>23.297419242472131</v>
      </c>
      <c r="AK12" s="421">
        <f t="shared" ref="AK12:AP12" si="33">AE12</f>
        <v>21.744257959640656</v>
      </c>
      <c r="AL12" s="421">
        <f t="shared" si="33"/>
        <v>23.297419242472131</v>
      </c>
      <c r="AM12" s="421">
        <f t="shared" si="33"/>
        <v>23.297419242472131</v>
      </c>
      <c r="AN12" s="421">
        <f t="shared" si="33"/>
        <v>21.744257959640656</v>
      </c>
      <c r="AO12" s="421">
        <f t="shared" si="33"/>
        <v>21.744257959640656</v>
      </c>
      <c r="AP12" s="421">
        <f t="shared" si="33"/>
        <v>23.297419242472131</v>
      </c>
      <c r="AQ12" s="417">
        <f>VLOOKUP($J12,Fatores!$G$1:$J$5,3,FALSE)</f>
        <v>1.3186317794730578</v>
      </c>
      <c r="AR12" s="417">
        <f>VLOOKUP($C12,Fatores!$A:$D,3,FALSE)</f>
        <v>1</v>
      </c>
      <c r="AS12" s="420">
        <f t="shared" si="13"/>
        <v>18.460844912622807</v>
      </c>
      <c r="AT12" s="420">
        <f t="shared" si="14"/>
        <v>19.779476692095866</v>
      </c>
      <c r="AU12" s="420">
        <f t="shared" si="15"/>
        <v>19.779476692095866</v>
      </c>
      <c r="AV12" s="420">
        <f t="shared" si="16"/>
        <v>18.460844912622807</v>
      </c>
      <c r="AW12" s="420">
        <f t="shared" si="17"/>
        <v>18.460844912622807</v>
      </c>
      <c r="AX12" s="420">
        <f t="shared" si="18"/>
        <v>19.779476692095866</v>
      </c>
      <c r="AY12" s="421">
        <f t="shared" ref="AY12:BD12" si="34">AS12</f>
        <v>18.460844912622807</v>
      </c>
      <c r="AZ12" s="421">
        <f t="shared" si="34"/>
        <v>19.779476692095866</v>
      </c>
      <c r="BA12" s="421">
        <f t="shared" si="34"/>
        <v>19.779476692095866</v>
      </c>
      <c r="BB12" s="421">
        <f t="shared" si="34"/>
        <v>18.460844912622807</v>
      </c>
      <c r="BC12" s="421">
        <f t="shared" si="34"/>
        <v>18.460844912622807</v>
      </c>
      <c r="BD12" s="421">
        <f t="shared" si="34"/>
        <v>19.779476692095866</v>
      </c>
      <c r="BE12" s="417">
        <f>VLOOKUP($J12,Fatores!$G$1:$J$5,4,FALSE)</f>
        <v>1</v>
      </c>
      <c r="BF12" s="417">
        <f>VLOOKUP($C12,Fatores!$A:$D,4,FALSE)</f>
        <v>1</v>
      </c>
      <c r="BG12" s="420">
        <f t="shared" si="20"/>
        <v>14</v>
      </c>
      <c r="BH12" s="420">
        <f t="shared" si="21"/>
        <v>15</v>
      </c>
      <c r="BI12" s="420">
        <f t="shared" si="22"/>
        <v>15</v>
      </c>
      <c r="BJ12" s="420">
        <f t="shared" si="23"/>
        <v>14</v>
      </c>
      <c r="BK12" s="420">
        <f t="shared" si="24"/>
        <v>14</v>
      </c>
      <c r="BL12" s="420">
        <f t="shared" si="25"/>
        <v>15</v>
      </c>
      <c r="BM12" s="421">
        <f>BG12</f>
        <v>14</v>
      </c>
      <c r="BN12" s="421">
        <f>BH12</f>
        <v>15</v>
      </c>
      <c r="BO12" s="421">
        <f>BI12</f>
        <v>15</v>
      </c>
      <c r="BP12" s="421">
        <f>BJ12</f>
        <v>14</v>
      </c>
      <c r="BQ12" s="421">
        <f>BK12</f>
        <v>14</v>
      </c>
      <c r="BR12" s="421">
        <f>BL12</f>
        <v>15</v>
      </c>
      <c r="XEQ12" s="418"/>
    </row>
    <row r="13" spans="1:70 16371:16371" x14ac:dyDescent="0.25">
      <c r="A13" s="431">
        <v>15</v>
      </c>
      <c r="B13" s="424"/>
      <c r="C13" s="424" t="s">
        <v>22</v>
      </c>
      <c r="D13" s="437" t="s">
        <v>421</v>
      </c>
      <c r="E13" s="444">
        <v>14</v>
      </c>
      <c r="F13" s="424"/>
      <c r="G13" s="424"/>
      <c r="H13" s="424"/>
      <c r="I13" s="432"/>
      <c r="J13" s="440">
        <v>1</v>
      </c>
      <c r="K13" s="419">
        <f>VLOOKUP($A13,Prevs!$C:$I,Ajustes!K$1,FALSE)</f>
        <v>22</v>
      </c>
      <c r="L13" s="419">
        <f>VLOOKUP($A13,Prevs!$C:$I,Ajustes!L$1,FALSE)</f>
        <v>26</v>
      </c>
      <c r="M13" s="419">
        <f>VLOOKUP($A13,Prevs!$C:$I,Ajustes!M$1,FALSE)</f>
        <v>26</v>
      </c>
      <c r="N13" s="419">
        <f>VLOOKUP($A13,Prevs!$C:$I,Ajustes!N$1,FALSE)</f>
        <v>24</v>
      </c>
      <c r="O13" s="419">
        <f>VLOOKUP($A13,Prevs!$C:$I,Ajustes!O$1,FALSE)</f>
        <v>24</v>
      </c>
      <c r="P13" s="419">
        <f>VLOOKUP($A13,Prevs!$C:$I,Ajustes!P$1,FALSE)</f>
        <v>26</v>
      </c>
      <c r="Q13" s="419">
        <f>VLOOKUP($E13,Prevs!$C:$I,Ajustes!K$1,FALSE)</f>
        <v>14</v>
      </c>
      <c r="R13" s="419">
        <f>VLOOKUP($E13,Prevs!$C:$I,Ajustes!L$1,FALSE)</f>
        <v>15</v>
      </c>
      <c r="S13" s="419">
        <f>VLOOKUP($E13,Prevs!$C:$I,Ajustes!M$1,FALSE)</f>
        <v>15</v>
      </c>
      <c r="T13" s="419">
        <f>VLOOKUP($E13,Prevs!$C:$I,Ajustes!N$1,FALSE)</f>
        <v>14</v>
      </c>
      <c r="U13" s="419">
        <f>VLOOKUP($E13,Prevs!$C:$I,Ajustes!O$1,FALSE)</f>
        <v>14</v>
      </c>
      <c r="V13" s="419">
        <f>VLOOKUP($E13,Prevs!$C:$I,Ajustes!P$1,FALSE)</f>
        <v>15</v>
      </c>
      <c r="W13" s="419">
        <f t="shared" ref="W13:W16" si="35">K13-Q13</f>
        <v>8</v>
      </c>
      <c r="X13" s="419">
        <f t="shared" ref="X13:X16" si="36">L13-R13</f>
        <v>11</v>
      </c>
      <c r="Y13" s="419">
        <f t="shared" ref="Y13:Y16" si="37">M13-S13</f>
        <v>11</v>
      </c>
      <c r="Z13" s="419">
        <f t="shared" ref="Z13:Z16" si="38">N13-T13</f>
        <v>10</v>
      </c>
      <c r="AA13" s="419">
        <f t="shared" ref="AA13:AA16" si="39">O13-U13</f>
        <v>10</v>
      </c>
      <c r="AB13" s="419">
        <f t="shared" ref="AB13:AB16" si="40">P13-V13</f>
        <v>11</v>
      </c>
      <c r="AC13" s="417">
        <f>VLOOKUP($J13,Fatores!$G$1:$J$5,2,FALSE)</f>
        <v>1.5531612828314754</v>
      </c>
      <c r="AD13" s="417">
        <f>VLOOKUP($C13,Fatores!$A:$D,2,FALSE)</f>
        <v>1</v>
      </c>
      <c r="AE13" s="420">
        <f t="shared" si="6"/>
        <v>12.425290262651803</v>
      </c>
      <c r="AF13" s="420">
        <f t="shared" si="7"/>
        <v>17.084774111146228</v>
      </c>
      <c r="AG13" s="420">
        <f t="shared" si="8"/>
        <v>17.084774111146228</v>
      </c>
      <c r="AH13" s="420">
        <f t="shared" si="9"/>
        <v>15.531612828314753</v>
      </c>
      <c r="AI13" s="420">
        <f t="shared" si="10"/>
        <v>15.531612828314753</v>
      </c>
      <c r="AJ13" s="420">
        <f t="shared" si="11"/>
        <v>17.084774111146228</v>
      </c>
      <c r="AK13" s="421">
        <f t="shared" ref="AK13:AP14" si="41">AE13+VLOOKUP($E13,$A:$BR,AK$1,FALSE)</f>
        <v>34.169548222292462</v>
      </c>
      <c r="AL13" s="421">
        <f t="shared" si="41"/>
        <v>40.382193353618362</v>
      </c>
      <c r="AM13" s="421">
        <f t="shared" si="41"/>
        <v>40.382193353618362</v>
      </c>
      <c r="AN13" s="421">
        <f t="shared" si="41"/>
        <v>37.275870787955412</v>
      </c>
      <c r="AO13" s="421">
        <f t="shared" si="41"/>
        <v>37.275870787955412</v>
      </c>
      <c r="AP13" s="421">
        <f t="shared" si="41"/>
        <v>40.382193353618362</v>
      </c>
      <c r="AQ13" s="417">
        <f>VLOOKUP($J13,Fatores!$G$1:$J$5,3,FALSE)</f>
        <v>1.3186317794730578</v>
      </c>
      <c r="AR13" s="417">
        <f>VLOOKUP($C13,Fatores!$A:$D,3,FALSE)</f>
        <v>1</v>
      </c>
      <c r="AS13" s="420">
        <f t="shared" si="13"/>
        <v>10.549054235784462</v>
      </c>
      <c r="AT13" s="420">
        <f t="shared" si="14"/>
        <v>14.504949574203636</v>
      </c>
      <c r="AU13" s="420">
        <f t="shared" si="15"/>
        <v>14.504949574203636</v>
      </c>
      <c r="AV13" s="420">
        <f t="shared" si="16"/>
        <v>13.186317794730577</v>
      </c>
      <c r="AW13" s="420">
        <f t="shared" si="17"/>
        <v>13.186317794730577</v>
      </c>
      <c r="AX13" s="420">
        <f t="shared" si="18"/>
        <v>14.504949574203636</v>
      </c>
      <c r="AY13" s="421">
        <f t="shared" ref="AY13:BD14" si="42">AS13+VLOOKUP($E13,$A:$BR,AY$1,FALSE)</f>
        <v>29.009899148407271</v>
      </c>
      <c r="AZ13" s="421">
        <f t="shared" si="42"/>
        <v>34.284426266299505</v>
      </c>
      <c r="BA13" s="421">
        <f t="shared" si="42"/>
        <v>34.284426266299505</v>
      </c>
      <c r="BB13" s="421">
        <f t="shared" si="42"/>
        <v>31.647162707353385</v>
      </c>
      <c r="BC13" s="421">
        <f t="shared" si="42"/>
        <v>31.647162707353385</v>
      </c>
      <c r="BD13" s="421">
        <f t="shared" si="42"/>
        <v>34.284426266299505</v>
      </c>
      <c r="BE13" s="417">
        <f>VLOOKUP($J13,Fatores!$G$1:$J$5,4,FALSE)</f>
        <v>1</v>
      </c>
      <c r="BF13" s="417">
        <f>VLOOKUP($C13,Fatores!$A:$D,4,FALSE)</f>
        <v>1</v>
      </c>
      <c r="BG13" s="420">
        <f t="shared" si="20"/>
        <v>8</v>
      </c>
      <c r="BH13" s="420">
        <f t="shared" si="21"/>
        <v>11</v>
      </c>
      <c r="BI13" s="420">
        <f t="shared" si="22"/>
        <v>11</v>
      </c>
      <c r="BJ13" s="420">
        <f t="shared" si="23"/>
        <v>10</v>
      </c>
      <c r="BK13" s="420">
        <f t="shared" si="24"/>
        <v>10</v>
      </c>
      <c r="BL13" s="420">
        <f t="shared" si="25"/>
        <v>11</v>
      </c>
      <c r="BM13" s="421">
        <f>BG13+VLOOKUP($E13,$A:$BR,BM$1,FALSE)</f>
        <v>22</v>
      </c>
      <c r="BN13" s="421">
        <f>BH13+VLOOKUP($E13,$A:$BR,BN$1,FALSE)</f>
        <v>26</v>
      </c>
      <c r="BO13" s="421">
        <f>BI13+VLOOKUP($E13,$A:$BR,BO$1,FALSE)</f>
        <v>26</v>
      </c>
      <c r="BP13" s="421">
        <f>BJ13+VLOOKUP($E13,$A:$BR,BP$1,FALSE)</f>
        <v>24</v>
      </c>
      <c r="BQ13" s="421">
        <f>BK13+VLOOKUP($E13,$A:$BR,BQ$1,FALSE)</f>
        <v>24</v>
      </c>
      <c r="BR13" s="421">
        <f>BL13+VLOOKUP($E13,$A:$BR,BR$1,FALSE)</f>
        <v>26</v>
      </c>
      <c r="XEQ13" s="418"/>
    </row>
    <row r="14" spans="1:70 16371:16371" x14ac:dyDescent="0.25">
      <c r="A14" s="431">
        <v>16</v>
      </c>
      <c r="B14" s="424"/>
      <c r="C14" s="424" t="s">
        <v>22</v>
      </c>
      <c r="D14" s="437" t="s">
        <v>421</v>
      </c>
      <c r="E14" s="444">
        <v>15</v>
      </c>
      <c r="F14" s="424"/>
      <c r="G14" s="424"/>
      <c r="H14" s="424"/>
      <c r="I14" s="432"/>
      <c r="J14" s="440">
        <v>1</v>
      </c>
      <c r="K14" s="419">
        <f>VLOOKUP($A14,Prevs!$C:$I,Ajustes!K$1,FALSE)</f>
        <v>22</v>
      </c>
      <c r="L14" s="419">
        <f>VLOOKUP($A14,Prevs!$C:$I,Ajustes!L$1,FALSE)</f>
        <v>26</v>
      </c>
      <c r="M14" s="419">
        <f>VLOOKUP($A14,Prevs!$C:$I,Ajustes!M$1,FALSE)</f>
        <v>27</v>
      </c>
      <c r="N14" s="419">
        <f>VLOOKUP($A14,Prevs!$C:$I,Ajustes!N$1,FALSE)</f>
        <v>24</v>
      </c>
      <c r="O14" s="419">
        <f>VLOOKUP($A14,Prevs!$C:$I,Ajustes!O$1,FALSE)</f>
        <v>24</v>
      </c>
      <c r="P14" s="419">
        <f>VLOOKUP($A14,Prevs!$C:$I,Ajustes!P$1,FALSE)</f>
        <v>27</v>
      </c>
      <c r="Q14" s="419">
        <f>VLOOKUP($E14,Prevs!$C:$I,Ajustes!K$1,FALSE)</f>
        <v>22</v>
      </c>
      <c r="R14" s="419">
        <f>VLOOKUP($E14,Prevs!$C:$I,Ajustes!L$1,FALSE)</f>
        <v>26</v>
      </c>
      <c r="S14" s="419">
        <f>VLOOKUP($E14,Prevs!$C:$I,Ajustes!M$1,FALSE)</f>
        <v>26</v>
      </c>
      <c r="T14" s="419">
        <f>VLOOKUP($E14,Prevs!$C:$I,Ajustes!N$1,FALSE)</f>
        <v>24</v>
      </c>
      <c r="U14" s="419">
        <f>VLOOKUP($E14,Prevs!$C:$I,Ajustes!O$1,FALSE)</f>
        <v>24</v>
      </c>
      <c r="V14" s="419">
        <f>VLOOKUP($E14,Prevs!$C:$I,Ajustes!P$1,FALSE)</f>
        <v>26</v>
      </c>
      <c r="W14" s="419">
        <f t="shared" si="35"/>
        <v>0</v>
      </c>
      <c r="X14" s="419">
        <f t="shared" si="36"/>
        <v>0</v>
      </c>
      <c r="Y14" s="419">
        <f t="shared" si="37"/>
        <v>1</v>
      </c>
      <c r="Z14" s="419">
        <f t="shared" si="38"/>
        <v>0</v>
      </c>
      <c r="AA14" s="419">
        <f t="shared" si="39"/>
        <v>0</v>
      </c>
      <c r="AB14" s="419">
        <f t="shared" si="40"/>
        <v>1</v>
      </c>
      <c r="AC14" s="417">
        <f>VLOOKUP($J14,Fatores!$G$1:$J$5,2,FALSE)</f>
        <v>1.5531612828314754</v>
      </c>
      <c r="AD14" s="417">
        <f>VLOOKUP($C14,Fatores!$A:$D,2,FALSE)</f>
        <v>1</v>
      </c>
      <c r="AE14" s="420">
        <f t="shared" si="6"/>
        <v>0</v>
      </c>
      <c r="AF14" s="420">
        <f t="shared" si="7"/>
        <v>0</v>
      </c>
      <c r="AG14" s="420">
        <f t="shared" si="8"/>
        <v>1.5531612828314754</v>
      </c>
      <c r="AH14" s="420">
        <f t="shared" si="9"/>
        <v>0</v>
      </c>
      <c r="AI14" s="420">
        <f t="shared" si="10"/>
        <v>0</v>
      </c>
      <c r="AJ14" s="420">
        <f t="shared" si="11"/>
        <v>1.5531612828314754</v>
      </c>
      <c r="AK14" s="421">
        <f t="shared" si="41"/>
        <v>34.169548222292462</v>
      </c>
      <c r="AL14" s="421">
        <f t="shared" si="41"/>
        <v>40.382193353618362</v>
      </c>
      <c r="AM14" s="421">
        <f t="shared" si="41"/>
        <v>41.935354636449837</v>
      </c>
      <c r="AN14" s="421">
        <f t="shared" si="41"/>
        <v>37.275870787955412</v>
      </c>
      <c r="AO14" s="421">
        <f t="shared" si="41"/>
        <v>37.275870787955412</v>
      </c>
      <c r="AP14" s="421">
        <f t="shared" si="41"/>
        <v>41.935354636449837</v>
      </c>
      <c r="AQ14" s="417">
        <f>VLOOKUP($J14,Fatores!$G$1:$J$5,3,FALSE)</f>
        <v>1.3186317794730578</v>
      </c>
      <c r="AR14" s="417">
        <f>VLOOKUP($C14,Fatores!$A:$D,3,FALSE)</f>
        <v>1</v>
      </c>
      <c r="AS14" s="420">
        <f t="shared" si="13"/>
        <v>0</v>
      </c>
      <c r="AT14" s="420">
        <f t="shared" si="14"/>
        <v>0</v>
      </c>
      <c r="AU14" s="420">
        <f t="shared" si="15"/>
        <v>1.3186317794730578</v>
      </c>
      <c r="AV14" s="420">
        <f t="shared" si="16"/>
        <v>0</v>
      </c>
      <c r="AW14" s="420">
        <f t="shared" si="17"/>
        <v>0</v>
      </c>
      <c r="AX14" s="420">
        <f t="shared" si="18"/>
        <v>1.3186317794730578</v>
      </c>
      <c r="AY14" s="421">
        <f t="shared" si="42"/>
        <v>29.009899148407271</v>
      </c>
      <c r="AZ14" s="421">
        <f t="shared" si="42"/>
        <v>34.284426266299505</v>
      </c>
      <c r="BA14" s="421">
        <f t="shared" si="42"/>
        <v>35.603058045772563</v>
      </c>
      <c r="BB14" s="421">
        <f t="shared" si="42"/>
        <v>31.647162707353385</v>
      </c>
      <c r="BC14" s="421">
        <f t="shared" si="42"/>
        <v>31.647162707353385</v>
      </c>
      <c r="BD14" s="421">
        <f t="shared" si="42"/>
        <v>35.603058045772563</v>
      </c>
      <c r="BE14" s="417">
        <f>VLOOKUP($J14,Fatores!$G$1:$J$5,4,FALSE)</f>
        <v>1</v>
      </c>
      <c r="BF14" s="417">
        <f>VLOOKUP($C14,Fatores!$A:$D,4,FALSE)</f>
        <v>1</v>
      </c>
      <c r="BG14" s="420">
        <f t="shared" si="20"/>
        <v>0</v>
      </c>
      <c r="BH14" s="420">
        <f t="shared" si="21"/>
        <v>0</v>
      </c>
      <c r="BI14" s="420">
        <f t="shared" si="22"/>
        <v>1</v>
      </c>
      <c r="BJ14" s="420">
        <f t="shared" si="23"/>
        <v>0</v>
      </c>
      <c r="BK14" s="420">
        <f t="shared" si="24"/>
        <v>0</v>
      </c>
      <c r="BL14" s="420">
        <f t="shared" si="25"/>
        <v>1</v>
      </c>
      <c r="BM14" s="421">
        <f>BG14+VLOOKUP($E14,$A:$BR,BM$1,FALSE)</f>
        <v>22</v>
      </c>
      <c r="BN14" s="421">
        <f>BH14+VLOOKUP($E14,$A:$BR,BN$1,FALSE)</f>
        <v>26</v>
      </c>
      <c r="BO14" s="421">
        <f>BI14+VLOOKUP($E14,$A:$BR,BO$1,FALSE)</f>
        <v>27</v>
      </c>
      <c r="BP14" s="421">
        <f>BJ14+VLOOKUP($E14,$A:$BR,BP$1,FALSE)</f>
        <v>24</v>
      </c>
      <c r="BQ14" s="421">
        <f>BK14+VLOOKUP($E14,$A:$BR,BQ$1,FALSE)</f>
        <v>24</v>
      </c>
      <c r="BR14" s="421">
        <f>BL14+VLOOKUP($E14,$A:$BR,BR$1,FALSE)</f>
        <v>27</v>
      </c>
      <c r="XEQ14" s="418"/>
    </row>
    <row r="15" spans="1:70 16371:16371" x14ac:dyDescent="0.25">
      <c r="A15" s="431">
        <v>17</v>
      </c>
      <c r="B15" s="424"/>
      <c r="C15" s="424" t="s">
        <v>22</v>
      </c>
      <c r="D15" s="437" t="s">
        <v>22</v>
      </c>
      <c r="E15" s="444">
        <v>12</v>
      </c>
      <c r="F15" s="425">
        <v>16</v>
      </c>
      <c r="G15" s="424"/>
      <c r="H15" s="424"/>
      <c r="I15" s="432"/>
      <c r="J15" s="440">
        <v>1</v>
      </c>
      <c r="K15" s="419">
        <f>VLOOKUP($A15,Prevs!$C:$I,Ajustes!K$1,FALSE)</f>
        <v>485</v>
      </c>
      <c r="L15" s="419">
        <f>VLOOKUP($A15,Prevs!$C:$I,Ajustes!L$1,FALSE)</f>
        <v>487</v>
      </c>
      <c r="M15" s="419">
        <f>VLOOKUP($A15,Prevs!$C:$I,Ajustes!M$1,FALSE)</f>
        <v>479</v>
      </c>
      <c r="N15" s="419">
        <f>VLOOKUP($A15,Prevs!$C:$I,Ajustes!N$1,FALSE)</f>
        <v>473</v>
      </c>
      <c r="O15" s="419">
        <f>VLOOKUP($A15,Prevs!$C:$I,Ajustes!O$1,FALSE)</f>
        <v>476</v>
      </c>
      <c r="P15" s="419">
        <f>VLOOKUP($A15,Prevs!$C:$I,Ajustes!P$1,FALSE)</f>
        <v>467</v>
      </c>
      <c r="Q15" s="419">
        <f>VLOOKUP($E15,Prevs!$C:$I,Ajustes!K$1,FALSE)+VLOOKUP($F15,Prevs!$C:$I,Ajustes!K$1,FALSE)</f>
        <v>313</v>
      </c>
      <c r="R15" s="419">
        <f>VLOOKUP($E15,Prevs!$C:$I,Ajustes!L$1,FALSE)+VLOOKUP($F15,Prevs!$C:$I,Ajustes!L$1,FALSE)</f>
        <v>357</v>
      </c>
      <c r="S15" s="419">
        <f>VLOOKUP($E15,Prevs!$C:$I,Ajustes!M$1,FALSE)+VLOOKUP($F15,Prevs!$C:$I,Ajustes!M$1,FALSE)</f>
        <v>341</v>
      </c>
      <c r="T15" s="419">
        <f>VLOOKUP($E15,Prevs!$C:$I,Ajustes!N$1,FALSE)+VLOOKUP($F15,Prevs!$C:$I,Ajustes!N$1,FALSE)</f>
        <v>335</v>
      </c>
      <c r="U15" s="419">
        <f>VLOOKUP($E15,Prevs!$C:$I,Ajustes!O$1,FALSE)+VLOOKUP($F15,Prevs!$C:$I,Ajustes!O$1,FALSE)</f>
        <v>328</v>
      </c>
      <c r="V15" s="419">
        <f>VLOOKUP($E15,Prevs!$C:$I,Ajustes!P$1,FALSE)+VLOOKUP($F15,Prevs!$C:$I,Ajustes!P$1,FALSE)</f>
        <v>270</v>
      </c>
      <c r="W15" s="419">
        <f t="shared" si="35"/>
        <v>172</v>
      </c>
      <c r="X15" s="419">
        <f t="shared" si="36"/>
        <v>130</v>
      </c>
      <c r="Y15" s="419">
        <f t="shared" si="37"/>
        <v>138</v>
      </c>
      <c r="Z15" s="419">
        <f t="shared" si="38"/>
        <v>138</v>
      </c>
      <c r="AA15" s="419">
        <f t="shared" si="39"/>
        <v>148</v>
      </c>
      <c r="AB15" s="419">
        <f t="shared" si="40"/>
        <v>197</v>
      </c>
      <c r="AC15" s="417">
        <f>VLOOKUP($J15,Fatores!$G$1:$J$5,2,FALSE)</f>
        <v>1.5531612828314754</v>
      </c>
      <c r="AD15" s="417">
        <f>VLOOKUP($C15,Fatores!$A:$D,2,FALSE)</f>
        <v>1</v>
      </c>
      <c r="AE15" s="420">
        <f t="shared" si="6"/>
        <v>267.14374064701377</v>
      </c>
      <c r="AF15" s="420">
        <f t="shared" si="7"/>
        <v>201.91096676809181</v>
      </c>
      <c r="AG15" s="420">
        <f t="shared" si="8"/>
        <v>214.33625703074361</v>
      </c>
      <c r="AH15" s="420">
        <f t="shared" si="9"/>
        <v>214.33625703074361</v>
      </c>
      <c r="AI15" s="420">
        <f t="shared" si="10"/>
        <v>229.86786985905835</v>
      </c>
      <c r="AJ15" s="420">
        <f t="shared" si="11"/>
        <v>305.97277271780064</v>
      </c>
      <c r="AK15" s="421">
        <f t="shared" ref="AK15:AP15" si="43">AE15+VLOOKUP($E15,$A:$BR,AK$1,FALSE)+VLOOKUP($F15,$A:$BR,AK$1,FALSE)</f>
        <v>753.28322217326559</v>
      </c>
      <c r="AL15" s="421">
        <f t="shared" si="43"/>
        <v>756.38954473892852</v>
      </c>
      <c r="AM15" s="421">
        <f t="shared" si="43"/>
        <v>743.96425447627655</v>
      </c>
      <c r="AN15" s="421">
        <f t="shared" si="43"/>
        <v>734.64528677928786</v>
      </c>
      <c r="AO15" s="421">
        <f t="shared" si="43"/>
        <v>739.30477062778232</v>
      </c>
      <c r="AP15" s="421">
        <f t="shared" si="43"/>
        <v>725.32631908229905</v>
      </c>
      <c r="AQ15" s="417">
        <f>VLOOKUP($J15,Fatores!$G$1:$J$5,3,FALSE)</f>
        <v>1.3186317794730578</v>
      </c>
      <c r="AR15" s="417">
        <f>VLOOKUP($C15,Fatores!$A:$D,3,FALSE)</f>
        <v>1</v>
      </c>
      <c r="AS15" s="420">
        <f t="shared" si="13"/>
        <v>226.80466606936594</v>
      </c>
      <c r="AT15" s="420">
        <f t="shared" si="14"/>
        <v>171.4221313314975</v>
      </c>
      <c r="AU15" s="420">
        <f t="shared" si="15"/>
        <v>181.97118556728196</v>
      </c>
      <c r="AV15" s="420">
        <f t="shared" si="16"/>
        <v>181.97118556728196</v>
      </c>
      <c r="AW15" s="420">
        <f t="shared" si="17"/>
        <v>195.15750336201256</v>
      </c>
      <c r="AX15" s="420">
        <f t="shared" si="18"/>
        <v>259.7704605561924</v>
      </c>
      <c r="AY15" s="421">
        <f t="shared" ref="AY15:BD15" si="44">AS15+VLOOKUP($E15,$A:$BR,AY$1,FALSE)+VLOOKUP($F15,$A:$BR,AY$1,FALSE)</f>
        <v>639.53641304443306</v>
      </c>
      <c r="AZ15" s="421">
        <f t="shared" si="44"/>
        <v>642.17367660337914</v>
      </c>
      <c r="BA15" s="421">
        <f t="shared" si="44"/>
        <v>631.62462236759461</v>
      </c>
      <c r="BB15" s="421">
        <f t="shared" si="44"/>
        <v>623.71283169075627</v>
      </c>
      <c r="BC15" s="421">
        <f t="shared" si="44"/>
        <v>627.66872702917544</v>
      </c>
      <c r="BD15" s="421">
        <f t="shared" si="44"/>
        <v>615.80104101391794</v>
      </c>
      <c r="BE15" s="417">
        <f>VLOOKUP($J15,Fatores!$G$1:$J$5,4,FALSE)</f>
        <v>1</v>
      </c>
      <c r="BF15" s="417">
        <f>VLOOKUP($C15,Fatores!$A:$D,4,FALSE)</f>
        <v>1</v>
      </c>
      <c r="BG15" s="420">
        <f t="shared" si="20"/>
        <v>172</v>
      </c>
      <c r="BH15" s="420">
        <f t="shared" si="21"/>
        <v>130</v>
      </c>
      <c r="BI15" s="420">
        <f t="shared" si="22"/>
        <v>138</v>
      </c>
      <c r="BJ15" s="420">
        <f t="shared" si="23"/>
        <v>138</v>
      </c>
      <c r="BK15" s="420">
        <f t="shared" si="24"/>
        <v>148</v>
      </c>
      <c r="BL15" s="420">
        <f t="shared" si="25"/>
        <v>197</v>
      </c>
      <c r="BM15" s="421">
        <f>BG15+VLOOKUP($E15,$A:$BR,BM$1,FALSE)+VLOOKUP($F15,$A:$BR,BM$1,FALSE)</f>
        <v>485</v>
      </c>
      <c r="BN15" s="421">
        <f>BH15+VLOOKUP($E15,$A:$BR,BN$1,FALSE)+VLOOKUP($F15,$A:$BR,BN$1,FALSE)</f>
        <v>487</v>
      </c>
      <c r="BO15" s="421">
        <f>BI15+VLOOKUP($E15,$A:$BR,BO$1,FALSE)+VLOOKUP($F15,$A:$BR,BO$1,FALSE)</f>
        <v>479</v>
      </c>
      <c r="BP15" s="421">
        <f>BJ15+VLOOKUP($E15,$A:$BR,BP$1,FALSE)+VLOOKUP($F15,$A:$BR,BP$1,FALSE)</f>
        <v>473</v>
      </c>
      <c r="BQ15" s="421">
        <f>BK15+VLOOKUP($E15,$A:$BR,BQ$1,FALSE)+VLOOKUP($F15,$A:$BR,BQ$1,FALSE)</f>
        <v>476</v>
      </c>
      <c r="BR15" s="421">
        <f>BL15+VLOOKUP($E15,$A:$BR,BR$1,FALSE)+VLOOKUP($F15,$A:$BR,BR$1,FALSE)</f>
        <v>467</v>
      </c>
      <c r="XEQ15" s="418"/>
    </row>
    <row r="16" spans="1:70 16371:16371" x14ac:dyDescent="0.25">
      <c r="A16" s="431">
        <v>18</v>
      </c>
      <c r="B16" s="424"/>
      <c r="C16" s="424" t="s">
        <v>22</v>
      </c>
      <c r="D16" s="437" t="s">
        <v>22</v>
      </c>
      <c r="E16" s="444">
        <v>17</v>
      </c>
      <c r="F16" s="424"/>
      <c r="G16" s="424"/>
      <c r="H16" s="424"/>
      <c r="I16" s="432"/>
      <c r="J16" s="440">
        <v>1</v>
      </c>
      <c r="K16" s="419">
        <f>VLOOKUP($A16,Prevs!$C:$I,Ajustes!K$1,FALSE)</f>
        <v>622</v>
      </c>
      <c r="L16" s="419">
        <f>VLOOKUP($A16,Prevs!$C:$I,Ajustes!L$1,FALSE)</f>
        <v>639</v>
      </c>
      <c r="M16" s="419">
        <f>VLOOKUP($A16,Prevs!$C:$I,Ajustes!M$1,FALSE)</f>
        <v>638</v>
      </c>
      <c r="N16" s="419">
        <f>VLOOKUP($A16,Prevs!$C:$I,Ajustes!N$1,FALSE)</f>
        <v>621</v>
      </c>
      <c r="O16" s="419">
        <f>VLOOKUP($A16,Prevs!$C:$I,Ajustes!O$1,FALSE)</f>
        <v>612</v>
      </c>
      <c r="P16" s="419">
        <f>VLOOKUP($A16,Prevs!$C:$I,Ajustes!P$1,FALSE)</f>
        <v>635</v>
      </c>
      <c r="Q16" s="419">
        <f>VLOOKUP($E16,Prevs!$C:$I,Ajustes!K$1,FALSE)</f>
        <v>485</v>
      </c>
      <c r="R16" s="419">
        <f>VLOOKUP($E16,Prevs!$C:$I,Ajustes!L$1,FALSE)</f>
        <v>487</v>
      </c>
      <c r="S16" s="419">
        <f>VLOOKUP($E16,Prevs!$C:$I,Ajustes!M$1,FALSE)</f>
        <v>479</v>
      </c>
      <c r="T16" s="419">
        <f>VLOOKUP($E16,Prevs!$C:$I,Ajustes!N$1,FALSE)</f>
        <v>473</v>
      </c>
      <c r="U16" s="419">
        <f>VLOOKUP($E16,Prevs!$C:$I,Ajustes!O$1,FALSE)</f>
        <v>476</v>
      </c>
      <c r="V16" s="419">
        <f>VLOOKUP($E16,Prevs!$C:$I,Ajustes!P$1,FALSE)</f>
        <v>467</v>
      </c>
      <c r="W16" s="419">
        <f t="shared" si="35"/>
        <v>137</v>
      </c>
      <c r="X16" s="419">
        <f t="shared" si="36"/>
        <v>152</v>
      </c>
      <c r="Y16" s="419">
        <f t="shared" si="37"/>
        <v>159</v>
      </c>
      <c r="Z16" s="419">
        <f t="shared" si="38"/>
        <v>148</v>
      </c>
      <c r="AA16" s="419">
        <f t="shared" si="39"/>
        <v>136</v>
      </c>
      <c r="AB16" s="419">
        <f t="shared" si="40"/>
        <v>168</v>
      </c>
      <c r="AC16" s="417">
        <f>VLOOKUP($J16,Fatores!$G$1:$J$5,2,FALSE)</f>
        <v>1.5531612828314754</v>
      </c>
      <c r="AD16" s="417">
        <f>VLOOKUP($C16,Fatores!$A:$D,2,FALSE)</f>
        <v>1</v>
      </c>
      <c r="AE16" s="420">
        <f t="shared" si="6"/>
        <v>212.78309574791211</v>
      </c>
      <c r="AF16" s="420">
        <f t="shared" si="7"/>
        <v>236.08051499038424</v>
      </c>
      <c r="AG16" s="420">
        <f t="shared" si="8"/>
        <v>246.95264397020458</v>
      </c>
      <c r="AH16" s="420">
        <f t="shared" si="9"/>
        <v>229.86786985905835</v>
      </c>
      <c r="AI16" s="420">
        <f t="shared" si="10"/>
        <v>211.22993446508065</v>
      </c>
      <c r="AJ16" s="420">
        <f t="shared" si="11"/>
        <v>260.93109551568784</v>
      </c>
      <c r="AK16" s="421">
        <f t="shared" ref="AK16:AP16" si="45">AE16+VLOOKUP($E16,$A:$BR,AK$1,FALSE)</f>
        <v>966.06631792117764</v>
      </c>
      <c r="AL16" s="421">
        <f t="shared" si="45"/>
        <v>992.47005972931277</v>
      </c>
      <c r="AM16" s="421">
        <f t="shared" si="45"/>
        <v>990.91689844648113</v>
      </c>
      <c r="AN16" s="421">
        <f t="shared" si="45"/>
        <v>964.51315663834623</v>
      </c>
      <c r="AO16" s="421">
        <f t="shared" si="45"/>
        <v>950.53470509286296</v>
      </c>
      <c r="AP16" s="421">
        <f t="shared" si="45"/>
        <v>986.25741459798689</v>
      </c>
      <c r="AQ16" s="417">
        <f>VLOOKUP($J16,Fatores!$G$1:$J$5,3,FALSE)</f>
        <v>1.3186317794730578</v>
      </c>
      <c r="AR16" s="417">
        <f>VLOOKUP($C16,Fatores!$A:$D,3,FALSE)</f>
        <v>1</v>
      </c>
      <c r="AS16" s="420">
        <f t="shared" si="13"/>
        <v>180.65255378780893</v>
      </c>
      <c r="AT16" s="420">
        <f t="shared" si="14"/>
        <v>200.43203047990477</v>
      </c>
      <c r="AU16" s="420">
        <f t="shared" si="15"/>
        <v>209.6624529362162</v>
      </c>
      <c r="AV16" s="420">
        <f t="shared" si="16"/>
        <v>195.15750336201256</v>
      </c>
      <c r="AW16" s="420">
        <f t="shared" si="17"/>
        <v>179.33392200833586</v>
      </c>
      <c r="AX16" s="420">
        <f t="shared" si="18"/>
        <v>221.5301389514737</v>
      </c>
      <c r="AY16" s="421">
        <f t="shared" ref="AY16:BD16" si="46">AS16+VLOOKUP($E16,$A:$BR,AY$1,FALSE)</f>
        <v>820.18896683224193</v>
      </c>
      <c r="AZ16" s="421">
        <f t="shared" si="46"/>
        <v>842.60570708328396</v>
      </c>
      <c r="BA16" s="421">
        <f t="shared" si="46"/>
        <v>841.28707530381075</v>
      </c>
      <c r="BB16" s="421">
        <f t="shared" si="46"/>
        <v>818.87033505276884</v>
      </c>
      <c r="BC16" s="421">
        <f t="shared" si="46"/>
        <v>807.00264903751133</v>
      </c>
      <c r="BD16" s="421">
        <f t="shared" si="46"/>
        <v>837.33117996539158</v>
      </c>
      <c r="BE16" s="417">
        <f>VLOOKUP($J16,Fatores!$G$1:$J$5,4,FALSE)</f>
        <v>1</v>
      </c>
      <c r="BF16" s="417">
        <f>VLOOKUP($C16,Fatores!$A:$D,4,FALSE)</f>
        <v>1</v>
      </c>
      <c r="BG16" s="420">
        <f t="shared" si="20"/>
        <v>137</v>
      </c>
      <c r="BH16" s="420">
        <f t="shared" si="21"/>
        <v>152</v>
      </c>
      <c r="BI16" s="420">
        <f t="shared" si="22"/>
        <v>159</v>
      </c>
      <c r="BJ16" s="420">
        <f t="shared" si="23"/>
        <v>148</v>
      </c>
      <c r="BK16" s="420">
        <f t="shared" si="24"/>
        <v>136</v>
      </c>
      <c r="BL16" s="420">
        <f t="shared" si="25"/>
        <v>168</v>
      </c>
      <c r="BM16" s="421">
        <f>BG16+VLOOKUP($E16,$A:$BR,BM$1,FALSE)</f>
        <v>622</v>
      </c>
      <c r="BN16" s="421">
        <f>BH16+VLOOKUP($E16,$A:$BR,BN$1,FALSE)</f>
        <v>639</v>
      </c>
      <c r="BO16" s="421">
        <f>BI16+VLOOKUP($E16,$A:$BR,BO$1,FALSE)</f>
        <v>638</v>
      </c>
      <c r="BP16" s="421">
        <f>BJ16+VLOOKUP($E16,$A:$BR,BP$1,FALSE)</f>
        <v>621</v>
      </c>
      <c r="BQ16" s="421">
        <f>BK16+VLOOKUP($E16,$A:$BR,BQ$1,FALSE)</f>
        <v>612</v>
      </c>
      <c r="BR16" s="421">
        <f>BL16+VLOOKUP($E16,$A:$BR,BR$1,FALSE)</f>
        <v>635</v>
      </c>
      <c r="XEQ16" s="418"/>
    </row>
    <row r="17" spans="1:70 16371:16371" x14ac:dyDescent="0.25">
      <c r="A17" s="431">
        <v>22</v>
      </c>
      <c r="B17" s="424"/>
      <c r="C17" s="424" t="s">
        <v>23</v>
      </c>
      <c r="D17" s="437" t="s">
        <v>422</v>
      </c>
      <c r="E17" s="431"/>
      <c r="F17" s="424"/>
      <c r="G17" s="424"/>
      <c r="H17" s="424"/>
      <c r="I17" s="432"/>
      <c r="J17" s="440">
        <v>1</v>
      </c>
      <c r="K17" s="419">
        <f>VLOOKUP($A17,Prevs!$C:$I,Ajustes!K$1,FALSE)</f>
        <v>40</v>
      </c>
      <c r="L17" s="419">
        <f>VLOOKUP($A17,Prevs!$C:$I,Ajustes!L$1,FALSE)</f>
        <v>39</v>
      </c>
      <c r="M17" s="419">
        <f>VLOOKUP($A17,Prevs!$C:$I,Ajustes!M$1,FALSE)</f>
        <v>36</v>
      </c>
      <c r="N17" s="419">
        <f>VLOOKUP($A17,Prevs!$C:$I,Ajustes!N$1,FALSE)</f>
        <v>35</v>
      </c>
      <c r="O17" s="419">
        <f>VLOOKUP($A17,Prevs!$C:$I,Ajustes!O$1,FALSE)</f>
        <v>35</v>
      </c>
      <c r="P17" s="419">
        <f>VLOOKUP($A17,Prevs!$C:$I,Ajustes!P$1,FALSE)</f>
        <v>32</v>
      </c>
      <c r="Q17" s="419">
        <v>0</v>
      </c>
      <c r="R17" s="419">
        <v>0</v>
      </c>
      <c r="S17" s="419">
        <v>0</v>
      </c>
      <c r="T17" s="419">
        <v>0</v>
      </c>
      <c r="U17" s="419">
        <v>0</v>
      </c>
      <c r="V17" s="419">
        <v>0</v>
      </c>
      <c r="W17" s="419">
        <f t="shared" ref="W17:AB17" si="47">K17-Q17</f>
        <v>40</v>
      </c>
      <c r="X17" s="419">
        <f t="shared" si="47"/>
        <v>39</v>
      </c>
      <c r="Y17" s="419">
        <f t="shared" si="47"/>
        <v>36</v>
      </c>
      <c r="Z17" s="419">
        <f t="shared" si="47"/>
        <v>35</v>
      </c>
      <c r="AA17" s="419">
        <f t="shared" si="47"/>
        <v>35</v>
      </c>
      <c r="AB17" s="419">
        <f t="shared" si="47"/>
        <v>32</v>
      </c>
      <c r="AC17" s="417">
        <f>VLOOKUP($J17,Fatores!$G$1:$J$5,2,FALSE)</f>
        <v>1.5531612828314754</v>
      </c>
      <c r="AD17" s="417">
        <f>VLOOKUP($C17,Fatores!$A:$D,2,FALSE)</f>
        <v>1</v>
      </c>
      <c r="AE17" s="420">
        <f t="shared" si="6"/>
        <v>62.126451313259011</v>
      </c>
      <c r="AF17" s="420">
        <f t="shared" si="7"/>
        <v>60.573290030427536</v>
      </c>
      <c r="AG17" s="420">
        <f t="shared" si="8"/>
        <v>55.913806181933111</v>
      </c>
      <c r="AH17" s="420">
        <f t="shared" si="9"/>
        <v>54.360644899101636</v>
      </c>
      <c r="AI17" s="420">
        <f t="shared" si="10"/>
        <v>54.360644899101636</v>
      </c>
      <c r="AJ17" s="420">
        <f t="shared" si="11"/>
        <v>49.701161050607212</v>
      </c>
      <c r="AK17" s="421">
        <f t="shared" ref="AK17:AP17" si="48">AE17</f>
        <v>62.126451313259011</v>
      </c>
      <c r="AL17" s="421">
        <f t="shared" si="48"/>
        <v>60.573290030427536</v>
      </c>
      <c r="AM17" s="421">
        <f t="shared" si="48"/>
        <v>55.913806181933111</v>
      </c>
      <c r="AN17" s="421">
        <f t="shared" si="48"/>
        <v>54.360644899101636</v>
      </c>
      <c r="AO17" s="421">
        <f t="shared" si="48"/>
        <v>54.360644899101636</v>
      </c>
      <c r="AP17" s="421">
        <f t="shared" si="48"/>
        <v>49.701161050607212</v>
      </c>
      <c r="AQ17" s="417">
        <f>VLOOKUP($J17,Fatores!$G$1:$J$5,3,FALSE)</f>
        <v>1.3186317794730578</v>
      </c>
      <c r="AR17" s="417">
        <f>VLOOKUP($C17,Fatores!$A:$D,3,FALSE)</f>
        <v>1</v>
      </c>
      <c r="AS17" s="420">
        <f t="shared" si="13"/>
        <v>52.745271178922309</v>
      </c>
      <c r="AT17" s="420">
        <f t="shared" si="14"/>
        <v>51.42663939944925</v>
      </c>
      <c r="AU17" s="420">
        <f t="shared" si="15"/>
        <v>47.470744061030082</v>
      </c>
      <c r="AV17" s="420">
        <f t="shared" si="16"/>
        <v>46.152112281557024</v>
      </c>
      <c r="AW17" s="420">
        <f t="shared" si="17"/>
        <v>46.152112281557024</v>
      </c>
      <c r="AX17" s="420">
        <f t="shared" si="18"/>
        <v>42.196216943137848</v>
      </c>
      <c r="AY17" s="421">
        <f t="shared" ref="AY17:BD17" si="49">AS17</f>
        <v>52.745271178922309</v>
      </c>
      <c r="AZ17" s="421">
        <f t="shared" si="49"/>
        <v>51.42663939944925</v>
      </c>
      <c r="BA17" s="421">
        <f t="shared" si="49"/>
        <v>47.470744061030082</v>
      </c>
      <c r="BB17" s="421">
        <f t="shared" si="49"/>
        <v>46.152112281557024</v>
      </c>
      <c r="BC17" s="421">
        <f t="shared" si="49"/>
        <v>46.152112281557024</v>
      </c>
      <c r="BD17" s="421">
        <f t="shared" si="49"/>
        <v>42.196216943137848</v>
      </c>
      <c r="BE17" s="417">
        <f>VLOOKUP($J17,Fatores!$G$1:$J$5,4,FALSE)</f>
        <v>1</v>
      </c>
      <c r="BF17" s="417">
        <f>VLOOKUP($C17,Fatores!$A:$D,4,FALSE)</f>
        <v>1</v>
      </c>
      <c r="BG17" s="420">
        <f t="shared" si="20"/>
        <v>40</v>
      </c>
      <c r="BH17" s="420">
        <f t="shared" si="21"/>
        <v>39</v>
      </c>
      <c r="BI17" s="420">
        <f t="shared" si="22"/>
        <v>36</v>
      </c>
      <c r="BJ17" s="420">
        <f t="shared" si="23"/>
        <v>35</v>
      </c>
      <c r="BK17" s="420">
        <f t="shared" si="24"/>
        <v>35</v>
      </c>
      <c r="BL17" s="420">
        <f t="shared" si="25"/>
        <v>32</v>
      </c>
      <c r="BM17" s="421">
        <f>BG17</f>
        <v>40</v>
      </c>
      <c r="BN17" s="421">
        <f>BH17</f>
        <v>39</v>
      </c>
      <c r="BO17" s="421">
        <f>BI17</f>
        <v>36</v>
      </c>
      <c r="BP17" s="421">
        <f>BJ17</f>
        <v>35</v>
      </c>
      <c r="BQ17" s="421">
        <f>BK17</f>
        <v>35</v>
      </c>
      <c r="BR17" s="421">
        <f>BL17</f>
        <v>32</v>
      </c>
      <c r="XEQ17" s="418"/>
    </row>
    <row r="18" spans="1:70 16371:16371" x14ac:dyDescent="0.25">
      <c r="A18" s="431">
        <v>23</v>
      </c>
      <c r="B18" s="424"/>
      <c r="C18" s="424" t="s">
        <v>23</v>
      </c>
      <c r="D18" s="437" t="s">
        <v>423</v>
      </c>
      <c r="E18" s="444">
        <v>205</v>
      </c>
      <c r="F18" s="424"/>
      <c r="G18" s="424"/>
      <c r="H18" s="424"/>
      <c r="I18" s="432"/>
      <c r="J18" s="440">
        <v>1</v>
      </c>
      <c r="K18" s="419">
        <f>VLOOKUP($A18,Prevs!$C:$I,Ajustes!K$1,FALSE)</f>
        <v>87</v>
      </c>
      <c r="L18" s="419">
        <f>VLOOKUP($A18,Prevs!$C:$I,Ajustes!L$1,FALSE)</f>
        <v>84</v>
      </c>
      <c r="M18" s="419">
        <f>VLOOKUP($A18,Prevs!$C:$I,Ajustes!M$1,FALSE)</f>
        <v>78</v>
      </c>
      <c r="N18" s="419">
        <f>VLOOKUP($A18,Prevs!$C:$I,Ajustes!N$1,FALSE)</f>
        <v>75</v>
      </c>
      <c r="O18" s="419">
        <f>VLOOKUP($A18,Prevs!$C:$I,Ajustes!O$1,FALSE)</f>
        <v>72</v>
      </c>
      <c r="P18" s="419">
        <f>VLOOKUP($A18,Prevs!$C:$I,Ajustes!P$1,FALSE)</f>
        <v>67</v>
      </c>
      <c r="Q18" s="419">
        <f>VLOOKUP($E18,Prevs!$C:$I,Ajustes!K$1,FALSE)</f>
        <v>71</v>
      </c>
      <c r="R18" s="419">
        <f>VLOOKUP($E18,Prevs!$C:$I,Ajustes!L$1,FALSE)</f>
        <v>66</v>
      </c>
      <c r="S18" s="419">
        <f>VLOOKUP($E18,Prevs!$C:$I,Ajustes!M$1,FALSE)</f>
        <v>63</v>
      </c>
      <c r="T18" s="419">
        <f>VLOOKUP($E18,Prevs!$C:$I,Ajustes!N$1,FALSE)</f>
        <v>59</v>
      </c>
      <c r="U18" s="419">
        <f>VLOOKUP($E18,Prevs!$C:$I,Ajustes!O$1,FALSE)</f>
        <v>57</v>
      </c>
      <c r="V18" s="419">
        <f>VLOOKUP($E18,Prevs!$C:$I,Ajustes!P$1,FALSE)</f>
        <v>55</v>
      </c>
      <c r="W18" s="419">
        <f t="shared" ref="W18:W19" si="50">K18-Q18</f>
        <v>16</v>
      </c>
      <c r="X18" s="419">
        <f t="shared" ref="X18:X19" si="51">L18-R18</f>
        <v>18</v>
      </c>
      <c r="Y18" s="419">
        <f t="shared" ref="Y18:Y19" si="52">M18-S18</f>
        <v>15</v>
      </c>
      <c r="Z18" s="419">
        <f t="shared" ref="Z18:Z19" si="53">N18-T18</f>
        <v>16</v>
      </c>
      <c r="AA18" s="419">
        <f t="shared" ref="AA18:AA19" si="54">O18-U18</f>
        <v>15</v>
      </c>
      <c r="AB18" s="419">
        <f t="shared" ref="AB18:AB19" si="55">P18-V18</f>
        <v>12</v>
      </c>
      <c r="AC18" s="417">
        <f>VLOOKUP($J18,Fatores!$G$1:$J$5,2,FALSE)</f>
        <v>1.5531612828314754</v>
      </c>
      <c r="AD18" s="417">
        <f>VLOOKUP($C18,Fatores!$A:$D,2,FALSE)</f>
        <v>1</v>
      </c>
      <c r="AE18" s="420">
        <f t="shared" si="6"/>
        <v>24.850580525303606</v>
      </c>
      <c r="AF18" s="420">
        <f t="shared" si="7"/>
        <v>27.956903090966556</v>
      </c>
      <c r="AG18" s="420">
        <f t="shared" si="8"/>
        <v>23.297419242472131</v>
      </c>
      <c r="AH18" s="420">
        <f t="shared" si="9"/>
        <v>24.850580525303606</v>
      </c>
      <c r="AI18" s="420">
        <f t="shared" si="10"/>
        <v>23.297419242472131</v>
      </c>
      <c r="AJ18" s="420">
        <f t="shared" si="11"/>
        <v>18.637935393977706</v>
      </c>
      <c r="AK18" s="421">
        <f t="shared" ref="AK18:AP19" si="56">AE18+VLOOKUP($E18,$A:$BR,AK$1,FALSE)</f>
        <v>135.12503160633835</v>
      </c>
      <c r="AL18" s="421">
        <f t="shared" si="56"/>
        <v>130.46554775784392</v>
      </c>
      <c r="AM18" s="421">
        <f t="shared" si="56"/>
        <v>121.14658006085507</v>
      </c>
      <c r="AN18" s="421">
        <f t="shared" si="56"/>
        <v>116.48709621236065</v>
      </c>
      <c r="AO18" s="421">
        <f t="shared" si="56"/>
        <v>111.82761236386622</v>
      </c>
      <c r="AP18" s="421">
        <f t="shared" si="56"/>
        <v>104.06180594970886</v>
      </c>
      <c r="AQ18" s="417">
        <f>VLOOKUP($J18,Fatores!$G$1:$J$5,3,FALSE)</f>
        <v>1.3186317794730578</v>
      </c>
      <c r="AR18" s="417">
        <f>VLOOKUP($C18,Fatores!$A:$D,3,FALSE)</f>
        <v>1</v>
      </c>
      <c r="AS18" s="420">
        <f t="shared" si="13"/>
        <v>21.098108471568924</v>
      </c>
      <c r="AT18" s="420">
        <f t="shared" si="14"/>
        <v>23.735372030515041</v>
      </c>
      <c r="AU18" s="420">
        <f t="shared" si="15"/>
        <v>19.779476692095866</v>
      </c>
      <c r="AV18" s="420">
        <f t="shared" si="16"/>
        <v>21.098108471568924</v>
      </c>
      <c r="AW18" s="420">
        <f t="shared" si="17"/>
        <v>19.779476692095866</v>
      </c>
      <c r="AX18" s="420">
        <f t="shared" si="18"/>
        <v>15.823581353676694</v>
      </c>
      <c r="AY18" s="421">
        <f t="shared" ref="AY18:BD19" si="57">AS18+VLOOKUP($E18,$A:$BR,AY$1,FALSE)</f>
        <v>114.72096481415602</v>
      </c>
      <c r="AZ18" s="421">
        <f t="shared" si="57"/>
        <v>110.76506947573685</v>
      </c>
      <c r="BA18" s="421">
        <f t="shared" si="57"/>
        <v>102.85327879889851</v>
      </c>
      <c r="BB18" s="421">
        <f t="shared" si="57"/>
        <v>98.897383460479332</v>
      </c>
      <c r="BC18" s="421">
        <f t="shared" si="57"/>
        <v>94.941488122060164</v>
      </c>
      <c r="BD18" s="421">
        <f t="shared" si="57"/>
        <v>88.348329224694879</v>
      </c>
      <c r="BE18" s="417">
        <f>VLOOKUP($J18,Fatores!$G$1:$J$5,4,FALSE)</f>
        <v>1</v>
      </c>
      <c r="BF18" s="417">
        <f>VLOOKUP($C18,Fatores!$A:$D,4,FALSE)</f>
        <v>1</v>
      </c>
      <c r="BG18" s="420">
        <f t="shared" si="20"/>
        <v>16</v>
      </c>
      <c r="BH18" s="420">
        <f t="shared" si="21"/>
        <v>18</v>
      </c>
      <c r="BI18" s="420">
        <f t="shared" si="22"/>
        <v>15</v>
      </c>
      <c r="BJ18" s="420">
        <f t="shared" si="23"/>
        <v>16</v>
      </c>
      <c r="BK18" s="420">
        <f t="shared" si="24"/>
        <v>15</v>
      </c>
      <c r="BL18" s="420">
        <f t="shared" si="25"/>
        <v>12</v>
      </c>
      <c r="BM18" s="421">
        <f>BG18+VLOOKUP($E18,$A:$BR,BM$1,FALSE)</f>
        <v>87</v>
      </c>
      <c r="BN18" s="421">
        <f>BH18+VLOOKUP($E18,$A:$BR,BN$1,FALSE)</f>
        <v>84</v>
      </c>
      <c r="BO18" s="421">
        <f>BI18+VLOOKUP($E18,$A:$BR,BO$1,FALSE)</f>
        <v>78</v>
      </c>
      <c r="BP18" s="421">
        <f>BJ18+VLOOKUP($E18,$A:$BR,BP$1,FALSE)</f>
        <v>75</v>
      </c>
      <c r="BQ18" s="421">
        <f>BK18+VLOOKUP($E18,$A:$BR,BQ$1,FALSE)</f>
        <v>72</v>
      </c>
      <c r="BR18" s="421">
        <f>BL18+VLOOKUP($E18,$A:$BR,BR$1,FALSE)</f>
        <v>67</v>
      </c>
    </row>
    <row r="19" spans="1:70 16371:16371" x14ac:dyDescent="0.25">
      <c r="A19" s="431">
        <v>24</v>
      </c>
      <c r="B19" s="424"/>
      <c r="C19" s="424" t="s">
        <v>23</v>
      </c>
      <c r="D19" s="437" t="s">
        <v>23</v>
      </c>
      <c r="E19" s="444">
        <v>251</v>
      </c>
      <c r="F19" s="426"/>
      <c r="G19" s="424"/>
      <c r="H19" s="424"/>
      <c r="I19" s="432"/>
      <c r="J19" s="440">
        <v>1</v>
      </c>
      <c r="K19" s="419">
        <f>VLOOKUP($A19,Prevs!$C:$I,Ajustes!K$1,FALSE)</f>
        <v>162</v>
      </c>
      <c r="L19" s="419">
        <f>VLOOKUP($A19,Prevs!$C:$I,Ajustes!L$1,FALSE)</f>
        <v>155</v>
      </c>
      <c r="M19" s="419">
        <f>VLOOKUP($A19,Prevs!$C:$I,Ajustes!M$1,FALSE)</f>
        <v>148</v>
      </c>
      <c r="N19" s="419">
        <f>VLOOKUP($A19,Prevs!$C:$I,Ajustes!N$1,FALSE)</f>
        <v>139</v>
      </c>
      <c r="O19" s="419">
        <f>VLOOKUP($A19,Prevs!$C:$I,Ajustes!O$1,FALSE)</f>
        <v>142</v>
      </c>
      <c r="P19" s="419">
        <f>VLOOKUP($A19,Prevs!$C:$I,Ajustes!P$1,FALSE)</f>
        <v>135</v>
      </c>
      <c r="Q19" s="419">
        <f>VLOOKUP($E19,Prevs!$C:$I,Ajustes!K$1,FALSE)</f>
        <v>79</v>
      </c>
      <c r="R19" s="419">
        <f>VLOOKUP($E19,Prevs!$C:$I,Ajustes!L$1,FALSE)</f>
        <v>61</v>
      </c>
      <c r="S19" s="419">
        <f>VLOOKUP($E19,Prevs!$C:$I,Ajustes!M$1,FALSE)</f>
        <v>58</v>
      </c>
      <c r="T19" s="419">
        <f>VLOOKUP($E19,Prevs!$C:$I,Ajustes!N$1,FALSE)</f>
        <v>56</v>
      </c>
      <c r="U19" s="419">
        <f>VLOOKUP($E19,Prevs!$C:$I,Ajustes!O$1,FALSE)</f>
        <v>56</v>
      </c>
      <c r="V19" s="419">
        <f>VLOOKUP($E19,Prevs!$C:$I,Ajustes!P$1,FALSE)</f>
        <v>51</v>
      </c>
      <c r="W19" s="419">
        <f t="shared" si="50"/>
        <v>83</v>
      </c>
      <c r="X19" s="419">
        <f t="shared" si="51"/>
        <v>94</v>
      </c>
      <c r="Y19" s="419">
        <f t="shared" si="52"/>
        <v>90</v>
      </c>
      <c r="Z19" s="419">
        <f t="shared" si="53"/>
        <v>83</v>
      </c>
      <c r="AA19" s="419">
        <f t="shared" si="54"/>
        <v>86</v>
      </c>
      <c r="AB19" s="419">
        <f t="shared" si="55"/>
        <v>84</v>
      </c>
      <c r="AC19" s="417">
        <f>VLOOKUP($J19,Fatores!$G$1:$J$5,2,FALSE)</f>
        <v>1.5531612828314754</v>
      </c>
      <c r="AD19" s="417">
        <f>VLOOKUP($C19,Fatores!$A:$D,2,FALSE)</f>
        <v>1</v>
      </c>
      <c r="AE19" s="420">
        <f t="shared" si="6"/>
        <v>128.91238647501245</v>
      </c>
      <c r="AF19" s="420">
        <f t="shared" si="7"/>
        <v>145.99716058615869</v>
      </c>
      <c r="AG19" s="420">
        <f t="shared" si="8"/>
        <v>139.78451545483279</v>
      </c>
      <c r="AH19" s="420">
        <f t="shared" si="9"/>
        <v>128.91238647501245</v>
      </c>
      <c r="AI19" s="420">
        <f t="shared" si="10"/>
        <v>133.57187032350689</v>
      </c>
      <c r="AJ19" s="420">
        <f t="shared" si="11"/>
        <v>130.46554775784392</v>
      </c>
      <c r="AK19" s="421">
        <f t="shared" si="56"/>
        <v>251.61212781869901</v>
      </c>
      <c r="AL19" s="421">
        <f t="shared" si="56"/>
        <v>240.73999883887868</v>
      </c>
      <c r="AM19" s="421">
        <f t="shared" si="56"/>
        <v>229.86786985905835</v>
      </c>
      <c r="AN19" s="421">
        <f t="shared" si="56"/>
        <v>215.88941831357508</v>
      </c>
      <c r="AO19" s="421">
        <f t="shared" si="56"/>
        <v>220.54890216206951</v>
      </c>
      <c r="AP19" s="421">
        <f t="shared" si="56"/>
        <v>209.67677318224918</v>
      </c>
      <c r="AQ19" s="417">
        <f>VLOOKUP($J19,Fatores!$G$1:$J$5,3,FALSE)</f>
        <v>1.3186317794730578</v>
      </c>
      <c r="AR19" s="417">
        <f>VLOOKUP($C19,Fatores!$A:$D,3,FALSE)</f>
        <v>1</v>
      </c>
      <c r="AS19" s="420">
        <f t="shared" si="13"/>
        <v>109.4464376962638</v>
      </c>
      <c r="AT19" s="420">
        <f t="shared" si="14"/>
        <v>123.95138727046744</v>
      </c>
      <c r="AU19" s="420">
        <f t="shared" si="15"/>
        <v>118.6768601525752</v>
      </c>
      <c r="AV19" s="420">
        <f t="shared" si="16"/>
        <v>109.4464376962638</v>
      </c>
      <c r="AW19" s="420">
        <f t="shared" si="17"/>
        <v>113.40233303468297</v>
      </c>
      <c r="AX19" s="420">
        <f t="shared" si="18"/>
        <v>110.76506947573685</v>
      </c>
      <c r="AY19" s="421">
        <f t="shared" si="57"/>
        <v>213.61834827463537</v>
      </c>
      <c r="AZ19" s="421">
        <f t="shared" si="57"/>
        <v>204.38792581832394</v>
      </c>
      <c r="BA19" s="421">
        <f t="shared" si="57"/>
        <v>195.15750336201256</v>
      </c>
      <c r="BB19" s="421">
        <f t="shared" si="57"/>
        <v>183.28981734675506</v>
      </c>
      <c r="BC19" s="421">
        <f t="shared" si="57"/>
        <v>187.24571268517423</v>
      </c>
      <c r="BD19" s="421">
        <f t="shared" si="57"/>
        <v>178.0152902288628</v>
      </c>
      <c r="BE19" s="417">
        <f>VLOOKUP($J19,Fatores!$G$1:$J$5,4,FALSE)</f>
        <v>1</v>
      </c>
      <c r="BF19" s="417">
        <f>VLOOKUP($C19,Fatores!$A:$D,4,FALSE)</f>
        <v>1</v>
      </c>
      <c r="BG19" s="420">
        <f t="shared" si="20"/>
        <v>83</v>
      </c>
      <c r="BH19" s="420">
        <f t="shared" si="21"/>
        <v>94</v>
      </c>
      <c r="BI19" s="420">
        <f t="shared" si="22"/>
        <v>90</v>
      </c>
      <c r="BJ19" s="420">
        <f t="shared" si="23"/>
        <v>83</v>
      </c>
      <c r="BK19" s="420">
        <f t="shared" si="24"/>
        <v>86</v>
      </c>
      <c r="BL19" s="420">
        <f t="shared" si="25"/>
        <v>84</v>
      </c>
      <c r="BM19" s="421">
        <f>BG19+VLOOKUP($E19,$A:$BR,BM$1,FALSE)</f>
        <v>162</v>
      </c>
      <c r="BN19" s="421">
        <f>BH19+VLOOKUP($E19,$A:$BR,BN$1,FALSE)</f>
        <v>155</v>
      </c>
      <c r="BO19" s="421">
        <f>BI19+VLOOKUP($E19,$A:$BR,BO$1,FALSE)</f>
        <v>148</v>
      </c>
      <c r="BP19" s="421">
        <f>BJ19+VLOOKUP($E19,$A:$BR,BP$1,FALSE)</f>
        <v>139</v>
      </c>
      <c r="BQ19" s="421">
        <f>BK19+VLOOKUP($E19,$A:$BR,BQ$1,FALSE)</f>
        <v>142</v>
      </c>
      <c r="BR19" s="421">
        <f>BL19+VLOOKUP($E19,$A:$BR,BR$1,FALSE)</f>
        <v>135</v>
      </c>
    </row>
    <row r="20" spans="1:70 16371:16371" x14ac:dyDescent="0.25">
      <c r="A20" s="431">
        <v>25</v>
      </c>
      <c r="B20" s="424"/>
      <c r="C20" s="424" t="s">
        <v>23</v>
      </c>
      <c r="D20" s="437" t="s">
        <v>424</v>
      </c>
      <c r="E20" s="431"/>
      <c r="F20" s="424"/>
      <c r="G20" s="424"/>
      <c r="H20" s="424"/>
      <c r="I20" s="432"/>
      <c r="J20" s="440">
        <v>1</v>
      </c>
      <c r="K20" s="419">
        <f>VLOOKUP($A20,Prevs!$C:$I,Ajustes!K$1,FALSE)</f>
        <v>89</v>
      </c>
      <c r="L20" s="419">
        <f>VLOOKUP($A20,Prevs!$C:$I,Ajustes!L$1,FALSE)</f>
        <v>90</v>
      </c>
      <c r="M20" s="419">
        <f>VLOOKUP($A20,Prevs!$C:$I,Ajustes!M$1,FALSE)</f>
        <v>91</v>
      </c>
      <c r="N20" s="419">
        <f>VLOOKUP($A20,Prevs!$C:$I,Ajustes!N$1,FALSE)</f>
        <v>81</v>
      </c>
      <c r="O20" s="419">
        <f>VLOOKUP($A20,Prevs!$C:$I,Ajustes!O$1,FALSE)</f>
        <v>81</v>
      </c>
      <c r="P20" s="419">
        <f>VLOOKUP($A20,Prevs!$C:$I,Ajustes!P$1,FALSE)</f>
        <v>76</v>
      </c>
      <c r="Q20" s="419">
        <v>0</v>
      </c>
      <c r="R20" s="419">
        <v>0</v>
      </c>
      <c r="S20" s="419">
        <v>0</v>
      </c>
      <c r="T20" s="419">
        <v>0</v>
      </c>
      <c r="U20" s="419">
        <v>0</v>
      </c>
      <c r="V20" s="419">
        <v>0</v>
      </c>
      <c r="W20" s="419">
        <f t="shared" ref="W20:AB20" si="58">K20-Q20</f>
        <v>89</v>
      </c>
      <c r="X20" s="419">
        <f t="shared" si="58"/>
        <v>90</v>
      </c>
      <c r="Y20" s="419">
        <f t="shared" si="58"/>
        <v>91</v>
      </c>
      <c r="Z20" s="419">
        <f t="shared" si="58"/>
        <v>81</v>
      </c>
      <c r="AA20" s="419">
        <f t="shared" si="58"/>
        <v>81</v>
      </c>
      <c r="AB20" s="419">
        <f t="shared" si="58"/>
        <v>76</v>
      </c>
      <c r="AC20" s="417">
        <f>VLOOKUP($J20,Fatores!$G$1:$J$5,2,FALSE)</f>
        <v>1.5531612828314754</v>
      </c>
      <c r="AD20" s="417">
        <f>VLOOKUP($C20,Fatores!$A:$D,2,FALSE)</f>
        <v>1</v>
      </c>
      <c r="AE20" s="420">
        <f t="shared" si="6"/>
        <v>138.23135417200132</v>
      </c>
      <c r="AF20" s="420">
        <f t="shared" si="7"/>
        <v>139.78451545483279</v>
      </c>
      <c r="AG20" s="420">
        <f t="shared" si="8"/>
        <v>141.33767673766425</v>
      </c>
      <c r="AH20" s="420">
        <f t="shared" si="9"/>
        <v>125.8060639093495</v>
      </c>
      <c r="AI20" s="420">
        <f t="shared" si="10"/>
        <v>125.8060639093495</v>
      </c>
      <c r="AJ20" s="420">
        <f t="shared" si="11"/>
        <v>118.04025749519212</v>
      </c>
      <c r="AK20" s="421">
        <f t="shared" ref="AK20:AP20" si="59">AE20</f>
        <v>138.23135417200132</v>
      </c>
      <c r="AL20" s="421">
        <f t="shared" si="59"/>
        <v>139.78451545483279</v>
      </c>
      <c r="AM20" s="421">
        <f t="shared" si="59"/>
        <v>141.33767673766425</v>
      </c>
      <c r="AN20" s="421">
        <f t="shared" si="59"/>
        <v>125.8060639093495</v>
      </c>
      <c r="AO20" s="421">
        <f t="shared" si="59"/>
        <v>125.8060639093495</v>
      </c>
      <c r="AP20" s="421">
        <f t="shared" si="59"/>
        <v>118.04025749519212</v>
      </c>
      <c r="AQ20" s="417">
        <f>VLOOKUP($J20,Fatores!$G$1:$J$5,3,FALSE)</f>
        <v>1.3186317794730578</v>
      </c>
      <c r="AR20" s="417">
        <f>VLOOKUP($C20,Fatores!$A:$D,3,FALSE)</f>
        <v>1</v>
      </c>
      <c r="AS20" s="420">
        <f t="shared" si="13"/>
        <v>117.35822837310214</v>
      </c>
      <c r="AT20" s="420">
        <f t="shared" si="14"/>
        <v>118.6768601525752</v>
      </c>
      <c r="AU20" s="420">
        <f t="shared" si="15"/>
        <v>119.99549193204825</v>
      </c>
      <c r="AV20" s="420">
        <f t="shared" si="16"/>
        <v>106.80917413731768</v>
      </c>
      <c r="AW20" s="420">
        <f t="shared" si="17"/>
        <v>106.80917413731768</v>
      </c>
      <c r="AX20" s="420">
        <f t="shared" si="18"/>
        <v>100.21601523995238</v>
      </c>
      <c r="AY20" s="421">
        <f t="shared" ref="AY20:BD20" si="60">AS20</f>
        <v>117.35822837310214</v>
      </c>
      <c r="AZ20" s="421">
        <f t="shared" si="60"/>
        <v>118.6768601525752</v>
      </c>
      <c r="BA20" s="421">
        <f t="shared" si="60"/>
        <v>119.99549193204825</v>
      </c>
      <c r="BB20" s="421">
        <f t="shared" si="60"/>
        <v>106.80917413731768</v>
      </c>
      <c r="BC20" s="421">
        <f t="shared" si="60"/>
        <v>106.80917413731768</v>
      </c>
      <c r="BD20" s="421">
        <f t="shared" si="60"/>
        <v>100.21601523995238</v>
      </c>
      <c r="BE20" s="417">
        <f>VLOOKUP($J20,Fatores!$G$1:$J$5,4,FALSE)</f>
        <v>1</v>
      </c>
      <c r="BF20" s="417">
        <f>VLOOKUP($C20,Fatores!$A:$D,4,FALSE)</f>
        <v>1</v>
      </c>
      <c r="BG20" s="420">
        <f t="shared" si="20"/>
        <v>89</v>
      </c>
      <c r="BH20" s="420">
        <f t="shared" si="21"/>
        <v>90</v>
      </c>
      <c r="BI20" s="420">
        <f t="shared" si="22"/>
        <v>91</v>
      </c>
      <c r="BJ20" s="420">
        <f t="shared" si="23"/>
        <v>81</v>
      </c>
      <c r="BK20" s="420">
        <f t="shared" si="24"/>
        <v>81</v>
      </c>
      <c r="BL20" s="420">
        <f t="shared" si="25"/>
        <v>76</v>
      </c>
      <c r="BM20" s="421">
        <f>BG20</f>
        <v>89</v>
      </c>
      <c r="BN20" s="421">
        <f>BH20</f>
        <v>90</v>
      </c>
      <c r="BO20" s="421">
        <f>BI20</f>
        <v>91</v>
      </c>
      <c r="BP20" s="421">
        <f>BJ20</f>
        <v>81</v>
      </c>
      <c r="BQ20" s="421">
        <f>BK20</f>
        <v>81</v>
      </c>
      <c r="BR20" s="421">
        <f>BL20</f>
        <v>76</v>
      </c>
    </row>
    <row r="21" spans="1:70 16371:16371" x14ac:dyDescent="0.25">
      <c r="A21" s="431">
        <v>28</v>
      </c>
      <c r="B21" s="424"/>
      <c r="C21" s="424" t="s">
        <v>23</v>
      </c>
      <c r="D21" s="437" t="s">
        <v>424</v>
      </c>
      <c r="E21" s="444">
        <v>207</v>
      </c>
      <c r="F21" s="424"/>
      <c r="G21" s="424"/>
      <c r="H21" s="424"/>
      <c r="I21" s="432"/>
      <c r="J21" s="440">
        <v>1</v>
      </c>
      <c r="K21" s="419">
        <f>VLOOKUP($A21,Prevs!$C:$I,Ajustes!K$1,FALSE)</f>
        <v>95</v>
      </c>
      <c r="L21" s="419">
        <f>VLOOKUP($A21,Prevs!$C:$I,Ajustes!L$1,FALSE)</f>
        <v>108</v>
      </c>
      <c r="M21" s="419">
        <f>VLOOKUP($A21,Prevs!$C:$I,Ajustes!M$1,FALSE)</f>
        <v>112</v>
      </c>
      <c r="N21" s="419">
        <f>VLOOKUP($A21,Prevs!$C:$I,Ajustes!N$1,FALSE)</f>
        <v>95</v>
      </c>
      <c r="O21" s="419">
        <f>VLOOKUP($A21,Prevs!$C:$I,Ajustes!O$1,FALSE)</f>
        <v>96</v>
      </c>
      <c r="P21" s="419">
        <f>VLOOKUP($A21,Prevs!$C:$I,Ajustes!P$1,FALSE)</f>
        <v>101</v>
      </c>
      <c r="Q21" s="419">
        <f>VLOOKUP($E21,Prevs!$C:$I,Ajustes!K$1,FALSE)</f>
        <v>94</v>
      </c>
      <c r="R21" s="419">
        <f>VLOOKUP($E21,Prevs!$C:$I,Ajustes!L$1,FALSE)</f>
        <v>102</v>
      </c>
      <c r="S21" s="419">
        <f>VLOOKUP($E21,Prevs!$C:$I,Ajustes!M$1,FALSE)</f>
        <v>106</v>
      </c>
      <c r="T21" s="419">
        <f>VLOOKUP($E21,Prevs!$C:$I,Ajustes!N$1,FALSE)</f>
        <v>90</v>
      </c>
      <c r="U21" s="419">
        <f>VLOOKUP($E21,Prevs!$C:$I,Ajustes!O$1,FALSE)</f>
        <v>90</v>
      </c>
      <c r="V21" s="419">
        <f>VLOOKUP($E21,Prevs!$C:$I,Ajustes!P$1,FALSE)</f>
        <v>94</v>
      </c>
      <c r="W21" s="419">
        <f t="shared" ref="W21:W24" si="61">K21-Q21</f>
        <v>1</v>
      </c>
      <c r="X21" s="419">
        <f t="shared" ref="X21:X24" si="62">L21-R21</f>
        <v>6</v>
      </c>
      <c r="Y21" s="419">
        <f t="shared" ref="Y21:Y24" si="63">M21-S21</f>
        <v>6</v>
      </c>
      <c r="Z21" s="419">
        <f t="shared" ref="Z21:Z24" si="64">N21-T21</f>
        <v>5</v>
      </c>
      <c r="AA21" s="419">
        <f t="shared" ref="AA21:AA24" si="65">O21-U21</f>
        <v>6</v>
      </c>
      <c r="AB21" s="419">
        <f t="shared" ref="AB21:AB24" si="66">P21-V21</f>
        <v>7</v>
      </c>
      <c r="AC21" s="417">
        <f>VLOOKUP($J21,Fatores!$G$1:$J$5,2,FALSE)</f>
        <v>1.5531612828314754</v>
      </c>
      <c r="AD21" s="417">
        <f>VLOOKUP($C21,Fatores!$A:$D,2,FALSE)</f>
        <v>1</v>
      </c>
      <c r="AE21" s="420">
        <f t="shared" si="6"/>
        <v>1.5531612828314754</v>
      </c>
      <c r="AF21" s="420">
        <f t="shared" si="7"/>
        <v>9.3189676969888531</v>
      </c>
      <c r="AG21" s="420">
        <f t="shared" si="8"/>
        <v>9.3189676969888531</v>
      </c>
      <c r="AH21" s="420">
        <f t="shared" si="9"/>
        <v>7.7658064141573764</v>
      </c>
      <c r="AI21" s="420">
        <f t="shared" si="10"/>
        <v>9.3189676969888531</v>
      </c>
      <c r="AJ21" s="420">
        <f t="shared" si="11"/>
        <v>10.872128979820328</v>
      </c>
      <c r="AK21" s="421">
        <f t="shared" ref="AK21:AP21" si="67">AE21+VLOOKUP($E21,$A:$BR,AK$1,FALSE)</f>
        <v>147.55032186899015</v>
      </c>
      <c r="AL21" s="421">
        <f t="shared" si="67"/>
        <v>167.74141854579935</v>
      </c>
      <c r="AM21" s="421">
        <f t="shared" si="67"/>
        <v>173.95406367712525</v>
      </c>
      <c r="AN21" s="421">
        <f t="shared" si="67"/>
        <v>147.55032186899015</v>
      </c>
      <c r="AO21" s="421">
        <f t="shared" si="67"/>
        <v>149.10348315182165</v>
      </c>
      <c r="AP21" s="421">
        <f t="shared" si="67"/>
        <v>156.86928956597902</v>
      </c>
      <c r="AQ21" s="417">
        <f>VLOOKUP($J21,Fatores!$G$1:$J$5,3,FALSE)</f>
        <v>1.3186317794730578</v>
      </c>
      <c r="AR21" s="417">
        <f>VLOOKUP($C21,Fatores!$A:$D,3,FALSE)</f>
        <v>1</v>
      </c>
      <c r="AS21" s="420">
        <f t="shared" si="13"/>
        <v>1.3186317794730578</v>
      </c>
      <c r="AT21" s="420">
        <f t="shared" si="14"/>
        <v>7.911790676838347</v>
      </c>
      <c r="AU21" s="420">
        <f t="shared" si="15"/>
        <v>7.911790676838347</v>
      </c>
      <c r="AV21" s="420">
        <f t="shared" si="16"/>
        <v>6.5931588973652886</v>
      </c>
      <c r="AW21" s="420">
        <f t="shared" si="17"/>
        <v>7.911790676838347</v>
      </c>
      <c r="AX21" s="420">
        <f t="shared" si="18"/>
        <v>9.2304224563114037</v>
      </c>
      <c r="AY21" s="421">
        <f t="shared" ref="AY21:BD21" si="68">AS21+VLOOKUP($E21,$A:$BR,AY$1,FALSE)</f>
        <v>125.27001904994047</v>
      </c>
      <c r="AZ21" s="421">
        <f t="shared" si="68"/>
        <v>142.41223218309023</v>
      </c>
      <c r="BA21" s="421">
        <f t="shared" si="68"/>
        <v>147.68675930098246</v>
      </c>
      <c r="BB21" s="421">
        <f t="shared" si="68"/>
        <v>125.27001904994049</v>
      </c>
      <c r="BC21" s="421">
        <f t="shared" si="68"/>
        <v>126.58865082941355</v>
      </c>
      <c r="BD21" s="421">
        <f t="shared" si="68"/>
        <v>133.18180972677882</v>
      </c>
      <c r="BE21" s="417">
        <f>VLOOKUP($J21,Fatores!$G$1:$J$5,4,FALSE)</f>
        <v>1</v>
      </c>
      <c r="BF21" s="417">
        <f>VLOOKUP($C21,Fatores!$A:$D,4,FALSE)</f>
        <v>1</v>
      </c>
      <c r="BG21" s="420">
        <f t="shared" si="20"/>
        <v>1</v>
      </c>
      <c r="BH21" s="420">
        <f t="shared" si="21"/>
        <v>6</v>
      </c>
      <c r="BI21" s="420">
        <f t="shared" si="22"/>
        <v>6</v>
      </c>
      <c r="BJ21" s="420">
        <f t="shared" si="23"/>
        <v>5</v>
      </c>
      <c r="BK21" s="420">
        <f t="shared" si="24"/>
        <v>6</v>
      </c>
      <c r="BL21" s="420">
        <f t="shared" si="25"/>
        <v>7</v>
      </c>
      <c r="BM21" s="421">
        <f>BG21+VLOOKUP($E21,$A:$BR,BM$1,FALSE)</f>
        <v>95</v>
      </c>
      <c r="BN21" s="421">
        <f>BH21+VLOOKUP($E21,$A:$BR,BN$1,FALSE)</f>
        <v>108</v>
      </c>
      <c r="BO21" s="421">
        <f>BI21+VLOOKUP($E21,$A:$BR,BO$1,FALSE)</f>
        <v>112</v>
      </c>
      <c r="BP21" s="421">
        <f>BJ21+VLOOKUP($E21,$A:$BR,BP$1,FALSE)</f>
        <v>95</v>
      </c>
      <c r="BQ21" s="421">
        <f>BK21+VLOOKUP($E21,$A:$BR,BQ$1,FALSE)</f>
        <v>96</v>
      </c>
      <c r="BR21" s="421">
        <f>BL21+VLOOKUP($E21,$A:$BR,BR$1,FALSE)</f>
        <v>101</v>
      </c>
    </row>
    <row r="22" spans="1:70 16371:16371" x14ac:dyDescent="0.25">
      <c r="A22" s="431">
        <v>31</v>
      </c>
      <c r="B22" s="424"/>
      <c r="C22" s="424" t="s">
        <v>23</v>
      </c>
      <c r="D22" s="437" t="s">
        <v>23</v>
      </c>
      <c r="E22" s="444">
        <v>24</v>
      </c>
      <c r="F22" s="425">
        <v>28</v>
      </c>
      <c r="G22" s="425">
        <v>209</v>
      </c>
      <c r="H22" s="424"/>
      <c r="I22" s="432"/>
      <c r="J22" s="440">
        <v>1</v>
      </c>
      <c r="K22" s="419">
        <f>VLOOKUP($A22,Prevs!$C:$I,Ajustes!K$1,FALSE)</f>
        <v>580</v>
      </c>
      <c r="L22" s="419">
        <f>VLOOKUP($A22,Prevs!$C:$I,Ajustes!L$1,FALSE)</f>
        <v>579</v>
      </c>
      <c r="M22" s="419">
        <f>VLOOKUP($A22,Prevs!$C:$I,Ajustes!M$1,FALSE)</f>
        <v>548</v>
      </c>
      <c r="N22" s="419">
        <f>VLOOKUP($A22,Prevs!$C:$I,Ajustes!N$1,FALSE)</f>
        <v>519</v>
      </c>
      <c r="O22" s="419">
        <f>VLOOKUP($A22,Prevs!$C:$I,Ajustes!O$1,FALSE)</f>
        <v>518</v>
      </c>
      <c r="P22" s="419">
        <f>VLOOKUP($A22,Prevs!$C:$I,Ajustes!P$1,FALSE)</f>
        <v>495</v>
      </c>
      <c r="Q22" s="419">
        <f>VLOOKUP($E22,Prevs!$C:$I,Ajustes!K$1,FALSE)+VLOOKUP($F22,Prevs!$C:$I,Ajustes!K$1,FALSE)+VLOOKUP($G22,Prevs!$C:$I,Ajustes!K$1,FALSE)</f>
        <v>485</v>
      </c>
      <c r="R22" s="419">
        <f>VLOOKUP($E22,Prevs!$C:$I,Ajustes!L$1,FALSE)+VLOOKUP($F22,Prevs!$C:$I,Ajustes!L$1,FALSE)+VLOOKUP($G22,Prevs!$C:$I,Ajustes!L$1,FALSE)</f>
        <v>478</v>
      </c>
      <c r="S22" s="419">
        <f>VLOOKUP($E22,Prevs!$C:$I,Ajustes!M$1,FALSE)+VLOOKUP($F22,Prevs!$C:$I,Ajustes!M$1,FALSE)+VLOOKUP($G22,Prevs!$C:$I,Ajustes!M$1,FALSE)</f>
        <v>468</v>
      </c>
      <c r="T22" s="419">
        <f>VLOOKUP($E22,Prevs!$C:$I,Ajustes!N$1,FALSE)+VLOOKUP($F22,Prevs!$C:$I,Ajustes!N$1,FALSE)+VLOOKUP($G22,Prevs!$C:$I,Ajustes!N$1,FALSE)</f>
        <v>427</v>
      </c>
      <c r="U22" s="419">
        <f>VLOOKUP($E22,Prevs!$C:$I,Ajustes!O$1,FALSE)+VLOOKUP($F22,Prevs!$C:$I,Ajustes!O$1,FALSE)+VLOOKUP($G22,Prevs!$C:$I,Ajustes!O$1,FALSE)</f>
        <v>430</v>
      </c>
      <c r="V22" s="419">
        <f>VLOOKUP($E22,Prevs!$C:$I,Ajustes!P$1,FALSE)+VLOOKUP($F22,Prevs!$C:$I,Ajustes!P$1,FALSE)+VLOOKUP($G22,Prevs!$C:$I,Ajustes!P$1,FALSE)</f>
        <v>416</v>
      </c>
      <c r="W22" s="419">
        <f t="shared" si="61"/>
        <v>95</v>
      </c>
      <c r="X22" s="419">
        <f t="shared" si="62"/>
        <v>101</v>
      </c>
      <c r="Y22" s="419">
        <f t="shared" si="63"/>
        <v>80</v>
      </c>
      <c r="Z22" s="419">
        <f t="shared" si="64"/>
        <v>92</v>
      </c>
      <c r="AA22" s="419">
        <f t="shared" si="65"/>
        <v>88</v>
      </c>
      <c r="AB22" s="419">
        <f t="shared" si="66"/>
        <v>79</v>
      </c>
      <c r="AC22" s="417">
        <f>VLOOKUP($J22,Fatores!$G$1:$J$5,2,FALSE)</f>
        <v>1.5531612828314754</v>
      </c>
      <c r="AD22" s="417">
        <f>VLOOKUP($C22,Fatores!$A:$D,2,FALSE)</f>
        <v>1</v>
      </c>
      <c r="AE22" s="420">
        <f t="shared" si="6"/>
        <v>147.55032186899015</v>
      </c>
      <c r="AF22" s="420">
        <f t="shared" si="7"/>
        <v>156.86928956597902</v>
      </c>
      <c r="AG22" s="420">
        <f t="shared" si="8"/>
        <v>124.25290262651802</v>
      </c>
      <c r="AH22" s="420">
        <f t="shared" si="9"/>
        <v>142.89083802049572</v>
      </c>
      <c r="AI22" s="420">
        <f t="shared" si="10"/>
        <v>136.67819288916982</v>
      </c>
      <c r="AJ22" s="420">
        <f t="shared" si="11"/>
        <v>122.69974134368655</v>
      </c>
      <c r="AK22" s="421">
        <f t="shared" ref="AK22:AP22" si="69">AE22+VLOOKUP($E22,$A:$BR,AK$1,FALSE)+VLOOKUP($F22,$A:$BR,AK$1,FALSE)+VLOOKUP($G22,$A:$BR,AK$1,FALSE)</f>
        <v>900.83354404225565</v>
      </c>
      <c r="AL22" s="421">
        <f t="shared" si="69"/>
        <v>899.28038275942424</v>
      </c>
      <c r="AM22" s="421">
        <f t="shared" si="69"/>
        <v>851.13238299164846</v>
      </c>
      <c r="AN22" s="421">
        <f t="shared" si="69"/>
        <v>806.09070578953572</v>
      </c>
      <c r="AO22" s="421">
        <f t="shared" si="69"/>
        <v>804.53754450670431</v>
      </c>
      <c r="AP22" s="421">
        <f t="shared" si="69"/>
        <v>768.81483500158026</v>
      </c>
      <c r="AQ22" s="417">
        <f>VLOOKUP($J22,Fatores!$G$1:$J$5,3,FALSE)</f>
        <v>1.3186317794730578</v>
      </c>
      <c r="AR22" s="417">
        <f>VLOOKUP($C22,Fatores!$A:$D,3,FALSE)</f>
        <v>1</v>
      </c>
      <c r="AS22" s="420">
        <f t="shared" si="13"/>
        <v>125.27001904994049</v>
      </c>
      <c r="AT22" s="420">
        <f t="shared" si="14"/>
        <v>133.18180972677882</v>
      </c>
      <c r="AU22" s="420">
        <f t="shared" si="15"/>
        <v>105.49054235784462</v>
      </c>
      <c r="AV22" s="420">
        <f t="shared" si="16"/>
        <v>121.31412371152132</v>
      </c>
      <c r="AW22" s="420">
        <f t="shared" si="17"/>
        <v>116.03959659362908</v>
      </c>
      <c r="AX22" s="420">
        <f t="shared" si="18"/>
        <v>104.17191057837157</v>
      </c>
      <c r="AY22" s="421">
        <f t="shared" ref="AY22:BD22" si="70">AS22+VLOOKUP($E22,$A:$BR,AY$1,FALSE)+VLOOKUP($F22,$A:$BR,AY$1,FALSE)+VLOOKUP($G22,$A:$BR,AY$1,FALSE)</f>
        <v>764.80643209437335</v>
      </c>
      <c r="AZ22" s="421">
        <f t="shared" si="70"/>
        <v>763.48780031490037</v>
      </c>
      <c r="BA22" s="421">
        <f t="shared" si="70"/>
        <v>722.61021515123571</v>
      </c>
      <c r="BB22" s="421">
        <f t="shared" si="70"/>
        <v>684.36989354651701</v>
      </c>
      <c r="BC22" s="421">
        <f t="shared" si="70"/>
        <v>683.05126176704402</v>
      </c>
      <c r="BD22" s="421">
        <f t="shared" si="70"/>
        <v>652.72273083916366</v>
      </c>
      <c r="BE22" s="417">
        <f>VLOOKUP($J22,Fatores!$G$1:$J$5,4,FALSE)</f>
        <v>1</v>
      </c>
      <c r="BF22" s="417">
        <f>VLOOKUP($C22,Fatores!$A:$D,4,FALSE)</f>
        <v>1</v>
      </c>
      <c r="BG22" s="420">
        <f t="shared" si="20"/>
        <v>95</v>
      </c>
      <c r="BH22" s="420">
        <f t="shared" si="21"/>
        <v>101</v>
      </c>
      <c r="BI22" s="420">
        <f t="shared" si="22"/>
        <v>80</v>
      </c>
      <c r="BJ22" s="420">
        <f t="shared" si="23"/>
        <v>92</v>
      </c>
      <c r="BK22" s="420">
        <f t="shared" si="24"/>
        <v>88</v>
      </c>
      <c r="BL22" s="420">
        <f t="shared" si="25"/>
        <v>79</v>
      </c>
      <c r="BM22" s="421">
        <f>BG22+VLOOKUP($E22,$A:$BR,BM$1,FALSE)+VLOOKUP($F22,$A:$BR,BM$1,FALSE)+VLOOKUP($G22,$A:$BR,BM$1,FALSE)</f>
        <v>580</v>
      </c>
      <c r="BN22" s="421">
        <f>BH22+VLOOKUP($E22,$A:$BR,BN$1,FALSE)+VLOOKUP($F22,$A:$BR,BN$1,FALSE)+VLOOKUP($G22,$A:$BR,BN$1,FALSE)</f>
        <v>579</v>
      </c>
      <c r="BO22" s="421">
        <f>BI22+VLOOKUP($E22,$A:$BR,BO$1,FALSE)+VLOOKUP($F22,$A:$BR,BO$1,FALSE)+VLOOKUP($G22,$A:$BR,BO$1,FALSE)</f>
        <v>548</v>
      </c>
      <c r="BP22" s="421">
        <f>BJ22+VLOOKUP($E22,$A:$BR,BP$1,FALSE)+VLOOKUP($F22,$A:$BR,BP$1,FALSE)+VLOOKUP($G22,$A:$BR,BP$1,FALSE)</f>
        <v>519</v>
      </c>
      <c r="BQ22" s="421">
        <f>BK22+VLOOKUP($E22,$A:$BR,BQ$1,FALSE)+VLOOKUP($F22,$A:$BR,BQ$1,FALSE)+VLOOKUP($G22,$A:$BR,BQ$1,FALSE)</f>
        <v>518</v>
      </c>
      <c r="BR22" s="421">
        <f>BL22+VLOOKUP($E22,$A:$BR,BR$1,FALSE)+VLOOKUP($F22,$A:$BR,BR$1,FALSE)+VLOOKUP($G22,$A:$BR,BR$1,FALSE)</f>
        <v>495</v>
      </c>
    </row>
    <row r="23" spans="1:70 16371:16371" x14ac:dyDescent="0.25">
      <c r="A23" s="431">
        <v>32</v>
      </c>
      <c r="B23" s="424"/>
      <c r="C23" s="424" t="s">
        <v>23</v>
      </c>
      <c r="D23" s="437" t="s">
        <v>23</v>
      </c>
      <c r="E23" s="444">
        <v>31</v>
      </c>
      <c r="F23" s="424"/>
      <c r="G23" s="424"/>
      <c r="H23" s="424"/>
      <c r="I23" s="432"/>
      <c r="J23" s="440">
        <v>1</v>
      </c>
      <c r="K23" s="419">
        <f>VLOOKUP($A23,Prevs!$C:$I,Ajustes!K$1,FALSE)</f>
        <v>630</v>
      </c>
      <c r="L23" s="419">
        <f>VLOOKUP($A23,Prevs!$C:$I,Ajustes!L$1,FALSE)</f>
        <v>633</v>
      </c>
      <c r="M23" s="419">
        <f>VLOOKUP($A23,Prevs!$C:$I,Ajustes!M$1,FALSE)</f>
        <v>607</v>
      </c>
      <c r="N23" s="419">
        <f>VLOOKUP($A23,Prevs!$C:$I,Ajustes!N$1,FALSE)</f>
        <v>573</v>
      </c>
      <c r="O23" s="419">
        <f>VLOOKUP($A23,Prevs!$C:$I,Ajustes!O$1,FALSE)</f>
        <v>570</v>
      </c>
      <c r="P23" s="419">
        <f>VLOOKUP($A23,Prevs!$C:$I,Ajustes!P$1,FALSE)</f>
        <v>543</v>
      </c>
      <c r="Q23" s="419">
        <f>VLOOKUP($E23,Prevs!$C:$I,Ajustes!K$1,FALSE)</f>
        <v>580</v>
      </c>
      <c r="R23" s="419">
        <f>VLOOKUP($E23,Prevs!$C:$I,Ajustes!L$1,FALSE)</f>
        <v>579</v>
      </c>
      <c r="S23" s="419">
        <f>VLOOKUP($E23,Prevs!$C:$I,Ajustes!M$1,FALSE)</f>
        <v>548</v>
      </c>
      <c r="T23" s="419">
        <f>VLOOKUP($E23,Prevs!$C:$I,Ajustes!N$1,FALSE)</f>
        <v>519</v>
      </c>
      <c r="U23" s="419">
        <f>VLOOKUP($E23,Prevs!$C:$I,Ajustes!O$1,FALSE)</f>
        <v>518</v>
      </c>
      <c r="V23" s="419">
        <f>VLOOKUP($E23,Prevs!$C:$I,Ajustes!P$1,FALSE)</f>
        <v>495</v>
      </c>
      <c r="W23" s="419">
        <f t="shared" si="61"/>
        <v>50</v>
      </c>
      <c r="X23" s="419">
        <f t="shared" si="62"/>
        <v>54</v>
      </c>
      <c r="Y23" s="419">
        <f t="shared" si="63"/>
        <v>59</v>
      </c>
      <c r="Z23" s="419">
        <f t="shared" si="64"/>
        <v>54</v>
      </c>
      <c r="AA23" s="419">
        <f t="shared" si="65"/>
        <v>52</v>
      </c>
      <c r="AB23" s="419">
        <f t="shared" si="66"/>
        <v>48</v>
      </c>
      <c r="AC23" s="417">
        <f>VLOOKUP($J23,Fatores!$G$1:$J$5,2,FALSE)</f>
        <v>1.5531612828314754</v>
      </c>
      <c r="AD23" s="417">
        <f>VLOOKUP($C23,Fatores!$A:$D,2,FALSE)</f>
        <v>1</v>
      </c>
      <c r="AE23" s="420">
        <f t="shared" si="6"/>
        <v>77.658064141573774</v>
      </c>
      <c r="AF23" s="420">
        <f t="shared" si="7"/>
        <v>83.870709272899674</v>
      </c>
      <c r="AG23" s="420">
        <f t="shared" si="8"/>
        <v>91.636515687057042</v>
      </c>
      <c r="AH23" s="420">
        <f t="shared" si="9"/>
        <v>83.870709272899674</v>
      </c>
      <c r="AI23" s="420">
        <f t="shared" si="10"/>
        <v>80.764386707236724</v>
      </c>
      <c r="AJ23" s="420">
        <f t="shared" si="11"/>
        <v>74.551741575910825</v>
      </c>
      <c r="AK23" s="421">
        <f t="shared" ref="AK23:AP24" si="71">AE23+VLOOKUP($E23,$A:$BR,AK$1,FALSE)</f>
        <v>978.49160818382938</v>
      </c>
      <c r="AL23" s="421">
        <f t="shared" si="71"/>
        <v>983.15109203232396</v>
      </c>
      <c r="AM23" s="421">
        <f t="shared" si="71"/>
        <v>942.76889867870545</v>
      </c>
      <c r="AN23" s="421">
        <f t="shared" si="71"/>
        <v>889.96141506243544</v>
      </c>
      <c r="AO23" s="421">
        <f t="shared" si="71"/>
        <v>885.30193121394109</v>
      </c>
      <c r="AP23" s="421">
        <f t="shared" si="71"/>
        <v>843.36657657749106</v>
      </c>
      <c r="AQ23" s="417">
        <f>VLOOKUP($J23,Fatores!$G$1:$J$5,3,FALSE)</f>
        <v>1.3186317794730578</v>
      </c>
      <c r="AR23" s="417">
        <f>VLOOKUP($C23,Fatores!$A:$D,3,FALSE)</f>
        <v>1</v>
      </c>
      <c r="AS23" s="420">
        <f t="shared" si="13"/>
        <v>65.931588973652893</v>
      </c>
      <c r="AT23" s="420">
        <f t="shared" si="14"/>
        <v>71.206116091545113</v>
      </c>
      <c r="AU23" s="420">
        <f t="shared" si="15"/>
        <v>77.799274988910412</v>
      </c>
      <c r="AV23" s="420">
        <f t="shared" si="16"/>
        <v>71.206116091545113</v>
      </c>
      <c r="AW23" s="420">
        <f t="shared" si="17"/>
        <v>68.56885253259901</v>
      </c>
      <c r="AX23" s="420">
        <f t="shared" si="18"/>
        <v>63.294325414706776</v>
      </c>
      <c r="AY23" s="421">
        <f t="shared" ref="AY23:BD24" si="72">AS23+VLOOKUP($E23,$A:$BR,AY$1,FALSE)</f>
        <v>830.73802106802623</v>
      </c>
      <c r="AZ23" s="421">
        <f t="shared" si="72"/>
        <v>834.69391640644551</v>
      </c>
      <c r="BA23" s="421">
        <f t="shared" si="72"/>
        <v>800.40949014014609</v>
      </c>
      <c r="BB23" s="421">
        <f t="shared" si="72"/>
        <v>755.57600963806215</v>
      </c>
      <c r="BC23" s="421">
        <f t="shared" si="72"/>
        <v>751.62011429964309</v>
      </c>
      <c r="BD23" s="421">
        <f t="shared" si="72"/>
        <v>716.01705625387046</v>
      </c>
      <c r="BE23" s="417">
        <f>VLOOKUP($J23,Fatores!$G$1:$J$5,4,FALSE)</f>
        <v>1</v>
      </c>
      <c r="BF23" s="417">
        <f>VLOOKUP($C23,Fatores!$A:$D,4,FALSE)</f>
        <v>1</v>
      </c>
      <c r="BG23" s="420">
        <f t="shared" si="20"/>
        <v>50</v>
      </c>
      <c r="BH23" s="420">
        <f t="shared" si="21"/>
        <v>54</v>
      </c>
      <c r="BI23" s="420">
        <f t="shared" si="22"/>
        <v>59</v>
      </c>
      <c r="BJ23" s="420">
        <f t="shared" si="23"/>
        <v>54</v>
      </c>
      <c r="BK23" s="420">
        <f t="shared" si="24"/>
        <v>52</v>
      </c>
      <c r="BL23" s="420">
        <f t="shared" si="25"/>
        <v>48</v>
      </c>
      <c r="BM23" s="421">
        <f>BG23+VLOOKUP($E23,$A:$BR,BM$1,FALSE)</f>
        <v>630</v>
      </c>
      <c r="BN23" s="421">
        <f>BH23+VLOOKUP($E23,$A:$BR,BN$1,FALSE)</f>
        <v>633</v>
      </c>
      <c r="BO23" s="421">
        <f>BI23+VLOOKUP($E23,$A:$BR,BO$1,FALSE)</f>
        <v>607</v>
      </c>
      <c r="BP23" s="421">
        <f>BJ23+VLOOKUP($E23,$A:$BR,BP$1,FALSE)</f>
        <v>573</v>
      </c>
      <c r="BQ23" s="421">
        <f>BK23+VLOOKUP($E23,$A:$BR,BQ$1,FALSE)</f>
        <v>570</v>
      </c>
      <c r="BR23" s="421">
        <f>BL23+VLOOKUP($E23,$A:$BR,BR$1,FALSE)</f>
        <v>543</v>
      </c>
    </row>
    <row r="24" spans="1:70 16371:16371" x14ac:dyDescent="0.25">
      <c r="A24" s="431">
        <v>33</v>
      </c>
      <c r="B24" s="424"/>
      <c r="C24" s="424" t="s">
        <v>23</v>
      </c>
      <c r="D24" s="437" t="s">
        <v>23</v>
      </c>
      <c r="E24" s="444">
        <v>32</v>
      </c>
      <c r="F24" s="424"/>
      <c r="G24" s="424"/>
      <c r="H24" s="424"/>
      <c r="I24" s="432"/>
      <c r="J24" s="440">
        <v>1</v>
      </c>
      <c r="K24" s="419">
        <f>VLOOKUP($A24,Prevs!$C:$I,Ajustes!K$1,FALSE)</f>
        <v>1109</v>
      </c>
      <c r="L24" s="419">
        <f>VLOOKUP($A24,Prevs!$C:$I,Ajustes!L$1,FALSE)</f>
        <v>1084</v>
      </c>
      <c r="M24" s="419">
        <f>VLOOKUP($A24,Prevs!$C:$I,Ajustes!M$1,FALSE)</f>
        <v>1051</v>
      </c>
      <c r="N24" s="419">
        <f>VLOOKUP($A24,Prevs!$C:$I,Ajustes!N$1,FALSE)</f>
        <v>986</v>
      </c>
      <c r="O24" s="419">
        <f>VLOOKUP($A24,Prevs!$C:$I,Ajustes!O$1,FALSE)</f>
        <v>1034</v>
      </c>
      <c r="P24" s="419">
        <f>VLOOKUP($A24,Prevs!$C:$I,Ajustes!P$1,FALSE)</f>
        <v>945</v>
      </c>
      <c r="Q24" s="419">
        <f>VLOOKUP($E24,Prevs!$C:$I,Ajustes!K$1,FALSE)</f>
        <v>630</v>
      </c>
      <c r="R24" s="419">
        <f>VLOOKUP($E24,Prevs!$C:$I,Ajustes!L$1,FALSE)</f>
        <v>633</v>
      </c>
      <c r="S24" s="419">
        <f>VLOOKUP($E24,Prevs!$C:$I,Ajustes!M$1,FALSE)</f>
        <v>607</v>
      </c>
      <c r="T24" s="419">
        <f>VLOOKUP($E24,Prevs!$C:$I,Ajustes!N$1,FALSE)</f>
        <v>573</v>
      </c>
      <c r="U24" s="419">
        <f>VLOOKUP($E24,Prevs!$C:$I,Ajustes!O$1,FALSE)</f>
        <v>570</v>
      </c>
      <c r="V24" s="419">
        <f>VLOOKUP($E24,Prevs!$C:$I,Ajustes!P$1,FALSE)</f>
        <v>543</v>
      </c>
      <c r="W24" s="419">
        <f t="shared" si="61"/>
        <v>479</v>
      </c>
      <c r="X24" s="419">
        <f t="shared" si="62"/>
        <v>451</v>
      </c>
      <c r="Y24" s="419">
        <f t="shared" si="63"/>
        <v>444</v>
      </c>
      <c r="Z24" s="419">
        <f t="shared" si="64"/>
        <v>413</v>
      </c>
      <c r="AA24" s="419">
        <f t="shared" si="65"/>
        <v>464</v>
      </c>
      <c r="AB24" s="419">
        <f t="shared" si="66"/>
        <v>402</v>
      </c>
      <c r="AC24" s="417">
        <f>VLOOKUP($J24,Fatores!$G$1:$J$5,2,FALSE)</f>
        <v>1.5531612828314754</v>
      </c>
      <c r="AD24" s="417">
        <f>VLOOKUP($C24,Fatores!$A:$D,2,FALSE)</f>
        <v>1</v>
      </c>
      <c r="AE24" s="420">
        <f t="shared" si="6"/>
        <v>743.96425447627666</v>
      </c>
      <c r="AF24" s="420">
        <f t="shared" si="7"/>
        <v>700.47573855699534</v>
      </c>
      <c r="AG24" s="420">
        <f t="shared" si="8"/>
        <v>689.60360957717501</v>
      </c>
      <c r="AH24" s="420">
        <f t="shared" si="9"/>
        <v>641.45560980939933</v>
      </c>
      <c r="AI24" s="420">
        <f t="shared" si="10"/>
        <v>720.66683523380459</v>
      </c>
      <c r="AJ24" s="420">
        <f t="shared" si="11"/>
        <v>624.37083569825313</v>
      </c>
      <c r="AK24" s="421">
        <f t="shared" si="71"/>
        <v>1722.455862660106</v>
      </c>
      <c r="AL24" s="421">
        <f t="shared" si="71"/>
        <v>1683.6268305893193</v>
      </c>
      <c r="AM24" s="421">
        <f t="shared" si="71"/>
        <v>1632.3725082558803</v>
      </c>
      <c r="AN24" s="421">
        <f t="shared" si="71"/>
        <v>1531.4170248718347</v>
      </c>
      <c r="AO24" s="421">
        <f t="shared" si="71"/>
        <v>1605.9687664477456</v>
      </c>
      <c r="AP24" s="421">
        <f t="shared" si="71"/>
        <v>1467.7374122757442</v>
      </c>
      <c r="AQ24" s="417">
        <f>VLOOKUP($J24,Fatores!$G$1:$J$5,3,FALSE)</f>
        <v>1.3186317794730578</v>
      </c>
      <c r="AR24" s="417">
        <f>VLOOKUP($C24,Fatores!$A:$D,3,FALSE)</f>
        <v>1</v>
      </c>
      <c r="AS24" s="420">
        <f t="shared" si="13"/>
        <v>631.62462236759472</v>
      </c>
      <c r="AT24" s="420">
        <f t="shared" si="14"/>
        <v>594.702932542349</v>
      </c>
      <c r="AU24" s="420">
        <f t="shared" si="15"/>
        <v>585.47251008603769</v>
      </c>
      <c r="AV24" s="420">
        <f t="shared" si="16"/>
        <v>544.59492492237291</v>
      </c>
      <c r="AW24" s="420">
        <f t="shared" si="17"/>
        <v>611.84514567549877</v>
      </c>
      <c r="AX24" s="420">
        <f t="shared" si="18"/>
        <v>530.08997534816922</v>
      </c>
      <c r="AY24" s="421">
        <f t="shared" si="72"/>
        <v>1462.3626434356211</v>
      </c>
      <c r="AZ24" s="421">
        <f t="shared" si="72"/>
        <v>1429.3968489487945</v>
      </c>
      <c r="BA24" s="421">
        <f t="shared" si="72"/>
        <v>1385.8820002261837</v>
      </c>
      <c r="BB24" s="421">
        <f t="shared" si="72"/>
        <v>1300.1709345604349</v>
      </c>
      <c r="BC24" s="421">
        <f t="shared" si="72"/>
        <v>1363.4652599751419</v>
      </c>
      <c r="BD24" s="421">
        <f t="shared" si="72"/>
        <v>1246.1070316020396</v>
      </c>
      <c r="BE24" s="417">
        <f>VLOOKUP($J24,Fatores!$G$1:$J$5,4,FALSE)</f>
        <v>1</v>
      </c>
      <c r="BF24" s="417">
        <f>VLOOKUP($C24,Fatores!$A:$D,4,FALSE)</f>
        <v>1</v>
      </c>
      <c r="BG24" s="420">
        <f t="shared" si="20"/>
        <v>479</v>
      </c>
      <c r="BH24" s="420">
        <f t="shared" si="21"/>
        <v>451</v>
      </c>
      <c r="BI24" s="420">
        <f t="shared" si="22"/>
        <v>444</v>
      </c>
      <c r="BJ24" s="420">
        <f t="shared" si="23"/>
        <v>413</v>
      </c>
      <c r="BK24" s="420">
        <f t="shared" si="24"/>
        <v>464</v>
      </c>
      <c r="BL24" s="420">
        <f t="shared" si="25"/>
        <v>402</v>
      </c>
      <c r="BM24" s="421">
        <f>BG24+VLOOKUP($E24,$A:$BR,BM$1,FALSE)</f>
        <v>1109</v>
      </c>
      <c r="BN24" s="421">
        <f>BH24+VLOOKUP($E24,$A:$BR,BN$1,FALSE)</f>
        <v>1084</v>
      </c>
      <c r="BO24" s="421">
        <f>BI24+VLOOKUP($E24,$A:$BR,BO$1,FALSE)</f>
        <v>1051</v>
      </c>
      <c r="BP24" s="421">
        <f>BJ24+VLOOKUP($E24,$A:$BR,BP$1,FALSE)</f>
        <v>986</v>
      </c>
      <c r="BQ24" s="421">
        <f>BK24+VLOOKUP($E24,$A:$BR,BQ$1,FALSE)</f>
        <v>1034</v>
      </c>
      <c r="BR24" s="421">
        <f>BL24+VLOOKUP($E24,$A:$BR,BR$1,FALSE)</f>
        <v>945</v>
      </c>
    </row>
    <row r="25" spans="1:70 16371:16371" x14ac:dyDescent="0.25">
      <c r="A25" s="431">
        <v>34</v>
      </c>
      <c r="B25" s="424"/>
      <c r="C25" s="424" t="s">
        <v>28</v>
      </c>
      <c r="D25" s="437" t="s">
        <v>426</v>
      </c>
      <c r="E25" s="431"/>
      <c r="F25" s="424"/>
      <c r="G25" s="424"/>
      <c r="H25" s="424"/>
      <c r="I25" s="432"/>
      <c r="J25" s="440">
        <v>1</v>
      </c>
      <c r="K25" s="419">
        <f>VLOOKUP($A25,Prevs!$C:$I,Ajustes!K$1,FALSE)</f>
        <v>2135</v>
      </c>
      <c r="L25" s="419">
        <f>VLOOKUP($A25,Prevs!$C:$I,Ajustes!L$1,FALSE)</f>
        <v>2096</v>
      </c>
      <c r="M25" s="419">
        <f>VLOOKUP($A25,Prevs!$C:$I,Ajustes!M$1,FALSE)</f>
        <v>2058</v>
      </c>
      <c r="N25" s="419">
        <f>VLOOKUP($A25,Prevs!$C:$I,Ajustes!N$1,FALSE)</f>
        <v>2018</v>
      </c>
      <c r="O25" s="419">
        <f>VLOOKUP($A25,Prevs!$C:$I,Ajustes!O$1,FALSE)</f>
        <v>2031</v>
      </c>
      <c r="P25" s="419">
        <f>VLOOKUP($A25,Prevs!$C:$I,Ajustes!P$1,FALSE)</f>
        <v>1920</v>
      </c>
      <c r="Q25" s="419">
        <v>0</v>
      </c>
      <c r="R25" s="419">
        <v>0</v>
      </c>
      <c r="S25" s="419">
        <v>0</v>
      </c>
      <c r="T25" s="419">
        <v>0</v>
      </c>
      <c r="U25" s="419">
        <v>0</v>
      </c>
      <c r="V25" s="419">
        <v>0</v>
      </c>
      <c r="W25" s="419">
        <f t="shared" ref="W25:AB26" si="73">K25-Q25</f>
        <v>2135</v>
      </c>
      <c r="X25" s="419">
        <f t="shared" si="73"/>
        <v>2096</v>
      </c>
      <c r="Y25" s="419">
        <f t="shared" si="73"/>
        <v>2058</v>
      </c>
      <c r="Z25" s="419">
        <f t="shared" si="73"/>
        <v>2018</v>
      </c>
      <c r="AA25" s="419">
        <f t="shared" si="73"/>
        <v>2031</v>
      </c>
      <c r="AB25" s="419">
        <f t="shared" si="73"/>
        <v>1920</v>
      </c>
      <c r="AC25" s="417">
        <f>VLOOKUP($J25,Fatores!$G$1:$J$5,2,FALSE)</f>
        <v>1.5531612828314754</v>
      </c>
      <c r="AD25" s="417">
        <f>VLOOKUP($C25,Fatores!$A:$D,2,FALSE)</f>
        <v>1</v>
      </c>
      <c r="AE25" s="420">
        <f t="shared" si="6"/>
        <v>3315.9993388451999</v>
      </c>
      <c r="AF25" s="420">
        <f t="shared" si="7"/>
        <v>3255.4260488147725</v>
      </c>
      <c r="AG25" s="420">
        <f t="shared" si="8"/>
        <v>3196.4059200671763</v>
      </c>
      <c r="AH25" s="420">
        <f t="shared" si="9"/>
        <v>3134.2794687539172</v>
      </c>
      <c r="AI25" s="420">
        <f t="shared" si="10"/>
        <v>3154.4705654307263</v>
      </c>
      <c r="AJ25" s="420">
        <f t="shared" si="11"/>
        <v>2982.0696630364328</v>
      </c>
      <c r="AK25" s="421">
        <f t="shared" ref="AK25:AP26" si="74">AE25</f>
        <v>3315.9993388451999</v>
      </c>
      <c r="AL25" s="421">
        <f t="shared" si="74"/>
        <v>3255.4260488147725</v>
      </c>
      <c r="AM25" s="421">
        <f t="shared" si="74"/>
        <v>3196.4059200671763</v>
      </c>
      <c r="AN25" s="421">
        <f t="shared" si="74"/>
        <v>3134.2794687539172</v>
      </c>
      <c r="AO25" s="421">
        <f t="shared" si="74"/>
        <v>3154.4705654307263</v>
      </c>
      <c r="AP25" s="421">
        <f t="shared" si="74"/>
        <v>2982.0696630364328</v>
      </c>
      <c r="AQ25" s="417">
        <f>VLOOKUP($J25,Fatores!$G$1:$J$5,3,FALSE)</f>
        <v>1.3186317794730578</v>
      </c>
      <c r="AR25" s="417">
        <f>VLOOKUP($C25,Fatores!$A:$D,3,FALSE)</f>
        <v>1</v>
      </c>
      <c r="AS25" s="420">
        <f t="shared" si="13"/>
        <v>2815.2788491749784</v>
      </c>
      <c r="AT25" s="420">
        <f t="shared" si="14"/>
        <v>2763.852209775529</v>
      </c>
      <c r="AU25" s="420">
        <f t="shared" si="15"/>
        <v>2713.744202155553</v>
      </c>
      <c r="AV25" s="420">
        <f t="shared" si="16"/>
        <v>2660.9989309766306</v>
      </c>
      <c r="AW25" s="420">
        <f t="shared" si="17"/>
        <v>2678.1411441097803</v>
      </c>
      <c r="AX25" s="420">
        <f t="shared" si="18"/>
        <v>2531.7730165882708</v>
      </c>
      <c r="AY25" s="421">
        <f t="shared" ref="AY25:BD26" si="75">AS25</f>
        <v>2815.2788491749784</v>
      </c>
      <c r="AZ25" s="421">
        <f t="shared" si="75"/>
        <v>2763.852209775529</v>
      </c>
      <c r="BA25" s="421">
        <f t="shared" si="75"/>
        <v>2713.744202155553</v>
      </c>
      <c r="BB25" s="421">
        <f t="shared" si="75"/>
        <v>2660.9989309766306</v>
      </c>
      <c r="BC25" s="421">
        <f t="shared" si="75"/>
        <v>2678.1411441097803</v>
      </c>
      <c r="BD25" s="421">
        <f t="shared" si="75"/>
        <v>2531.7730165882708</v>
      </c>
      <c r="BE25" s="417">
        <f>VLOOKUP($J25,Fatores!$G$1:$J$5,4,FALSE)</f>
        <v>1</v>
      </c>
      <c r="BF25" s="417">
        <f>VLOOKUP($C25,Fatores!$A:$D,4,FALSE)</f>
        <v>1</v>
      </c>
      <c r="BG25" s="420">
        <f t="shared" si="20"/>
        <v>2135</v>
      </c>
      <c r="BH25" s="420">
        <f t="shared" si="21"/>
        <v>2096</v>
      </c>
      <c r="BI25" s="420">
        <f t="shared" si="22"/>
        <v>2058</v>
      </c>
      <c r="BJ25" s="420">
        <f t="shared" si="23"/>
        <v>2018</v>
      </c>
      <c r="BK25" s="420">
        <f t="shared" si="24"/>
        <v>2031</v>
      </c>
      <c r="BL25" s="420">
        <f t="shared" si="25"/>
        <v>1920</v>
      </c>
      <c r="BM25" s="421">
        <f>BG25</f>
        <v>2135</v>
      </c>
      <c r="BN25" s="421">
        <f>BH25</f>
        <v>2096</v>
      </c>
      <c r="BO25" s="421">
        <f>BI25</f>
        <v>2058</v>
      </c>
      <c r="BP25" s="421">
        <f>BJ25</f>
        <v>2018</v>
      </c>
      <c r="BQ25" s="421">
        <f>BK25</f>
        <v>2031</v>
      </c>
      <c r="BR25" s="421">
        <f>BL25</f>
        <v>1920</v>
      </c>
    </row>
    <row r="26" spans="1:70 16371:16371" x14ac:dyDescent="0.25">
      <c r="A26" s="431">
        <v>47</v>
      </c>
      <c r="B26" s="424"/>
      <c r="C26" s="424" t="s">
        <v>25</v>
      </c>
      <c r="D26" s="437" t="s">
        <v>442</v>
      </c>
      <c r="E26" s="431"/>
      <c r="F26" s="424"/>
      <c r="G26" s="424"/>
      <c r="H26" s="424"/>
      <c r="I26" s="432"/>
      <c r="J26" s="440">
        <v>1</v>
      </c>
      <c r="K26" s="419">
        <f>VLOOKUP($A26,Prevs!$C:$I,Ajustes!K$1,FALSE)</f>
        <v>155</v>
      </c>
      <c r="L26" s="419">
        <f>VLOOKUP($A26,Prevs!$C:$I,Ajustes!L$1,FALSE)</f>
        <v>173</v>
      </c>
      <c r="M26" s="419">
        <f>VLOOKUP($A26,Prevs!$C:$I,Ajustes!M$1,FALSE)</f>
        <v>167</v>
      </c>
      <c r="N26" s="419">
        <f>VLOOKUP($A26,Prevs!$C:$I,Ajustes!N$1,FALSE)</f>
        <v>165</v>
      </c>
      <c r="O26" s="419">
        <f>VLOOKUP($A26,Prevs!$C:$I,Ajustes!O$1,FALSE)</f>
        <v>162</v>
      </c>
      <c r="P26" s="419">
        <f>VLOOKUP($A26,Prevs!$C:$I,Ajustes!P$1,FALSE)</f>
        <v>151</v>
      </c>
      <c r="Q26" s="419">
        <v>0</v>
      </c>
      <c r="R26" s="419">
        <v>0</v>
      </c>
      <c r="S26" s="419">
        <v>0</v>
      </c>
      <c r="T26" s="419">
        <v>0</v>
      </c>
      <c r="U26" s="419">
        <v>0</v>
      </c>
      <c r="V26" s="419">
        <v>0</v>
      </c>
      <c r="W26" s="419">
        <f t="shared" si="73"/>
        <v>155</v>
      </c>
      <c r="X26" s="419">
        <f t="shared" si="73"/>
        <v>173</v>
      </c>
      <c r="Y26" s="419">
        <f t="shared" si="73"/>
        <v>167</v>
      </c>
      <c r="Z26" s="419">
        <f t="shared" si="73"/>
        <v>165</v>
      </c>
      <c r="AA26" s="419">
        <f t="shared" si="73"/>
        <v>162</v>
      </c>
      <c r="AB26" s="419">
        <f t="shared" si="73"/>
        <v>151</v>
      </c>
      <c r="AC26" s="417">
        <f>VLOOKUP($J26,Fatores!$G$1:$J$5,2,FALSE)</f>
        <v>1.5531612828314754</v>
      </c>
      <c r="AD26" s="417">
        <f>VLOOKUP($C26,Fatores!$A:$D,2,FALSE)</f>
        <v>1</v>
      </c>
      <c r="AE26" s="420">
        <f t="shared" si="6"/>
        <v>240.73999883887868</v>
      </c>
      <c r="AF26" s="420">
        <f t="shared" si="7"/>
        <v>268.69690192984524</v>
      </c>
      <c r="AG26" s="420">
        <f t="shared" si="8"/>
        <v>259.37793423285638</v>
      </c>
      <c r="AH26" s="420">
        <f t="shared" si="9"/>
        <v>256.27161166719344</v>
      </c>
      <c r="AI26" s="420">
        <f t="shared" si="10"/>
        <v>251.61212781869901</v>
      </c>
      <c r="AJ26" s="420">
        <f t="shared" si="11"/>
        <v>234.52735370755278</v>
      </c>
      <c r="AK26" s="421">
        <f t="shared" si="74"/>
        <v>240.73999883887868</v>
      </c>
      <c r="AL26" s="421">
        <f t="shared" si="74"/>
        <v>268.69690192984524</v>
      </c>
      <c r="AM26" s="421">
        <f t="shared" si="74"/>
        <v>259.37793423285638</v>
      </c>
      <c r="AN26" s="421">
        <f t="shared" si="74"/>
        <v>256.27161166719344</v>
      </c>
      <c r="AO26" s="421">
        <f t="shared" si="74"/>
        <v>251.61212781869901</v>
      </c>
      <c r="AP26" s="421">
        <f t="shared" si="74"/>
        <v>234.52735370755278</v>
      </c>
      <c r="AQ26" s="417">
        <f>VLOOKUP($J26,Fatores!$G$1:$J$5,3,FALSE)</f>
        <v>1.3186317794730578</v>
      </c>
      <c r="AR26" s="417">
        <f>VLOOKUP($C26,Fatores!$A:$D,3,FALSE)</f>
        <v>1</v>
      </c>
      <c r="AS26" s="420">
        <f t="shared" si="13"/>
        <v>204.38792581832396</v>
      </c>
      <c r="AT26" s="420">
        <f t="shared" si="14"/>
        <v>228.123297848839</v>
      </c>
      <c r="AU26" s="420">
        <f t="shared" si="15"/>
        <v>220.21150717200064</v>
      </c>
      <c r="AV26" s="420">
        <f t="shared" si="16"/>
        <v>217.57424361305453</v>
      </c>
      <c r="AW26" s="420">
        <f t="shared" si="17"/>
        <v>213.61834827463537</v>
      </c>
      <c r="AX26" s="420">
        <f t="shared" si="18"/>
        <v>199.11339870043173</v>
      </c>
      <c r="AY26" s="421">
        <f t="shared" si="75"/>
        <v>204.38792581832396</v>
      </c>
      <c r="AZ26" s="421">
        <f t="shared" si="75"/>
        <v>228.123297848839</v>
      </c>
      <c r="BA26" s="421">
        <f t="shared" si="75"/>
        <v>220.21150717200064</v>
      </c>
      <c r="BB26" s="421">
        <f t="shared" si="75"/>
        <v>217.57424361305453</v>
      </c>
      <c r="BC26" s="421">
        <f t="shared" si="75"/>
        <v>213.61834827463537</v>
      </c>
      <c r="BD26" s="421">
        <f t="shared" si="75"/>
        <v>199.11339870043173</v>
      </c>
      <c r="BE26" s="417">
        <f>VLOOKUP($J26,Fatores!$G$1:$J$5,4,FALSE)</f>
        <v>1</v>
      </c>
      <c r="BF26" s="417">
        <f>VLOOKUP($C26,Fatores!$A:$D,4,FALSE)</f>
        <v>1</v>
      </c>
      <c r="BG26" s="420">
        <f t="shared" si="20"/>
        <v>155</v>
      </c>
      <c r="BH26" s="420">
        <f t="shared" si="21"/>
        <v>173</v>
      </c>
      <c r="BI26" s="420">
        <f t="shared" si="22"/>
        <v>167</v>
      </c>
      <c r="BJ26" s="420">
        <f t="shared" si="23"/>
        <v>165</v>
      </c>
      <c r="BK26" s="420">
        <f t="shared" si="24"/>
        <v>162</v>
      </c>
      <c r="BL26" s="420">
        <f t="shared" si="25"/>
        <v>151</v>
      </c>
      <c r="BM26" s="421">
        <f>BG26</f>
        <v>155</v>
      </c>
      <c r="BN26" s="421">
        <f>BH26</f>
        <v>173</v>
      </c>
      <c r="BO26" s="421">
        <f>BI26</f>
        <v>167</v>
      </c>
      <c r="BP26" s="421">
        <f>BJ26</f>
        <v>165</v>
      </c>
      <c r="BQ26" s="421">
        <f>BK26</f>
        <v>162</v>
      </c>
      <c r="BR26" s="421">
        <f>BL26</f>
        <v>151</v>
      </c>
    </row>
    <row r="27" spans="1:70 16371:16371" x14ac:dyDescent="0.25">
      <c r="A27" s="431">
        <v>48</v>
      </c>
      <c r="B27" s="424"/>
      <c r="C27" s="424" t="s">
        <v>25</v>
      </c>
      <c r="D27" s="437" t="s">
        <v>442</v>
      </c>
      <c r="E27" s="444">
        <v>47</v>
      </c>
      <c r="F27" s="424"/>
      <c r="G27" s="424"/>
      <c r="H27" s="424"/>
      <c r="I27" s="432"/>
      <c r="J27" s="440">
        <v>1</v>
      </c>
      <c r="K27" s="419">
        <f>VLOOKUP($A27,Prevs!$C:$I,Ajustes!K$1,FALSE)</f>
        <v>160</v>
      </c>
      <c r="L27" s="419">
        <f>VLOOKUP($A27,Prevs!$C:$I,Ajustes!L$1,FALSE)</f>
        <v>178</v>
      </c>
      <c r="M27" s="419">
        <f>VLOOKUP($A27,Prevs!$C:$I,Ajustes!M$1,FALSE)</f>
        <v>171</v>
      </c>
      <c r="N27" s="419">
        <f>VLOOKUP($A27,Prevs!$C:$I,Ajustes!N$1,FALSE)</f>
        <v>169</v>
      </c>
      <c r="O27" s="419">
        <f>VLOOKUP($A27,Prevs!$C:$I,Ajustes!O$1,FALSE)</f>
        <v>166</v>
      </c>
      <c r="P27" s="419">
        <f>VLOOKUP($A27,Prevs!$C:$I,Ajustes!P$1,FALSE)</f>
        <v>154</v>
      </c>
      <c r="Q27" s="419">
        <f>VLOOKUP($E27,Prevs!$C:$I,Ajustes!K$1,FALSE)</f>
        <v>155</v>
      </c>
      <c r="R27" s="419">
        <f>VLOOKUP($E27,Prevs!$C:$I,Ajustes!L$1,FALSE)</f>
        <v>173</v>
      </c>
      <c r="S27" s="419">
        <f>VLOOKUP($E27,Prevs!$C:$I,Ajustes!M$1,FALSE)</f>
        <v>167</v>
      </c>
      <c r="T27" s="419">
        <f>VLOOKUP($E27,Prevs!$C:$I,Ajustes!N$1,FALSE)</f>
        <v>165</v>
      </c>
      <c r="U27" s="419">
        <f>VLOOKUP($E27,Prevs!$C:$I,Ajustes!O$1,FALSE)</f>
        <v>162</v>
      </c>
      <c r="V27" s="419">
        <f>VLOOKUP($E27,Prevs!$C:$I,Ajustes!P$1,FALSE)</f>
        <v>151</v>
      </c>
      <c r="W27" s="419">
        <f t="shared" ref="W27:W31" si="76">K27-Q27</f>
        <v>5</v>
      </c>
      <c r="X27" s="419">
        <f t="shared" ref="X27:X31" si="77">L27-R27</f>
        <v>5</v>
      </c>
      <c r="Y27" s="419">
        <f t="shared" ref="Y27:Y31" si="78">M27-S27</f>
        <v>4</v>
      </c>
      <c r="Z27" s="419">
        <f t="shared" ref="Z27:Z31" si="79">N27-T27</f>
        <v>4</v>
      </c>
      <c r="AA27" s="419">
        <f t="shared" ref="AA27:AA31" si="80">O27-U27</f>
        <v>4</v>
      </c>
      <c r="AB27" s="419">
        <f t="shared" ref="AB27:AB31" si="81">P27-V27</f>
        <v>3</v>
      </c>
      <c r="AC27" s="417">
        <f>VLOOKUP($J27,Fatores!$G$1:$J$5,2,FALSE)</f>
        <v>1.5531612828314754</v>
      </c>
      <c r="AD27" s="417">
        <f>VLOOKUP($C27,Fatores!$A:$D,2,FALSE)</f>
        <v>1</v>
      </c>
      <c r="AE27" s="420">
        <f t="shared" si="6"/>
        <v>7.7658064141573764</v>
      </c>
      <c r="AF27" s="420">
        <f t="shared" si="7"/>
        <v>7.7658064141573764</v>
      </c>
      <c r="AG27" s="420">
        <f t="shared" si="8"/>
        <v>6.2126451313259015</v>
      </c>
      <c r="AH27" s="420">
        <f t="shared" si="9"/>
        <v>6.2126451313259015</v>
      </c>
      <c r="AI27" s="420">
        <f t="shared" si="10"/>
        <v>6.2126451313259015</v>
      </c>
      <c r="AJ27" s="420">
        <f t="shared" si="11"/>
        <v>4.6594838484944265</v>
      </c>
      <c r="AK27" s="421">
        <f t="shared" ref="AK27:AP31" si="82">AE27+VLOOKUP($E27,$A:$BR,AK$1,FALSE)</f>
        <v>248.50580525303604</v>
      </c>
      <c r="AL27" s="421">
        <f t="shared" si="82"/>
        <v>276.46270834400264</v>
      </c>
      <c r="AM27" s="421">
        <f t="shared" si="82"/>
        <v>265.5905793641823</v>
      </c>
      <c r="AN27" s="421">
        <f t="shared" si="82"/>
        <v>262.48425679851937</v>
      </c>
      <c r="AO27" s="421">
        <f t="shared" si="82"/>
        <v>257.82477295002491</v>
      </c>
      <c r="AP27" s="421">
        <f t="shared" si="82"/>
        <v>239.18683755604721</v>
      </c>
      <c r="AQ27" s="417">
        <f>VLOOKUP($J27,Fatores!$G$1:$J$5,3,FALSE)</f>
        <v>1.3186317794730578</v>
      </c>
      <c r="AR27" s="417">
        <f>VLOOKUP($C27,Fatores!$A:$D,3,FALSE)</f>
        <v>1</v>
      </c>
      <c r="AS27" s="420">
        <f t="shared" si="13"/>
        <v>6.5931588973652886</v>
      </c>
      <c r="AT27" s="420">
        <f t="shared" si="14"/>
        <v>6.5931588973652886</v>
      </c>
      <c r="AU27" s="420">
        <f t="shared" si="15"/>
        <v>5.2745271178922311</v>
      </c>
      <c r="AV27" s="420">
        <f t="shared" si="16"/>
        <v>5.2745271178922311</v>
      </c>
      <c r="AW27" s="420">
        <f t="shared" si="17"/>
        <v>5.2745271178922311</v>
      </c>
      <c r="AX27" s="420">
        <f t="shared" si="18"/>
        <v>3.9558953384191735</v>
      </c>
      <c r="AY27" s="421">
        <f t="shared" ref="AY27:BD31" si="83">AS27+VLOOKUP($E27,$A:$BR,AY$1,FALSE)</f>
        <v>210.98108471568926</v>
      </c>
      <c r="AZ27" s="421">
        <f t="shared" si="83"/>
        <v>234.7164567462043</v>
      </c>
      <c r="BA27" s="421">
        <f t="shared" si="83"/>
        <v>225.48603428989287</v>
      </c>
      <c r="BB27" s="421">
        <f t="shared" si="83"/>
        <v>222.84877073094677</v>
      </c>
      <c r="BC27" s="421">
        <f t="shared" si="83"/>
        <v>218.8928753925276</v>
      </c>
      <c r="BD27" s="421">
        <f t="shared" si="83"/>
        <v>203.0692940388509</v>
      </c>
      <c r="BE27" s="417">
        <f>VLOOKUP($J27,Fatores!$G$1:$J$5,4,FALSE)</f>
        <v>1</v>
      </c>
      <c r="BF27" s="417">
        <f>VLOOKUP($C27,Fatores!$A:$D,4,FALSE)</f>
        <v>1</v>
      </c>
      <c r="BG27" s="420">
        <f t="shared" si="20"/>
        <v>5</v>
      </c>
      <c r="BH27" s="420">
        <f t="shared" si="21"/>
        <v>5</v>
      </c>
      <c r="BI27" s="420">
        <f t="shared" si="22"/>
        <v>4</v>
      </c>
      <c r="BJ27" s="420">
        <f t="shared" si="23"/>
        <v>4</v>
      </c>
      <c r="BK27" s="420">
        <f t="shared" si="24"/>
        <v>4</v>
      </c>
      <c r="BL27" s="420">
        <f t="shared" si="25"/>
        <v>3</v>
      </c>
      <c r="BM27" s="421">
        <f>BG27+VLOOKUP($E27,$A:$BR,BM$1,FALSE)</f>
        <v>160</v>
      </c>
      <c r="BN27" s="421">
        <f>BH27+VLOOKUP($E27,$A:$BR,BN$1,FALSE)</f>
        <v>178</v>
      </c>
      <c r="BO27" s="421">
        <f>BI27+VLOOKUP($E27,$A:$BR,BO$1,FALSE)</f>
        <v>171</v>
      </c>
      <c r="BP27" s="421">
        <f>BJ27+VLOOKUP($E27,$A:$BR,BP$1,FALSE)</f>
        <v>169</v>
      </c>
      <c r="BQ27" s="421">
        <f>BK27+VLOOKUP($E27,$A:$BR,BQ$1,FALSE)</f>
        <v>166</v>
      </c>
      <c r="BR27" s="421">
        <f>BL27+VLOOKUP($E27,$A:$BR,BR$1,FALSE)</f>
        <v>154</v>
      </c>
    </row>
    <row r="28" spans="1:70 16371:16371" x14ac:dyDescent="0.25">
      <c r="A28" s="431">
        <v>49</v>
      </c>
      <c r="B28" s="424"/>
      <c r="C28" s="424" t="s">
        <v>25</v>
      </c>
      <c r="D28" s="437" t="s">
        <v>442</v>
      </c>
      <c r="E28" s="444">
        <v>48</v>
      </c>
      <c r="F28" s="424"/>
      <c r="G28" s="424"/>
      <c r="H28" s="424"/>
      <c r="I28" s="432"/>
      <c r="J28" s="440">
        <v>1</v>
      </c>
      <c r="K28" s="419">
        <f>VLOOKUP($A28,Prevs!$C:$I,Ajustes!K$1,FALSE)</f>
        <v>253</v>
      </c>
      <c r="L28" s="419">
        <f>VLOOKUP($A28,Prevs!$C:$I,Ajustes!L$1,FALSE)</f>
        <v>271</v>
      </c>
      <c r="M28" s="419">
        <f>VLOOKUP($A28,Prevs!$C:$I,Ajustes!M$1,FALSE)</f>
        <v>262</v>
      </c>
      <c r="N28" s="419">
        <f>VLOOKUP($A28,Prevs!$C:$I,Ajustes!N$1,FALSE)</f>
        <v>258</v>
      </c>
      <c r="O28" s="419">
        <f>VLOOKUP($A28,Prevs!$C:$I,Ajustes!O$1,FALSE)</f>
        <v>253</v>
      </c>
      <c r="P28" s="419">
        <f>VLOOKUP($A28,Prevs!$C:$I,Ajustes!P$1,FALSE)</f>
        <v>234</v>
      </c>
      <c r="Q28" s="419">
        <f>VLOOKUP($E28,Prevs!$C:$I,Ajustes!K$1,FALSE)</f>
        <v>160</v>
      </c>
      <c r="R28" s="419">
        <f>VLOOKUP($E28,Prevs!$C:$I,Ajustes!L$1,FALSE)</f>
        <v>178</v>
      </c>
      <c r="S28" s="419">
        <f>VLOOKUP($E28,Prevs!$C:$I,Ajustes!M$1,FALSE)</f>
        <v>171</v>
      </c>
      <c r="T28" s="419">
        <f>VLOOKUP($E28,Prevs!$C:$I,Ajustes!N$1,FALSE)</f>
        <v>169</v>
      </c>
      <c r="U28" s="419">
        <f>VLOOKUP($E28,Prevs!$C:$I,Ajustes!O$1,FALSE)</f>
        <v>166</v>
      </c>
      <c r="V28" s="419">
        <f>VLOOKUP($E28,Prevs!$C:$I,Ajustes!P$1,FALSE)</f>
        <v>154</v>
      </c>
      <c r="W28" s="419">
        <f t="shared" si="76"/>
        <v>93</v>
      </c>
      <c r="X28" s="419">
        <f t="shared" si="77"/>
        <v>93</v>
      </c>
      <c r="Y28" s="419">
        <f t="shared" si="78"/>
        <v>91</v>
      </c>
      <c r="Z28" s="419">
        <f t="shared" si="79"/>
        <v>89</v>
      </c>
      <c r="AA28" s="419">
        <f t="shared" si="80"/>
        <v>87</v>
      </c>
      <c r="AB28" s="419">
        <f t="shared" si="81"/>
        <v>80</v>
      </c>
      <c r="AC28" s="417">
        <f>VLOOKUP($J28,Fatores!$G$1:$J$5,2,FALSE)</f>
        <v>1.5531612828314754</v>
      </c>
      <c r="AD28" s="417">
        <f>VLOOKUP($C28,Fatores!$A:$D,2,FALSE)</f>
        <v>1</v>
      </c>
      <c r="AE28" s="420">
        <f t="shared" si="6"/>
        <v>144.44399930332722</v>
      </c>
      <c r="AF28" s="420">
        <f t="shared" si="7"/>
        <v>144.44399930332722</v>
      </c>
      <c r="AG28" s="420">
        <f t="shared" si="8"/>
        <v>141.33767673766425</v>
      </c>
      <c r="AH28" s="420">
        <f t="shared" si="9"/>
        <v>138.23135417200132</v>
      </c>
      <c r="AI28" s="420">
        <f t="shared" si="10"/>
        <v>135.12503160633835</v>
      </c>
      <c r="AJ28" s="420">
        <f t="shared" si="11"/>
        <v>124.25290262651802</v>
      </c>
      <c r="AK28" s="421">
        <f t="shared" si="82"/>
        <v>392.94980455636323</v>
      </c>
      <c r="AL28" s="421">
        <f t="shared" si="82"/>
        <v>420.90670764732988</v>
      </c>
      <c r="AM28" s="421">
        <f t="shared" si="82"/>
        <v>406.92825610184656</v>
      </c>
      <c r="AN28" s="421">
        <f t="shared" si="82"/>
        <v>400.71561097052069</v>
      </c>
      <c r="AO28" s="421">
        <f t="shared" si="82"/>
        <v>392.94980455636323</v>
      </c>
      <c r="AP28" s="421">
        <f t="shared" si="82"/>
        <v>363.43974018256523</v>
      </c>
      <c r="AQ28" s="417">
        <f>VLOOKUP($J28,Fatores!$G$1:$J$5,3,FALSE)</f>
        <v>1.3186317794730578</v>
      </c>
      <c r="AR28" s="417">
        <f>VLOOKUP($C28,Fatores!$A:$D,3,FALSE)</f>
        <v>1</v>
      </c>
      <c r="AS28" s="420">
        <f t="shared" si="13"/>
        <v>122.63275549099437</v>
      </c>
      <c r="AT28" s="420">
        <f t="shared" si="14"/>
        <v>122.63275549099437</v>
      </c>
      <c r="AU28" s="420">
        <f t="shared" si="15"/>
        <v>119.99549193204825</v>
      </c>
      <c r="AV28" s="420">
        <f t="shared" si="16"/>
        <v>117.35822837310214</v>
      </c>
      <c r="AW28" s="420">
        <f t="shared" si="17"/>
        <v>114.72096481415602</v>
      </c>
      <c r="AX28" s="420">
        <f t="shared" si="18"/>
        <v>105.49054235784462</v>
      </c>
      <c r="AY28" s="421">
        <f t="shared" si="83"/>
        <v>333.61384020668362</v>
      </c>
      <c r="AZ28" s="421">
        <f t="shared" si="83"/>
        <v>357.34921223719869</v>
      </c>
      <c r="BA28" s="421">
        <f t="shared" si="83"/>
        <v>345.48152622194112</v>
      </c>
      <c r="BB28" s="421">
        <f t="shared" si="83"/>
        <v>340.20699910404892</v>
      </c>
      <c r="BC28" s="421">
        <f t="shared" si="83"/>
        <v>333.61384020668362</v>
      </c>
      <c r="BD28" s="421">
        <f t="shared" si="83"/>
        <v>308.55983639669552</v>
      </c>
      <c r="BE28" s="417">
        <f>VLOOKUP($J28,Fatores!$G$1:$J$5,4,FALSE)</f>
        <v>1</v>
      </c>
      <c r="BF28" s="417">
        <f>VLOOKUP($C28,Fatores!$A:$D,4,FALSE)</f>
        <v>1</v>
      </c>
      <c r="BG28" s="420">
        <f t="shared" si="20"/>
        <v>93</v>
      </c>
      <c r="BH28" s="420">
        <f t="shared" si="21"/>
        <v>93</v>
      </c>
      <c r="BI28" s="420">
        <f t="shared" si="22"/>
        <v>91</v>
      </c>
      <c r="BJ28" s="420">
        <f t="shared" si="23"/>
        <v>89</v>
      </c>
      <c r="BK28" s="420">
        <f t="shared" si="24"/>
        <v>87</v>
      </c>
      <c r="BL28" s="420">
        <f t="shared" si="25"/>
        <v>80</v>
      </c>
      <c r="BM28" s="421">
        <f>BG28+VLOOKUP($E28,$A:$BR,BM$1,FALSE)</f>
        <v>253</v>
      </c>
      <c r="BN28" s="421">
        <f>BH28+VLOOKUP($E28,$A:$BR,BN$1,FALSE)</f>
        <v>271</v>
      </c>
      <c r="BO28" s="421">
        <f>BI28+VLOOKUP($E28,$A:$BR,BO$1,FALSE)</f>
        <v>262</v>
      </c>
      <c r="BP28" s="421">
        <f>BJ28+VLOOKUP($E28,$A:$BR,BP$1,FALSE)</f>
        <v>258</v>
      </c>
      <c r="BQ28" s="421">
        <f>BK28+VLOOKUP($E28,$A:$BR,BQ$1,FALSE)</f>
        <v>253</v>
      </c>
      <c r="BR28" s="421">
        <f>BL28+VLOOKUP($E28,$A:$BR,BR$1,FALSE)</f>
        <v>234</v>
      </c>
    </row>
    <row r="29" spans="1:70 16371:16371" x14ac:dyDescent="0.25">
      <c r="A29" s="431">
        <v>50</v>
      </c>
      <c r="B29" s="424"/>
      <c r="C29" s="424" t="s">
        <v>25</v>
      </c>
      <c r="D29" s="437" t="s">
        <v>442</v>
      </c>
      <c r="E29" s="444">
        <v>249</v>
      </c>
      <c r="F29" s="424"/>
      <c r="G29" s="424"/>
      <c r="H29" s="424"/>
      <c r="I29" s="432"/>
      <c r="J29" s="440">
        <v>1</v>
      </c>
      <c r="K29" s="419">
        <f>VLOOKUP($A29,Prevs!$C:$I,Ajustes!K$1,FALSE)</f>
        <v>330</v>
      </c>
      <c r="L29" s="419">
        <f>VLOOKUP($A29,Prevs!$C:$I,Ajustes!L$1,FALSE)</f>
        <v>364</v>
      </c>
      <c r="M29" s="419">
        <f>VLOOKUP($A29,Prevs!$C:$I,Ajustes!M$1,FALSE)</f>
        <v>352</v>
      </c>
      <c r="N29" s="419">
        <f>VLOOKUP($A29,Prevs!$C:$I,Ajustes!N$1,FALSE)</f>
        <v>348</v>
      </c>
      <c r="O29" s="419">
        <f>VLOOKUP($A29,Prevs!$C:$I,Ajustes!O$1,FALSE)</f>
        <v>342</v>
      </c>
      <c r="P29" s="419">
        <f>VLOOKUP($A29,Prevs!$C:$I,Ajustes!P$1,FALSE)</f>
        <v>318</v>
      </c>
      <c r="Q29" s="419">
        <f>VLOOKUP($E29,Prevs!$C:$I,Ajustes!K$1,FALSE)</f>
        <v>256</v>
      </c>
      <c r="R29" s="419">
        <f>VLOOKUP($E29,Prevs!$C:$I,Ajustes!L$1,FALSE)</f>
        <v>275</v>
      </c>
      <c r="S29" s="419">
        <f>VLOOKUP($E29,Prevs!$C:$I,Ajustes!M$1,FALSE)</f>
        <v>266</v>
      </c>
      <c r="T29" s="419">
        <f>VLOOKUP($E29,Prevs!$C:$I,Ajustes!N$1,FALSE)</f>
        <v>261</v>
      </c>
      <c r="U29" s="419">
        <f>VLOOKUP($E29,Prevs!$C:$I,Ajustes!O$1,FALSE)</f>
        <v>256</v>
      </c>
      <c r="V29" s="419">
        <f>VLOOKUP($E29,Prevs!$C:$I,Ajustes!P$1,FALSE)</f>
        <v>238</v>
      </c>
      <c r="W29" s="419">
        <f t="shared" si="76"/>
        <v>74</v>
      </c>
      <c r="X29" s="419">
        <f t="shared" si="77"/>
        <v>89</v>
      </c>
      <c r="Y29" s="419">
        <f t="shared" si="78"/>
        <v>86</v>
      </c>
      <c r="Z29" s="419">
        <f t="shared" si="79"/>
        <v>87</v>
      </c>
      <c r="AA29" s="419">
        <f t="shared" si="80"/>
        <v>86</v>
      </c>
      <c r="AB29" s="419">
        <f t="shared" si="81"/>
        <v>80</v>
      </c>
      <c r="AC29" s="417">
        <f>VLOOKUP($J29,Fatores!$G$1:$J$5,2,FALSE)</f>
        <v>1.5531612828314754</v>
      </c>
      <c r="AD29" s="417">
        <f>VLOOKUP($C29,Fatores!$A:$D,2,FALSE)</f>
        <v>1</v>
      </c>
      <c r="AE29" s="420">
        <f t="shared" si="6"/>
        <v>114.93393492952917</v>
      </c>
      <c r="AF29" s="420">
        <f t="shared" si="7"/>
        <v>138.23135417200132</v>
      </c>
      <c r="AG29" s="420">
        <f t="shared" si="8"/>
        <v>133.57187032350689</v>
      </c>
      <c r="AH29" s="420">
        <f t="shared" si="9"/>
        <v>135.12503160633835</v>
      </c>
      <c r="AI29" s="420">
        <f t="shared" si="10"/>
        <v>133.57187032350689</v>
      </c>
      <c r="AJ29" s="420">
        <f t="shared" si="11"/>
        <v>124.25290262651802</v>
      </c>
      <c r="AK29" s="421">
        <f t="shared" si="82"/>
        <v>512.54322333438677</v>
      </c>
      <c r="AL29" s="421">
        <f t="shared" si="82"/>
        <v>565.35070695065713</v>
      </c>
      <c r="AM29" s="421">
        <f t="shared" si="82"/>
        <v>546.7127715566794</v>
      </c>
      <c r="AN29" s="421">
        <f t="shared" si="82"/>
        <v>540.50012642535341</v>
      </c>
      <c r="AO29" s="421">
        <f t="shared" si="82"/>
        <v>531.18115872836449</v>
      </c>
      <c r="AP29" s="421">
        <f t="shared" si="82"/>
        <v>493.90528794040915</v>
      </c>
      <c r="AQ29" s="417">
        <f>VLOOKUP($J29,Fatores!$G$1:$J$5,3,FALSE)</f>
        <v>1.3186317794730578</v>
      </c>
      <c r="AR29" s="417">
        <f>VLOOKUP($C29,Fatores!$A:$D,3,FALSE)</f>
        <v>1</v>
      </c>
      <c r="AS29" s="420">
        <f t="shared" si="13"/>
        <v>97.578751681006281</v>
      </c>
      <c r="AT29" s="420">
        <f t="shared" si="14"/>
        <v>117.35822837310214</v>
      </c>
      <c r="AU29" s="420">
        <f t="shared" si="15"/>
        <v>113.40233303468297</v>
      </c>
      <c r="AV29" s="420">
        <f t="shared" si="16"/>
        <v>114.72096481415602</v>
      </c>
      <c r="AW29" s="420">
        <f t="shared" si="17"/>
        <v>113.40233303468297</v>
      </c>
      <c r="AX29" s="420">
        <f t="shared" si="18"/>
        <v>105.49054235784462</v>
      </c>
      <c r="AY29" s="421">
        <f t="shared" si="83"/>
        <v>435.14848722610907</v>
      </c>
      <c r="AZ29" s="421">
        <f t="shared" si="83"/>
        <v>479.98196772819301</v>
      </c>
      <c r="BA29" s="421">
        <f t="shared" si="83"/>
        <v>464.15838637451628</v>
      </c>
      <c r="BB29" s="421">
        <f t="shared" si="83"/>
        <v>458.88385925662408</v>
      </c>
      <c r="BC29" s="421">
        <f t="shared" si="83"/>
        <v>450.97206857978574</v>
      </c>
      <c r="BD29" s="421">
        <f t="shared" si="83"/>
        <v>419.32490587243234</v>
      </c>
      <c r="BE29" s="417">
        <f>VLOOKUP($J29,Fatores!$G$1:$J$5,4,FALSE)</f>
        <v>1</v>
      </c>
      <c r="BF29" s="417">
        <f>VLOOKUP($C29,Fatores!$A:$D,4,FALSE)</f>
        <v>1</v>
      </c>
      <c r="BG29" s="420">
        <f t="shared" si="20"/>
        <v>74</v>
      </c>
      <c r="BH29" s="420">
        <f t="shared" si="21"/>
        <v>89</v>
      </c>
      <c r="BI29" s="420">
        <f t="shared" si="22"/>
        <v>86</v>
      </c>
      <c r="BJ29" s="420">
        <f t="shared" si="23"/>
        <v>87</v>
      </c>
      <c r="BK29" s="420">
        <f t="shared" si="24"/>
        <v>86</v>
      </c>
      <c r="BL29" s="420">
        <f t="shared" si="25"/>
        <v>80</v>
      </c>
      <c r="BM29" s="421">
        <f>BG29+VLOOKUP($E29,$A:$BR,BM$1,FALSE)</f>
        <v>330</v>
      </c>
      <c r="BN29" s="421">
        <f>BH29+VLOOKUP($E29,$A:$BR,BN$1,FALSE)</f>
        <v>364</v>
      </c>
      <c r="BO29" s="421">
        <f>BI29+VLOOKUP($E29,$A:$BR,BO$1,FALSE)</f>
        <v>352</v>
      </c>
      <c r="BP29" s="421">
        <f>BJ29+VLOOKUP($E29,$A:$BR,BP$1,FALSE)</f>
        <v>348</v>
      </c>
      <c r="BQ29" s="421">
        <f>BK29+VLOOKUP($E29,$A:$BR,BQ$1,FALSE)</f>
        <v>342</v>
      </c>
      <c r="BR29" s="421">
        <f>BL29+VLOOKUP($E29,$A:$BR,BR$1,FALSE)</f>
        <v>318</v>
      </c>
    </row>
    <row r="30" spans="1:70 16371:16371" x14ac:dyDescent="0.25">
      <c r="A30" s="431">
        <v>51</v>
      </c>
      <c r="B30" s="424"/>
      <c r="C30" s="424" t="s">
        <v>25</v>
      </c>
      <c r="D30" s="437" t="s">
        <v>442</v>
      </c>
      <c r="E30" s="444">
        <v>50</v>
      </c>
      <c r="F30" s="424"/>
      <c r="G30" s="424"/>
      <c r="H30" s="424"/>
      <c r="I30" s="432"/>
      <c r="J30" s="440">
        <v>1</v>
      </c>
      <c r="K30" s="419">
        <f>VLOOKUP($A30,Prevs!$C:$I,Ajustes!K$1,FALSE)</f>
        <v>336</v>
      </c>
      <c r="L30" s="419">
        <f>VLOOKUP($A30,Prevs!$C:$I,Ajustes!L$1,FALSE)</f>
        <v>372</v>
      </c>
      <c r="M30" s="419">
        <f>VLOOKUP($A30,Prevs!$C:$I,Ajustes!M$1,FALSE)</f>
        <v>360</v>
      </c>
      <c r="N30" s="419">
        <f>VLOOKUP($A30,Prevs!$C:$I,Ajustes!N$1,FALSE)</f>
        <v>354</v>
      </c>
      <c r="O30" s="419">
        <f>VLOOKUP($A30,Prevs!$C:$I,Ajustes!O$1,FALSE)</f>
        <v>348</v>
      </c>
      <c r="P30" s="419">
        <f>VLOOKUP($A30,Prevs!$C:$I,Ajustes!P$1,FALSE)</f>
        <v>324</v>
      </c>
      <c r="Q30" s="419">
        <f>VLOOKUP($E30,Prevs!$C:$I,Ajustes!K$1,FALSE)</f>
        <v>330</v>
      </c>
      <c r="R30" s="419">
        <f>VLOOKUP($E30,Prevs!$C:$I,Ajustes!L$1,FALSE)</f>
        <v>364</v>
      </c>
      <c r="S30" s="419">
        <f>VLOOKUP($E30,Prevs!$C:$I,Ajustes!M$1,FALSE)</f>
        <v>352</v>
      </c>
      <c r="T30" s="419">
        <f>VLOOKUP($E30,Prevs!$C:$I,Ajustes!N$1,FALSE)</f>
        <v>348</v>
      </c>
      <c r="U30" s="419">
        <f>VLOOKUP($E30,Prevs!$C:$I,Ajustes!O$1,FALSE)</f>
        <v>342</v>
      </c>
      <c r="V30" s="419">
        <f>VLOOKUP($E30,Prevs!$C:$I,Ajustes!P$1,FALSE)</f>
        <v>318</v>
      </c>
      <c r="W30" s="419">
        <f t="shared" si="76"/>
        <v>6</v>
      </c>
      <c r="X30" s="419">
        <f t="shared" si="77"/>
        <v>8</v>
      </c>
      <c r="Y30" s="419">
        <f t="shared" si="78"/>
        <v>8</v>
      </c>
      <c r="Z30" s="419">
        <f t="shared" si="79"/>
        <v>6</v>
      </c>
      <c r="AA30" s="419">
        <f t="shared" si="80"/>
        <v>6</v>
      </c>
      <c r="AB30" s="419">
        <f t="shared" si="81"/>
        <v>6</v>
      </c>
      <c r="AC30" s="417">
        <f>VLOOKUP($J30,Fatores!$G$1:$J$5,2,FALSE)</f>
        <v>1.5531612828314754</v>
      </c>
      <c r="AD30" s="417">
        <f>VLOOKUP($C30,Fatores!$A:$D,2,FALSE)</f>
        <v>1</v>
      </c>
      <c r="AE30" s="420">
        <f t="shared" si="6"/>
        <v>9.3189676969888531</v>
      </c>
      <c r="AF30" s="420">
        <f t="shared" si="7"/>
        <v>12.425290262651803</v>
      </c>
      <c r="AG30" s="420">
        <f t="shared" si="8"/>
        <v>12.425290262651803</v>
      </c>
      <c r="AH30" s="420">
        <f t="shared" si="9"/>
        <v>9.3189676969888531</v>
      </c>
      <c r="AI30" s="420">
        <f t="shared" si="10"/>
        <v>9.3189676969888531</v>
      </c>
      <c r="AJ30" s="420">
        <f t="shared" si="11"/>
        <v>9.3189676969888531</v>
      </c>
      <c r="AK30" s="421">
        <f t="shared" si="82"/>
        <v>521.86219103137557</v>
      </c>
      <c r="AL30" s="421">
        <f t="shared" si="82"/>
        <v>577.77599721330898</v>
      </c>
      <c r="AM30" s="421">
        <f t="shared" si="82"/>
        <v>559.13806181933126</v>
      </c>
      <c r="AN30" s="421">
        <f t="shared" si="82"/>
        <v>549.81909412234222</v>
      </c>
      <c r="AO30" s="421">
        <f t="shared" si="82"/>
        <v>540.5001264253533</v>
      </c>
      <c r="AP30" s="421">
        <f t="shared" si="82"/>
        <v>503.22425563739802</v>
      </c>
      <c r="AQ30" s="417">
        <f>VLOOKUP($J30,Fatores!$G$1:$J$5,3,FALSE)</f>
        <v>1.3186317794730578</v>
      </c>
      <c r="AR30" s="417">
        <f>VLOOKUP($C30,Fatores!$A:$D,3,FALSE)</f>
        <v>1</v>
      </c>
      <c r="AS30" s="420">
        <f t="shared" si="13"/>
        <v>7.911790676838347</v>
      </c>
      <c r="AT30" s="420">
        <f t="shared" si="14"/>
        <v>10.549054235784462</v>
      </c>
      <c r="AU30" s="420">
        <f t="shared" si="15"/>
        <v>10.549054235784462</v>
      </c>
      <c r="AV30" s="420">
        <f t="shared" si="16"/>
        <v>7.911790676838347</v>
      </c>
      <c r="AW30" s="420">
        <f t="shared" si="17"/>
        <v>7.911790676838347</v>
      </c>
      <c r="AX30" s="420">
        <f t="shared" si="18"/>
        <v>7.911790676838347</v>
      </c>
      <c r="AY30" s="421">
        <f t="shared" si="83"/>
        <v>443.0602779029474</v>
      </c>
      <c r="AZ30" s="421">
        <f t="shared" si="83"/>
        <v>490.53102196397748</v>
      </c>
      <c r="BA30" s="421">
        <f t="shared" si="83"/>
        <v>474.70744061030075</v>
      </c>
      <c r="BB30" s="421">
        <f t="shared" si="83"/>
        <v>466.79564993346241</v>
      </c>
      <c r="BC30" s="421">
        <f t="shared" si="83"/>
        <v>458.88385925662408</v>
      </c>
      <c r="BD30" s="421">
        <f t="shared" si="83"/>
        <v>427.23669654927068</v>
      </c>
      <c r="BE30" s="417">
        <f>VLOOKUP($J30,Fatores!$G$1:$J$5,4,FALSE)</f>
        <v>1</v>
      </c>
      <c r="BF30" s="417">
        <f>VLOOKUP($C30,Fatores!$A:$D,4,FALSE)</f>
        <v>1</v>
      </c>
      <c r="BG30" s="420">
        <f t="shared" si="20"/>
        <v>6</v>
      </c>
      <c r="BH30" s="420">
        <f t="shared" si="21"/>
        <v>8</v>
      </c>
      <c r="BI30" s="420">
        <f t="shared" si="22"/>
        <v>8</v>
      </c>
      <c r="BJ30" s="420">
        <f t="shared" si="23"/>
        <v>6</v>
      </c>
      <c r="BK30" s="420">
        <f t="shared" si="24"/>
        <v>6</v>
      </c>
      <c r="BL30" s="420">
        <f t="shared" si="25"/>
        <v>6</v>
      </c>
      <c r="BM30" s="421">
        <f>BG30+VLOOKUP($E30,$A:$BR,BM$1,FALSE)</f>
        <v>336</v>
      </c>
      <c r="BN30" s="421">
        <f>BH30+VLOOKUP($E30,$A:$BR,BN$1,FALSE)</f>
        <v>372</v>
      </c>
      <c r="BO30" s="421">
        <f>BI30+VLOOKUP($E30,$A:$BR,BO$1,FALSE)</f>
        <v>360</v>
      </c>
      <c r="BP30" s="421">
        <f>BJ30+VLOOKUP($E30,$A:$BR,BP$1,FALSE)</f>
        <v>354</v>
      </c>
      <c r="BQ30" s="421">
        <f>BK30+VLOOKUP($E30,$A:$BR,BQ$1,FALSE)</f>
        <v>348</v>
      </c>
      <c r="BR30" s="421">
        <f>BL30+VLOOKUP($E30,$A:$BR,BR$1,FALSE)</f>
        <v>324</v>
      </c>
    </row>
    <row r="31" spans="1:70 16371:16371" x14ac:dyDescent="0.25">
      <c r="A31" s="431">
        <v>52</v>
      </c>
      <c r="B31" s="424"/>
      <c r="C31" s="424" t="s">
        <v>25</v>
      </c>
      <c r="D31" s="437" t="s">
        <v>442</v>
      </c>
      <c r="E31" s="444">
        <v>51</v>
      </c>
      <c r="F31" s="424"/>
      <c r="G31" s="424"/>
      <c r="H31" s="424"/>
      <c r="I31" s="432"/>
      <c r="J31" s="440">
        <v>1</v>
      </c>
      <c r="K31" s="419">
        <f>VLOOKUP($A31,Prevs!$C:$I,Ajustes!K$1,FALSE)</f>
        <v>349</v>
      </c>
      <c r="L31" s="419">
        <f>VLOOKUP($A31,Prevs!$C:$I,Ajustes!L$1,FALSE)</f>
        <v>387</v>
      </c>
      <c r="M31" s="419">
        <f>VLOOKUP($A31,Prevs!$C:$I,Ajustes!M$1,FALSE)</f>
        <v>375</v>
      </c>
      <c r="N31" s="419">
        <f>VLOOKUP($A31,Prevs!$C:$I,Ajustes!N$1,FALSE)</f>
        <v>369</v>
      </c>
      <c r="O31" s="419">
        <f>VLOOKUP($A31,Prevs!$C:$I,Ajustes!O$1,FALSE)</f>
        <v>363</v>
      </c>
      <c r="P31" s="419">
        <f>VLOOKUP($A31,Prevs!$C:$I,Ajustes!P$1,FALSE)</f>
        <v>337</v>
      </c>
      <c r="Q31" s="419">
        <f>VLOOKUP($E31,Prevs!$C:$I,Ajustes!K$1,FALSE)</f>
        <v>336</v>
      </c>
      <c r="R31" s="419">
        <f>VLOOKUP($E31,Prevs!$C:$I,Ajustes!L$1,FALSE)</f>
        <v>372</v>
      </c>
      <c r="S31" s="419">
        <f>VLOOKUP($E31,Prevs!$C:$I,Ajustes!M$1,FALSE)</f>
        <v>360</v>
      </c>
      <c r="T31" s="419">
        <f>VLOOKUP($E31,Prevs!$C:$I,Ajustes!N$1,FALSE)</f>
        <v>354</v>
      </c>
      <c r="U31" s="419">
        <f>VLOOKUP($E31,Prevs!$C:$I,Ajustes!O$1,FALSE)</f>
        <v>348</v>
      </c>
      <c r="V31" s="419">
        <f>VLOOKUP($E31,Prevs!$C:$I,Ajustes!P$1,FALSE)</f>
        <v>324</v>
      </c>
      <c r="W31" s="419">
        <f t="shared" si="76"/>
        <v>13</v>
      </c>
      <c r="X31" s="419">
        <f t="shared" si="77"/>
        <v>15</v>
      </c>
      <c r="Y31" s="419">
        <f t="shared" si="78"/>
        <v>15</v>
      </c>
      <c r="Z31" s="419">
        <f t="shared" si="79"/>
        <v>15</v>
      </c>
      <c r="AA31" s="419">
        <f t="shared" si="80"/>
        <v>15</v>
      </c>
      <c r="AB31" s="419">
        <f t="shared" si="81"/>
        <v>13</v>
      </c>
      <c r="AC31" s="417">
        <f>VLOOKUP($J31,Fatores!$G$1:$J$5,2,FALSE)</f>
        <v>1.5531612828314754</v>
      </c>
      <c r="AD31" s="417">
        <f>VLOOKUP($C31,Fatores!$A:$D,2,FALSE)</f>
        <v>1</v>
      </c>
      <c r="AE31" s="420">
        <f t="shared" si="6"/>
        <v>20.191096676809181</v>
      </c>
      <c r="AF31" s="420">
        <f t="shared" si="7"/>
        <v>23.297419242472131</v>
      </c>
      <c r="AG31" s="420">
        <f t="shared" si="8"/>
        <v>23.297419242472131</v>
      </c>
      <c r="AH31" s="420">
        <f t="shared" si="9"/>
        <v>23.297419242472131</v>
      </c>
      <c r="AI31" s="420">
        <f t="shared" si="10"/>
        <v>23.297419242472131</v>
      </c>
      <c r="AJ31" s="420">
        <f t="shared" si="11"/>
        <v>20.191096676809181</v>
      </c>
      <c r="AK31" s="421">
        <f t="shared" si="82"/>
        <v>542.05328770818471</v>
      </c>
      <c r="AL31" s="421">
        <f t="shared" si="82"/>
        <v>601.07341645578117</v>
      </c>
      <c r="AM31" s="421">
        <f t="shared" si="82"/>
        <v>582.43548106180333</v>
      </c>
      <c r="AN31" s="421">
        <f t="shared" si="82"/>
        <v>573.11651336481441</v>
      </c>
      <c r="AO31" s="421">
        <f t="shared" si="82"/>
        <v>563.79754566782549</v>
      </c>
      <c r="AP31" s="421">
        <f t="shared" si="82"/>
        <v>523.41535231420721</v>
      </c>
      <c r="AQ31" s="417">
        <f>VLOOKUP($J31,Fatores!$G$1:$J$5,3,FALSE)</f>
        <v>1.3186317794730578</v>
      </c>
      <c r="AR31" s="417">
        <f>VLOOKUP($C31,Fatores!$A:$D,3,FALSE)</f>
        <v>1</v>
      </c>
      <c r="AS31" s="420">
        <f t="shared" si="13"/>
        <v>17.142213133149752</v>
      </c>
      <c r="AT31" s="420">
        <f t="shared" si="14"/>
        <v>19.779476692095866</v>
      </c>
      <c r="AU31" s="420">
        <f t="shared" si="15"/>
        <v>19.779476692095866</v>
      </c>
      <c r="AV31" s="420">
        <f t="shared" si="16"/>
        <v>19.779476692095866</v>
      </c>
      <c r="AW31" s="420">
        <f t="shared" si="17"/>
        <v>19.779476692095866</v>
      </c>
      <c r="AX31" s="420">
        <f t="shared" si="18"/>
        <v>17.142213133149752</v>
      </c>
      <c r="AY31" s="421">
        <f t="shared" si="83"/>
        <v>460.20249103609717</v>
      </c>
      <c r="AZ31" s="421">
        <f t="shared" si="83"/>
        <v>510.31049865607332</v>
      </c>
      <c r="BA31" s="421">
        <f t="shared" si="83"/>
        <v>494.48691730239659</v>
      </c>
      <c r="BB31" s="421">
        <f t="shared" si="83"/>
        <v>486.57512662555826</v>
      </c>
      <c r="BC31" s="421">
        <f t="shared" si="83"/>
        <v>478.66333594871992</v>
      </c>
      <c r="BD31" s="421">
        <f t="shared" si="83"/>
        <v>444.37890968242044</v>
      </c>
      <c r="BE31" s="417">
        <f>VLOOKUP($J31,Fatores!$G$1:$J$5,4,FALSE)</f>
        <v>1</v>
      </c>
      <c r="BF31" s="417">
        <f>VLOOKUP($C31,Fatores!$A:$D,4,FALSE)</f>
        <v>1</v>
      </c>
      <c r="BG31" s="420">
        <f t="shared" si="20"/>
        <v>13</v>
      </c>
      <c r="BH31" s="420">
        <f t="shared" si="21"/>
        <v>15</v>
      </c>
      <c r="BI31" s="420">
        <f t="shared" si="22"/>
        <v>15</v>
      </c>
      <c r="BJ31" s="420">
        <f t="shared" si="23"/>
        <v>15</v>
      </c>
      <c r="BK31" s="420">
        <f t="shared" si="24"/>
        <v>15</v>
      </c>
      <c r="BL31" s="420">
        <f t="shared" si="25"/>
        <v>13</v>
      </c>
      <c r="BM31" s="421">
        <f>BG31+VLOOKUP($E31,$A:$BR,BM$1,FALSE)</f>
        <v>349</v>
      </c>
      <c r="BN31" s="421">
        <f>BH31+VLOOKUP($E31,$A:$BR,BN$1,FALSE)</f>
        <v>387</v>
      </c>
      <c r="BO31" s="421">
        <f>BI31+VLOOKUP($E31,$A:$BR,BO$1,FALSE)</f>
        <v>375</v>
      </c>
      <c r="BP31" s="421">
        <f>BJ31+VLOOKUP($E31,$A:$BR,BP$1,FALSE)</f>
        <v>369</v>
      </c>
      <c r="BQ31" s="421">
        <f>BK31+VLOOKUP($E31,$A:$BR,BQ$1,FALSE)</f>
        <v>363</v>
      </c>
      <c r="BR31" s="421">
        <f>BL31+VLOOKUP($E31,$A:$BR,BR$1,FALSE)</f>
        <v>337</v>
      </c>
    </row>
    <row r="32" spans="1:70 16371:16371" x14ac:dyDescent="0.25">
      <c r="A32" s="431">
        <v>57</v>
      </c>
      <c r="B32" s="424"/>
      <c r="C32" s="424" t="s">
        <v>26</v>
      </c>
      <c r="D32" s="437" t="s">
        <v>443</v>
      </c>
      <c r="E32" s="431"/>
      <c r="F32" s="424"/>
      <c r="G32" s="424"/>
      <c r="H32" s="424"/>
      <c r="I32" s="432"/>
      <c r="J32" s="440">
        <v>2</v>
      </c>
      <c r="K32" s="419">
        <f>VLOOKUP($A32,Prevs!$C:$I,Ajustes!K$1,FALSE)</f>
        <v>179</v>
      </c>
      <c r="L32" s="419">
        <f>VLOOKUP($A32,Prevs!$C:$I,Ajustes!L$1,FALSE)</f>
        <v>170</v>
      </c>
      <c r="M32" s="419">
        <f>VLOOKUP($A32,Prevs!$C:$I,Ajustes!M$1,FALSE)</f>
        <v>147</v>
      </c>
      <c r="N32" s="419">
        <f>VLOOKUP($A32,Prevs!$C:$I,Ajustes!N$1,FALSE)</f>
        <v>144</v>
      </c>
      <c r="O32" s="419">
        <f>VLOOKUP($A32,Prevs!$C:$I,Ajustes!O$1,FALSE)</f>
        <v>164</v>
      </c>
      <c r="P32" s="419">
        <f>VLOOKUP($A32,Prevs!$C:$I,Ajustes!P$1,FALSE)</f>
        <v>121</v>
      </c>
      <c r="Q32" s="419">
        <v>0</v>
      </c>
      <c r="R32" s="419">
        <v>0</v>
      </c>
      <c r="S32" s="419">
        <v>0</v>
      </c>
      <c r="T32" s="419">
        <v>0</v>
      </c>
      <c r="U32" s="419">
        <v>0</v>
      </c>
      <c r="V32" s="419">
        <v>0</v>
      </c>
      <c r="W32" s="419">
        <f t="shared" ref="W32:AB32" si="84">K32-Q32</f>
        <v>179</v>
      </c>
      <c r="X32" s="419">
        <f t="shared" si="84"/>
        <v>170</v>
      </c>
      <c r="Y32" s="419">
        <f t="shared" si="84"/>
        <v>147</v>
      </c>
      <c r="Z32" s="419">
        <f t="shared" si="84"/>
        <v>144</v>
      </c>
      <c r="AA32" s="419">
        <f t="shared" si="84"/>
        <v>164</v>
      </c>
      <c r="AB32" s="419">
        <f t="shared" si="84"/>
        <v>121</v>
      </c>
      <c r="AC32" s="417">
        <f>VLOOKUP($J32,Fatores!$G$1:$J$5,2,FALSE)</f>
        <v>0.80162406960829835</v>
      </c>
      <c r="AD32" s="417">
        <f>VLOOKUP($C32,Fatores!$A:$D,2,FALSE)</f>
        <v>1</v>
      </c>
      <c r="AE32" s="420">
        <f t="shared" si="6"/>
        <v>143.49070845988541</v>
      </c>
      <c r="AF32" s="420">
        <f t="shared" si="7"/>
        <v>136.27609183341073</v>
      </c>
      <c r="AG32" s="420">
        <f t="shared" si="8"/>
        <v>117.83873823241986</v>
      </c>
      <c r="AH32" s="420">
        <f t="shared" si="9"/>
        <v>115.43386602359496</v>
      </c>
      <c r="AI32" s="420">
        <f t="shared" si="10"/>
        <v>131.46634741576094</v>
      </c>
      <c r="AJ32" s="420">
        <f t="shared" si="11"/>
        <v>96.996512422604098</v>
      </c>
      <c r="AK32" s="421">
        <f t="shared" ref="AK32:AP32" si="85">AE32</f>
        <v>143.49070845988541</v>
      </c>
      <c r="AL32" s="421">
        <f t="shared" si="85"/>
        <v>136.27609183341073</v>
      </c>
      <c r="AM32" s="421">
        <f t="shared" si="85"/>
        <v>117.83873823241986</v>
      </c>
      <c r="AN32" s="421">
        <f t="shared" si="85"/>
        <v>115.43386602359496</v>
      </c>
      <c r="AO32" s="421">
        <f t="shared" si="85"/>
        <v>131.46634741576094</v>
      </c>
      <c r="AP32" s="421">
        <f t="shared" si="85"/>
        <v>96.996512422604098</v>
      </c>
      <c r="AQ32" s="417">
        <f>VLOOKUP($J32,Fatores!$G$1:$J$5,3,FALSE)</f>
        <v>0.80162406960829835</v>
      </c>
      <c r="AR32" s="417">
        <f>VLOOKUP($C32,Fatores!$A:$D,3,FALSE)</f>
        <v>1</v>
      </c>
      <c r="AS32" s="420">
        <f t="shared" si="13"/>
        <v>143.49070845988541</v>
      </c>
      <c r="AT32" s="420">
        <f t="shared" si="14"/>
        <v>136.27609183341073</v>
      </c>
      <c r="AU32" s="420">
        <f t="shared" si="15"/>
        <v>117.83873823241986</v>
      </c>
      <c r="AV32" s="420">
        <f t="shared" si="16"/>
        <v>115.43386602359496</v>
      </c>
      <c r="AW32" s="420">
        <f t="shared" si="17"/>
        <v>131.46634741576094</v>
      </c>
      <c r="AX32" s="420">
        <f t="shared" si="18"/>
        <v>96.996512422604098</v>
      </c>
      <c r="AY32" s="421">
        <f t="shared" ref="AY32:BD32" si="86">AS32</f>
        <v>143.49070845988541</v>
      </c>
      <c r="AZ32" s="421">
        <f t="shared" si="86"/>
        <v>136.27609183341073</v>
      </c>
      <c r="BA32" s="421">
        <f t="shared" si="86"/>
        <v>117.83873823241986</v>
      </c>
      <c r="BB32" s="421">
        <f t="shared" si="86"/>
        <v>115.43386602359496</v>
      </c>
      <c r="BC32" s="421">
        <f t="shared" si="86"/>
        <v>131.46634741576094</v>
      </c>
      <c r="BD32" s="421">
        <f t="shared" si="86"/>
        <v>96.996512422604098</v>
      </c>
      <c r="BE32" s="417">
        <f>VLOOKUP($J32,Fatores!$G$1:$J$5,4,FALSE)</f>
        <v>1</v>
      </c>
      <c r="BF32" s="417">
        <f>VLOOKUP($C32,Fatores!$A:$D,4,FALSE)</f>
        <v>1</v>
      </c>
      <c r="BG32" s="420">
        <f t="shared" si="20"/>
        <v>179</v>
      </c>
      <c r="BH32" s="420">
        <f t="shared" si="21"/>
        <v>170</v>
      </c>
      <c r="BI32" s="420">
        <f t="shared" si="22"/>
        <v>147</v>
      </c>
      <c r="BJ32" s="420">
        <f t="shared" si="23"/>
        <v>144</v>
      </c>
      <c r="BK32" s="420">
        <f t="shared" si="24"/>
        <v>164</v>
      </c>
      <c r="BL32" s="420">
        <f t="shared" si="25"/>
        <v>121</v>
      </c>
      <c r="BM32" s="421">
        <f>BG32</f>
        <v>179</v>
      </c>
      <c r="BN32" s="421">
        <f>BH32</f>
        <v>170</v>
      </c>
      <c r="BO32" s="421">
        <f>BI32</f>
        <v>147</v>
      </c>
      <c r="BP32" s="421">
        <f>BJ32</f>
        <v>144</v>
      </c>
      <c r="BQ32" s="421">
        <f>BK32</f>
        <v>164</v>
      </c>
      <c r="BR32" s="421">
        <f>BL32</f>
        <v>121</v>
      </c>
    </row>
    <row r="33" spans="1:70" x14ac:dyDescent="0.25">
      <c r="A33" s="431">
        <v>61</v>
      </c>
      <c r="B33" s="424"/>
      <c r="C33" s="424" t="s">
        <v>25</v>
      </c>
      <c r="D33" s="437" t="s">
        <v>442</v>
      </c>
      <c r="E33" s="444">
        <v>52</v>
      </c>
      <c r="F33" s="427">
        <v>57</v>
      </c>
      <c r="G33" s="424"/>
      <c r="H33" s="424"/>
      <c r="I33" s="432"/>
      <c r="J33" s="440">
        <v>1</v>
      </c>
      <c r="K33" s="419">
        <f>VLOOKUP($A33,Prevs!$C:$I,Ajustes!K$1,FALSE)</f>
        <v>793</v>
      </c>
      <c r="L33" s="419">
        <f>VLOOKUP($A33,Prevs!$C:$I,Ajustes!L$1,FALSE)</f>
        <v>852</v>
      </c>
      <c r="M33" s="419">
        <f>VLOOKUP($A33,Prevs!$C:$I,Ajustes!M$1,FALSE)</f>
        <v>886</v>
      </c>
      <c r="N33" s="419">
        <f>VLOOKUP($A33,Prevs!$C:$I,Ajustes!N$1,FALSE)</f>
        <v>870</v>
      </c>
      <c r="O33" s="419">
        <f>VLOOKUP($A33,Prevs!$C:$I,Ajustes!O$1,FALSE)</f>
        <v>694</v>
      </c>
      <c r="P33" s="419">
        <f>VLOOKUP($A33,Prevs!$C:$I,Ajustes!P$1,FALSE)</f>
        <v>711</v>
      </c>
      <c r="Q33" s="419">
        <f>VLOOKUP($E33,Prevs!$C:$I,Ajustes!K$1,FALSE)+VLOOKUP($F33,Prevs!$C:$I,Ajustes!K$1,FALSE)</f>
        <v>528</v>
      </c>
      <c r="R33" s="419">
        <f>VLOOKUP($E33,Prevs!$C:$I,Ajustes!L$1,FALSE)+VLOOKUP($F33,Prevs!$C:$I,Ajustes!L$1,FALSE)</f>
        <v>557</v>
      </c>
      <c r="S33" s="419">
        <f>VLOOKUP($E33,Prevs!$C:$I,Ajustes!M$1,FALSE)+VLOOKUP($F33,Prevs!$C:$I,Ajustes!M$1,FALSE)</f>
        <v>522</v>
      </c>
      <c r="T33" s="419">
        <f>VLOOKUP($E33,Prevs!$C:$I,Ajustes!N$1,FALSE)+VLOOKUP($F33,Prevs!$C:$I,Ajustes!N$1,FALSE)</f>
        <v>513</v>
      </c>
      <c r="U33" s="419">
        <f>VLOOKUP($E33,Prevs!$C:$I,Ajustes!O$1,FALSE)+VLOOKUP($F33,Prevs!$C:$I,Ajustes!O$1,FALSE)</f>
        <v>527</v>
      </c>
      <c r="V33" s="419">
        <f>VLOOKUP($E33,Prevs!$C:$I,Ajustes!P$1,FALSE)+VLOOKUP($F33,Prevs!$C:$I,Ajustes!P$1,FALSE)</f>
        <v>458</v>
      </c>
      <c r="W33" s="419">
        <f t="shared" ref="W33" si="87">K33-Q33</f>
        <v>265</v>
      </c>
      <c r="X33" s="419">
        <f t="shared" ref="X33" si="88">L33-R33</f>
        <v>295</v>
      </c>
      <c r="Y33" s="419">
        <f t="shared" ref="Y33" si="89">M33-S33</f>
        <v>364</v>
      </c>
      <c r="Z33" s="419">
        <f t="shared" ref="Z33" si="90">N33-T33</f>
        <v>357</v>
      </c>
      <c r="AA33" s="419">
        <f t="shared" ref="AA33" si="91">O33-U33</f>
        <v>167</v>
      </c>
      <c r="AB33" s="419">
        <f t="shared" ref="AB33" si="92">P33-V33</f>
        <v>253</v>
      </c>
      <c r="AC33" s="417">
        <f>VLOOKUP($J33,Fatores!$G$1:$J$5,2,FALSE)</f>
        <v>1.5531612828314754</v>
      </c>
      <c r="AD33" s="417">
        <f>VLOOKUP($C33,Fatores!$A:$D,2,FALSE)</f>
        <v>1</v>
      </c>
      <c r="AE33" s="420">
        <f t="shared" si="6"/>
        <v>411.58773995034096</v>
      </c>
      <c r="AF33" s="420">
        <f t="shared" si="7"/>
        <v>458.18257843528522</v>
      </c>
      <c r="AG33" s="420">
        <f t="shared" si="8"/>
        <v>565.35070695065701</v>
      </c>
      <c r="AH33" s="420">
        <f t="shared" si="9"/>
        <v>554.47857797083668</v>
      </c>
      <c r="AI33" s="420">
        <f t="shared" si="10"/>
        <v>259.37793423285638</v>
      </c>
      <c r="AJ33" s="420">
        <f t="shared" si="11"/>
        <v>392.94980455636329</v>
      </c>
      <c r="AK33" s="421">
        <f t="shared" ref="AK33:AP33" si="93">AE33+VLOOKUP($E33,$A:$BR,AK$1,FALSE)+VLOOKUP($F33,$A:$BR,AK$1,FALSE)</f>
        <v>1097.131736118411</v>
      </c>
      <c r="AL33" s="421">
        <f t="shared" si="93"/>
        <v>1195.532086724477</v>
      </c>
      <c r="AM33" s="421">
        <f t="shared" si="93"/>
        <v>1265.6249262448803</v>
      </c>
      <c r="AN33" s="421">
        <f t="shared" si="93"/>
        <v>1243.0289573592459</v>
      </c>
      <c r="AO33" s="421">
        <f t="shared" si="93"/>
        <v>954.64182731644291</v>
      </c>
      <c r="AP33" s="421">
        <f t="shared" si="93"/>
        <v>1013.3616692931746</v>
      </c>
      <c r="AQ33" s="417">
        <f>VLOOKUP($J33,Fatores!$G$1:$J$5,3,FALSE)</f>
        <v>1.3186317794730578</v>
      </c>
      <c r="AR33" s="417">
        <f>VLOOKUP($C33,Fatores!$A:$D,3,FALSE)</f>
        <v>1</v>
      </c>
      <c r="AS33" s="420">
        <f t="shared" si="13"/>
        <v>349.43742156036029</v>
      </c>
      <c r="AT33" s="420">
        <f t="shared" si="14"/>
        <v>388.99637494455203</v>
      </c>
      <c r="AU33" s="420">
        <f t="shared" si="15"/>
        <v>479.98196772819301</v>
      </c>
      <c r="AV33" s="420">
        <f t="shared" si="16"/>
        <v>470.75154527188164</v>
      </c>
      <c r="AW33" s="420">
        <f t="shared" si="17"/>
        <v>220.21150717200064</v>
      </c>
      <c r="AX33" s="420">
        <f t="shared" si="18"/>
        <v>333.61384020668362</v>
      </c>
      <c r="AY33" s="421">
        <f t="shared" ref="AY33:BD33" si="94">AS33+VLOOKUP($E33,$A:$BR,AY$1,FALSE)+VLOOKUP($F33,$A:$BR,AY$1,FALSE)</f>
        <v>953.13062105634276</v>
      </c>
      <c r="AZ33" s="421">
        <f t="shared" si="94"/>
        <v>1035.5829654340359</v>
      </c>
      <c r="BA33" s="421">
        <f t="shared" si="94"/>
        <v>1092.3076232630094</v>
      </c>
      <c r="BB33" s="421">
        <f t="shared" si="94"/>
        <v>1072.7605379210347</v>
      </c>
      <c r="BC33" s="421">
        <f t="shared" si="94"/>
        <v>830.34119053648146</v>
      </c>
      <c r="BD33" s="421">
        <f t="shared" si="94"/>
        <v>874.98926231170822</v>
      </c>
      <c r="BE33" s="417">
        <f>VLOOKUP($J33,Fatores!$G$1:$J$5,4,FALSE)</f>
        <v>1</v>
      </c>
      <c r="BF33" s="417">
        <f>VLOOKUP($C33,Fatores!$A:$D,4,FALSE)</f>
        <v>1</v>
      </c>
      <c r="BG33" s="420">
        <f t="shared" si="20"/>
        <v>265</v>
      </c>
      <c r="BH33" s="420">
        <f t="shared" si="21"/>
        <v>295</v>
      </c>
      <c r="BI33" s="420">
        <f t="shared" si="22"/>
        <v>364</v>
      </c>
      <c r="BJ33" s="420">
        <f t="shared" si="23"/>
        <v>357</v>
      </c>
      <c r="BK33" s="420">
        <f t="shared" si="24"/>
        <v>167</v>
      </c>
      <c r="BL33" s="420">
        <f t="shared" si="25"/>
        <v>253</v>
      </c>
      <c r="BM33" s="421">
        <f t="shared" ref="BM33:BR33" si="95">BG33+VLOOKUP($E33,$A:$BR,BM$1,FALSE)+VLOOKUP($F33,$A:$BR,BM$1,FALSE)</f>
        <v>793</v>
      </c>
      <c r="BN33" s="421">
        <f t="shared" si="95"/>
        <v>852</v>
      </c>
      <c r="BO33" s="421">
        <f t="shared" si="95"/>
        <v>886</v>
      </c>
      <c r="BP33" s="421">
        <f t="shared" si="95"/>
        <v>870</v>
      </c>
      <c r="BQ33" s="421">
        <f t="shared" si="95"/>
        <v>694</v>
      </c>
      <c r="BR33" s="421">
        <f t="shared" si="95"/>
        <v>711</v>
      </c>
    </row>
    <row r="34" spans="1:70" x14ac:dyDescent="0.25">
      <c r="A34" s="431">
        <v>62</v>
      </c>
      <c r="B34" s="424"/>
      <c r="C34" s="424" t="s">
        <v>25</v>
      </c>
      <c r="D34" s="437" t="s">
        <v>442</v>
      </c>
      <c r="E34" s="444">
        <v>61</v>
      </c>
      <c r="F34" s="424"/>
      <c r="G34" s="424"/>
      <c r="H34" s="424"/>
      <c r="I34" s="432"/>
      <c r="J34" s="440">
        <v>1</v>
      </c>
      <c r="K34" s="419">
        <f>VLOOKUP($A34,Prevs!$C:$I,Ajustes!K$1,FALSE)</f>
        <v>844</v>
      </c>
      <c r="L34" s="419">
        <f>VLOOKUP($A34,Prevs!$C:$I,Ajustes!L$1,FALSE)</f>
        <v>930</v>
      </c>
      <c r="M34" s="419">
        <f>VLOOKUP($A34,Prevs!$C:$I,Ajustes!M$1,FALSE)</f>
        <v>962</v>
      </c>
      <c r="N34" s="419">
        <f>VLOOKUP($A34,Prevs!$C:$I,Ajustes!N$1,FALSE)</f>
        <v>944</v>
      </c>
      <c r="O34" s="419">
        <f>VLOOKUP($A34,Prevs!$C:$I,Ajustes!O$1,FALSE)</f>
        <v>760</v>
      </c>
      <c r="P34" s="419">
        <f>VLOOKUP($A34,Prevs!$C:$I,Ajustes!P$1,FALSE)</f>
        <v>770</v>
      </c>
      <c r="Q34" s="419">
        <f>VLOOKUP($E34,Prevs!$C:$I,Ajustes!K$1,FALSE)</f>
        <v>793</v>
      </c>
      <c r="R34" s="419">
        <f>VLOOKUP($E34,Prevs!$C:$I,Ajustes!L$1,FALSE)</f>
        <v>852</v>
      </c>
      <c r="S34" s="419">
        <f>VLOOKUP($E34,Prevs!$C:$I,Ajustes!M$1,FALSE)</f>
        <v>886</v>
      </c>
      <c r="T34" s="419">
        <f>VLOOKUP($E34,Prevs!$C:$I,Ajustes!N$1,FALSE)</f>
        <v>870</v>
      </c>
      <c r="U34" s="419">
        <f>VLOOKUP($E34,Prevs!$C:$I,Ajustes!O$1,FALSE)</f>
        <v>694</v>
      </c>
      <c r="V34" s="419">
        <f>VLOOKUP($E34,Prevs!$C:$I,Ajustes!P$1,FALSE)</f>
        <v>711</v>
      </c>
      <c r="W34" s="419">
        <f t="shared" ref="W34:W35" si="96">K34-Q34</f>
        <v>51</v>
      </c>
      <c r="X34" s="419">
        <f t="shared" ref="X34:X35" si="97">L34-R34</f>
        <v>78</v>
      </c>
      <c r="Y34" s="419">
        <f t="shared" ref="Y34:Y35" si="98">M34-S34</f>
        <v>76</v>
      </c>
      <c r="Z34" s="419">
        <f t="shared" ref="Z34:Z35" si="99">N34-T34</f>
        <v>74</v>
      </c>
      <c r="AA34" s="419">
        <f t="shared" ref="AA34:AA35" si="100">O34-U34</f>
        <v>66</v>
      </c>
      <c r="AB34" s="419">
        <f t="shared" ref="AB34:AB35" si="101">P34-V34</f>
        <v>59</v>
      </c>
      <c r="AC34" s="417">
        <f>VLOOKUP($J34,Fatores!$G$1:$J$5,2,FALSE)</f>
        <v>1.5531612828314754</v>
      </c>
      <c r="AD34" s="417">
        <f>VLOOKUP($C34,Fatores!$A:$D,2,FALSE)</f>
        <v>1</v>
      </c>
      <c r="AE34" s="420">
        <f t="shared" si="6"/>
        <v>79.211225424405242</v>
      </c>
      <c r="AF34" s="420">
        <f t="shared" si="7"/>
        <v>121.14658006085507</v>
      </c>
      <c r="AG34" s="420">
        <f t="shared" si="8"/>
        <v>118.04025749519212</v>
      </c>
      <c r="AH34" s="420">
        <f t="shared" si="9"/>
        <v>114.93393492952917</v>
      </c>
      <c r="AI34" s="420">
        <f t="shared" si="10"/>
        <v>102.50864466687737</v>
      </c>
      <c r="AJ34" s="420">
        <f t="shared" si="11"/>
        <v>91.636515687057042</v>
      </c>
      <c r="AK34" s="421">
        <f t="shared" ref="AK34:AP35" si="102">AE34+VLOOKUP($E34,$A:$BR,AK$1,FALSE)</f>
        <v>1176.3429615428163</v>
      </c>
      <c r="AL34" s="421">
        <f t="shared" si="102"/>
        <v>1316.6786667853321</v>
      </c>
      <c r="AM34" s="421">
        <f t="shared" si="102"/>
        <v>1383.6651837400723</v>
      </c>
      <c r="AN34" s="421">
        <f t="shared" si="102"/>
        <v>1357.962892288775</v>
      </c>
      <c r="AO34" s="421">
        <f t="shared" si="102"/>
        <v>1057.1504719833204</v>
      </c>
      <c r="AP34" s="421">
        <f t="shared" si="102"/>
        <v>1104.9981849802316</v>
      </c>
      <c r="AQ34" s="417">
        <f>VLOOKUP($J34,Fatores!$G$1:$J$5,3,FALSE)</f>
        <v>1.3186317794730578</v>
      </c>
      <c r="AR34" s="417">
        <f>VLOOKUP($C34,Fatores!$A:$D,3,FALSE)</f>
        <v>1</v>
      </c>
      <c r="AS34" s="420">
        <f t="shared" si="13"/>
        <v>67.250220753125944</v>
      </c>
      <c r="AT34" s="420">
        <f t="shared" si="14"/>
        <v>102.8532787988985</v>
      </c>
      <c r="AU34" s="420">
        <f t="shared" si="15"/>
        <v>100.21601523995238</v>
      </c>
      <c r="AV34" s="420">
        <f t="shared" si="16"/>
        <v>97.578751681006281</v>
      </c>
      <c r="AW34" s="420">
        <f t="shared" si="17"/>
        <v>87.029697445221814</v>
      </c>
      <c r="AX34" s="420">
        <f t="shared" si="18"/>
        <v>77.799274988910412</v>
      </c>
      <c r="AY34" s="421">
        <f t="shared" ref="AY34:BD35" si="103">AS34+VLOOKUP($E34,$A:$BR,AY$1,FALSE)</f>
        <v>1020.3808418094687</v>
      </c>
      <c r="AZ34" s="421">
        <f t="shared" si="103"/>
        <v>1138.4362442329345</v>
      </c>
      <c r="BA34" s="421">
        <f t="shared" si="103"/>
        <v>1192.5236385029618</v>
      </c>
      <c r="BB34" s="421">
        <f t="shared" si="103"/>
        <v>1170.3392896020409</v>
      </c>
      <c r="BC34" s="421">
        <f t="shared" si="103"/>
        <v>917.37088798170328</v>
      </c>
      <c r="BD34" s="421">
        <f t="shared" si="103"/>
        <v>952.7885373006186</v>
      </c>
      <c r="BE34" s="417">
        <f>VLOOKUP($J34,Fatores!$G$1:$J$5,4,FALSE)</f>
        <v>1</v>
      </c>
      <c r="BF34" s="417">
        <f>VLOOKUP($C34,Fatores!$A:$D,4,FALSE)</f>
        <v>1</v>
      </c>
      <c r="BG34" s="420">
        <f t="shared" si="20"/>
        <v>51</v>
      </c>
      <c r="BH34" s="420">
        <f t="shared" si="21"/>
        <v>78</v>
      </c>
      <c r="BI34" s="420">
        <f t="shared" si="22"/>
        <v>76</v>
      </c>
      <c r="BJ34" s="420">
        <f t="shared" si="23"/>
        <v>74</v>
      </c>
      <c r="BK34" s="420">
        <f t="shared" si="24"/>
        <v>66</v>
      </c>
      <c r="BL34" s="420">
        <f t="shared" si="25"/>
        <v>59</v>
      </c>
      <c r="BM34" s="421">
        <f t="shared" ref="BM34:BR35" si="104">BG34+VLOOKUP($E34,$A:$BR,BM$1,FALSE)</f>
        <v>844</v>
      </c>
      <c r="BN34" s="421">
        <f t="shared" si="104"/>
        <v>930</v>
      </c>
      <c r="BO34" s="421">
        <f t="shared" si="104"/>
        <v>962</v>
      </c>
      <c r="BP34" s="421">
        <f t="shared" si="104"/>
        <v>944</v>
      </c>
      <c r="BQ34" s="421">
        <f t="shared" si="104"/>
        <v>760</v>
      </c>
      <c r="BR34" s="421">
        <f t="shared" si="104"/>
        <v>770</v>
      </c>
    </row>
    <row r="35" spans="1:70" x14ac:dyDescent="0.25">
      <c r="A35" s="431">
        <v>63</v>
      </c>
      <c r="B35" s="424"/>
      <c r="C35" s="424" t="s">
        <v>25</v>
      </c>
      <c r="D35" s="437" t="s">
        <v>442</v>
      </c>
      <c r="E35" s="444">
        <v>62</v>
      </c>
      <c r="F35" s="424"/>
      <c r="G35" s="424"/>
      <c r="H35" s="424"/>
      <c r="I35" s="432"/>
      <c r="J35" s="440">
        <v>1</v>
      </c>
      <c r="K35" s="419">
        <f>VLOOKUP($A35,Prevs!$C:$I,Ajustes!K$1,FALSE)</f>
        <v>967</v>
      </c>
      <c r="L35" s="419">
        <f>VLOOKUP($A35,Prevs!$C:$I,Ajustes!L$1,FALSE)</f>
        <v>971</v>
      </c>
      <c r="M35" s="419">
        <f>VLOOKUP($A35,Prevs!$C:$I,Ajustes!M$1,FALSE)</f>
        <v>1214</v>
      </c>
      <c r="N35" s="419">
        <f>VLOOKUP($A35,Prevs!$C:$I,Ajustes!N$1,FALSE)</f>
        <v>1121</v>
      </c>
      <c r="O35" s="419">
        <f>VLOOKUP($A35,Prevs!$C:$I,Ajustes!O$1,FALSE)</f>
        <v>856</v>
      </c>
      <c r="P35" s="419">
        <f>VLOOKUP($A35,Prevs!$C:$I,Ajustes!P$1,FALSE)</f>
        <v>922</v>
      </c>
      <c r="Q35" s="419">
        <f>VLOOKUP($E35,Prevs!$C:$I,Ajustes!K$1,FALSE)</f>
        <v>844</v>
      </c>
      <c r="R35" s="419">
        <f>VLOOKUP($E35,Prevs!$C:$I,Ajustes!L$1,FALSE)</f>
        <v>930</v>
      </c>
      <c r="S35" s="419">
        <f>VLOOKUP($E35,Prevs!$C:$I,Ajustes!M$1,FALSE)</f>
        <v>962</v>
      </c>
      <c r="T35" s="419">
        <f>VLOOKUP($E35,Prevs!$C:$I,Ajustes!N$1,FALSE)</f>
        <v>944</v>
      </c>
      <c r="U35" s="419">
        <f>VLOOKUP($E35,Prevs!$C:$I,Ajustes!O$1,FALSE)</f>
        <v>760</v>
      </c>
      <c r="V35" s="419">
        <f>VLOOKUP($E35,Prevs!$C:$I,Ajustes!P$1,FALSE)</f>
        <v>770</v>
      </c>
      <c r="W35" s="419">
        <f t="shared" si="96"/>
        <v>123</v>
      </c>
      <c r="X35" s="419">
        <f t="shared" si="97"/>
        <v>41</v>
      </c>
      <c r="Y35" s="419">
        <f t="shared" si="98"/>
        <v>252</v>
      </c>
      <c r="Z35" s="419">
        <f t="shared" si="99"/>
        <v>177</v>
      </c>
      <c r="AA35" s="419">
        <f t="shared" si="100"/>
        <v>96</v>
      </c>
      <c r="AB35" s="419">
        <f t="shared" si="101"/>
        <v>152</v>
      </c>
      <c r="AC35" s="417">
        <f>VLOOKUP($J35,Fatores!$G$1:$J$5,2,FALSE)</f>
        <v>1.5531612828314754</v>
      </c>
      <c r="AD35" s="417">
        <f>VLOOKUP($C35,Fatores!$A:$D,2,FALSE)</f>
        <v>1</v>
      </c>
      <c r="AE35" s="420">
        <f t="shared" si="6"/>
        <v>191.03883778827148</v>
      </c>
      <c r="AF35" s="420">
        <f t="shared" si="7"/>
        <v>63.679612596090493</v>
      </c>
      <c r="AG35" s="420">
        <f t="shared" si="8"/>
        <v>391.39664327353177</v>
      </c>
      <c r="AH35" s="420">
        <f t="shared" si="9"/>
        <v>274.90954706117117</v>
      </c>
      <c r="AI35" s="420">
        <f t="shared" si="10"/>
        <v>149.10348315182165</v>
      </c>
      <c r="AJ35" s="420">
        <f t="shared" si="11"/>
        <v>236.08051499038424</v>
      </c>
      <c r="AK35" s="421">
        <f t="shared" si="102"/>
        <v>1367.3817993310877</v>
      </c>
      <c r="AL35" s="421">
        <f t="shared" si="102"/>
        <v>1380.3582793814226</v>
      </c>
      <c r="AM35" s="421">
        <f t="shared" si="102"/>
        <v>1775.061827013604</v>
      </c>
      <c r="AN35" s="421">
        <f t="shared" si="102"/>
        <v>1632.8724393499463</v>
      </c>
      <c r="AO35" s="421">
        <f t="shared" si="102"/>
        <v>1206.253955135142</v>
      </c>
      <c r="AP35" s="421">
        <f t="shared" si="102"/>
        <v>1341.0786999706158</v>
      </c>
      <c r="AQ35" s="417">
        <f>VLOOKUP($J35,Fatores!$G$1:$J$5,3,FALSE)</f>
        <v>1.3186317794730578</v>
      </c>
      <c r="AR35" s="417">
        <f>VLOOKUP($C35,Fatores!$A:$D,3,FALSE)</f>
        <v>1</v>
      </c>
      <c r="AS35" s="420">
        <f t="shared" si="13"/>
        <v>162.19170887518609</v>
      </c>
      <c r="AT35" s="420">
        <f t="shared" si="14"/>
        <v>54.063902958395367</v>
      </c>
      <c r="AU35" s="420">
        <f t="shared" si="15"/>
        <v>332.29520842721058</v>
      </c>
      <c r="AV35" s="420">
        <f t="shared" si="16"/>
        <v>233.39782496673124</v>
      </c>
      <c r="AW35" s="420">
        <f t="shared" si="17"/>
        <v>126.58865082941355</v>
      </c>
      <c r="AX35" s="420">
        <f t="shared" si="18"/>
        <v>200.43203047990477</v>
      </c>
      <c r="AY35" s="421">
        <f t="shared" si="103"/>
        <v>1182.5725506846547</v>
      </c>
      <c r="AZ35" s="421">
        <f t="shared" si="103"/>
        <v>1192.5001471913299</v>
      </c>
      <c r="BA35" s="421">
        <f t="shared" si="103"/>
        <v>1524.8188469301724</v>
      </c>
      <c r="BB35" s="421">
        <f t="shared" si="103"/>
        <v>1403.7371145687721</v>
      </c>
      <c r="BC35" s="421">
        <f t="shared" si="103"/>
        <v>1043.9595388111168</v>
      </c>
      <c r="BD35" s="421">
        <f t="shared" si="103"/>
        <v>1153.2205677805234</v>
      </c>
      <c r="BE35" s="417">
        <f>VLOOKUP($J35,Fatores!$G$1:$J$5,4,FALSE)</f>
        <v>1</v>
      </c>
      <c r="BF35" s="417">
        <f>VLOOKUP($C35,Fatores!$A:$D,4,FALSE)</f>
        <v>1</v>
      </c>
      <c r="BG35" s="420">
        <f t="shared" si="20"/>
        <v>123</v>
      </c>
      <c r="BH35" s="420">
        <f t="shared" si="21"/>
        <v>41</v>
      </c>
      <c r="BI35" s="420">
        <f t="shared" si="22"/>
        <v>252</v>
      </c>
      <c r="BJ35" s="420">
        <f t="shared" si="23"/>
        <v>177</v>
      </c>
      <c r="BK35" s="420">
        <f t="shared" si="24"/>
        <v>96</v>
      </c>
      <c r="BL35" s="420">
        <f t="shared" si="25"/>
        <v>152</v>
      </c>
      <c r="BM35" s="421">
        <f t="shared" si="104"/>
        <v>967</v>
      </c>
      <c r="BN35" s="421">
        <f t="shared" si="104"/>
        <v>971</v>
      </c>
      <c r="BO35" s="421">
        <f t="shared" si="104"/>
        <v>1214</v>
      </c>
      <c r="BP35" s="421">
        <f t="shared" si="104"/>
        <v>1121</v>
      </c>
      <c r="BQ35" s="421">
        <f t="shared" si="104"/>
        <v>856</v>
      </c>
      <c r="BR35" s="421">
        <f t="shared" si="104"/>
        <v>922</v>
      </c>
    </row>
    <row r="36" spans="1:70" x14ac:dyDescent="0.25">
      <c r="A36" s="431">
        <v>71</v>
      </c>
      <c r="B36" s="424"/>
      <c r="C36" s="424" t="s">
        <v>36</v>
      </c>
      <c r="D36" s="437" t="s">
        <v>450</v>
      </c>
      <c r="E36" s="431"/>
      <c r="F36" s="424"/>
      <c r="G36" s="424"/>
      <c r="H36" s="424"/>
      <c r="I36" s="432"/>
      <c r="J36" s="440">
        <v>2</v>
      </c>
      <c r="K36" s="419">
        <f>VLOOKUP($A36,Prevs!$C:$I,Ajustes!K$1,FALSE)</f>
        <v>126</v>
      </c>
      <c r="L36" s="419">
        <f>VLOOKUP($A36,Prevs!$C:$I,Ajustes!L$1,FALSE)</f>
        <v>137</v>
      </c>
      <c r="M36" s="419">
        <f>VLOOKUP($A36,Prevs!$C:$I,Ajustes!M$1,FALSE)</f>
        <v>95</v>
      </c>
      <c r="N36" s="419">
        <f>VLOOKUP($A36,Prevs!$C:$I,Ajustes!N$1,FALSE)</f>
        <v>65</v>
      </c>
      <c r="O36" s="419">
        <f>VLOOKUP($A36,Prevs!$C:$I,Ajustes!O$1,FALSE)</f>
        <v>58</v>
      </c>
      <c r="P36" s="419">
        <f>VLOOKUP($A36,Prevs!$C:$I,Ajustes!P$1,FALSE)</f>
        <v>50</v>
      </c>
      <c r="Q36" s="419">
        <v>0</v>
      </c>
      <c r="R36" s="419">
        <v>0</v>
      </c>
      <c r="S36" s="419">
        <v>0</v>
      </c>
      <c r="T36" s="419">
        <v>0</v>
      </c>
      <c r="U36" s="419">
        <v>0</v>
      </c>
      <c r="V36" s="419">
        <v>0</v>
      </c>
      <c r="W36" s="419">
        <f t="shared" ref="W36:AB36" si="105">K36-Q36</f>
        <v>126</v>
      </c>
      <c r="X36" s="419">
        <f t="shared" si="105"/>
        <v>137</v>
      </c>
      <c r="Y36" s="419">
        <f t="shared" si="105"/>
        <v>95</v>
      </c>
      <c r="Z36" s="419">
        <f t="shared" si="105"/>
        <v>65</v>
      </c>
      <c r="AA36" s="419">
        <f t="shared" si="105"/>
        <v>58</v>
      </c>
      <c r="AB36" s="419">
        <f t="shared" si="105"/>
        <v>50</v>
      </c>
      <c r="AC36" s="417">
        <f>VLOOKUP($J36,Fatores!$G$1:$J$5,2,FALSE)</f>
        <v>0.80162406960829835</v>
      </c>
      <c r="AD36" s="417">
        <f>VLOOKUP($C36,Fatores!$A:$D,2,FALSE)</f>
        <v>1</v>
      </c>
      <c r="AE36" s="420">
        <f t="shared" si="6"/>
        <v>101.00463277064559</v>
      </c>
      <c r="AF36" s="420">
        <f t="shared" si="7"/>
        <v>109.82249753633687</v>
      </c>
      <c r="AG36" s="420">
        <f t="shared" si="8"/>
        <v>76.15428661278834</v>
      </c>
      <c r="AH36" s="420">
        <f t="shared" si="9"/>
        <v>52.105564524539396</v>
      </c>
      <c r="AI36" s="420">
        <f t="shared" si="10"/>
        <v>46.494196037281306</v>
      </c>
      <c r="AJ36" s="420">
        <f t="shared" si="11"/>
        <v>40.081203480414921</v>
      </c>
      <c r="AK36" s="421">
        <f t="shared" ref="AK36:AP36" si="106">AE36</f>
        <v>101.00463277064559</v>
      </c>
      <c r="AL36" s="421">
        <f t="shared" si="106"/>
        <v>109.82249753633687</v>
      </c>
      <c r="AM36" s="421">
        <f t="shared" si="106"/>
        <v>76.15428661278834</v>
      </c>
      <c r="AN36" s="421">
        <f t="shared" si="106"/>
        <v>52.105564524539396</v>
      </c>
      <c r="AO36" s="421">
        <f t="shared" si="106"/>
        <v>46.494196037281306</v>
      </c>
      <c r="AP36" s="421">
        <f t="shared" si="106"/>
        <v>40.081203480414921</v>
      </c>
      <c r="AQ36" s="417">
        <f>VLOOKUP($J36,Fatores!$G$1:$J$5,3,FALSE)</f>
        <v>0.80162406960829835</v>
      </c>
      <c r="AR36" s="417">
        <f>VLOOKUP($C36,Fatores!$A:$D,3,FALSE)</f>
        <v>1</v>
      </c>
      <c r="AS36" s="420">
        <f t="shared" si="13"/>
        <v>101.00463277064559</v>
      </c>
      <c r="AT36" s="420">
        <f t="shared" si="14"/>
        <v>109.82249753633687</v>
      </c>
      <c r="AU36" s="420">
        <f t="shared" si="15"/>
        <v>76.15428661278834</v>
      </c>
      <c r="AV36" s="420">
        <f t="shared" si="16"/>
        <v>52.105564524539396</v>
      </c>
      <c r="AW36" s="420">
        <f t="shared" si="17"/>
        <v>46.494196037281306</v>
      </c>
      <c r="AX36" s="420">
        <f t="shared" si="18"/>
        <v>40.081203480414921</v>
      </c>
      <c r="AY36" s="421">
        <f t="shared" ref="AY36" si="107">AS36</f>
        <v>101.00463277064559</v>
      </c>
      <c r="AZ36" s="421">
        <f t="shared" ref="AZ36" si="108">AT36</f>
        <v>109.82249753633687</v>
      </c>
      <c r="BA36" s="421">
        <f t="shared" ref="BA36" si="109">AU36</f>
        <v>76.15428661278834</v>
      </c>
      <c r="BB36" s="421">
        <f t="shared" ref="BB36" si="110">AV36</f>
        <v>52.105564524539396</v>
      </c>
      <c r="BC36" s="421">
        <f t="shared" ref="BC36" si="111">AW36</f>
        <v>46.494196037281306</v>
      </c>
      <c r="BD36" s="421">
        <f t="shared" ref="BD36" si="112">AX36</f>
        <v>40.081203480414921</v>
      </c>
      <c r="BE36" s="417">
        <f>VLOOKUP($J36,Fatores!$G$1:$J$5,4,FALSE)</f>
        <v>1</v>
      </c>
      <c r="BF36" s="417">
        <f>VLOOKUP($C36,Fatores!$A:$D,4,FALSE)</f>
        <v>1</v>
      </c>
      <c r="BG36" s="420">
        <f t="shared" si="20"/>
        <v>126</v>
      </c>
      <c r="BH36" s="420">
        <f t="shared" si="21"/>
        <v>137</v>
      </c>
      <c r="BI36" s="420">
        <f t="shared" si="22"/>
        <v>95</v>
      </c>
      <c r="BJ36" s="420">
        <f t="shared" si="23"/>
        <v>65</v>
      </c>
      <c r="BK36" s="420">
        <f t="shared" si="24"/>
        <v>58</v>
      </c>
      <c r="BL36" s="420">
        <f t="shared" si="25"/>
        <v>50</v>
      </c>
      <c r="BM36" s="421">
        <f t="shared" ref="BM36" si="113">BG36</f>
        <v>126</v>
      </c>
      <c r="BN36" s="421">
        <f t="shared" ref="BN36" si="114">BH36</f>
        <v>137</v>
      </c>
      <c r="BO36" s="421">
        <f t="shared" ref="BO36" si="115">BI36</f>
        <v>95</v>
      </c>
      <c r="BP36" s="421">
        <f t="shared" ref="BP36" si="116">BJ36</f>
        <v>65</v>
      </c>
      <c r="BQ36" s="421">
        <f t="shared" ref="BQ36" si="117">BK36</f>
        <v>58</v>
      </c>
      <c r="BR36" s="421">
        <f t="shared" ref="BR36" si="118">BL36</f>
        <v>50</v>
      </c>
    </row>
    <row r="37" spans="1:70" x14ac:dyDescent="0.25">
      <c r="A37" s="431">
        <v>72</v>
      </c>
      <c r="B37" s="424"/>
      <c r="C37" s="424" t="s">
        <v>36</v>
      </c>
      <c r="D37" s="437" t="s">
        <v>451</v>
      </c>
      <c r="E37" s="444">
        <v>71</v>
      </c>
      <c r="F37" s="424"/>
      <c r="G37" s="424"/>
      <c r="H37" s="424"/>
      <c r="I37" s="432"/>
      <c r="J37" s="440">
        <v>2</v>
      </c>
      <c r="K37" s="419">
        <f>VLOOKUP($A37,Prevs!$C:$I,Ajustes!K$1,FALSE)</f>
        <v>132</v>
      </c>
      <c r="L37" s="419">
        <f>VLOOKUP($A37,Prevs!$C:$I,Ajustes!L$1,FALSE)</f>
        <v>143</v>
      </c>
      <c r="M37" s="419">
        <f>VLOOKUP($A37,Prevs!$C:$I,Ajustes!M$1,FALSE)</f>
        <v>99</v>
      </c>
      <c r="N37" s="419">
        <f>VLOOKUP($A37,Prevs!$C:$I,Ajustes!N$1,FALSE)</f>
        <v>68</v>
      </c>
      <c r="O37" s="419">
        <f>VLOOKUP($A37,Prevs!$C:$I,Ajustes!O$1,FALSE)</f>
        <v>60</v>
      </c>
      <c r="P37" s="419">
        <f>VLOOKUP($A37,Prevs!$C:$I,Ajustes!P$1,FALSE)</f>
        <v>52</v>
      </c>
      <c r="Q37" s="419">
        <f>VLOOKUP($E37,Prevs!$C:$I,Ajustes!K$1,FALSE)</f>
        <v>126</v>
      </c>
      <c r="R37" s="419">
        <f>VLOOKUP($E37,Prevs!$C:$I,Ajustes!L$1,FALSE)</f>
        <v>137</v>
      </c>
      <c r="S37" s="419">
        <f>VLOOKUP($E37,Prevs!$C:$I,Ajustes!M$1,FALSE)</f>
        <v>95</v>
      </c>
      <c r="T37" s="419">
        <f>VLOOKUP($E37,Prevs!$C:$I,Ajustes!N$1,FALSE)</f>
        <v>65</v>
      </c>
      <c r="U37" s="419">
        <f>VLOOKUP($E37,Prevs!$C:$I,Ajustes!O$1,FALSE)</f>
        <v>58</v>
      </c>
      <c r="V37" s="419">
        <f>VLOOKUP($E37,Prevs!$C:$I,Ajustes!P$1,FALSE)</f>
        <v>50</v>
      </c>
      <c r="W37" s="419">
        <f t="shared" ref="W37:W38" si="119">K37-Q37</f>
        <v>6</v>
      </c>
      <c r="X37" s="419">
        <f t="shared" ref="X37:X38" si="120">L37-R37</f>
        <v>6</v>
      </c>
      <c r="Y37" s="419">
        <f t="shared" ref="Y37:Y38" si="121">M37-S37</f>
        <v>4</v>
      </c>
      <c r="Z37" s="419">
        <f t="shared" ref="Z37:Z38" si="122">N37-T37</f>
        <v>3</v>
      </c>
      <c r="AA37" s="419">
        <f t="shared" ref="AA37:AA38" si="123">O37-U37</f>
        <v>2</v>
      </c>
      <c r="AB37" s="419">
        <f t="shared" ref="AB37:AB38" si="124">P37-V37</f>
        <v>2</v>
      </c>
      <c r="AC37" s="417">
        <f>VLOOKUP($J37,Fatores!$G$1:$J$5,2,FALSE)</f>
        <v>0.80162406960829835</v>
      </c>
      <c r="AD37" s="417">
        <f>VLOOKUP($C37,Fatores!$A:$D,2,FALSE)</f>
        <v>1</v>
      </c>
      <c r="AE37" s="420">
        <f t="shared" si="6"/>
        <v>4.8097444176497905</v>
      </c>
      <c r="AF37" s="420">
        <f t="shared" si="7"/>
        <v>4.8097444176497905</v>
      </c>
      <c r="AG37" s="420">
        <f t="shared" si="8"/>
        <v>3.2064962784331934</v>
      </c>
      <c r="AH37" s="420">
        <f t="shared" si="9"/>
        <v>2.4048722088248953</v>
      </c>
      <c r="AI37" s="420">
        <f t="shared" si="10"/>
        <v>1.6032481392165967</v>
      </c>
      <c r="AJ37" s="420">
        <f t="shared" si="11"/>
        <v>1.6032481392165967</v>
      </c>
      <c r="AK37" s="421">
        <f t="shared" ref="AK37:AP38" si="125">AE37+VLOOKUP($E37,$A:$BR,AK$1,FALSE)</f>
        <v>105.81437718829538</v>
      </c>
      <c r="AL37" s="421">
        <f t="shared" si="125"/>
        <v>114.63224195398666</v>
      </c>
      <c r="AM37" s="421">
        <f t="shared" si="125"/>
        <v>79.360782891221533</v>
      </c>
      <c r="AN37" s="421">
        <f t="shared" si="125"/>
        <v>54.510436733364294</v>
      </c>
      <c r="AO37" s="421">
        <f t="shared" si="125"/>
        <v>48.097444176497902</v>
      </c>
      <c r="AP37" s="421">
        <f t="shared" si="125"/>
        <v>41.684451619631517</v>
      </c>
      <c r="AQ37" s="417">
        <f>VLOOKUP($J37,Fatores!$G$1:$J$5,3,FALSE)</f>
        <v>0.80162406960829835</v>
      </c>
      <c r="AR37" s="417">
        <f>VLOOKUP($C37,Fatores!$A:$D,3,FALSE)</f>
        <v>1</v>
      </c>
      <c r="AS37" s="420">
        <f t="shared" si="13"/>
        <v>4.8097444176497905</v>
      </c>
      <c r="AT37" s="420">
        <f t="shared" si="14"/>
        <v>4.8097444176497905</v>
      </c>
      <c r="AU37" s="420">
        <f t="shared" si="15"/>
        <v>3.2064962784331934</v>
      </c>
      <c r="AV37" s="420">
        <f t="shared" si="16"/>
        <v>2.4048722088248953</v>
      </c>
      <c r="AW37" s="420">
        <f t="shared" si="17"/>
        <v>1.6032481392165967</v>
      </c>
      <c r="AX37" s="420">
        <f t="shared" si="18"/>
        <v>1.6032481392165967</v>
      </c>
      <c r="AY37" s="421">
        <f t="shared" ref="AY37:BD38" si="126">AS37+VLOOKUP($E37,$A:$BR,AY$1,FALSE)</f>
        <v>105.81437718829538</v>
      </c>
      <c r="AZ37" s="421">
        <f t="shared" si="126"/>
        <v>114.63224195398666</v>
      </c>
      <c r="BA37" s="421">
        <f t="shared" si="126"/>
        <v>79.360782891221533</v>
      </c>
      <c r="BB37" s="421">
        <f t="shared" si="126"/>
        <v>54.510436733364294</v>
      </c>
      <c r="BC37" s="421">
        <f t="shared" si="126"/>
        <v>48.097444176497902</v>
      </c>
      <c r="BD37" s="421">
        <f t="shared" si="126"/>
        <v>41.684451619631517</v>
      </c>
      <c r="BE37" s="417">
        <f>VLOOKUP($J37,Fatores!$G$1:$J$5,4,FALSE)</f>
        <v>1</v>
      </c>
      <c r="BF37" s="417">
        <f>VLOOKUP($C37,Fatores!$A:$D,4,FALSE)</f>
        <v>1</v>
      </c>
      <c r="BG37" s="420">
        <f t="shared" si="20"/>
        <v>6</v>
      </c>
      <c r="BH37" s="420">
        <f t="shared" si="21"/>
        <v>6</v>
      </c>
      <c r="BI37" s="420">
        <f t="shared" si="22"/>
        <v>4</v>
      </c>
      <c r="BJ37" s="420">
        <f t="shared" si="23"/>
        <v>3</v>
      </c>
      <c r="BK37" s="420">
        <f t="shared" si="24"/>
        <v>2</v>
      </c>
      <c r="BL37" s="420">
        <f t="shared" si="25"/>
        <v>2</v>
      </c>
      <c r="BM37" s="421">
        <f t="shared" ref="BM37:BR38" si="127">BG37+VLOOKUP($E37,$A:$BR,BM$1,FALSE)</f>
        <v>132</v>
      </c>
      <c r="BN37" s="421">
        <f t="shared" si="127"/>
        <v>143</v>
      </c>
      <c r="BO37" s="421">
        <f t="shared" si="127"/>
        <v>99</v>
      </c>
      <c r="BP37" s="421">
        <f t="shared" si="127"/>
        <v>68</v>
      </c>
      <c r="BQ37" s="421">
        <f t="shared" si="127"/>
        <v>60</v>
      </c>
      <c r="BR37" s="421">
        <f t="shared" si="127"/>
        <v>52</v>
      </c>
    </row>
    <row r="38" spans="1:70" x14ac:dyDescent="0.25">
      <c r="A38" s="431">
        <v>73</v>
      </c>
      <c r="B38" s="424"/>
      <c r="C38" s="424" t="s">
        <v>36</v>
      </c>
      <c r="D38" s="437" t="s">
        <v>446</v>
      </c>
      <c r="E38" s="444">
        <v>72</v>
      </c>
      <c r="F38" s="424"/>
      <c r="G38" s="424"/>
      <c r="H38" s="424"/>
      <c r="I38" s="432"/>
      <c r="J38" s="440">
        <v>2</v>
      </c>
      <c r="K38" s="419">
        <f>VLOOKUP($A38,Prevs!$C:$I,Ajustes!K$1,FALSE)</f>
        <v>151</v>
      </c>
      <c r="L38" s="419">
        <f>VLOOKUP($A38,Prevs!$C:$I,Ajustes!L$1,FALSE)</f>
        <v>280</v>
      </c>
      <c r="M38" s="419">
        <f>VLOOKUP($A38,Prevs!$C:$I,Ajustes!M$1,FALSE)</f>
        <v>178</v>
      </c>
      <c r="N38" s="419">
        <f>VLOOKUP($A38,Prevs!$C:$I,Ajustes!N$1,FALSE)</f>
        <v>83</v>
      </c>
      <c r="O38" s="419">
        <f>VLOOKUP($A38,Prevs!$C:$I,Ajustes!O$1,FALSE)</f>
        <v>73</v>
      </c>
      <c r="P38" s="419">
        <f>VLOOKUP($A38,Prevs!$C:$I,Ajustes!P$1,FALSE)</f>
        <v>64</v>
      </c>
      <c r="Q38" s="419">
        <f>VLOOKUP($E38,Prevs!$C:$I,Ajustes!K$1,FALSE)</f>
        <v>132</v>
      </c>
      <c r="R38" s="419">
        <f>VLOOKUP($E38,Prevs!$C:$I,Ajustes!L$1,FALSE)</f>
        <v>143</v>
      </c>
      <c r="S38" s="419">
        <f>VLOOKUP($E38,Prevs!$C:$I,Ajustes!M$1,FALSE)</f>
        <v>99</v>
      </c>
      <c r="T38" s="419">
        <f>VLOOKUP($E38,Prevs!$C:$I,Ajustes!N$1,FALSE)</f>
        <v>68</v>
      </c>
      <c r="U38" s="419">
        <f>VLOOKUP($E38,Prevs!$C:$I,Ajustes!O$1,FALSE)</f>
        <v>60</v>
      </c>
      <c r="V38" s="419">
        <f>VLOOKUP($E38,Prevs!$C:$I,Ajustes!P$1,FALSE)</f>
        <v>52</v>
      </c>
      <c r="W38" s="419">
        <f t="shared" si="119"/>
        <v>19</v>
      </c>
      <c r="X38" s="419">
        <f t="shared" si="120"/>
        <v>137</v>
      </c>
      <c r="Y38" s="419">
        <f t="shared" si="121"/>
        <v>79</v>
      </c>
      <c r="Z38" s="419">
        <f t="shared" si="122"/>
        <v>15</v>
      </c>
      <c r="AA38" s="419">
        <f t="shared" si="123"/>
        <v>13</v>
      </c>
      <c r="AB38" s="419">
        <f t="shared" si="124"/>
        <v>12</v>
      </c>
      <c r="AC38" s="417">
        <f>VLOOKUP($J38,Fatores!$G$1:$J$5,2,FALSE)</f>
        <v>0.80162406960829835</v>
      </c>
      <c r="AD38" s="417">
        <f>VLOOKUP($C38,Fatores!$A:$D,2,FALSE)</f>
        <v>1</v>
      </c>
      <c r="AE38" s="420">
        <f t="shared" si="6"/>
        <v>15.230857322557668</v>
      </c>
      <c r="AF38" s="420">
        <f t="shared" si="7"/>
        <v>109.82249753633687</v>
      </c>
      <c r="AG38" s="420">
        <f t="shared" si="8"/>
        <v>63.32830149905557</v>
      </c>
      <c r="AH38" s="420">
        <f t="shared" si="9"/>
        <v>12.024361044124475</v>
      </c>
      <c r="AI38" s="420">
        <f t="shared" si="10"/>
        <v>10.421112904907879</v>
      </c>
      <c r="AJ38" s="420">
        <f t="shared" si="11"/>
        <v>9.6194888352995811</v>
      </c>
      <c r="AK38" s="421">
        <f t="shared" si="125"/>
        <v>121.04523451085305</v>
      </c>
      <c r="AL38" s="421">
        <f t="shared" si="125"/>
        <v>224.45473949032353</v>
      </c>
      <c r="AM38" s="421">
        <f t="shared" si="125"/>
        <v>142.68908439027712</v>
      </c>
      <c r="AN38" s="421">
        <f t="shared" si="125"/>
        <v>66.534797777488762</v>
      </c>
      <c r="AO38" s="421">
        <f t="shared" si="125"/>
        <v>58.518557081405781</v>
      </c>
      <c r="AP38" s="421">
        <f t="shared" si="125"/>
        <v>51.303940454931094</v>
      </c>
      <c r="AQ38" s="417">
        <f>VLOOKUP($J38,Fatores!$G$1:$J$5,3,FALSE)</f>
        <v>0.80162406960829835</v>
      </c>
      <c r="AR38" s="417">
        <f>VLOOKUP($C38,Fatores!$A:$D,3,FALSE)</f>
        <v>1</v>
      </c>
      <c r="AS38" s="420">
        <f t="shared" si="13"/>
        <v>15.230857322557668</v>
      </c>
      <c r="AT38" s="420">
        <f t="shared" si="14"/>
        <v>109.82249753633687</v>
      </c>
      <c r="AU38" s="420">
        <f t="shared" si="15"/>
        <v>63.32830149905557</v>
      </c>
      <c r="AV38" s="420">
        <f t="shared" si="16"/>
        <v>12.024361044124475</v>
      </c>
      <c r="AW38" s="420">
        <f t="shared" si="17"/>
        <v>10.421112904907879</v>
      </c>
      <c r="AX38" s="420">
        <f t="shared" si="18"/>
        <v>9.6194888352995811</v>
      </c>
      <c r="AY38" s="421">
        <f t="shared" si="126"/>
        <v>121.04523451085305</v>
      </c>
      <c r="AZ38" s="421">
        <f t="shared" si="126"/>
        <v>224.45473949032353</v>
      </c>
      <c r="BA38" s="421">
        <f t="shared" si="126"/>
        <v>142.68908439027712</v>
      </c>
      <c r="BB38" s="421">
        <f t="shared" si="126"/>
        <v>66.534797777488762</v>
      </c>
      <c r="BC38" s="421">
        <f t="shared" si="126"/>
        <v>58.518557081405781</v>
      </c>
      <c r="BD38" s="421">
        <f t="shared" si="126"/>
        <v>51.303940454931094</v>
      </c>
      <c r="BE38" s="417">
        <f>VLOOKUP($J38,Fatores!$G$1:$J$5,4,FALSE)</f>
        <v>1</v>
      </c>
      <c r="BF38" s="417">
        <f>VLOOKUP($C38,Fatores!$A:$D,4,FALSE)</f>
        <v>1</v>
      </c>
      <c r="BG38" s="420">
        <f t="shared" si="20"/>
        <v>19</v>
      </c>
      <c r="BH38" s="420">
        <f t="shared" si="21"/>
        <v>137</v>
      </c>
      <c r="BI38" s="420">
        <f t="shared" si="22"/>
        <v>79</v>
      </c>
      <c r="BJ38" s="420">
        <f t="shared" si="23"/>
        <v>15</v>
      </c>
      <c r="BK38" s="420">
        <f t="shared" si="24"/>
        <v>13</v>
      </c>
      <c r="BL38" s="420">
        <f t="shared" si="25"/>
        <v>12</v>
      </c>
      <c r="BM38" s="421">
        <f t="shared" si="127"/>
        <v>151</v>
      </c>
      <c r="BN38" s="421">
        <f t="shared" si="127"/>
        <v>280</v>
      </c>
      <c r="BO38" s="421">
        <f t="shared" si="127"/>
        <v>178</v>
      </c>
      <c r="BP38" s="421">
        <f t="shared" si="127"/>
        <v>83</v>
      </c>
      <c r="BQ38" s="421">
        <f t="shared" si="127"/>
        <v>73</v>
      </c>
      <c r="BR38" s="421">
        <f t="shared" si="127"/>
        <v>64</v>
      </c>
    </row>
    <row r="39" spans="1:70" x14ac:dyDescent="0.25">
      <c r="A39" s="431">
        <v>74</v>
      </c>
      <c r="B39" s="424"/>
      <c r="C39" s="424" t="s">
        <v>36</v>
      </c>
      <c r="D39" s="437" t="s">
        <v>36</v>
      </c>
      <c r="E39" s="431"/>
      <c r="F39" s="424"/>
      <c r="G39" s="424"/>
      <c r="H39" s="424"/>
      <c r="I39" s="432"/>
      <c r="J39" s="440">
        <v>2</v>
      </c>
      <c r="K39" s="419">
        <f>VLOOKUP($A39,Prevs!$C:$I,Ajustes!K$1,FALSE)</f>
        <v>1065</v>
      </c>
      <c r="L39" s="419">
        <f>VLOOKUP($A39,Prevs!$C:$I,Ajustes!L$1,FALSE)</f>
        <v>1059</v>
      </c>
      <c r="M39" s="419">
        <f>VLOOKUP($A39,Prevs!$C:$I,Ajustes!M$1,FALSE)</f>
        <v>793</v>
      </c>
      <c r="N39" s="419">
        <f>VLOOKUP($A39,Prevs!$C:$I,Ajustes!N$1,FALSE)</f>
        <v>638</v>
      </c>
      <c r="O39" s="419">
        <f>VLOOKUP($A39,Prevs!$C:$I,Ajustes!O$1,FALSE)</f>
        <v>492</v>
      </c>
      <c r="P39" s="419">
        <f>VLOOKUP($A39,Prevs!$C:$I,Ajustes!P$1,FALSE)</f>
        <v>431</v>
      </c>
      <c r="Q39" s="419">
        <v>0</v>
      </c>
      <c r="R39" s="419">
        <v>0</v>
      </c>
      <c r="S39" s="419">
        <v>0</v>
      </c>
      <c r="T39" s="419">
        <v>0</v>
      </c>
      <c r="U39" s="419">
        <v>0</v>
      </c>
      <c r="V39" s="419">
        <v>0</v>
      </c>
      <c r="W39" s="419">
        <f t="shared" ref="W39:AB39" si="128">K39-Q39</f>
        <v>1065</v>
      </c>
      <c r="X39" s="419">
        <f t="shared" si="128"/>
        <v>1059</v>
      </c>
      <c r="Y39" s="419">
        <f t="shared" si="128"/>
        <v>793</v>
      </c>
      <c r="Z39" s="419">
        <f t="shared" si="128"/>
        <v>638</v>
      </c>
      <c r="AA39" s="419">
        <f t="shared" si="128"/>
        <v>492</v>
      </c>
      <c r="AB39" s="419">
        <f t="shared" si="128"/>
        <v>431</v>
      </c>
      <c r="AC39" s="417">
        <f>VLOOKUP($J39,Fatores!$G$1:$J$5,2,FALSE)</f>
        <v>0.80162406960829835</v>
      </c>
      <c r="AD39" s="417">
        <f>VLOOKUP($C39,Fatores!$A:$D,2,FALSE)</f>
        <v>1</v>
      </c>
      <c r="AE39" s="420">
        <f t="shared" si="6"/>
        <v>853.72963413283776</v>
      </c>
      <c r="AF39" s="420">
        <f t="shared" si="7"/>
        <v>848.91988971518799</v>
      </c>
      <c r="AG39" s="420">
        <f t="shared" si="8"/>
        <v>635.68788719938061</v>
      </c>
      <c r="AH39" s="420">
        <f t="shared" si="9"/>
        <v>511.43615641009433</v>
      </c>
      <c r="AI39" s="420">
        <f t="shared" si="10"/>
        <v>394.39904224728281</v>
      </c>
      <c r="AJ39" s="420">
        <f t="shared" si="11"/>
        <v>345.49997400117661</v>
      </c>
      <c r="AK39" s="421">
        <f t="shared" ref="AK39:AP39" si="129">AE39</f>
        <v>853.72963413283776</v>
      </c>
      <c r="AL39" s="421">
        <f t="shared" si="129"/>
        <v>848.91988971518799</v>
      </c>
      <c r="AM39" s="421">
        <f t="shared" si="129"/>
        <v>635.68788719938061</v>
      </c>
      <c r="AN39" s="421">
        <f t="shared" si="129"/>
        <v>511.43615641009433</v>
      </c>
      <c r="AO39" s="421">
        <f t="shared" si="129"/>
        <v>394.39904224728281</v>
      </c>
      <c r="AP39" s="421">
        <f t="shared" si="129"/>
        <v>345.49997400117661</v>
      </c>
      <c r="AQ39" s="417">
        <f>VLOOKUP($J39,Fatores!$G$1:$J$5,3,FALSE)</f>
        <v>0.80162406960829835</v>
      </c>
      <c r="AR39" s="417">
        <f>VLOOKUP($C39,Fatores!$A:$D,3,FALSE)</f>
        <v>1</v>
      </c>
      <c r="AS39" s="420">
        <f t="shared" si="13"/>
        <v>853.72963413283776</v>
      </c>
      <c r="AT39" s="420">
        <f t="shared" si="14"/>
        <v>848.91988971518799</v>
      </c>
      <c r="AU39" s="420">
        <f t="shared" si="15"/>
        <v>635.68788719938061</v>
      </c>
      <c r="AV39" s="420">
        <f t="shared" si="16"/>
        <v>511.43615641009433</v>
      </c>
      <c r="AW39" s="420">
        <f t="shared" si="17"/>
        <v>394.39904224728281</v>
      </c>
      <c r="AX39" s="420">
        <f t="shared" si="18"/>
        <v>345.49997400117661</v>
      </c>
      <c r="AY39" s="421">
        <f t="shared" ref="AY39" si="130">AS39</f>
        <v>853.72963413283776</v>
      </c>
      <c r="AZ39" s="421">
        <f t="shared" ref="AZ39" si="131">AT39</f>
        <v>848.91988971518799</v>
      </c>
      <c r="BA39" s="421">
        <f t="shared" ref="BA39" si="132">AU39</f>
        <v>635.68788719938061</v>
      </c>
      <c r="BB39" s="421">
        <f t="shared" ref="BB39" si="133">AV39</f>
        <v>511.43615641009433</v>
      </c>
      <c r="BC39" s="421">
        <f t="shared" ref="BC39" si="134">AW39</f>
        <v>394.39904224728281</v>
      </c>
      <c r="BD39" s="421">
        <f t="shared" ref="BD39" si="135">AX39</f>
        <v>345.49997400117661</v>
      </c>
      <c r="BE39" s="417">
        <f>VLOOKUP($J39,Fatores!$G$1:$J$5,4,FALSE)</f>
        <v>1</v>
      </c>
      <c r="BF39" s="417">
        <f>VLOOKUP($C39,Fatores!$A:$D,4,FALSE)</f>
        <v>1</v>
      </c>
      <c r="BG39" s="420">
        <f t="shared" si="20"/>
        <v>1065</v>
      </c>
      <c r="BH39" s="420">
        <f t="shared" si="21"/>
        <v>1059</v>
      </c>
      <c r="BI39" s="420">
        <f t="shared" si="22"/>
        <v>793</v>
      </c>
      <c r="BJ39" s="420">
        <f t="shared" si="23"/>
        <v>638</v>
      </c>
      <c r="BK39" s="420">
        <f t="shared" si="24"/>
        <v>492</v>
      </c>
      <c r="BL39" s="420">
        <f t="shared" si="25"/>
        <v>431</v>
      </c>
      <c r="BM39" s="421">
        <f t="shared" ref="BM39" si="136">BG39</f>
        <v>1065</v>
      </c>
      <c r="BN39" s="421">
        <f t="shared" ref="BN39" si="137">BH39</f>
        <v>1059</v>
      </c>
      <c r="BO39" s="421">
        <f t="shared" ref="BO39" si="138">BI39</f>
        <v>793</v>
      </c>
      <c r="BP39" s="421">
        <f t="shared" ref="BP39" si="139">BJ39</f>
        <v>638</v>
      </c>
      <c r="BQ39" s="421">
        <f t="shared" ref="BQ39" si="140">BK39</f>
        <v>492</v>
      </c>
      <c r="BR39" s="421">
        <f t="shared" ref="BR39" si="141">BL39</f>
        <v>431</v>
      </c>
    </row>
    <row r="40" spans="1:70" x14ac:dyDescent="0.25">
      <c r="A40" s="431">
        <v>76</v>
      </c>
      <c r="B40" s="424"/>
      <c r="C40" s="424" t="s">
        <v>36</v>
      </c>
      <c r="D40" s="437" t="s">
        <v>36</v>
      </c>
      <c r="E40" s="444">
        <v>74</v>
      </c>
      <c r="F40" s="424"/>
      <c r="G40" s="424"/>
      <c r="H40" s="424"/>
      <c r="I40" s="432"/>
      <c r="J40" s="440">
        <v>2</v>
      </c>
      <c r="K40" s="419">
        <f>VLOOKUP($A40,Prevs!$C:$I,Ajustes!K$1,FALSE)</f>
        <v>1173</v>
      </c>
      <c r="L40" s="419">
        <f>VLOOKUP($A40,Prevs!$C:$I,Ajustes!L$1,FALSE)</f>
        <v>1213</v>
      </c>
      <c r="M40" s="419">
        <f>VLOOKUP($A40,Prevs!$C:$I,Ajustes!M$1,FALSE)</f>
        <v>909</v>
      </c>
      <c r="N40" s="419">
        <f>VLOOKUP($A40,Prevs!$C:$I,Ajustes!N$1,FALSE)</f>
        <v>733</v>
      </c>
      <c r="O40" s="419">
        <f>VLOOKUP($A40,Prevs!$C:$I,Ajustes!O$1,FALSE)</f>
        <v>566</v>
      </c>
      <c r="P40" s="419">
        <f>VLOOKUP($A40,Prevs!$C:$I,Ajustes!P$1,FALSE)</f>
        <v>488</v>
      </c>
      <c r="Q40" s="419">
        <f>VLOOKUP($E40,Prevs!$C:$I,Ajustes!K$1,FALSE)</f>
        <v>1065</v>
      </c>
      <c r="R40" s="419">
        <f>VLOOKUP($E40,Prevs!$C:$I,Ajustes!L$1,FALSE)</f>
        <v>1059</v>
      </c>
      <c r="S40" s="419">
        <f>VLOOKUP($E40,Prevs!$C:$I,Ajustes!M$1,FALSE)</f>
        <v>793</v>
      </c>
      <c r="T40" s="419">
        <f>VLOOKUP($E40,Prevs!$C:$I,Ajustes!N$1,FALSE)</f>
        <v>638</v>
      </c>
      <c r="U40" s="419">
        <f>VLOOKUP($E40,Prevs!$C:$I,Ajustes!O$1,FALSE)</f>
        <v>492</v>
      </c>
      <c r="V40" s="419">
        <f>VLOOKUP($E40,Prevs!$C:$I,Ajustes!P$1,FALSE)</f>
        <v>431</v>
      </c>
      <c r="W40" s="419">
        <f t="shared" ref="W40:W42" si="142">K40-Q40</f>
        <v>108</v>
      </c>
      <c r="X40" s="419">
        <f t="shared" ref="X40:X42" si="143">L40-R40</f>
        <v>154</v>
      </c>
      <c r="Y40" s="419">
        <f t="shared" ref="Y40:Y42" si="144">M40-S40</f>
        <v>116</v>
      </c>
      <c r="Z40" s="419">
        <f t="shared" ref="Z40:Z42" si="145">N40-T40</f>
        <v>95</v>
      </c>
      <c r="AA40" s="419">
        <f t="shared" ref="AA40:AA42" si="146">O40-U40</f>
        <v>74</v>
      </c>
      <c r="AB40" s="419">
        <f t="shared" ref="AB40:AB42" si="147">P40-V40</f>
        <v>57</v>
      </c>
      <c r="AC40" s="417">
        <f>VLOOKUP($J40,Fatores!$G$1:$J$5,2,FALSE)</f>
        <v>0.80162406960829835</v>
      </c>
      <c r="AD40" s="417">
        <f>VLOOKUP($C40,Fatores!$A:$D,2,FALSE)</f>
        <v>1</v>
      </c>
      <c r="AE40" s="420">
        <f t="shared" si="6"/>
        <v>86.575399517696226</v>
      </c>
      <c r="AF40" s="420">
        <f t="shared" si="7"/>
        <v>123.45010671967795</v>
      </c>
      <c r="AG40" s="420">
        <f t="shared" si="8"/>
        <v>92.988392074562611</v>
      </c>
      <c r="AH40" s="420">
        <f t="shared" si="9"/>
        <v>76.15428661278834</v>
      </c>
      <c r="AI40" s="420">
        <f t="shared" si="10"/>
        <v>59.320181151014076</v>
      </c>
      <c r="AJ40" s="420">
        <f t="shared" si="11"/>
        <v>45.692571967673004</v>
      </c>
      <c r="AK40" s="421">
        <f t="shared" ref="AK40:AP40" si="148">AE40+VLOOKUP($E40,$A:$BR,AK$1,FALSE)</f>
        <v>940.30503365053403</v>
      </c>
      <c r="AL40" s="421">
        <f t="shared" si="148"/>
        <v>972.36999643486593</v>
      </c>
      <c r="AM40" s="421">
        <f t="shared" si="148"/>
        <v>728.67627927394324</v>
      </c>
      <c r="AN40" s="421">
        <f t="shared" si="148"/>
        <v>587.59044302288271</v>
      </c>
      <c r="AO40" s="421">
        <f t="shared" si="148"/>
        <v>453.71922339829689</v>
      </c>
      <c r="AP40" s="421">
        <f t="shared" si="148"/>
        <v>391.19254596884963</v>
      </c>
      <c r="AQ40" s="417">
        <f>VLOOKUP($J40,Fatores!$G$1:$J$5,3,FALSE)</f>
        <v>0.80162406960829835</v>
      </c>
      <c r="AR40" s="417">
        <f>VLOOKUP($C40,Fatores!$A:$D,3,FALSE)</f>
        <v>1</v>
      </c>
      <c r="AS40" s="420">
        <f t="shared" si="13"/>
        <v>86.575399517696226</v>
      </c>
      <c r="AT40" s="420">
        <f t="shared" si="14"/>
        <v>123.45010671967795</v>
      </c>
      <c r="AU40" s="420">
        <f t="shared" si="15"/>
        <v>92.988392074562611</v>
      </c>
      <c r="AV40" s="420">
        <f t="shared" si="16"/>
        <v>76.15428661278834</v>
      </c>
      <c r="AW40" s="420">
        <f t="shared" si="17"/>
        <v>59.320181151014076</v>
      </c>
      <c r="AX40" s="420">
        <f t="shared" si="18"/>
        <v>45.692571967673004</v>
      </c>
      <c r="AY40" s="421">
        <f t="shared" ref="AY40:BD40" si="149">AS40+VLOOKUP($E40,$A:$BR,AY$1,FALSE)</f>
        <v>940.30503365053403</v>
      </c>
      <c r="AZ40" s="421">
        <f t="shared" si="149"/>
        <v>972.36999643486593</v>
      </c>
      <c r="BA40" s="421">
        <f t="shared" si="149"/>
        <v>728.67627927394324</v>
      </c>
      <c r="BB40" s="421">
        <f t="shared" si="149"/>
        <v>587.59044302288271</v>
      </c>
      <c r="BC40" s="421">
        <f t="shared" si="149"/>
        <v>453.71922339829689</v>
      </c>
      <c r="BD40" s="421">
        <f t="shared" si="149"/>
        <v>391.19254596884963</v>
      </c>
      <c r="BE40" s="417">
        <f>VLOOKUP($J40,Fatores!$G$1:$J$5,4,FALSE)</f>
        <v>1</v>
      </c>
      <c r="BF40" s="417">
        <f>VLOOKUP($C40,Fatores!$A:$D,4,FALSE)</f>
        <v>1</v>
      </c>
      <c r="BG40" s="420">
        <f t="shared" si="20"/>
        <v>108</v>
      </c>
      <c r="BH40" s="420">
        <f t="shared" si="21"/>
        <v>154</v>
      </c>
      <c r="BI40" s="420">
        <f t="shared" si="22"/>
        <v>116</v>
      </c>
      <c r="BJ40" s="420">
        <f t="shared" si="23"/>
        <v>95</v>
      </c>
      <c r="BK40" s="420">
        <f t="shared" si="24"/>
        <v>74</v>
      </c>
      <c r="BL40" s="420">
        <f t="shared" si="25"/>
        <v>57</v>
      </c>
      <c r="BM40" s="421">
        <f t="shared" ref="BM40:BR40" si="150">BG40+VLOOKUP($E40,$A:$BR,BM$1,FALSE)</f>
        <v>1173</v>
      </c>
      <c r="BN40" s="421">
        <f t="shared" si="150"/>
        <v>1213</v>
      </c>
      <c r="BO40" s="421">
        <f t="shared" si="150"/>
        <v>909</v>
      </c>
      <c r="BP40" s="421">
        <f t="shared" si="150"/>
        <v>733</v>
      </c>
      <c r="BQ40" s="421">
        <f t="shared" si="150"/>
        <v>566</v>
      </c>
      <c r="BR40" s="421">
        <f t="shared" si="150"/>
        <v>488</v>
      </c>
    </row>
    <row r="41" spans="1:70" x14ac:dyDescent="0.25">
      <c r="A41" s="431">
        <v>77</v>
      </c>
      <c r="B41" s="424"/>
      <c r="C41" s="424" t="s">
        <v>36</v>
      </c>
      <c r="D41" s="437" t="s">
        <v>36</v>
      </c>
      <c r="E41" s="444">
        <v>73</v>
      </c>
      <c r="F41" s="425">
        <v>76</v>
      </c>
      <c r="G41" s="424"/>
      <c r="H41" s="424"/>
      <c r="I41" s="432"/>
      <c r="J41" s="440">
        <v>2</v>
      </c>
      <c r="K41" s="419">
        <f>VLOOKUP($A41,Prevs!$C:$I,Ajustes!K$1,FALSE)</f>
        <v>1508</v>
      </c>
      <c r="L41" s="419">
        <f>VLOOKUP($A41,Prevs!$C:$I,Ajustes!L$1,FALSE)</f>
        <v>2501</v>
      </c>
      <c r="M41" s="419">
        <f>VLOOKUP($A41,Prevs!$C:$I,Ajustes!M$1,FALSE)</f>
        <v>2329</v>
      </c>
      <c r="N41" s="419">
        <f>VLOOKUP($A41,Prevs!$C:$I,Ajustes!N$1,FALSE)</f>
        <v>1206</v>
      </c>
      <c r="O41" s="419">
        <f>VLOOKUP($A41,Prevs!$C:$I,Ajustes!O$1,FALSE)</f>
        <v>708</v>
      </c>
      <c r="P41" s="419">
        <f>VLOOKUP($A41,Prevs!$C:$I,Ajustes!P$1,FALSE)</f>
        <v>862</v>
      </c>
      <c r="Q41" s="419">
        <f>VLOOKUP($E41,Prevs!$C:$I,Ajustes!K$1,FALSE)+VLOOKUP($F41,Prevs!$C:$I,Ajustes!K$1,FALSE)</f>
        <v>1324</v>
      </c>
      <c r="R41" s="419">
        <f>VLOOKUP($E41,Prevs!$C:$I,Ajustes!L$1,FALSE)+VLOOKUP($F41,Prevs!$C:$I,Ajustes!L$1,FALSE)</f>
        <v>1493</v>
      </c>
      <c r="S41" s="419">
        <f>VLOOKUP($E41,Prevs!$C:$I,Ajustes!M$1,FALSE)+VLOOKUP($F41,Prevs!$C:$I,Ajustes!M$1,FALSE)</f>
        <v>1087</v>
      </c>
      <c r="T41" s="419">
        <f>VLOOKUP($E41,Prevs!$C:$I,Ajustes!N$1,FALSE)+VLOOKUP($F41,Prevs!$C:$I,Ajustes!N$1,FALSE)</f>
        <v>816</v>
      </c>
      <c r="U41" s="419">
        <f>VLOOKUP($E41,Prevs!$C:$I,Ajustes!O$1,FALSE)+VLOOKUP($F41,Prevs!$C:$I,Ajustes!O$1,FALSE)</f>
        <v>639</v>
      </c>
      <c r="V41" s="419">
        <f>VLOOKUP($E41,Prevs!$C:$I,Ajustes!P$1,FALSE)+VLOOKUP($F41,Prevs!$C:$I,Ajustes!P$1,FALSE)</f>
        <v>552</v>
      </c>
      <c r="W41" s="419">
        <f t="shared" si="142"/>
        <v>184</v>
      </c>
      <c r="X41" s="419">
        <f t="shared" si="143"/>
        <v>1008</v>
      </c>
      <c r="Y41" s="419">
        <f t="shared" si="144"/>
        <v>1242</v>
      </c>
      <c r="Z41" s="419">
        <f t="shared" si="145"/>
        <v>390</v>
      </c>
      <c r="AA41" s="419">
        <f t="shared" si="146"/>
        <v>69</v>
      </c>
      <c r="AB41" s="419">
        <f t="shared" si="147"/>
        <v>310</v>
      </c>
      <c r="AC41" s="417">
        <f>VLOOKUP($J41,Fatores!$G$1:$J$5,2,FALSE)</f>
        <v>0.80162406960829835</v>
      </c>
      <c r="AD41" s="417">
        <f>VLOOKUP($C41,Fatores!$A:$D,2,FALSE)</f>
        <v>1</v>
      </c>
      <c r="AE41" s="420">
        <f t="shared" si="6"/>
        <v>147.49882880792688</v>
      </c>
      <c r="AF41" s="420">
        <f t="shared" si="7"/>
        <v>808.03706216516468</v>
      </c>
      <c r="AG41" s="420">
        <f t="shared" si="8"/>
        <v>995.61709445350652</v>
      </c>
      <c r="AH41" s="420">
        <f t="shared" si="9"/>
        <v>312.63338714723636</v>
      </c>
      <c r="AI41" s="420">
        <f t="shared" si="10"/>
        <v>55.312060802972589</v>
      </c>
      <c r="AJ41" s="420">
        <f t="shared" si="11"/>
        <v>248.50346157857248</v>
      </c>
      <c r="AK41" s="421">
        <f t="shared" ref="AK41:AP41" si="151">AE41+VLOOKUP($E41,$A:$BR,AK$1,FALSE)+VLOOKUP($F41,$A:$BR,AK$1,FALSE)</f>
        <v>1208.8490969693139</v>
      </c>
      <c r="AL41" s="421">
        <f t="shared" si="151"/>
        <v>2004.8617980903541</v>
      </c>
      <c r="AM41" s="421">
        <f t="shared" si="151"/>
        <v>1866.9824581177268</v>
      </c>
      <c r="AN41" s="421">
        <f t="shared" si="151"/>
        <v>966.75862794760781</v>
      </c>
      <c r="AO41" s="421">
        <f t="shared" si="151"/>
        <v>567.54984128267529</v>
      </c>
      <c r="AP41" s="421">
        <f t="shared" si="151"/>
        <v>690.99994800235322</v>
      </c>
      <c r="AQ41" s="417">
        <f>VLOOKUP($J41,Fatores!$G$1:$J$5,3,FALSE)</f>
        <v>0.80162406960829835</v>
      </c>
      <c r="AR41" s="417">
        <f>VLOOKUP($C41,Fatores!$A:$D,3,FALSE)</f>
        <v>1</v>
      </c>
      <c r="AS41" s="420">
        <f t="shared" si="13"/>
        <v>147.49882880792688</v>
      </c>
      <c r="AT41" s="420">
        <f t="shared" si="14"/>
        <v>808.03706216516468</v>
      </c>
      <c r="AU41" s="420">
        <f t="shared" si="15"/>
        <v>995.61709445350652</v>
      </c>
      <c r="AV41" s="420">
        <f t="shared" si="16"/>
        <v>312.63338714723636</v>
      </c>
      <c r="AW41" s="420">
        <f t="shared" si="17"/>
        <v>55.312060802972589</v>
      </c>
      <c r="AX41" s="420">
        <f t="shared" si="18"/>
        <v>248.50346157857248</v>
      </c>
      <c r="AY41" s="421">
        <f t="shared" ref="AY41:BD41" si="152">AS41+VLOOKUP($E41,$A:$BR,AY$1,FALSE)+VLOOKUP($F41,$A:$BR,AY$1,FALSE)</f>
        <v>1208.8490969693139</v>
      </c>
      <c r="AZ41" s="421">
        <f t="shared" si="152"/>
        <v>2004.8617980903541</v>
      </c>
      <c r="BA41" s="421">
        <f t="shared" si="152"/>
        <v>1866.9824581177268</v>
      </c>
      <c r="BB41" s="421">
        <f t="shared" si="152"/>
        <v>966.75862794760781</v>
      </c>
      <c r="BC41" s="421">
        <f t="shared" si="152"/>
        <v>567.54984128267529</v>
      </c>
      <c r="BD41" s="421">
        <f t="shared" si="152"/>
        <v>690.99994800235322</v>
      </c>
      <c r="BE41" s="417">
        <f>VLOOKUP($J41,Fatores!$G$1:$J$5,4,FALSE)</f>
        <v>1</v>
      </c>
      <c r="BF41" s="417">
        <f>VLOOKUP($C41,Fatores!$A:$D,4,FALSE)</f>
        <v>1</v>
      </c>
      <c r="BG41" s="420">
        <f t="shared" si="20"/>
        <v>184</v>
      </c>
      <c r="BH41" s="420">
        <f t="shared" si="21"/>
        <v>1008</v>
      </c>
      <c r="BI41" s="420">
        <f t="shared" si="22"/>
        <v>1242</v>
      </c>
      <c r="BJ41" s="420">
        <f t="shared" si="23"/>
        <v>390</v>
      </c>
      <c r="BK41" s="420">
        <f t="shared" si="24"/>
        <v>69</v>
      </c>
      <c r="BL41" s="420">
        <f t="shared" si="25"/>
        <v>310</v>
      </c>
      <c r="BM41" s="421">
        <f t="shared" ref="BM41:BR41" si="153">BG41+VLOOKUP($E41,$A:$BR,BM$1,FALSE)+VLOOKUP($F41,$A:$BR,BM$1,FALSE)</f>
        <v>1508</v>
      </c>
      <c r="BN41" s="421">
        <f t="shared" si="153"/>
        <v>2501</v>
      </c>
      <c r="BO41" s="421">
        <f t="shared" si="153"/>
        <v>2329</v>
      </c>
      <c r="BP41" s="421">
        <f t="shared" si="153"/>
        <v>1206</v>
      </c>
      <c r="BQ41" s="421">
        <f t="shared" si="153"/>
        <v>708</v>
      </c>
      <c r="BR41" s="421">
        <f t="shared" si="153"/>
        <v>862</v>
      </c>
    </row>
    <row r="42" spans="1:70" x14ac:dyDescent="0.25">
      <c r="A42" s="431">
        <v>78</v>
      </c>
      <c r="B42" s="424"/>
      <c r="C42" s="424" t="s">
        <v>36</v>
      </c>
      <c r="D42" s="437" t="s">
        <v>36</v>
      </c>
      <c r="E42" s="444">
        <v>77</v>
      </c>
      <c r="F42" s="424"/>
      <c r="G42" s="424"/>
      <c r="H42" s="424"/>
      <c r="I42" s="432"/>
      <c r="J42" s="440">
        <v>2</v>
      </c>
      <c r="K42" s="419">
        <f>VLOOKUP($A42,Prevs!$C:$I,Ajustes!K$1,FALSE)</f>
        <v>1565</v>
      </c>
      <c r="L42" s="419">
        <f>VLOOKUP($A42,Prevs!$C:$I,Ajustes!L$1,FALSE)</f>
        <v>2585</v>
      </c>
      <c r="M42" s="419">
        <f>VLOOKUP($A42,Prevs!$C:$I,Ajustes!M$1,FALSE)</f>
        <v>2408</v>
      </c>
      <c r="N42" s="419">
        <f>VLOOKUP($A42,Prevs!$C:$I,Ajustes!N$1,FALSE)</f>
        <v>1249</v>
      </c>
      <c r="O42" s="419">
        <f>VLOOKUP($A42,Prevs!$C:$I,Ajustes!O$1,FALSE)</f>
        <v>736</v>
      </c>
      <c r="P42" s="419">
        <f>VLOOKUP($A42,Prevs!$C:$I,Ajustes!P$1,FALSE)</f>
        <v>898</v>
      </c>
      <c r="Q42" s="419">
        <f>VLOOKUP($E42,Prevs!$C:$I,Ajustes!K$1,FALSE)</f>
        <v>1508</v>
      </c>
      <c r="R42" s="419">
        <f>VLOOKUP($E42,Prevs!$C:$I,Ajustes!L$1,FALSE)</f>
        <v>2501</v>
      </c>
      <c r="S42" s="419">
        <f>VLOOKUP($E42,Prevs!$C:$I,Ajustes!M$1,FALSE)</f>
        <v>2329</v>
      </c>
      <c r="T42" s="419">
        <f>VLOOKUP($E42,Prevs!$C:$I,Ajustes!N$1,FALSE)</f>
        <v>1206</v>
      </c>
      <c r="U42" s="419">
        <f>VLOOKUP($E42,Prevs!$C:$I,Ajustes!O$1,FALSE)</f>
        <v>708</v>
      </c>
      <c r="V42" s="419">
        <f>VLOOKUP($E42,Prevs!$C:$I,Ajustes!P$1,FALSE)</f>
        <v>862</v>
      </c>
      <c r="W42" s="419">
        <f t="shared" si="142"/>
        <v>57</v>
      </c>
      <c r="X42" s="419">
        <f t="shared" si="143"/>
        <v>84</v>
      </c>
      <c r="Y42" s="419">
        <f t="shared" si="144"/>
        <v>79</v>
      </c>
      <c r="Z42" s="419">
        <f t="shared" si="145"/>
        <v>43</v>
      </c>
      <c r="AA42" s="419">
        <f t="shared" si="146"/>
        <v>28</v>
      </c>
      <c r="AB42" s="419">
        <f t="shared" si="147"/>
        <v>36</v>
      </c>
      <c r="AC42" s="417">
        <f>VLOOKUP($J42,Fatores!$G$1:$J$5,2,FALSE)</f>
        <v>0.80162406960829835</v>
      </c>
      <c r="AD42" s="417">
        <f>VLOOKUP($C42,Fatores!$A:$D,2,FALSE)</f>
        <v>1</v>
      </c>
      <c r="AE42" s="420">
        <f t="shared" si="6"/>
        <v>45.692571967673004</v>
      </c>
      <c r="AF42" s="420">
        <f t="shared" si="7"/>
        <v>67.336421847097057</v>
      </c>
      <c r="AG42" s="420">
        <f t="shared" si="8"/>
        <v>63.32830149905557</v>
      </c>
      <c r="AH42" s="420">
        <f t="shared" si="9"/>
        <v>34.46983499315683</v>
      </c>
      <c r="AI42" s="420">
        <f t="shared" si="10"/>
        <v>22.445473949032355</v>
      </c>
      <c r="AJ42" s="420">
        <f t="shared" si="11"/>
        <v>28.85846650589874</v>
      </c>
      <c r="AK42" s="421">
        <f t="shared" ref="AK42:AP42" si="154">AE42+VLOOKUP($E42,$A:$BR,AK$1,FALSE)</f>
        <v>1254.541668936987</v>
      </c>
      <c r="AL42" s="421">
        <f t="shared" si="154"/>
        <v>2072.1982199374511</v>
      </c>
      <c r="AM42" s="421">
        <f t="shared" si="154"/>
        <v>1930.3107596167824</v>
      </c>
      <c r="AN42" s="421">
        <f t="shared" si="154"/>
        <v>1001.2284629407646</v>
      </c>
      <c r="AO42" s="421">
        <f t="shared" si="154"/>
        <v>589.99531523170765</v>
      </c>
      <c r="AP42" s="421">
        <f t="shared" si="154"/>
        <v>719.85841450825194</v>
      </c>
      <c r="AQ42" s="417">
        <f>VLOOKUP($J42,Fatores!$G$1:$J$5,3,FALSE)</f>
        <v>0.80162406960829835</v>
      </c>
      <c r="AR42" s="417">
        <f>VLOOKUP($C42,Fatores!$A:$D,3,FALSE)</f>
        <v>1</v>
      </c>
      <c r="AS42" s="420">
        <f t="shared" si="13"/>
        <v>45.692571967673004</v>
      </c>
      <c r="AT42" s="420">
        <f t="shared" si="14"/>
        <v>67.336421847097057</v>
      </c>
      <c r="AU42" s="420">
        <f t="shared" si="15"/>
        <v>63.32830149905557</v>
      </c>
      <c r="AV42" s="420">
        <f t="shared" si="16"/>
        <v>34.46983499315683</v>
      </c>
      <c r="AW42" s="420">
        <f t="shared" si="17"/>
        <v>22.445473949032355</v>
      </c>
      <c r="AX42" s="420">
        <f t="shared" si="18"/>
        <v>28.85846650589874</v>
      </c>
      <c r="AY42" s="421">
        <f t="shared" ref="AY42:BD42" si="155">AS42+VLOOKUP($E42,$A:$BR,AY$1,FALSE)</f>
        <v>1254.541668936987</v>
      </c>
      <c r="AZ42" s="421">
        <f t="shared" si="155"/>
        <v>2072.1982199374511</v>
      </c>
      <c r="BA42" s="421">
        <f t="shared" si="155"/>
        <v>1930.3107596167824</v>
      </c>
      <c r="BB42" s="421">
        <f t="shared" si="155"/>
        <v>1001.2284629407646</v>
      </c>
      <c r="BC42" s="421">
        <f t="shared" si="155"/>
        <v>589.99531523170765</v>
      </c>
      <c r="BD42" s="421">
        <f t="shared" si="155"/>
        <v>719.85841450825194</v>
      </c>
      <c r="BE42" s="417">
        <f>VLOOKUP($J42,Fatores!$G$1:$J$5,4,FALSE)</f>
        <v>1</v>
      </c>
      <c r="BF42" s="417">
        <f>VLOOKUP($C42,Fatores!$A:$D,4,FALSE)</f>
        <v>1</v>
      </c>
      <c r="BG42" s="420">
        <f t="shared" si="20"/>
        <v>57</v>
      </c>
      <c r="BH42" s="420">
        <f t="shared" si="21"/>
        <v>84</v>
      </c>
      <c r="BI42" s="420">
        <f t="shared" si="22"/>
        <v>79</v>
      </c>
      <c r="BJ42" s="420">
        <f t="shared" si="23"/>
        <v>43</v>
      </c>
      <c r="BK42" s="420">
        <f t="shared" si="24"/>
        <v>28</v>
      </c>
      <c r="BL42" s="420">
        <f t="shared" si="25"/>
        <v>36</v>
      </c>
      <c r="BM42" s="421">
        <f t="shared" ref="BM42:BR42" si="156">BG42+VLOOKUP($E42,$A:$BR,BM$1,FALSE)</f>
        <v>1565</v>
      </c>
      <c r="BN42" s="421">
        <f t="shared" si="156"/>
        <v>2585</v>
      </c>
      <c r="BO42" s="421">
        <f t="shared" si="156"/>
        <v>2408</v>
      </c>
      <c r="BP42" s="421">
        <f t="shared" si="156"/>
        <v>1249</v>
      </c>
      <c r="BQ42" s="421">
        <f t="shared" si="156"/>
        <v>736</v>
      </c>
      <c r="BR42" s="421">
        <f t="shared" si="156"/>
        <v>898</v>
      </c>
    </row>
    <row r="43" spans="1:70" x14ac:dyDescent="0.25">
      <c r="A43" s="431">
        <v>89</v>
      </c>
      <c r="B43" s="424"/>
      <c r="C43" s="424" t="s">
        <v>38</v>
      </c>
      <c r="D43" s="437" t="s">
        <v>459</v>
      </c>
      <c r="E43" s="445"/>
      <c r="F43" s="424"/>
      <c r="G43" s="424"/>
      <c r="H43" s="424"/>
      <c r="I43" s="432"/>
      <c r="J43" s="440">
        <v>2</v>
      </c>
      <c r="K43" s="419">
        <f>VLOOKUP($A43,Prevs!$C:$I,Ajustes!K$1,FALSE)</f>
        <v>541</v>
      </c>
      <c r="L43" s="419">
        <f>VLOOKUP($A43,Prevs!$C:$I,Ajustes!L$1,FALSE)</f>
        <v>258</v>
      </c>
      <c r="M43" s="419">
        <f>VLOOKUP($A43,Prevs!$C:$I,Ajustes!M$1,FALSE)</f>
        <v>293</v>
      </c>
      <c r="N43" s="419">
        <f>VLOOKUP($A43,Prevs!$C:$I,Ajustes!N$1,FALSE)</f>
        <v>318</v>
      </c>
      <c r="O43" s="419">
        <f>VLOOKUP($A43,Prevs!$C:$I,Ajustes!O$1,FALSE)</f>
        <v>199</v>
      </c>
      <c r="P43" s="419">
        <f>VLOOKUP($A43,Prevs!$C:$I,Ajustes!P$1,FALSE)</f>
        <v>203</v>
      </c>
      <c r="Q43" s="419">
        <v>0</v>
      </c>
      <c r="R43" s="419">
        <v>0</v>
      </c>
      <c r="S43" s="419">
        <v>0</v>
      </c>
      <c r="T43" s="419">
        <v>0</v>
      </c>
      <c r="U43" s="419">
        <v>0</v>
      </c>
      <c r="V43" s="419">
        <v>0</v>
      </c>
      <c r="W43" s="419">
        <f t="shared" ref="W43:AB45" si="157">K43-Q43</f>
        <v>541</v>
      </c>
      <c r="X43" s="419">
        <f t="shared" si="157"/>
        <v>258</v>
      </c>
      <c r="Y43" s="419">
        <f t="shared" si="157"/>
        <v>293</v>
      </c>
      <c r="Z43" s="419">
        <f t="shared" si="157"/>
        <v>318</v>
      </c>
      <c r="AA43" s="419">
        <f t="shared" si="157"/>
        <v>199</v>
      </c>
      <c r="AB43" s="419">
        <f t="shared" si="157"/>
        <v>203</v>
      </c>
      <c r="AC43" s="417">
        <f>VLOOKUP($J43,Fatores!$G$1:$J$5,2,FALSE)</f>
        <v>0.80162406960829835</v>
      </c>
      <c r="AD43" s="417">
        <f>VLOOKUP($C43,Fatores!$A:$D,2,FALSE)</f>
        <v>1</v>
      </c>
      <c r="AE43" s="420">
        <f t="shared" si="6"/>
        <v>433.67862165808941</v>
      </c>
      <c r="AF43" s="420">
        <f t="shared" si="7"/>
        <v>206.81900995894097</v>
      </c>
      <c r="AG43" s="420">
        <f t="shared" si="8"/>
        <v>234.87585239523142</v>
      </c>
      <c r="AH43" s="420">
        <f t="shared" si="9"/>
        <v>254.91645413543887</v>
      </c>
      <c r="AI43" s="420">
        <f t="shared" si="10"/>
        <v>159.52318985205136</v>
      </c>
      <c r="AJ43" s="420">
        <f t="shared" si="11"/>
        <v>162.72968613048457</v>
      </c>
      <c r="AK43" s="421">
        <f t="shared" ref="AK43:AP43" si="158">AE43</f>
        <v>433.67862165808941</v>
      </c>
      <c r="AL43" s="421">
        <f t="shared" si="158"/>
        <v>206.81900995894097</v>
      </c>
      <c r="AM43" s="421">
        <f t="shared" si="158"/>
        <v>234.87585239523142</v>
      </c>
      <c r="AN43" s="421">
        <f t="shared" si="158"/>
        <v>254.91645413543887</v>
      </c>
      <c r="AO43" s="421">
        <f t="shared" si="158"/>
        <v>159.52318985205136</v>
      </c>
      <c r="AP43" s="421">
        <f t="shared" si="158"/>
        <v>162.72968613048457</v>
      </c>
      <c r="AQ43" s="417">
        <f>VLOOKUP($J43,Fatores!$G$1:$J$5,3,FALSE)</f>
        <v>0.80162406960829835</v>
      </c>
      <c r="AR43" s="417">
        <f>VLOOKUP($C43,Fatores!$A:$D,3,FALSE)</f>
        <v>1</v>
      </c>
      <c r="AS43" s="420">
        <f t="shared" si="13"/>
        <v>433.67862165808941</v>
      </c>
      <c r="AT43" s="420">
        <f t="shared" si="14"/>
        <v>206.81900995894097</v>
      </c>
      <c r="AU43" s="420">
        <f t="shared" si="15"/>
        <v>234.87585239523142</v>
      </c>
      <c r="AV43" s="420">
        <f t="shared" si="16"/>
        <v>254.91645413543887</v>
      </c>
      <c r="AW43" s="420">
        <f t="shared" si="17"/>
        <v>159.52318985205136</v>
      </c>
      <c r="AX43" s="420">
        <f t="shared" si="18"/>
        <v>162.72968613048457</v>
      </c>
      <c r="AY43" s="421">
        <f t="shared" ref="AY43" si="159">AS43</f>
        <v>433.67862165808941</v>
      </c>
      <c r="AZ43" s="421">
        <f t="shared" ref="AZ43" si="160">AT43</f>
        <v>206.81900995894097</v>
      </c>
      <c r="BA43" s="421">
        <f t="shared" ref="BA43" si="161">AU43</f>
        <v>234.87585239523142</v>
      </c>
      <c r="BB43" s="421">
        <f t="shared" ref="BB43" si="162">AV43</f>
        <v>254.91645413543887</v>
      </c>
      <c r="BC43" s="421">
        <f t="shared" ref="BC43" si="163">AW43</f>
        <v>159.52318985205136</v>
      </c>
      <c r="BD43" s="421">
        <f t="shared" ref="BD43" si="164">AX43</f>
        <v>162.72968613048457</v>
      </c>
      <c r="BE43" s="417">
        <f>VLOOKUP($J43,Fatores!$G$1:$J$5,4,FALSE)</f>
        <v>1</v>
      </c>
      <c r="BF43" s="417">
        <f>VLOOKUP($C43,Fatores!$A:$D,4,FALSE)</f>
        <v>1</v>
      </c>
      <c r="BG43" s="420">
        <f t="shared" si="20"/>
        <v>541</v>
      </c>
      <c r="BH43" s="420">
        <f t="shared" si="21"/>
        <v>258</v>
      </c>
      <c r="BI43" s="420">
        <f t="shared" si="22"/>
        <v>293</v>
      </c>
      <c r="BJ43" s="420">
        <f t="shared" si="23"/>
        <v>318</v>
      </c>
      <c r="BK43" s="420">
        <f t="shared" si="24"/>
        <v>199</v>
      </c>
      <c r="BL43" s="420">
        <f t="shared" si="25"/>
        <v>203</v>
      </c>
      <c r="BM43" s="421">
        <f t="shared" ref="BM43" si="165">BG43</f>
        <v>541</v>
      </c>
      <c r="BN43" s="421">
        <f t="shared" ref="BN43" si="166">BH43</f>
        <v>258</v>
      </c>
      <c r="BO43" s="421">
        <f t="shared" ref="BO43" si="167">BI43</f>
        <v>293</v>
      </c>
      <c r="BP43" s="421">
        <f t="shared" ref="BP43" si="168">BJ43</f>
        <v>318</v>
      </c>
      <c r="BQ43" s="421">
        <f t="shared" ref="BQ43" si="169">BK43</f>
        <v>199</v>
      </c>
      <c r="BR43" s="421">
        <f t="shared" ref="BR43" si="170">BL43</f>
        <v>203</v>
      </c>
    </row>
    <row r="44" spans="1:70" x14ac:dyDescent="0.25">
      <c r="A44" s="431">
        <v>92</v>
      </c>
      <c r="B44" s="424"/>
      <c r="C44" s="424" t="s">
        <v>38</v>
      </c>
      <c r="D44" s="437" t="s">
        <v>38</v>
      </c>
      <c r="E44" s="444">
        <v>217</v>
      </c>
      <c r="F44" s="424"/>
      <c r="G44" s="424"/>
      <c r="H44" s="424"/>
      <c r="I44" s="432"/>
      <c r="J44" s="440">
        <v>2</v>
      </c>
      <c r="K44" s="419">
        <f>VLOOKUP($A44,Prevs!$C:$I,Ajustes!K$1,FALSE)</f>
        <v>1034</v>
      </c>
      <c r="L44" s="419">
        <f>VLOOKUP($A44,Prevs!$C:$I,Ajustes!L$1,FALSE)</f>
        <v>2221</v>
      </c>
      <c r="M44" s="419">
        <f>VLOOKUP($A44,Prevs!$C:$I,Ajustes!M$1,FALSE)</f>
        <v>771</v>
      </c>
      <c r="N44" s="419">
        <f>VLOOKUP($A44,Prevs!$C:$I,Ajustes!N$1,FALSE)</f>
        <v>1379</v>
      </c>
      <c r="O44" s="419">
        <f>VLOOKUP($A44,Prevs!$C:$I,Ajustes!O$1,FALSE)</f>
        <v>542</v>
      </c>
      <c r="P44" s="419">
        <f>VLOOKUP($A44,Prevs!$C:$I,Ajustes!P$1,FALSE)</f>
        <v>645</v>
      </c>
      <c r="Q44" s="419">
        <f>VLOOKUP($E44,Prevs!$C:$I,Ajustes!K$1,FALSE)</f>
        <v>898</v>
      </c>
      <c r="R44" s="419">
        <f>VLOOKUP($E44,Prevs!$C:$I,Ajustes!L$1,FALSE)</f>
        <v>1564</v>
      </c>
      <c r="S44" s="419">
        <f>VLOOKUP($E44,Prevs!$C:$I,Ajustes!M$1,FALSE)</f>
        <v>543</v>
      </c>
      <c r="T44" s="419">
        <f>VLOOKUP($E44,Prevs!$C:$I,Ajustes!N$1,FALSE)</f>
        <v>972</v>
      </c>
      <c r="U44" s="419">
        <f>VLOOKUP($E44,Prevs!$C:$I,Ajustes!O$1,FALSE)</f>
        <v>382</v>
      </c>
      <c r="V44" s="419">
        <f>VLOOKUP($E44,Prevs!$C:$I,Ajustes!P$1,FALSE)</f>
        <v>449</v>
      </c>
      <c r="W44" s="419">
        <f t="shared" si="157"/>
        <v>136</v>
      </c>
      <c r="X44" s="419">
        <f t="shared" si="157"/>
        <v>657</v>
      </c>
      <c r="Y44" s="419">
        <f t="shared" si="157"/>
        <v>228</v>
      </c>
      <c r="Z44" s="419">
        <f t="shared" si="157"/>
        <v>407</v>
      </c>
      <c r="AA44" s="419">
        <f t="shared" si="157"/>
        <v>160</v>
      </c>
      <c r="AB44" s="419">
        <f t="shared" si="157"/>
        <v>196</v>
      </c>
      <c r="AC44" s="417">
        <f>VLOOKUP($J44,Fatores!$G$1:$J$5,2,FALSE)</f>
        <v>0.80162406960829835</v>
      </c>
      <c r="AD44" s="417">
        <f>VLOOKUP($C44,Fatores!$A:$D,2,FALSE)</f>
        <v>1</v>
      </c>
      <c r="AE44" s="420">
        <f t="shared" si="6"/>
        <v>109.02087346672857</v>
      </c>
      <c r="AF44" s="420">
        <f t="shared" si="7"/>
        <v>526.66701373265198</v>
      </c>
      <c r="AG44" s="420">
        <f t="shared" si="8"/>
        <v>182.77028787069202</v>
      </c>
      <c r="AH44" s="420">
        <f t="shared" si="9"/>
        <v>326.26099633057743</v>
      </c>
      <c r="AI44" s="420">
        <f t="shared" si="10"/>
        <v>128.25985113732773</v>
      </c>
      <c r="AJ44" s="420">
        <f t="shared" si="11"/>
        <v>157.11831764322648</v>
      </c>
      <c r="AK44" s="421">
        <f t="shared" ref="AK44:AP44" si="171">AE44+VLOOKUP($E44,$A:$BR,AK$1,FALSE)</f>
        <v>828.87928797498057</v>
      </c>
      <c r="AL44" s="421">
        <f t="shared" si="171"/>
        <v>1780.4070586000307</v>
      </c>
      <c r="AM44" s="421">
        <f t="shared" si="171"/>
        <v>618.05215766799802</v>
      </c>
      <c r="AN44" s="421">
        <f t="shared" si="171"/>
        <v>1105.4395919898434</v>
      </c>
      <c r="AO44" s="421">
        <f t="shared" si="171"/>
        <v>434.48024572769771</v>
      </c>
      <c r="AP44" s="421">
        <f t="shared" si="171"/>
        <v>517.04752489735245</v>
      </c>
      <c r="AQ44" s="417">
        <f>VLOOKUP($J44,Fatores!$G$1:$J$5,3,FALSE)</f>
        <v>0.80162406960829835</v>
      </c>
      <c r="AR44" s="417">
        <f>VLOOKUP($C44,Fatores!$A:$D,3,FALSE)</f>
        <v>1</v>
      </c>
      <c r="AS44" s="420">
        <f t="shared" si="13"/>
        <v>109.02087346672857</v>
      </c>
      <c r="AT44" s="420">
        <f t="shared" si="14"/>
        <v>526.66701373265198</v>
      </c>
      <c r="AU44" s="420">
        <f t="shared" si="15"/>
        <v>182.77028787069202</v>
      </c>
      <c r="AV44" s="420">
        <f t="shared" si="16"/>
        <v>326.26099633057743</v>
      </c>
      <c r="AW44" s="420">
        <f t="shared" si="17"/>
        <v>128.25985113732773</v>
      </c>
      <c r="AX44" s="420">
        <f t="shared" si="18"/>
        <v>157.11831764322648</v>
      </c>
      <c r="AY44" s="421">
        <f t="shared" ref="AY44:BD44" si="172">AS44+VLOOKUP($E44,$A:$BR,AY$1,FALSE)</f>
        <v>828.87928797498057</v>
      </c>
      <c r="AZ44" s="421">
        <f t="shared" si="172"/>
        <v>1780.4070586000307</v>
      </c>
      <c r="BA44" s="421">
        <f t="shared" si="172"/>
        <v>618.05215766799802</v>
      </c>
      <c r="BB44" s="421">
        <f t="shared" si="172"/>
        <v>1105.4395919898434</v>
      </c>
      <c r="BC44" s="421">
        <f t="shared" si="172"/>
        <v>434.48024572769771</v>
      </c>
      <c r="BD44" s="421">
        <f t="shared" si="172"/>
        <v>517.04752489735245</v>
      </c>
      <c r="BE44" s="417">
        <f>VLOOKUP($J44,Fatores!$G$1:$J$5,4,FALSE)</f>
        <v>1</v>
      </c>
      <c r="BF44" s="417">
        <f>VLOOKUP($C44,Fatores!$A:$D,4,FALSE)</f>
        <v>1</v>
      </c>
      <c r="BG44" s="420">
        <f t="shared" si="20"/>
        <v>136</v>
      </c>
      <c r="BH44" s="420">
        <f t="shared" si="21"/>
        <v>657</v>
      </c>
      <c r="BI44" s="420">
        <f t="shared" si="22"/>
        <v>228</v>
      </c>
      <c r="BJ44" s="420">
        <f t="shared" si="23"/>
        <v>407</v>
      </c>
      <c r="BK44" s="420">
        <f t="shared" si="24"/>
        <v>160</v>
      </c>
      <c r="BL44" s="420">
        <f t="shared" si="25"/>
        <v>196</v>
      </c>
      <c r="BM44" s="421">
        <f t="shared" ref="BM44:BR44" si="173">BG44+VLOOKUP($E44,$A:$BR,BM$1,FALSE)</f>
        <v>1034</v>
      </c>
      <c r="BN44" s="421">
        <f t="shared" si="173"/>
        <v>2221</v>
      </c>
      <c r="BO44" s="421">
        <f t="shared" si="173"/>
        <v>771</v>
      </c>
      <c r="BP44" s="421">
        <f t="shared" si="173"/>
        <v>1379</v>
      </c>
      <c r="BQ44" s="421">
        <f t="shared" si="173"/>
        <v>542</v>
      </c>
      <c r="BR44" s="421">
        <f t="shared" si="173"/>
        <v>645</v>
      </c>
    </row>
    <row r="45" spans="1:70" x14ac:dyDescent="0.25">
      <c r="A45" s="431">
        <v>93</v>
      </c>
      <c r="B45" s="424"/>
      <c r="C45" s="424" t="s">
        <v>38</v>
      </c>
      <c r="D45" s="437" t="s">
        <v>460</v>
      </c>
      <c r="E45" s="431"/>
      <c r="F45" s="424"/>
      <c r="G45" s="424"/>
      <c r="H45" s="424"/>
      <c r="I45" s="432"/>
      <c r="J45" s="440">
        <v>2</v>
      </c>
      <c r="K45" s="419">
        <f>VLOOKUP($A45,Prevs!$C:$I,Ajustes!K$1,FALSE)</f>
        <v>168</v>
      </c>
      <c r="L45" s="419">
        <f>VLOOKUP($A45,Prevs!$C:$I,Ajustes!L$1,FALSE)</f>
        <v>49</v>
      </c>
      <c r="M45" s="419">
        <f>VLOOKUP($A45,Prevs!$C:$I,Ajustes!M$1,FALSE)</f>
        <v>35</v>
      </c>
      <c r="N45" s="419">
        <f>VLOOKUP($A45,Prevs!$C:$I,Ajustes!N$1,FALSE)</f>
        <v>49</v>
      </c>
      <c r="O45" s="419">
        <f>VLOOKUP($A45,Prevs!$C:$I,Ajustes!O$1,FALSE)</f>
        <v>29</v>
      </c>
      <c r="P45" s="419">
        <f>VLOOKUP($A45,Prevs!$C:$I,Ajustes!P$1,FALSE)</f>
        <v>29</v>
      </c>
      <c r="Q45" s="419">
        <v>0</v>
      </c>
      <c r="R45" s="419">
        <v>0</v>
      </c>
      <c r="S45" s="419">
        <v>0</v>
      </c>
      <c r="T45" s="419">
        <v>0</v>
      </c>
      <c r="U45" s="419">
        <v>0</v>
      </c>
      <c r="V45" s="419">
        <v>0</v>
      </c>
      <c r="W45" s="419">
        <f t="shared" si="157"/>
        <v>168</v>
      </c>
      <c r="X45" s="419">
        <f t="shared" si="157"/>
        <v>49</v>
      </c>
      <c r="Y45" s="419">
        <f t="shared" si="157"/>
        <v>35</v>
      </c>
      <c r="Z45" s="419">
        <f t="shared" si="157"/>
        <v>49</v>
      </c>
      <c r="AA45" s="419">
        <f t="shared" si="157"/>
        <v>29</v>
      </c>
      <c r="AB45" s="419">
        <f t="shared" si="157"/>
        <v>29</v>
      </c>
      <c r="AC45" s="417">
        <f>VLOOKUP($J45,Fatores!$G$1:$J$5,2,FALSE)</f>
        <v>0.80162406960829835</v>
      </c>
      <c r="AD45" s="417">
        <f>VLOOKUP($C45,Fatores!$A:$D,2,FALSE)</f>
        <v>1</v>
      </c>
      <c r="AE45" s="420">
        <f t="shared" si="6"/>
        <v>134.67284369419411</v>
      </c>
      <c r="AF45" s="420">
        <f t="shared" si="7"/>
        <v>39.279579410806619</v>
      </c>
      <c r="AG45" s="420">
        <f t="shared" si="8"/>
        <v>28.056842436290442</v>
      </c>
      <c r="AH45" s="420">
        <f t="shared" si="9"/>
        <v>39.279579410806619</v>
      </c>
      <c r="AI45" s="420">
        <f t="shared" si="10"/>
        <v>23.247098018640653</v>
      </c>
      <c r="AJ45" s="420">
        <f t="shared" si="11"/>
        <v>23.247098018640653</v>
      </c>
      <c r="AK45" s="421">
        <f t="shared" ref="AK45:AP45" si="174">AE45</f>
        <v>134.67284369419411</v>
      </c>
      <c r="AL45" s="421">
        <f t="shared" si="174"/>
        <v>39.279579410806619</v>
      </c>
      <c r="AM45" s="421">
        <f t="shared" si="174"/>
        <v>28.056842436290442</v>
      </c>
      <c r="AN45" s="421">
        <f t="shared" si="174"/>
        <v>39.279579410806619</v>
      </c>
      <c r="AO45" s="421">
        <f t="shared" si="174"/>
        <v>23.247098018640653</v>
      </c>
      <c r="AP45" s="421">
        <f t="shared" si="174"/>
        <v>23.247098018640653</v>
      </c>
      <c r="AQ45" s="417">
        <f>VLOOKUP($J45,Fatores!$G$1:$J$5,3,FALSE)</f>
        <v>0.80162406960829835</v>
      </c>
      <c r="AR45" s="417">
        <f>VLOOKUP($C45,Fatores!$A:$D,3,FALSE)</f>
        <v>1</v>
      </c>
      <c r="AS45" s="420">
        <f t="shared" si="13"/>
        <v>134.67284369419411</v>
      </c>
      <c r="AT45" s="420">
        <f t="shared" si="14"/>
        <v>39.279579410806619</v>
      </c>
      <c r="AU45" s="420">
        <f t="shared" si="15"/>
        <v>28.056842436290442</v>
      </c>
      <c r="AV45" s="420">
        <f t="shared" si="16"/>
        <v>39.279579410806619</v>
      </c>
      <c r="AW45" s="420">
        <f t="shared" si="17"/>
        <v>23.247098018640653</v>
      </c>
      <c r="AX45" s="420">
        <f t="shared" si="18"/>
        <v>23.247098018640653</v>
      </c>
      <c r="AY45" s="421">
        <f t="shared" ref="AY45" si="175">AS45</f>
        <v>134.67284369419411</v>
      </c>
      <c r="AZ45" s="421">
        <f t="shared" ref="AZ45" si="176">AT45</f>
        <v>39.279579410806619</v>
      </c>
      <c r="BA45" s="421">
        <f t="shared" ref="BA45" si="177">AU45</f>
        <v>28.056842436290442</v>
      </c>
      <c r="BB45" s="421">
        <f t="shared" ref="BB45" si="178">AV45</f>
        <v>39.279579410806619</v>
      </c>
      <c r="BC45" s="421">
        <f t="shared" ref="BC45" si="179">AW45</f>
        <v>23.247098018640653</v>
      </c>
      <c r="BD45" s="421">
        <f t="shared" ref="BD45" si="180">AX45</f>
        <v>23.247098018640653</v>
      </c>
      <c r="BE45" s="417">
        <f>VLOOKUP($J45,Fatores!$G$1:$J$5,4,FALSE)</f>
        <v>1</v>
      </c>
      <c r="BF45" s="417">
        <f>VLOOKUP($C45,Fatores!$A:$D,4,FALSE)</f>
        <v>1</v>
      </c>
      <c r="BG45" s="420">
        <f t="shared" si="20"/>
        <v>168</v>
      </c>
      <c r="BH45" s="420">
        <f t="shared" si="21"/>
        <v>49</v>
      </c>
      <c r="BI45" s="420">
        <f t="shared" si="22"/>
        <v>35</v>
      </c>
      <c r="BJ45" s="420">
        <f t="shared" si="23"/>
        <v>49</v>
      </c>
      <c r="BK45" s="420">
        <f t="shared" si="24"/>
        <v>29</v>
      </c>
      <c r="BL45" s="420">
        <f t="shared" si="25"/>
        <v>29</v>
      </c>
      <c r="BM45" s="421">
        <f t="shared" ref="BM45" si="181">BG45</f>
        <v>168</v>
      </c>
      <c r="BN45" s="421">
        <f t="shared" ref="BN45" si="182">BH45</f>
        <v>49</v>
      </c>
      <c r="BO45" s="421">
        <f t="shared" ref="BO45" si="183">BI45</f>
        <v>35</v>
      </c>
      <c r="BP45" s="421">
        <f t="shared" ref="BP45" si="184">BJ45</f>
        <v>49</v>
      </c>
      <c r="BQ45" s="421">
        <f t="shared" ref="BQ45" si="185">BK45</f>
        <v>29</v>
      </c>
      <c r="BR45" s="421">
        <f t="shared" ref="BR45" si="186">BL45</f>
        <v>29</v>
      </c>
    </row>
    <row r="46" spans="1:70" x14ac:dyDescent="0.25">
      <c r="A46" s="431">
        <v>94</v>
      </c>
      <c r="B46" s="424"/>
      <c r="C46" s="424" t="s">
        <v>38</v>
      </c>
      <c r="D46" s="437" t="s">
        <v>38</v>
      </c>
      <c r="E46" s="444">
        <v>92</v>
      </c>
      <c r="F46" s="425">
        <v>220</v>
      </c>
      <c r="G46" s="424"/>
      <c r="H46" s="424"/>
      <c r="I46" s="432"/>
      <c r="J46" s="440">
        <v>2</v>
      </c>
      <c r="K46" s="419">
        <f>VLOOKUP($A46,Prevs!$C:$I,Ajustes!K$1,FALSE)</f>
        <v>1267</v>
      </c>
      <c r="L46" s="419">
        <f>VLOOKUP($A46,Prevs!$C:$I,Ajustes!L$1,FALSE)</f>
        <v>2715</v>
      </c>
      <c r="M46" s="419">
        <f>VLOOKUP($A46,Prevs!$C:$I,Ajustes!M$1,FALSE)</f>
        <v>946</v>
      </c>
      <c r="N46" s="419">
        <f>VLOOKUP($A46,Prevs!$C:$I,Ajustes!N$1,FALSE)</f>
        <v>1688</v>
      </c>
      <c r="O46" s="419">
        <f>VLOOKUP($A46,Prevs!$C:$I,Ajustes!O$1,FALSE)</f>
        <v>667</v>
      </c>
      <c r="P46" s="419">
        <f>VLOOKUP($A46,Prevs!$C:$I,Ajustes!P$1,FALSE)</f>
        <v>784</v>
      </c>
      <c r="Q46" s="419">
        <f>VLOOKUP($E46,Prevs!$C:$I,Ajustes!K$1,FALSE)+VLOOKUP($F46,Prevs!$C:$I,Ajustes!K$1,FALSE)</f>
        <v>1257</v>
      </c>
      <c r="R46" s="419">
        <f>VLOOKUP($E46,Prevs!$C:$I,Ajustes!L$1,FALSE)+VLOOKUP($F46,Prevs!$C:$I,Ajustes!L$1,FALSE)</f>
        <v>2604</v>
      </c>
      <c r="S46" s="419">
        <f>VLOOKUP($E46,Prevs!$C:$I,Ajustes!M$1,FALSE)+VLOOKUP($F46,Prevs!$C:$I,Ajustes!M$1,FALSE)</f>
        <v>914</v>
      </c>
      <c r="T46" s="419">
        <f>VLOOKUP($E46,Prevs!$C:$I,Ajustes!N$1,FALSE)+VLOOKUP($F46,Prevs!$C:$I,Ajustes!N$1,FALSE)</f>
        <v>1493</v>
      </c>
      <c r="U46" s="419">
        <f>VLOOKUP($E46,Prevs!$C:$I,Ajustes!O$1,FALSE)+VLOOKUP($F46,Prevs!$C:$I,Ajustes!O$1,FALSE)</f>
        <v>586</v>
      </c>
      <c r="V46" s="419">
        <f>VLOOKUP($E46,Prevs!$C:$I,Ajustes!P$1,FALSE)+VLOOKUP($F46,Prevs!$C:$I,Ajustes!P$1,FALSE)</f>
        <v>708</v>
      </c>
      <c r="W46" s="419">
        <f t="shared" ref="W46" si="187">K46-Q46</f>
        <v>10</v>
      </c>
      <c r="X46" s="419">
        <f t="shared" ref="X46" si="188">L46-R46</f>
        <v>111</v>
      </c>
      <c r="Y46" s="419">
        <f t="shared" ref="Y46" si="189">M46-S46</f>
        <v>32</v>
      </c>
      <c r="Z46" s="419">
        <f t="shared" ref="Z46" si="190">N46-T46</f>
        <v>195</v>
      </c>
      <c r="AA46" s="419">
        <f t="shared" ref="AA46" si="191">O46-U46</f>
        <v>81</v>
      </c>
      <c r="AB46" s="419">
        <f t="shared" ref="AB46" si="192">P46-V46</f>
        <v>76</v>
      </c>
      <c r="AC46" s="417">
        <f>VLOOKUP($J46,Fatores!$G$1:$J$5,2,FALSE)</f>
        <v>0.80162406960829835</v>
      </c>
      <c r="AD46" s="417">
        <f>VLOOKUP($C46,Fatores!$A:$D,2,FALSE)</f>
        <v>1</v>
      </c>
      <c r="AE46" s="420">
        <f t="shared" si="6"/>
        <v>8.0162406960829831</v>
      </c>
      <c r="AF46" s="420">
        <f t="shared" si="7"/>
        <v>88.98027172652111</v>
      </c>
      <c r="AG46" s="420">
        <f t="shared" si="8"/>
        <v>25.651970227465547</v>
      </c>
      <c r="AH46" s="420">
        <f t="shared" si="9"/>
        <v>156.31669357361818</v>
      </c>
      <c r="AI46" s="420">
        <f t="shared" si="10"/>
        <v>64.931549638272173</v>
      </c>
      <c r="AJ46" s="420">
        <f t="shared" si="11"/>
        <v>60.923429290230672</v>
      </c>
      <c r="AK46" s="421">
        <f t="shared" ref="AK46:AP46" si="193">AE46+VLOOKUP($E46,$A:$BR,AK$1,FALSE)+VLOOKUP($F46,$A:$BR,AK$1,FALSE)</f>
        <v>1015.6576961937141</v>
      </c>
      <c r="AL46" s="421">
        <f t="shared" si="193"/>
        <v>2176.4093489865299</v>
      </c>
      <c r="AM46" s="421">
        <f t="shared" si="193"/>
        <v>758.33636984945019</v>
      </c>
      <c r="AN46" s="421">
        <f t="shared" si="193"/>
        <v>1353.1414294988074</v>
      </c>
      <c r="AO46" s="421">
        <f t="shared" si="193"/>
        <v>534.68325442873493</v>
      </c>
      <c r="AP46" s="421">
        <f t="shared" si="193"/>
        <v>628.47327057290602</v>
      </c>
      <c r="AQ46" s="417">
        <f>VLOOKUP($J46,Fatores!$G$1:$J$5,3,FALSE)</f>
        <v>0.80162406960829835</v>
      </c>
      <c r="AR46" s="417">
        <f>VLOOKUP($C46,Fatores!$A:$D,3,FALSE)</f>
        <v>1</v>
      </c>
      <c r="AS46" s="420">
        <f t="shared" si="13"/>
        <v>8.0162406960829831</v>
      </c>
      <c r="AT46" s="420">
        <f t="shared" si="14"/>
        <v>88.98027172652111</v>
      </c>
      <c r="AU46" s="420">
        <f t="shared" si="15"/>
        <v>25.651970227465547</v>
      </c>
      <c r="AV46" s="420">
        <f t="shared" si="16"/>
        <v>156.31669357361818</v>
      </c>
      <c r="AW46" s="420">
        <f t="shared" si="17"/>
        <v>64.931549638272173</v>
      </c>
      <c r="AX46" s="420">
        <f t="shared" si="18"/>
        <v>60.923429290230672</v>
      </c>
      <c r="AY46" s="421">
        <f t="shared" ref="AY46:BD46" si="194">AS46+VLOOKUP($E46,$A:$BR,AY$1,FALSE)+VLOOKUP($F46,$A:$BR,AY$1,FALSE)</f>
        <v>1015.6576961937141</v>
      </c>
      <c r="AZ46" s="421">
        <f t="shared" si="194"/>
        <v>2176.4093489865299</v>
      </c>
      <c r="BA46" s="421">
        <f t="shared" si="194"/>
        <v>758.33636984945019</v>
      </c>
      <c r="BB46" s="421">
        <f t="shared" si="194"/>
        <v>1353.1414294988074</v>
      </c>
      <c r="BC46" s="421">
        <f t="shared" si="194"/>
        <v>534.68325442873493</v>
      </c>
      <c r="BD46" s="421">
        <f t="shared" si="194"/>
        <v>628.47327057290602</v>
      </c>
      <c r="BE46" s="417">
        <f>VLOOKUP($J46,Fatores!$G$1:$J$5,4,FALSE)</f>
        <v>1</v>
      </c>
      <c r="BF46" s="417">
        <f>VLOOKUP($C46,Fatores!$A:$D,4,FALSE)</f>
        <v>1</v>
      </c>
      <c r="BG46" s="420">
        <f t="shared" si="20"/>
        <v>10</v>
      </c>
      <c r="BH46" s="420">
        <f t="shared" si="21"/>
        <v>111</v>
      </c>
      <c r="BI46" s="420">
        <f t="shared" si="22"/>
        <v>32</v>
      </c>
      <c r="BJ46" s="420">
        <f t="shared" si="23"/>
        <v>195</v>
      </c>
      <c r="BK46" s="420">
        <f t="shared" si="24"/>
        <v>81</v>
      </c>
      <c r="BL46" s="420">
        <f t="shared" si="25"/>
        <v>76</v>
      </c>
      <c r="BM46" s="421">
        <f t="shared" ref="BM46:BR46" si="195">BG46+VLOOKUP($E46,$A:$BR,BM$1,FALSE)+VLOOKUP($F46,$A:$BR,BM$1,FALSE)</f>
        <v>1267</v>
      </c>
      <c r="BN46" s="421">
        <f t="shared" si="195"/>
        <v>2715</v>
      </c>
      <c r="BO46" s="421">
        <f t="shared" si="195"/>
        <v>946</v>
      </c>
      <c r="BP46" s="421">
        <f t="shared" si="195"/>
        <v>1688</v>
      </c>
      <c r="BQ46" s="421">
        <f t="shared" si="195"/>
        <v>667</v>
      </c>
      <c r="BR46" s="421">
        <f t="shared" si="195"/>
        <v>784</v>
      </c>
    </row>
    <row r="47" spans="1:70" x14ac:dyDescent="0.25">
      <c r="A47" s="431">
        <v>97</v>
      </c>
      <c r="B47" s="424"/>
      <c r="C47" s="424" t="s">
        <v>37</v>
      </c>
      <c r="D47" s="437" t="s">
        <v>462</v>
      </c>
      <c r="E47" s="444">
        <v>98</v>
      </c>
      <c r="F47" s="424"/>
      <c r="G47" s="424"/>
      <c r="H47" s="424"/>
      <c r="I47" s="432"/>
      <c r="J47" s="440">
        <v>2</v>
      </c>
      <c r="K47" s="419">
        <f>VLOOKUP($A47,Prevs!$C:$I,Ajustes!K$1,FALSE)</f>
        <v>261</v>
      </c>
      <c r="L47" s="419">
        <f>VLOOKUP($A47,Prevs!$C:$I,Ajustes!L$1,FALSE)</f>
        <v>100</v>
      </c>
      <c r="M47" s="419">
        <f>VLOOKUP($A47,Prevs!$C:$I,Ajustes!M$1,FALSE)</f>
        <v>168</v>
      </c>
      <c r="N47" s="419">
        <f>VLOOKUP($A47,Prevs!$C:$I,Ajustes!N$1,FALSE)</f>
        <v>276</v>
      </c>
      <c r="O47" s="419">
        <f>VLOOKUP($A47,Prevs!$C:$I,Ajustes!O$1,FALSE)</f>
        <v>123</v>
      </c>
      <c r="P47" s="419">
        <f>VLOOKUP($A47,Prevs!$C:$I,Ajustes!P$1,FALSE)</f>
        <v>144</v>
      </c>
      <c r="Q47" s="419">
        <f>VLOOKUP($E47,Prevs!$C:$I,Ajustes!K$1,FALSE)</f>
        <v>141</v>
      </c>
      <c r="R47" s="419">
        <f>VLOOKUP($E47,Prevs!$C:$I,Ajustes!L$1,FALSE)</f>
        <v>54</v>
      </c>
      <c r="S47" s="419">
        <f>VLOOKUP($E47,Prevs!$C:$I,Ajustes!M$1,FALSE)</f>
        <v>91</v>
      </c>
      <c r="T47" s="419">
        <f>VLOOKUP($E47,Prevs!$C:$I,Ajustes!N$1,FALSE)</f>
        <v>149</v>
      </c>
      <c r="U47" s="419">
        <f>VLOOKUP($E47,Prevs!$C:$I,Ajustes!O$1,FALSE)</f>
        <v>66</v>
      </c>
      <c r="V47" s="419">
        <f>VLOOKUP($E47,Prevs!$C:$I,Ajustes!P$1,FALSE)</f>
        <v>79</v>
      </c>
      <c r="W47" s="419">
        <f t="shared" ref="W47" si="196">K47-Q47</f>
        <v>120</v>
      </c>
      <c r="X47" s="419">
        <f t="shared" ref="X47" si="197">L47-R47</f>
        <v>46</v>
      </c>
      <c r="Y47" s="419">
        <f t="shared" ref="Y47" si="198">M47-S47</f>
        <v>77</v>
      </c>
      <c r="Z47" s="419">
        <f t="shared" ref="Z47" si="199">N47-T47</f>
        <v>127</v>
      </c>
      <c r="AA47" s="419">
        <f t="shared" ref="AA47" si="200">O47-U47</f>
        <v>57</v>
      </c>
      <c r="AB47" s="419">
        <f t="shared" ref="AB47" si="201">P47-V47</f>
        <v>65</v>
      </c>
      <c r="AC47" s="417">
        <f>VLOOKUP($J47,Fatores!$G$1:$J$5,2,FALSE)</f>
        <v>0.80162406960829835</v>
      </c>
      <c r="AD47" s="417">
        <f>VLOOKUP($C47,Fatores!$A:$D,2,FALSE)</f>
        <v>1</v>
      </c>
      <c r="AE47" s="420">
        <f t="shared" si="6"/>
        <v>96.194888352995804</v>
      </c>
      <c r="AF47" s="420">
        <f t="shared" si="7"/>
        <v>36.874707201981721</v>
      </c>
      <c r="AG47" s="420">
        <f t="shared" si="8"/>
        <v>61.725053359838974</v>
      </c>
      <c r="AH47" s="420">
        <f t="shared" si="9"/>
        <v>101.80625684025389</v>
      </c>
      <c r="AI47" s="420">
        <f t="shared" si="10"/>
        <v>45.692571967673004</v>
      </c>
      <c r="AJ47" s="420">
        <f t="shared" si="11"/>
        <v>52.105564524539396</v>
      </c>
      <c r="AK47" s="421">
        <f t="shared" ref="AK47:AP47" si="202">AE47+VLOOKUP($E47,$A:$BR,AK$1,FALSE)</f>
        <v>209.22388216776585</v>
      </c>
      <c r="AL47" s="421">
        <f t="shared" si="202"/>
        <v>80.162406960829827</v>
      </c>
      <c r="AM47" s="421">
        <f t="shared" si="202"/>
        <v>134.67284369419411</v>
      </c>
      <c r="AN47" s="421">
        <f t="shared" si="202"/>
        <v>221.24824321189035</v>
      </c>
      <c r="AO47" s="421">
        <f t="shared" si="202"/>
        <v>98.599760561820688</v>
      </c>
      <c r="AP47" s="421">
        <f t="shared" si="202"/>
        <v>115.43386602359496</v>
      </c>
      <c r="AQ47" s="417">
        <f>VLOOKUP($J47,Fatores!$G$1:$J$5,3,FALSE)</f>
        <v>0.80162406960829835</v>
      </c>
      <c r="AR47" s="417">
        <f>VLOOKUP($C47,Fatores!$A:$D,3,FALSE)</f>
        <v>1</v>
      </c>
      <c r="AS47" s="420">
        <f t="shared" si="13"/>
        <v>96.194888352995804</v>
      </c>
      <c r="AT47" s="420">
        <f t="shared" si="14"/>
        <v>36.874707201981721</v>
      </c>
      <c r="AU47" s="420">
        <f t="shared" si="15"/>
        <v>61.725053359838974</v>
      </c>
      <c r="AV47" s="420">
        <f t="shared" si="16"/>
        <v>101.80625684025389</v>
      </c>
      <c r="AW47" s="420">
        <f t="shared" si="17"/>
        <v>45.692571967673004</v>
      </c>
      <c r="AX47" s="420">
        <f t="shared" si="18"/>
        <v>52.105564524539396</v>
      </c>
      <c r="AY47" s="421">
        <f t="shared" ref="AY47:BD47" si="203">AS47+VLOOKUP($E47,$A:$BR,AY$1,FALSE)</f>
        <v>209.22388216776585</v>
      </c>
      <c r="AZ47" s="421">
        <f t="shared" si="203"/>
        <v>80.162406960829827</v>
      </c>
      <c r="BA47" s="421">
        <f t="shared" si="203"/>
        <v>134.67284369419411</v>
      </c>
      <c r="BB47" s="421">
        <f t="shared" si="203"/>
        <v>221.24824321189035</v>
      </c>
      <c r="BC47" s="421">
        <f t="shared" si="203"/>
        <v>98.599760561820688</v>
      </c>
      <c r="BD47" s="421">
        <f t="shared" si="203"/>
        <v>115.43386602359496</v>
      </c>
      <c r="BE47" s="417">
        <f>VLOOKUP($J47,Fatores!$G$1:$J$5,4,FALSE)</f>
        <v>1</v>
      </c>
      <c r="BF47" s="417">
        <f>VLOOKUP($C47,Fatores!$A:$D,4,FALSE)</f>
        <v>1</v>
      </c>
      <c r="BG47" s="420">
        <f t="shared" si="20"/>
        <v>120</v>
      </c>
      <c r="BH47" s="420">
        <f t="shared" si="21"/>
        <v>46</v>
      </c>
      <c r="BI47" s="420">
        <f t="shared" si="22"/>
        <v>77</v>
      </c>
      <c r="BJ47" s="420">
        <f t="shared" si="23"/>
        <v>127</v>
      </c>
      <c r="BK47" s="420">
        <f t="shared" si="24"/>
        <v>57</v>
      </c>
      <c r="BL47" s="420">
        <f t="shared" si="25"/>
        <v>65</v>
      </c>
      <c r="BM47" s="421">
        <f t="shared" ref="BM47:BR47" si="204">BG47+VLOOKUP($E47,$A:$BR,BM$1,FALSE)</f>
        <v>261</v>
      </c>
      <c r="BN47" s="421">
        <f t="shared" si="204"/>
        <v>100</v>
      </c>
      <c r="BO47" s="421">
        <f t="shared" si="204"/>
        <v>168</v>
      </c>
      <c r="BP47" s="421">
        <f t="shared" si="204"/>
        <v>276</v>
      </c>
      <c r="BQ47" s="421">
        <f t="shared" si="204"/>
        <v>123</v>
      </c>
      <c r="BR47" s="421">
        <f t="shared" si="204"/>
        <v>144</v>
      </c>
    </row>
    <row r="48" spans="1:70" x14ac:dyDescent="0.25">
      <c r="A48" s="431">
        <v>98</v>
      </c>
      <c r="B48" s="424"/>
      <c r="C48" s="424" t="s">
        <v>37</v>
      </c>
      <c r="D48" s="437" t="s">
        <v>462</v>
      </c>
      <c r="E48" s="431"/>
      <c r="F48" s="424"/>
      <c r="G48" s="424"/>
      <c r="H48" s="424"/>
      <c r="I48" s="432"/>
      <c r="J48" s="440">
        <v>2</v>
      </c>
      <c r="K48" s="419">
        <f>VLOOKUP($A48,Prevs!$C:$I,Ajustes!K$1,FALSE)</f>
        <v>141</v>
      </c>
      <c r="L48" s="419">
        <f>VLOOKUP($A48,Prevs!$C:$I,Ajustes!L$1,FALSE)</f>
        <v>54</v>
      </c>
      <c r="M48" s="419">
        <f>VLOOKUP($A48,Prevs!$C:$I,Ajustes!M$1,FALSE)</f>
        <v>91</v>
      </c>
      <c r="N48" s="419">
        <f>VLOOKUP($A48,Prevs!$C:$I,Ajustes!N$1,FALSE)</f>
        <v>149</v>
      </c>
      <c r="O48" s="419">
        <f>VLOOKUP($A48,Prevs!$C:$I,Ajustes!O$1,FALSE)</f>
        <v>66</v>
      </c>
      <c r="P48" s="419">
        <f>VLOOKUP($A48,Prevs!$C:$I,Ajustes!P$1,FALSE)</f>
        <v>79</v>
      </c>
      <c r="Q48" s="419">
        <v>0</v>
      </c>
      <c r="R48" s="419">
        <v>0</v>
      </c>
      <c r="S48" s="419">
        <v>0</v>
      </c>
      <c r="T48" s="419">
        <v>0</v>
      </c>
      <c r="U48" s="419">
        <v>0</v>
      </c>
      <c r="V48" s="419">
        <v>0</v>
      </c>
      <c r="W48" s="419">
        <f t="shared" ref="W48:AB51" si="205">K48-Q48</f>
        <v>141</v>
      </c>
      <c r="X48" s="419">
        <f t="shared" si="205"/>
        <v>54</v>
      </c>
      <c r="Y48" s="419">
        <f t="shared" si="205"/>
        <v>91</v>
      </c>
      <c r="Z48" s="419">
        <f t="shared" si="205"/>
        <v>149</v>
      </c>
      <c r="AA48" s="419">
        <f t="shared" si="205"/>
        <v>66</v>
      </c>
      <c r="AB48" s="419">
        <f t="shared" si="205"/>
        <v>79</v>
      </c>
      <c r="AC48" s="417">
        <f>VLOOKUP($J48,Fatores!$G$1:$J$5,2,FALSE)</f>
        <v>0.80162406960829835</v>
      </c>
      <c r="AD48" s="417">
        <f>VLOOKUP($C48,Fatores!$A:$D,2,FALSE)</f>
        <v>1</v>
      </c>
      <c r="AE48" s="420">
        <f t="shared" si="6"/>
        <v>113.02899381477006</v>
      </c>
      <c r="AF48" s="420">
        <f t="shared" si="7"/>
        <v>43.287699758848113</v>
      </c>
      <c r="AG48" s="420">
        <f t="shared" si="8"/>
        <v>72.947790334355147</v>
      </c>
      <c r="AH48" s="420">
        <f t="shared" si="9"/>
        <v>119.44198637163646</v>
      </c>
      <c r="AI48" s="420">
        <f t="shared" si="10"/>
        <v>52.907188594147691</v>
      </c>
      <c r="AJ48" s="420">
        <f t="shared" si="11"/>
        <v>63.32830149905557</v>
      </c>
      <c r="AK48" s="421">
        <f t="shared" ref="AK48:AP51" si="206">AE48</f>
        <v>113.02899381477006</v>
      </c>
      <c r="AL48" s="421">
        <f t="shared" si="206"/>
        <v>43.287699758848113</v>
      </c>
      <c r="AM48" s="421">
        <f t="shared" si="206"/>
        <v>72.947790334355147</v>
      </c>
      <c r="AN48" s="421">
        <f t="shared" si="206"/>
        <v>119.44198637163646</v>
      </c>
      <c r="AO48" s="421">
        <f t="shared" si="206"/>
        <v>52.907188594147691</v>
      </c>
      <c r="AP48" s="421">
        <f t="shared" si="206"/>
        <v>63.32830149905557</v>
      </c>
      <c r="AQ48" s="417">
        <f>VLOOKUP($J48,Fatores!$G$1:$J$5,3,FALSE)</f>
        <v>0.80162406960829835</v>
      </c>
      <c r="AR48" s="417">
        <f>VLOOKUP($C48,Fatores!$A:$D,3,FALSE)</f>
        <v>1</v>
      </c>
      <c r="AS48" s="420">
        <f t="shared" si="13"/>
        <v>113.02899381477006</v>
      </c>
      <c r="AT48" s="420">
        <f t="shared" si="14"/>
        <v>43.287699758848113</v>
      </c>
      <c r="AU48" s="420">
        <f t="shared" si="15"/>
        <v>72.947790334355147</v>
      </c>
      <c r="AV48" s="420">
        <f t="shared" si="16"/>
        <v>119.44198637163646</v>
      </c>
      <c r="AW48" s="420">
        <f t="shared" si="17"/>
        <v>52.907188594147691</v>
      </c>
      <c r="AX48" s="420">
        <f t="shared" si="18"/>
        <v>63.32830149905557</v>
      </c>
      <c r="AY48" s="421">
        <f t="shared" ref="AY48:AY51" si="207">AS48</f>
        <v>113.02899381477006</v>
      </c>
      <c r="AZ48" s="421">
        <f t="shared" ref="AZ48:AZ51" si="208">AT48</f>
        <v>43.287699758848113</v>
      </c>
      <c r="BA48" s="421">
        <f t="shared" ref="BA48:BA51" si="209">AU48</f>
        <v>72.947790334355147</v>
      </c>
      <c r="BB48" s="421">
        <f t="shared" ref="BB48:BB51" si="210">AV48</f>
        <v>119.44198637163646</v>
      </c>
      <c r="BC48" s="421">
        <f t="shared" ref="BC48:BC51" si="211">AW48</f>
        <v>52.907188594147691</v>
      </c>
      <c r="BD48" s="421">
        <f t="shared" ref="BD48:BD51" si="212">AX48</f>
        <v>63.32830149905557</v>
      </c>
      <c r="BE48" s="417">
        <f>VLOOKUP($J48,Fatores!$G$1:$J$5,4,FALSE)</f>
        <v>1</v>
      </c>
      <c r="BF48" s="417">
        <f>VLOOKUP($C48,Fatores!$A:$D,4,FALSE)</f>
        <v>1</v>
      </c>
      <c r="BG48" s="420">
        <f t="shared" si="20"/>
        <v>141</v>
      </c>
      <c r="BH48" s="420">
        <f t="shared" si="21"/>
        <v>54</v>
      </c>
      <c r="BI48" s="420">
        <f t="shared" si="22"/>
        <v>91</v>
      </c>
      <c r="BJ48" s="420">
        <f t="shared" si="23"/>
        <v>149</v>
      </c>
      <c r="BK48" s="420">
        <f t="shared" si="24"/>
        <v>66</v>
      </c>
      <c r="BL48" s="420">
        <f t="shared" si="25"/>
        <v>79</v>
      </c>
      <c r="BM48" s="421">
        <f t="shared" ref="BM48:BM51" si="213">BG48</f>
        <v>141</v>
      </c>
      <c r="BN48" s="421">
        <f t="shared" ref="BN48:BN51" si="214">BH48</f>
        <v>54</v>
      </c>
      <c r="BO48" s="421">
        <f t="shared" ref="BO48:BO51" si="215">BI48</f>
        <v>91</v>
      </c>
      <c r="BP48" s="421">
        <f t="shared" ref="BP48:BP51" si="216">BJ48</f>
        <v>149</v>
      </c>
      <c r="BQ48" s="421">
        <f t="shared" ref="BQ48:BQ51" si="217">BK48</f>
        <v>66</v>
      </c>
      <c r="BR48" s="421">
        <f t="shared" ref="BR48:BR51" si="218">BL48</f>
        <v>79</v>
      </c>
    </row>
    <row r="49" spans="1:70" x14ac:dyDescent="0.25">
      <c r="A49" s="431">
        <v>99</v>
      </c>
      <c r="B49" s="424"/>
      <c r="C49" s="424" t="s">
        <v>23</v>
      </c>
      <c r="D49" s="437" t="s">
        <v>463</v>
      </c>
      <c r="E49" s="445"/>
      <c r="F49" s="424"/>
      <c r="G49" s="424"/>
      <c r="H49" s="424"/>
      <c r="I49" s="432"/>
      <c r="J49" s="440">
        <v>1</v>
      </c>
      <c r="K49" s="419">
        <f>VLOOKUP($A49,Prevs!$C:$I,Ajustes!K$1,FALSE)</f>
        <v>60</v>
      </c>
      <c r="L49" s="419">
        <f>VLOOKUP($A49,Prevs!$C:$I,Ajustes!L$1,FALSE)</f>
        <v>59</v>
      </c>
      <c r="M49" s="419">
        <f>VLOOKUP($A49,Prevs!$C:$I,Ajustes!M$1,FALSE)</f>
        <v>58</v>
      </c>
      <c r="N49" s="419">
        <f>VLOOKUP($A49,Prevs!$C:$I,Ajustes!N$1,FALSE)</f>
        <v>57</v>
      </c>
      <c r="O49" s="419">
        <f>VLOOKUP($A49,Prevs!$C:$I,Ajustes!O$1,FALSE)</f>
        <v>56</v>
      </c>
      <c r="P49" s="419">
        <f>VLOOKUP($A49,Prevs!$C:$I,Ajustes!P$1,FALSE)</f>
        <v>56</v>
      </c>
      <c r="Q49" s="419">
        <v>0</v>
      </c>
      <c r="R49" s="419">
        <v>0</v>
      </c>
      <c r="S49" s="419">
        <v>0</v>
      </c>
      <c r="T49" s="419">
        <v>0</v>
      </c>
      <c r="U49" s="419">
        <v>0</v>
      </c>
      <c r="V49" s="419">
        <v>0</v>
      </c>
      <c r="W49" s="419">
        <f t="shared" si="205"/>
        <v>60</v>
      </c>
      <c r="X49" s="419">
        <f t="shared" si="205"/>
        <v>59</v>
      </c>
      <c r="Y49" s="419">
        <f t="shared" si="205"/>
        <v>58</v>
      </c>
      <c r="Z49" s="419">
        <f t="shared" si="205"/>
        <v>57</v>
      </c>
      <c r="AA49" s="419">
        <f t="shared" si="205"/>
        <v>56</v>
      </c>
      <c r="AB49" s="419">
        <f t="shared" si="205"/>
        <v>56</v>
      </c>
      <c r="AC49" s="417">
        <f>VLOOKUP($J49,Fatores!$G$1:$J$5,2,FALSE)</f>
        <v>1.5531612828314754</v>
      </c>
      <c r="AD49" s="417">
        <f>VLOOKUP($C49,Fatores!$A:$D,2,FALSE)</f>
        <v>1</v>
      </c>
      <c r="AE49" s="420">
        <f t="shared" si="6"/>
        <v>93.189676969888524</v>
      </c>
      <c r="AF49" s="420">
        <f t="shared" si="7"/>
        <v>91.636515687057042</v>
      </c>
      <c r="AG49" s="420">
        <f t="shared" si="8"/>
        <v>90.083354404225574</v>
      </c>
      <c r="AH49" s="420">
        <f t="shared" si="9"/>
        <v>88.530193121394092</v>
      </c>
      <c r="AI49" s="420">
        <f t="shared" si="10"/>
        <v>86.977031838562624</v>
      </c>
      <c r="AJ49" s="420">
        <f t="shared" si="11"/>
        <v>86.977031838562624</v>
      </c>
      <c r="AK49" s="421">
        <f t="shared" si="206"/>
        <v>93.189676969888524</v>
      </c>
      <c r="AL49" s="421">
        <f t="shared" si="206"/>
        <v>91.636515687057042</v>
      </c>
      <c r="AM49" s="421">
        <f t="shared" si="206"/>
        <v>90.083354404225574</v>
      </c>
      <c r="AN49" s="421">
        <f t="shared" si="206"/>
        <v>88.530193121394092</v>
      </c>
      <c r="AO49" s="421">
        <f t="shared" si="206"/>
        <v>86.977031838562624</v>
      </c>
      <c r="AP49" s="421">
        <f t="shared" si="206"/>
        <v>86.977031838562624</v>
      </c>
      <c r="AQ49" s="417">
        <f>VLOOKUP($J49,Fatores!$G$1:$J$5,3,FALSE)</f>
        <v>1.3186317794730578</v>
      </c>
      <c r="AR49" s="417">
        <f>VLOOKUP($C49,Fatores!$A:$D,3,FALSE)</f>
        <v>1</v>
      </c>
      <c r="AS49" s="420">
        <f t="shared" si="13"/>
        <v>79.117906768383463</v>
      </c>
      <c r="AT49" s="420">
        <f t="shared" si="14"/>
        <v>77.799274988910412</v>
      </c>
      <c r="AU49" s="420">
        <f t="shared" si="15"/>
        <v>76.480643209437346</v>
      </c>
      <c r="AV49" s="420">
        <f t="shared" si="16"/>
        <v>75.162011429964295</v>
      </c>
      <c r="AW49" s="420">
        <f t="shared" si="17"/>
        <v>73.843379650491229</v>
      </c>
      <c r="AX49" s="420">
        <f t="shared" si="18"/>
        <v>73.843379650491229</v>
      </c>
      <c r="AY49" s="421">
        <f t="shared" si="207"/>
        <v>79.117906768383463</v>
      </c>
      <c r="AZ49" s="421">
        <f t="shared" si="208"/>
        <v>77.799274988910412</v>
      </c>
      <c r="BA49" s="421">
        <f t="shared" si="209"/>
        <v>76.480643209437346</v>
      </c>
      <c r="BB49" s="421">
        <f t="shared" si="210"/>
        <v>75.162011429964295</v>
      </c>
      <c r="BC49" s="421">
        <f t="shared" si="211"/>
        <v>73.843379650491229</v>
      </c>
      <c r="BD49" s="421">
        <f t="shared" si="212"/>
        <v>73.843379650491229</v>
      </c>
      <c r="BE49" s="417">
        <f>VLOOKUP($J49,Fatores!$G$1:$J$5,4,FALSE)</f>
        <v>1</v>
      </c>
      <c r="BF49" s="417">
        <f>VLOOKUP($C49,Fatores!$A:$D,4,FALSE)</f>
        <v>1</v>
      </c>
      <c r="BG49" s="420">
        <f t="shared" si="20"/>
        <v>60</v>
      </c>
      <c r="BH49" s="420">
        <f t="shared" si="21"/>
        <v>59</v>
      </c>
      <c r="BI49" s="420">
        <f t="shared" si="22"/>
        <v>58</v>
      </c>
      <c r="BJ49" s="420">
        <f t="shared" si="23"/>
        <v>57</v>
      </c>
      <c r="BK49" s="420">
        <f t="shared" si="24"/>
        <v>56</v>
      </c>
      <c r="BL49" s="420">
        <f t="shared" si="25"/>
        <v>56</v>
      </c>
      <c r="BM49" s="421">
        <f t="shared" si="213"/>
        <v>60</v>
      </c>
      <c r="BN49" s="421">
        <f t="shared" si="214"/>
        <v>59</v>
      </c>
      <c r="BO49" s="421">
        <f t="shared" si="215"/>
        <v>58</v>
      </c>
      <c r="BP49" s="421">
        <f t="shared" si="216"/>
        <v>57</v>
      </c>
      <c r="BQ49" s="421">
        <f t="shared" si="217"/>
        <v>56</v>
      </c>
      <c r="BR49" s="421">
        <f t="shared" si="218"/>
        <v>56</v>
      </c>
    </row>
    <row r="50" spans="1:70" x14ac:dyDescent="0.25">
      <c r="A50" s="431">
        <v>101</v>
      </c>
      <c r="B50" s="424"/>
      <c r="C50" s="424" t="s">
        <v>40</v>
      </c>
      <c r="D50" s="437" t="s">
        <v>40</v>
      </c>
      <c r="E50" s="431"/>
      <c r="F50" s="424"/>
      <c r="G50" s="424"/>
      <c r="H50" s="424"/>
      <c r="I50" s="432"/>
      <c r="J50" s="440">
        <v>2</v>
      </c>
      <c r="K50" s="419">
        <f>VLOOKUP($A50,Prevs!$C:$I,Ajustes!K$1,FALSE)</f>
        <v>56</v>
      </c>
      <c r="L50" s="419">
        <f>VLOOKUP($A50,Prevs!$C:$I,Ajustes!L$1,FALSE)</f>
        <v>48</v>
      </c>
      <c r="M50" s="419">
        <f>VLOOKUP($A50,Prevs!$C:$I,Ajustes!M$1,FALSE)</f>
        <v>48</v>
      </c>
      <c r="N50" s="419">
        <f>VLOOKUP($A50,Prevs!$C:$I,Ajustes!N$1,FALSE)</f>
        <v>50</v>
      </c>
      <c r="O50" s="419">
        <f>VLOOKUP($A50,Prevs!$C:$I,Ajustes!O$1,FALSE)</f>
        <v>36</v>
      </c>
      <c r="P50" s="419">
        <f>VLOOKUP($A50,Prevs!$C:$I,Ajustes!P$1,FALSE)</f>
        <v>41</v>
      </c>
      <c r="Q50" s="419">
        <v>0</v>
      </c>
      <c r="R50" s="419">
        <v>0</v>
      </c>
      <c r="S50" s="419">
        <v>0</v>
      </c>
      <c r="T50" s="419">
        <v>0</v>
      </c>
      <c r="U50" s="419">
        <v>0</v>
      </c>
      <c r="V50" s="419">
        <v>0</v>
      </c>
      <c r="W50" s="419">
        <f t="shared" si="205"/>
        <v>56</v>
      </c>
      <c r="X50" s="419">
        <f t="shared" si="205"/>
        <v>48</v>
      </c>
      <c r="Y50" s="419">
        <f t="shared" si="205"/>
        <v>48</v>
      </c>
      <c r="Z50" s="419">
        <f t="shared" si="205"/>
        <v>50</v>
      </c>
      <c r="AA50" s="419">
        <f t="shared" si="205"/>
        <v>36</v>
      </c>
      <c r="AB50" s="419">
        <f t="shared" si="205"/>
        <v>41</v>
      </c>
      <c r="AC50" s="417">
        <f>VLOOKUP($J50,Fatores!$G$1:$J$5,2,FALSE)</f>
        <v>0.80162406960829835</v>
      </c>
      <c r="AD50" s="417">
        <f>VLOOKUP($C50,Fatores!$A:$D,2,FALSE)</f>
        <v>1</v>
      </c>
      <c r="AE50" s="420">
        <f t="shared" si="6"/>
        <v>44.890947898064709</v>
      </c>
      <c r="AF50" s="420">
        <f t="shared" si="7"/>
        <v>38.477955341198324</v>
      </c>
      <c r="AG50" s="420">
        <f t="shared" si="8"/>
        <v>38.477955341198324</v>
      </c>
      <c r="AH50" s="420">
        <f t="shared" si="9"/>
        <v>40.081203480414921</v>
      </c>
      <c r="AI50" s="420">
        <f t="shared" si="10"/>
        <v>28.85846650589874</v>
      </c>
      <c r="AJ50" s="420">
        <f t="shared" si="11"/>
        <v>32.866586853940234</v>
      </c>
      <c r="AK50" s="421">
        <f t="shared" si="206"/>
        <v>44.890947898064709</v>
      </c>
      <c r="AL50" s="421">
        <f t="shared" si="206"/>
        <v>38.477955341198324</v>
      </c>
      <c r="AM50" s="421">
        <f t="shared" si="206"/>
        <v>38.477955341198324</v>
      </c>
      <c r="AN50" s="421">
        <f t="shared" si="206"/>
        <v>40.081203480414921</v>
      </c>
      <c r="AO50" s="421">
        <f t="shared" si="206"/>
        <v>28.85846650589874</v>
      </c>
      <c r="AP50" s="421">
        <f t="shared" si="206"/>
        <v>32.866586853940234</v>
      </c>
      <c r="AQ50" s="417">
        <f>VLOOKUP($J50,Fatores!$G$1:$J$5,3,FALSE)</f>
        <v>0.80162406960829835</v>
      </c>
      <c r="AR50" s="417">
        <f>VLOOKUP($C50,Fatores!$A:$D,3,FALSE)</f>
        <v>1</v>
      </c>
      <c r="AS50" s="420">
        <f t="shared" si="13"/>
        <v>44.890947898064709</v>
      </c>
      <c r="AT50" s="420">
        <f t="shared" si="14"/>
        <v>38.477955341198324</v>
      </c>
      <c r="AU50" s="420">
        <f t="shared" si="15"/>
        <v>38.477955341198324</v>
      </c>
      <c r="AV50" s="420">
        <f t="shared" si="16"/>
        <v>40.081203480414921</v>
      </c>
      <c r="AW50" s="420">
        <f t="shared" si="17"/>
        <v>28.85846650589874</v>
      </c>
      <c r="AX50" s="420">
        <f t="shared" si="18"/>
        <v>32.866586853940234</v>
      </c>
      <c r="AY50" s="421">
        <f t="shared" si="207"/>
        <v>44.890947898064709</v>
      </c>
      <c r="AZ50" s="421">
        <f t="shared" si="208"/>
        <v>38.477955341198324</v>
      </c>
      <c r="BA50" s="421">
        <f t="shared" si="209"/>
        <v>38.477955341198324</v>
      </c>
      <c r="BB50" s="421">
        <f t="shared" si="210"/>
        <v>40.081203480414921</v>
      </c>
      <c r="BC50" s="421">
        <f t="shared" si="211"/>
        <v>28.85846650589874</v>
      </c>
      <c r="BD50" s="421">
        <f t="shared" si="212"/>
        <v>32.866586853940234</v>
      </c>
      <c r="BE50" s="417">
        <f>VLOOKUP($J50,Fatores!$G$1:$J$5,4,FALSE)</f>
        <v>1</v>
      </c>
      <c r="BF50" s="417">
        <f>VLOOKUP($C50,Fatores!$A:$D,4,FALSE)</f>
        <v>1</v>
      </c>
      <c r="BG50" s="420">
        <f t="shared" si="20"/>
        <v>56</v>
      </c>
      <c r="BH50" s="420">
        <f t="shared" si="21"/>
        <v>48</v>
      </c>
      <c r="BI50" s="420">
        <f t="shared" si="22"/>
        <v>48</v>
      </c>
      <c r="BJ50" s="420">
        <f t="shared" si="23"/>
        <v>50</v>
      </c>
      <c r="BK50" s="420">
        <f t="shared" si="24"/>
        <v>36</v>
      </c>
      <c r="BL50" s="420">
        <f t="shared" si="25"/>
        <v>41</v>
      </c>
      <c r="BM50" s="421">
        <f t="shared" si="213"/>
        <v>56</v>
      </c>
      <c r="BN50" s="421">
        <f t="shared" si="214"/>
        <v>48</v>
      </c>
      <c r="BO50" s="421">
        <f t="shared" si="215"/>
        <v>48</v>
      </c>
      <c r="BP50" s="421">
        <f t="shared" si="216"/>
        <v>50</v>
      </c>
      <c r="BQ50" s="421">
        <f t="shared" si="217"/>
        <v>36</v>
      </c>
      <c r="BR50" s="421">
        <f t="shared" si="218"/>
        <v>41</v>
      </c>
    </row>
    <row r="51" spans="1:70" x14ac:dyDescent="0.25">
      <c r="A51" s="431">
        <v>102</v>
      </c>
      <c r="B51" s="424"/>
      <c r="C51" s="424" t="s">
        <v>38</v>
      </c>
      <c r="D51" s="437" t="s">
        <v>465</v>
      </c>
      <c r="E51" s="431"/>
      <c r="F51" s="424"/>
      <c r="G51" s="424"/>
      <c r="H51" s="424"/>
      <c r="I51" s="432"/>
      <c r="J51" s="440">
        <v>2</v>
      </c>
      <c r="K51" s="419">
        <f>VLOOKUP($A51,Prevs!$C:$I,Ajustes!K$1,FALSE)</f>
        <v>245</v>
      </c>
      <c r="L51" s="419">
        <f>VLOOKUP($A51,Prevs!$C:$I,Ajustes!L$1,FALSE)</f>
        <v>211</v>
      </c>
      <c r="M51" s="419">
        <f>VLOOKUP($A51,Prevs!$C:$I,Ajustes!M$1,FALSE)</f>
        <v>155</v>
      </c>
      <c r="N51" s="419">
        <f>VLOOKUP($A51,Prevs!$C:$I,Ajustes!N$1,FALSE)</f>
        <v>161</v>
      </c>
      <c r="O51" s="419">
        <f>VLOOKUP($A51,Prevs!$C:$I,Ajustes!O$1,FALSE)</f>
        <v>112</v>
      </c>
      <c r="P51" s="419">
        <f>VLOOKUP($A51,Prevs!$C:$I,Ajustes!P$1,FALSE)</f>
        <v>120</v>
      </c>
      <c r="Q51" s="419">
        <v>0</v>
      </c>
      <c r="R51" s="419">
        <v>0</v>
      </c>
      <c r="S51" s="419">
        <v>0</v>
      </c>
      <c r="T51" s="419">
        <v>0</v>
      </c>
      <c r="U51" s="419">
        <v>0</v>
      </c>
      <c r="V51" s="419">
        <v>0</v>
      </c>
      <c r="W51" s="419">
        <f t="shared" si="205"/>
        <v>245</v>
      </c>
      <c r="X51" s="419">
        <f t="shared" si="205"/>
        <v>211</v>
      </c>
      <c r="Y51" s="419">
        <f t="shared" si="205"/>
        <v>155</v>
      </c>
      <c r="Z51" s="419">
        <f t="shared" si="205"/>
        <v>161</v>
      </c>
      <c r="AA51" s="419">
        <f t="shared" si="205"/>
        <v>112</v>
      </c>
      <c r="AB51" s="419">
        <f t="shared" si="205"/>
        <v>120</v>
      </c>
      <c r="AC51" s="417">
        <f>VLOOKUP($J51,Fatores!$G$1:$J$5,2,FALSE)</f>
        <v>0.80162406960829835</v>
      </c>
      <c r="AD51" s="417">
        <f>VLOOKUP($C51,Fatores!$A:$D,2,FALSE)</f>
        <v>1</v>
      </c>
      <c r="AE51" s="420">
        <f t="shared" si="6"/>
        <v>196.39789705403311</v>
      </c>
      <c r="AF51" s="420">
        <f t="shared" si="7"/>
        <v>169.14267868735095</v>
      </c>
      <c r="AG51" s="420">
        <f t="shared" si="8"/>
        <v>124.25173078928624</v>
      </c>
      <c r="AH51" s="420">
        <f t="shared" si="9"/>
        <v>129.06147520693602</v>
      </c>
      <c r="AI51" s="420">
        <f t="shared" si="10"/>
        <v>89.781895796129419</v>
      </c>
      <c r="AJ51" s="420">
        <f t="shared" si="11"/>
        <v>96.194888352995804</v>
      </c>
      <c r="AK51" s="421">
        <f t="shared" si="206"/>
        <v>196.39789705403311</v>
      </c>
      <c r="AL51" s="421">
        <f t="shared" si="206"/>
        <v>169.14267868735095</v>
      </c>
      <c r="AM51" s="421">
        <f t="shared" si="206"/>
        <v>124.25173078928624</v>
      </c>
      <c r="AN51" s="421">
        <f t="shared" si="206"/>
        <v>129.06147520693602</v>
      </c>
      <c r="AO51" s="421">
        <f t="shared" si="206"/>
        <v>89.781895796129419</v>
      </c>
      <c r="AP51" s="421">
        <f t="shared" si="206"/>
        <v>96.194888352995804</v>
      </c>
      <c r="AQ51" s="417">
        <f>VLOOKUP($J51,Fatores!$G$1:$J$5,3,FALSE)</f>
        <v>0.80162406960829835</v>
      </c>
      <c r="AR51" s="417">
        <f>VLOOKUP($C51,Fatores!$A:$D,3,FALSE)</f>
        <v>1</v>
      </c>
      <c r="AS51" s="420">
        <f t="shared" si="13"/>
        <v>196.39789705403311</v>
      </c>
      <c r="AT51" s="420">
        <f t="shared" si="14"/>
        <v>169.14267868735095</v>
      </c>
      <c r="AU51" s="420">
        <f t="shared" si="15"/>
        <v>124.25173078928624</v>
      </c>
      <c r="AV51" s="420">
        <f t="shared" si="16"/>
        <v>129.06147520693602</v>
      </c>
      <c r="AW51" s="420">
        <f t="shared" si="17"/>
        <v>89.781895796129419</v>
      </c>
      <c r="AX51" s="420">
        <f t="shared" si="18"/>
        <v>96.194888352995804</v>
      </c>
      <c r="AY51" s="421">
        <f t="shared" si="207"/>
        <v>196.39789705403311</v>
      </c>
      <c r="AZ51" s="421">
        <f t="shared" si="208"/>
        <v>169.14267868735095</v>
      </c>
      <c r="BA51" s="421">
        <f t="shared" si="209"/>
        <v>124.25173078928624</v>
      </c>
      <c r="BB51" s="421">
        <f t="shared" si="210"/>
        <v>129.06147520693602</v>
      </c>
      <c r="BC51" s="421">
        <f t="shared" si="211"/>
        <v>89.781895796129419</v>
      </c>
      <c r="BD51" s="421">
        <f t="shared" si="212"/>
        <v>96.194888352995804</v>
      </c>
      <c r="BE51" s="417">
        <f>VLOOKUP($J51,Fatores!$G$1:$J$5,4,FALSE)</f>
        <v>1</v>
      </c>
      <c r="BF51" s="417">
        <f>VLOOKUP($C51,Fatores!$A:$D,4,FALSE)</f>
        <v>1</v>
      </c>
      <c r="BG51" s="420">
        <f t="shared" si="20"/>
        <v>245</v>
      </c>
      <c r="BH51" s="420">
        <f t="shared" si="21"/>
        <v>211</v>
      </c>
      <c r="BI51" s="420">
        <f t="shared" si="22"/>
        <v>155</v>
      </c>
      <c r="BJ51" s="420">
        <f t="shared" si="23"/>
        <v>161</v>
      </c>
      <c r="BK51" s="420">
        <f t="shared" si="24"/>
        <v>112</v>
      </c>
      <c r="BL51" s="420">
        <f t="shared" si="25"/>
        <v>120</v>
      </c>
      <c r="BM51" s="421">
        <f t="shared" si="213"/>
        <v>245</v>
      </c>
      <c r="BN51" s="421">
        <f t="shared" si="214"/>
        <v>211</v>
      </c>
      <c r="BO51" s="421">
        <f t="shared" si="215"/>
        <v>155</v>
      </c>
      <c r="BP51" s="421">
        <f t="shared" si="216"/>
        <v>161</v>
      </c>
      <c r="BQ51" s="421">
        <f t="shared" si="217"/>
        <v>112</v>
      </c>
      <c r="BR51" s="421">
        <f t="shared" si="218"/>
        <v>120</v>
      </c>
    </row>
    <row r="52" spans="1:70" x14ac:dyDescent="0.25">
      <c r="A52" s="431">
        <v>103</v>
      </c>
      <c r="B52" s="424"/>
      <c r="C52" s="424" t="s">
        <v>38</v>
      </c>
      <c r="D52" s="437" t="s">
        <v>465</v>
      </c>
      <c r="E52" s="444">
        <v>102</v>
      </c>
      <c r="F52" s="424"/>
      <c r="G52" s="424"/>
      <c r="H52" s="424"/>
      <c r="I52" s="432"/>
      <c r="J52" s="440">
        <v>2</v>
      </c>
      <c r="K52" s="419">
        <f>VLOOKUP($A52,Prevs!$C:$I,Ajustes!K$1,FALSE)</f>
        <v>254</v>
      </c>
      <c r="L52" s="419">
        <f>VLOOKUP($A52,Prevs!$C:$I,Ajustes!L$1,FALSE)</f>
        <v>219</v>
      </c>
      <c r="M52" s="419">
        <f>VLOOKUP($A52,Prevs!$C:$I,Ajustes!M$1,FALSE)</f>
        <v>160</v>
      </c>
      <c r="N52" s="419">
        <f>VLOOKUP($A52,Prevs!$C:$I,Ajustes!N$1,FALSE)</f>
        <v>167</v>
      </c>
      <c r="O52" s="419">
        <f>VLOOKUP($A52,Prevs!$C:$I,Ajustes!O$1,FALSE)</f>
        <v>116</v>
      </c>
      <c r="P52" s="419">
        <f>VLOOKUP($A52,Prevs!$C:$I,Ajustes!P$1,FALSE)</f>
        <v>124</v>
      </c>
      <c r="Q52" s="419">
        <f>VLOOKUP($E52,Prevs!$C:$I,Ajustes!K$1,FALSE)</f>
        <v>245</v>
      </c>
      <c r="R52" s="419">
        <f>VLOOKUP($E52,Prevs!$C:$I,Ajustes!L$1,FALSE)</f>
        <v>211</v>
      </c>
      <c r="S52" s="419">
        <f>VLOOKUP($E52,Prevs!$C:$I,Ajustes!M$1,FALSE)</f>
        <v>155</v>
      </c>
      <c r="T52" s="419">
        <f>VLOOKUP($E52,Prevs!$C:$I,Ajustes!N$1,FALSE)</f>
        <v>161</v>
      </c>
      <c r="U52" s="419">
        <f>VLOOKUP($E52,Prevs!$C:$I,Ajustes!O$1,FALSE)</f>
        <v>112</v>
      </c>
      <c r="V52" s="419">
        <f>VLOOKUP($E52,Prevs!$C:$I,Ajustes!P$1,FALSE)</f>
        <v>120</v>
      </c>
      <c r="W52" s="419">
        <f t="shared" ref="W52:W53" si="219">K52-Q52</f>
        <v>9</v>
      </c>
      <c r="X52" s="419">
        <f t="shared" ref="X52:X53" si="220">L52-R52</f>
        <v>8</v>
      </c>
      <c r="Y52" s="419">
        <f t="shared" ref="Y52:Y53" si="221">M52-S52</f>
        <v>5</v>
      </c>
      <c r="Z52" s="419">
        <f t="shared" ref="Z52:Z53" si="222">N52-T52</f>
        <v>6</v>
      </c>
      <c r="AA52" s="419">
        <f t="shared" ref="AA52:AA53" si="223">O52-U52</f>
        <v>4</v>
      </c>
      <c r="AB52" s="419">
        <f t="shared" ref="AB52:AB53" si="224">P52-V52</f>
        <v>4</v>
      </c>
      <c r="AC52" s="417">
        <f>VLOOKUP($J52,Fatores!$G$1:$J$5,2,FALSE)</f>
        <v>0.80162406960829835</v>
      </c>
      <c r="AD52" s="417">
        <f>VLOOKUP($C52,Fatores!$A:$D,2,FALSE)</f>
        <v>1</v>
      </c>
      <c r="AE52" s="420">
        <f t="shared" si="6"/>
        <v>7.2146166264746849</v>
      </c>
      <c r="AF52" s="420">
        <f t="shared" si="7"/>
        <v>6.4129925568663868</v>
      </c>
      <c r="AG52" s="420">
        <f t="shared" si="8"/>
        <v>4.0081203480414915</v>
      </c>
      <c r="AH52" s="420">
        <f t="shared" si="9"/>
        <v>4.8097444176497905</v>
      </c>
      <c r="AI52" s="420">
        <f t="shared" si="10"/>
        <v>3.2064962784331934</v>
      </c>
      <c r="AJ52" s="420">
        <f t="shared" si="11"/>
        <v>3.2064962784331934</v>
      </c>
      <c r="AK52" s="421">
        <f t="shared" ref="AK52:AP53" si="225">AE52+VLOOKUP($E52,$A:$BR,AK$1,FALSE)</f>
        <v>203.61251368050779</v>
      </c>
      <c r="AL52" s="421">
        <f t="shared" si="225"/>
        <v>175.55567124421734</v>
      </c>
      <c r="AM52" s="421">
        <f t="shared" si="225"/>
        <v>128.25985113732773</v>
      </c>
      <c r="AN52" s="421">
        <f t="shared" si="225"/>
        <v>133.87121962458582</v>
      </c>
      <c r="AO52" s="421">
        <f t="shared" si="225"/>
        <v>92.988392074562611</v>
      </c>
      <c r="AP52" s="421">
        <f t="shared" si="225"/>
        <v>99.401384631428996</v>
      </c>
      <c r="AQ52" s="417">
        <f>VLOOKUP($J52,Fatores!$G$1:$J$5,3,FALSE)</f>
        <v>0.80162406960829835</v>
      </c>
      <c r="AR52" s="417">
        <f>VLOOKUP($C52,Fatores!$A:$D,3,FALSE)</f>
        <v>1</v>
      </c>
      <c r="AS52" s="420">
        <f t="shared" si="13"/>
        <v>7.2146166264746849</v>
      </c>
      <c r="AT52" s="420">
        <f t="shared" si="14"/>
        <v>6.4129925568663868</v>
      </c>
      <c r="AU52" s="420">
        <f t="shared" si="15"/>
        <v>4.0081203480414915</v>
      </c>
      <c r="AV52" s="420">
        <f t="shared" si="16"/>
        <v>4.8097444176497905</v>
      </c>
      <c r="AW52" s="420">
        <f t="shared" si="17"/>
        <v>3.2064962784331934</v>
      </c>
      <c r="AX52" s="420">
        <f t="shared" si="18"/>
        <v>3.2064962784331934</v>
      </c>
      <c r="AY52" s="421">
        <f t="shared" ref="AY52:BD53" si="226">AS52+VLOOKUP($E52,$A:$BR,AY$1,FALSE)</f>
        <v>203.61251368050779</v>
      </c>
      <c r="AZ52" s="421">
        <f t="shared" si="226"/>
        <v>175.55567124421734</v>
      </c>
      <c r="BA52" s="421">
        <f t="shared" si="226"/>
        <v>128.25985113732773</v>
      </c>
      <c r="BB52" s="421">
        <f t="shared" si="226"/>
        <v>133.87121962458582</v>
      </c>
      <c r="BC52" s="421">
        <f t="shared" si="226"/>
        <v>92.988392074562611</v>
      </c>
      <c r="BD52" s="421">
        <f t="shared" si="226"/>
        <v>99.401384631428996</v>
      </c>
      <c r="BE52" s="417">
        <f>VLOOKUP($J52,Fatores!$G$1:$J$5,4,FALSE)</f>
        <v>1</v>
      </c>
      <c r="BF52" s="417">
        <f>VLOOKUP($C52,Fatores!$A:$D,4,FALSE)</f>
        <v>1</v>
      </c>
      <c r="BG52" s="420">
        <f t="shared" si="20"/>
        <v>9</v>
      </c>
      <c r="BH52" s="420">
        <f t="shared" si="21"/>
        <v>8</v>
      </c>
      <c r="BI52" s="420">
        <f t="shared" si="22"/>
        <v>5</v>
      </c>
      <c r="BJ52" s="420">
        <f t="shared" si="23"/>
        <v>6</v>
      </c>
      <c r="BK52" s="420">
        <f t="shared" si="24"/>
        <v>4</v>
      </c>
      <c r="BL52" s="420">
        <f t="shared" si="25"/>
        <v>4</v>
      </c>
      <c r="BM52" s="421">
        <f t="shared" ref="BM52:BR53" si="227">BG52+VLOOKUP($E52,$A:$BR,BM$1,FALSE)</f>
        <v>254</v>
      </c>
      <c r="BN52" s="421">
        <f t="shared" si="227"/>
        <v>219</v>
      </c>
      <c r="BO52" s="421">
        <f t="shared" si="227"/>
        <v>160</v>
      </c>
      <c r="BP52" s="421">
        <f t="shared" si="227"/>
        <v>167</v>
      </c>
      <c r="BQ52" s="421">
        <f t="shared" si="227"/>
        <v>116</v>
      </c>
      <c r="BR52" s="421">
        <f t="shared" si="227"/>
        <v>124</v>
      </c>
    </row>
    <row r="53" spans="1:70" x14ac:dyDescent="0.25">
      <c r="A53" s="431">
        <v>104</v>
      </c>
      <c r="B53" s="424" t="s">
        <v>633</v>
      </c>
      <c r="C53" s="424" t="s">
        <v>30</v>
      </c>
      <c r="D53" s="437" t="s">
        <v>467</v>
      </c>
      <c r="E53" s="444">
        <v>109</v>
      </c>
      <c r="F53" s="424"/>
      <c r="G53" s="424"/>
      <c r="H53" s="424"/>
      <c r="I53" s="432"/>
      <c r="J53" s="440">
        <v>1</v>
      </c>
      <c r="K53" s="419">
        <f>VLOOKUP($A53,Prevs!$C:$I,Ajustes!K$1,FALSE)</f>
        <v>29</v>
      </c>
      <c r="L53" s="419">
        <f>VLOOKUP($A53,Prevs!$C:$I,Ajustes!L$1,FALSE)</f>
        <v>27</v>
      </c>
      <c r="M53" s="419">
        <f>VLOOKUP($A53,Prevs!$C:$I,Ajustes!M$1,FALSE)</f>
        <v>24</v>
      </c>
      <c r="N53" s="419">
        <f>VLOOKUP($A53,Prevs!$C:$I,Ajustes!N$1,FALSE)</f>
        <v>22</v>
      </c>
      <c r="O53" s="419">
        <f>VLOOKUP($A53,Prevs!$C:$I,Ajustes!O$1,FALSE)</f>
        <v>21</v>
      </c>
      <c r="P53" s="419">
        <f>VLOOKUP($A53,Prevs!$C:$I,Ajustes!P$1,FALSE)</f>
        <v>19</v>
      </c>
      <c r="Q53" s="419">
        <f>VLOOKUP($E53,Prevs!$C:$I,Ajustes!K$1,FALSE)</f>
        <v>14</v>
      </c>
      <c r="R53" s="419">
        <f>VLOOKUP($E53,Prevs!$C:$I,Ajustes!L$1,FALSE)</f>
        <v>13</v>
      </c>
      <c r="S53" s="419">
        <f>VLOOKUP($E53,Prevs!$C:$I,Ajustes!M$1,FALSE)</f>
        <v>12</v>
      </c>
      <c r="T53" s="419">
        <f>VLOOKUP($E53,Prevs!$C:$I,Ajustes!N$1,FALSE)</f>
        <v>11</v>
      </c>
      <c r="U53" s="419">
        <f>VLOOKUP($E53,Prevs!$C:$I,Ajustes!O$1,FALSE)</f>
        <v>11</v>
      </c>
      <c r="V53" s="419">
        <f>VLOOKUP($E53,Prevs!$C:$I,Ajustes!P$1,FALSE)</f>
        <v>10</v>
      </c>
      <c r="W53" s="419">
        <f t="shared" si="219"/>
        <v>15</v>
      </c>
      <c r="X53" s="419">
        <f t="shared" si="220"/>
        <v>14</v>
      </c>
      <c r="Y53" s="419">
        <f t="shared" si="221"/>
        <v>12</v>
      </c>
      <c r="Z53" s="419">
        <f t="shared" si="222"/>
        <v>11</v>
      </c>
      <c r="AA53" s="419">
        <f t="shared" si="223"/>
        <v>10</v>
      </c>
      <c r="AB53" s="419">
        <f t="shared" si="224"/>
        <v>9</v>
      </c>
      <c r="AC53" s="417">
        <f>VLOOKUP($J53,Fatores!$G$1:$J$5,2,FALSE)</f>
        <v>1.5531612828314754</v>
      </c>
      <c r="AD53" s="417">
        <f>VLOOKUP($C53,Fatores!$A:$D,2,FALSE)</f>
        <v>1</v>
      </c>
      <c r="AE53" s="420">
        <f t="shared" si="6"/>
        <v>23.297419242472131</v>
      </c>
      <c r="AF53" s="420">
        <f t="shared" si="7"/>
        <v>21.744257959640656</v>
      </c>
      <c r="AG53" s="420">
        <f t="shared" si="8"/>
        <v>18.637935393977706</v>
      </c>
      <c r="AH53" s="420">
        <f t="shared" si="9"/>
        <v>17.084774111146228</v>
      </c>
      <c r="AI53" s="420">
        <f t="shared" si="10"/>
        <v>15.531612828314753</v>
      </c>
      <c r="AJ53" s="420">
        <f t="shared" si="11"/>
        <v>13.978451545483278</v>
      </c>
      <c r="AK53" s="421">
        <f t="shared" si="225"/>
        <v>45.041677202112787</v>
      </c>
      <c r="AL53" s="421">
        <f t="shared" si="225"/>
        <v>41.935354636449837</v>
      </c>
      <c r="AM53" s="421">
        <f t="shared" si="225"/>
        <v>37.275870787955412</v>
      </c>
      <c r="AN53" s="421">
        <f t="shared" si="225"/>
        <v>34.169548222292455</v>
      </c>
      <c r="AO53" s="421">
        <f t="shared" si="225"/>
        <v>32.61638693946098</v>
      </c>
      <c r="AP53" s="421">
        <f t="shared" si="225"/>
        <v>29.510064373798031</v>
      </c>
      <c r="AQ53" s="417">
        <f>VLOOKUP($J53,Fatores!$G$1:$J$5,3,FALSE)</f>
        <v>1.3186317794730578</v>
      </c>
      <c r="AR53" s="417">
        <f>VLOOKUP($C53,Fatores!$A:$D,3,FALSE)</f>
        <v>1</v>
      </c>
      <c r="AS53" s="420">
        <f t="shared" si="13"/>
        <v>19.779476692095866</v>
      </c>
      <c r="AT53" s="420">
        <f t="shared" si="14"/>
        <v>18.460844912622807</v>
      </c>
      <c r="AU53" s="420">
        <f t="shared" si="15"/>
        <v>15.823581353676694</v>
      </c>
      <c r="AV53" s="420">
        <f t="shared" si="16"/>
        <v>14.504949574203636</v>
      </c>
      <c r="AW53" s="420">
        <f t="shared" si="17"/>
        <v>13.186317794730577</v>
      </c>
      <c r="AX53" s="420">
        <f t="shared" si="18"/>
        <v>11.867686015257521</v>
      </c>
      <c r="AY53" s="421">
        <f t="shared" si="226"/>
        <v>38.240321604718673</v>
      </c>
      <c r="AZ53" s="421">
        <f t="shared" si="226"/>
        <v>35.603058045772556</v>
      </c>
      <c r="BA53" s="421">
        <f t="shared" si="226"/>
        <v>31.647162707353388</v>
      </c>
      <c r="BB53" s="421">
        <f t="shared" si="226"/>
        <v>29.009899148407271</v>
      </c>
      <c r="BC53" s="421">
        <f t="shared" si="226"/>
        <v>27.691267368934213</v>
      </c>
      <c r="BD53" s="421">
        <f t="shared" si="226"/>
        <v>25.054003809988096</v>
      </c>
      <c r="BE53" s="417">
        <f>VLOOKUP($J53,Fatores!$G$1:$J$5,4,FALSE)</f>
        <v>1</v>
      </c>
      <c r="BF53" s="417">
        <f>VLOOKUP($C53,Fatores!$A:$D,4,FALSE)</f>
        <v>1</v>
      </c>
      <c r="BG53" s="420">
        <f t="shared" si="20"/>
        <v>15</v>
      </c>
      <c r="BH53" s="420">
        <f t="shared" si="21"/>
        <v>14</v>
      </c>
      <c r="BI53" s="420">
        <f t="shared" si="22"/>
        <v>12</v>
      </c>
      <c r="BJ53" s="420">
        <f t="shared" si="23"/>
        <v>11</v>
      </c>
      <c r="BK53" s="420">
        <f t="shared" si="24"/>
        <v>10</v>
      </c>
      <c r="BL53" s="420">
        <f t="shared" si="25"/>
        <v>9</v>
      </c>
      <c r="BM53" s="421">
        <f t="shared" si="227"/>
        <v>29</v>
      </c>
      <c r="BN53" s="421">
        <f t="shared" si="227"/>
        <v>27</v>
      </c>
      <c r="BO53" s="421">
        <f t="shared" si="227"/>
        <v>24</v>
      </c>
      <c r="BP53" s="421">
        <f t="shared" si="227"/>
        <v>22</v>
      </c>
      <c r="BQ53" s="421">
        <f t="shared" si="227"/>
        <v>21</v>
      </c>
      <c r="BR53" s="421">
        <f t="shared" si="227"/>
        <v>19</v>
      </c>
    </row>
    <row r="54" spans="1:70" x14ac:dyDescent="0.25">
      <c r="A54" s="431">
        <v>109</v>
      </c>
      <c r="B54" s="424">
        <v>118</v>
      </c>
      <c r="C54" s="424" t="s">
        <v>30</v>
      </c>
      <c r="D54" s="437" t="s">
        <v>467</v>
      </c>
      <c r="E54" s="431"/>
      <c r="F54" s="424"/>
      <c r="G54" s="424"/>
      <c r="H54" s="424"/>
      <c r="I54" s="432"/>
      <c r="J54" s="440">
        <v>1</v>
      </c>
      <c r="K54" s="419">
        <f>VLOOKUP($A54,Prevs!$C:$I,Ajustes!K$1,FALSE)</f>
        <v>14</v>
      </c>
      <c r="L54" s="419">
        <f>VLOOKUP($A54,Prevs!$C:$I,Ajustes!L$1,FALSE)</f>
        <v>13</v>
      </c>
      <c r="M54" s="419">
        <f>VLOOKUP($A54,Prevs!$C:$I,Ajustes!M$1,FALSE)</f>
        <v>12</v>
      </c>
      <c r="N54" s="419">
        <f>VLOOKUP($A54,Prevs!$C:$I,Ajustes!N$1,FALSE)</f>
        <v>11</v>
      </c>
      <c r="O54" s="419">
        <f>VLOOKUP($A54,Prevs!$C:$I,Ajustes!O$1,FALSE)</f>
        <v>11</v>
      </c>
      <c r="P54" s="419">
        <f>VLOOKUP($A54,Prevs!$C:$I,Ajustes!P$1,FALSE)</f>
        <v>10</v>
      </c>
      <c r="Q54" s="419">
        <v>0</v>
      </c>
      <c r="R54" s="419">
        <v>0</v>
      </c>
      <c r="S54" s="419">
        <v>0</v>
      </c>
      <c r="T54" s="419">
        <v>0</v>
      </c>
      <c r="U54" s="419">
        <v>0</v>
      </c>
      <c r="V54" s="419">
        <v>0</v>
      </c>
      <c r="W54" s="419">
        <f t="shared" ref="W54:AB55" si="228">K54-Q54</f>
        <v>14</v>
      </c>
      <c r="X54" s="419">
        <f t="shared" si="228"/>
        <v>13</v>
      </c>
      <c r="Y54" s="419">
        <f t="shared" si="228"/>
        <v>12</v>
      </c>
      <c r="Z54" s="419">
        <f t="shared" si="228"/>
        <v>11</v>
      </c>
      <c r="AA54" s="419">
        <f t="shared" si="228"/>
        <v>11</v>
      </c>
      <c r="AB54" s="419">
        <f t="shared" si="228"/>
        <v>10</v>
      </c>
      <c r="AC54" s="417">
        <f>VLOOKUP($J54,Fatores!$G$1:$J$5,2,FALSE)</f>
        <v>1.5531612828314754</v>
      </c>
      <c r="AD54" s="417">
        <f>VLOOKUP($C54,Fatores!$A:$D,2,FALSE)</f>
        <v>1</v>
      </c>
      <c r="AE54" s="420">
        <f t="shared" si="6"/>
        <v>21.744257959640656</v>
      </c>
      <c r="AF54" s="420">
        <f t="shared" si="7"/>
        <v>20.191096676809181</v>
      </c>
      <c r="AG54" s="420">
        <f t="shared" si="8"/>
        <v>18.637935393977706</v>
      </c>
      <c r="AH54" s="420">
        <f t="shared" si="9"/>
        <v>17.084774111146228</v>
      </c>
      <c r="AI54" s="420">
        <f t="shared" si="10"/>
        <v>17.084774111146228</v>
      </c>
      <c r="AJ54" s="420">
        <f t="shared" si="11"/>
        <v>15.531612828314753</v>
      </c>
      <c r="AK54" s="421">
        <f t="shared" ref="AK54:AP55" si="229">AE54</f>
        <v>21.744257959640656</v>
      </c>
      <c r="AL54" s="421">
        <f t="shared" si="229"/>
        <v>20.191096676809181</v>
      </c>
      <c r="AM54" s="421">
        <f t="shared" si="229"/>
        <v>18.637935393977706</v>
      </c>
      <c r="AN54" s="421">
        <f t="shared" si="229"/>
        <v>17.084774111146228</v>
      </c>
      <c r="AO54" s="421">
        <f t="shared" si="229"/>
        <v>17.084774111146228</v>
      </c>
      <c r="AP54" s="421">
        <f t="shared" si="229"/>
        <v>15.531612828314753</v>
      </c>
      <c r="AQ54" s="417">
        <f>VLOOKUP($J54,Fatores!$G$1:$J$5,3,FALSE)</f>
        <v>1.3186317794730578</v>
      </c>
      <c r="AR54" s="417">
        <f>VLOOKUP($C54,Fatores!$A:$D,3,FALSE)</f>
        <v>1</v>
      </c>
      <c r="AS54" s="420">
        <f t="shared" si="13"/>
        <v>18.460844912622807</v>
      </c>
      <c r="AT54" s="420">
        <f t="shared" si="14"/>
        <v>17.142213133149752</v>
      </c>
      <c r="AU54" s="420">
        <f t="shared" si="15"/>
        <v>15.823581353676694</v>
      </c>
      <c r="AV54" s="420">
        <f t="shared" si="16"/>
        <v>14.504949574203636</v>
      </c>
      <c r="AW54" s="420">
        <f t="shared" si="17"/>
        <v>14.504949574203636</v>
      </c>
      <c r="AX54" s="420">
        <f t="shared" si="18"/>
        <v>13.186317794730577</v>
      </c>
      <c r="AY54" s="421">
        <f t="shared" ref="AY54:AY55" si="230">AS54</f>
        <v>18.460844912622807</v>
      </c>
      <c r="AZ54" s="421">
        <f t="shared" ref="AZ54:AZ55" si="231">AT54</f>
        <v>17.142213133149752</v>
      </c>
      <c r="BA54" s="421">
        <f t="shared" ref="BA54:BA55" si="232">AU54</f>
        <v>15.823581353676694</v>
      </c>
      <c r="BB54" s="421">
        <f t="shared" ref="BB54:BB55" si="233">AV54</f>
        <v>14.504949574203636</v>
      </c>
      <c r="BC54" s="421">
        <f t="shared" ref="BC54:BC55" si="234">AW54</f>
        <v>14.504949574203636</v>
      </c>
      <c r="BD54" s="421">
        <f t="shared" ref="BD54:BD55" si="235">AX54</f>
        <v>13.186317794730577</v>
      </c>
      <c r="BE54" s="417">
        <f>VLOOKUP($J54,Fatores!$G$1:$J$5,4,FALSE)</f>
        <v>1</v>
      </c>
      <c r="BF54" s="417">
        <f>VLOOKUP($C54,Fatores!$A:$D,4,FALSE)</f>
        <v>1</v>
      </c>
      <c r="BG54" s="420">
        <f t="shared" si="20"/>
        <v>14</v>
      </c>
      <c r="BH54" s="420">
        <f t="shared" si="21"/>
        <v>13</v>
      </c>
      <c r="BI54" s="420">
        <f t="shared" si="22"/>
        <v>12</v>
      </c>
      <c r="BJ54" s="420">
        <f t="shared" si="23"/>
        <v>11</v>
      </c>
      <c r="BK54" s="420">
        <f t="shared" si="24"/>
        <v>11</v>
      </c>
      <c r="BL54" s="420">
        <f t="shared" si="25"/>
        <v>10</v>
      </c>
      <c r="BM54" s="421">
        <f t="shared" ref="BM54:BM55" si="236">BG54</f>
        <v>14</v>
      </c>
      <c r="BN54" s="421">
        <f t="shared" ref="BN54:BN55" si="237">BH54</f>
        <v>13</v>
      </c>
      <c r="BO54" s="421">
        <f t="shared" ref="BO54:BO55" si="238">BI54</f>
        <v>12</v>
      </c>
      <c r="BP54" s="421">
        <f t="shared" ref="BP54:BP55" si="239">BJ54</f>
        <v>11</v>
      </c>
      <c r="BQ54" s="421">
        <f t="shared" ref="BQ54:BQ55" si="240">BK54</f>
        <v>11</v>
      </c>
      <c r="BR54" s="421">
        <f t="shared" ref="BR54:BR55" si="241">BL54</f>
        <v>10</v>
      </c>
    </row>
    <row r="55" spans="1:70" x14ac:dyDescent="0.25">
      <c r="A55" s="431">
        <v>110</v>
      </c>
      <c r="B55" s="424"/>
      <c r="C55" s="424" t="s">
        <v>37</v>
      </c>
      <c r="D55" s="437" t="s">
        <v>37</v>
      </c>
      <c r="E55" s="431"/>
      <c r="F55" s="424"/>
      <c r="G55" s="424"/>
      <c r="H55" s="424"/>
      <c r="I55" s="432"/>
      <c r="J55" s="440">
        <v>2</v>
      </c>
      <c r="K55" s="419">
        <f>VLOOKUP($A55,Prevs!$C:$I,Ajustes!K$1,FALSE)</f>
        <v>27</v>
      </c>
      <c r="L55" s="419">
        <f>VLOOKUP($A55,Prevs!$C:$I,Ajustes!L$1,FALSE)</f>
        <v>27</v>
      </c>
      <c r="M55" s="419">
        <f>VLOOKUP($A55,Prevs!$C:$I,Ajustes!M$1,FALSE)</f>
        <v>36</v>
      </c>
      <c r="N55" s="419">
        <f>VLOOKUP($A55,Prevs!$C:$I,Ajustes!N$1,FALSE)</f>
        <v>37</v>
      </c>
      <c r="O55" s="419">
        <f>VLOOKUP($A55,Prevs!$C:$I,Ajustes!O$1,FALSE)</f>
        <v>18</v>
      </c>
      <c r="P55" s="419">
        <f>VLOOKUP($A55,Prevs!$C:$I,Ajustes!P$1,FALSE)</f>
        <v>17</v>
      </c>
      <c r="Q55" s="419">
        <v>0</v>
      </c>
      <c r="R55" s="419">
        <v>0</v>
      </c>
      <c r="S55" s="419">
        <v>0</v>
      </c>
      <c r="T55" s="419">
        <v>0</v>
      </c>
      <c r="U55" s="419">
        <v>0</v>
      </c>
      <c r="V55" s="419">
        <v>0</v>
      </c>
      <c r="W55" s="419">
        <f t="shared" si="228"/>
        <v>27</v>
      </c>
      <c r="X55" s="419">
        <f t="shared" si="228"/>
        <v>27</v>
      </c>
      <c r="Y55" s="419">
        <f t="shared" si="228"/>
        <v>36</v>
      </c>
      <c r="Z55" s="419">
        <f t="shared" si="228"/>
        <v>37</v>
      </c>
      <c r="AA55" s="419">
        <f t="shared" si="228"/>
        <v>18</v>
      </c>
      <c r="AB55" s="419">
        <f t="shared" si="228"/>
        <v>17</v>
      </c>
      <c r="AC55" s="417">
        <f>VLOOKUP($J55,Fatores!$G$1:$J$5,2,FALSE)</f>
        <v>0.80162406960829835</v>
      </c>
      <c r="AD55" s="417">
        <f>VLOOKUP($C55,Fatores!$A:$D,2,FALSE)</f>
        <v>1</v>
      </c>
      <c r="AE55" s="420">
        <f t="shared" si="6"/>
        <v>21.643849879424057</v>
      </c>
      <c r="AF55" s="420">
        <f t="shared" si="7"/>
        <v>21.643849879424057</v>
      </c>
      <c r="AG55" s="420">
        <f t="shared" si="8"/>
        <v>28.85846650589874</v>
      </c>
      <c r="AH55" s="420">
        <f t="shared" si="9"/>
        <v>29.660090575507038</v>
      </c>
      <c r="AI55" s="420">
        <f t="shared" si="10"/>
        <v>14.42923325294937</v>
      </c>
      <c r="AJ55" s="420">
        <f t="shared" si="11"/>
        <v>13.627609183341072</v>
      </c>
      <c r="AK55" s="421">
        <f t="shared" si="229"/>
        <v>21.643849879424057</v>
      </c>
      <c r="AL55" s="421">
        <f t="shared" si="229"/>
        <v>21.643849879424057</v>
      </c>
      <c r="AM55" s="421">
        <f t="shared" si="229"/>
        <v>28.85846650589874</v>
      </c>
      <c r="AN55" s="421">
        <f t="shared" si="229"/>
        <v>29.660090575507038</v>
      </c>
      <c r="AO55" s="421">
        <f t="shared" si="229"/>
        <v>14.42923325294937</v>
      </c>
      <c r="AP55" s="421">
        <f t="shared" si="229"/>
        <v>13.627609183341072</v>
      </c>
      <c r="AQ55" s="417">
        <f>VLOOKUP($J55,Fatores!$G$1:$J$5,3,FALSE)</f>
        <v>0.80162406960829835</v>
      </c>
      <c r="AR55" s="417">
        <f>VLOOKUP($C55,Fatores!$A:$D,3,FALSE)</f>
        <v>1</v>
      </c>
      <c r="AS55" s="420">
        <f t="shared" si="13"/>
        <v>21.643849879424057</v>
      </c>
      <c r="AT55" s="420">
        <f t="shared" si="14"/>
        <v>21.643849879424057</v>
      </c>
      <c r="AU55" s="420">
        <f t="shared" si="15"/>
        <v>28.85846650589874</v>
      </c>
      <c r="AV55" s="420">
        <f t="shared" si="16"/>
        <v>29.660090575507038</v>
      </c>
      <c r="AW55" s="420">
        <f t="shared" si="17"/>
        <v>14.42923325294937</v>
      </c>
      <c r="AX55" s="420">
        <f t="shared" si="18"/>
        <v>13.627609183341072</v>
      </c>
      <c r="AY55" s="421">
        <f t="shared" si="230"/>
        <v>21.643849879424057</v>
      </c>
      <c r="AZ55" s="421">
        <f t="shared" si="231"/>
        <v>21.643849879424057</v>
      </c>
      <c r="BA55" s="421">
        <f t="shared" si="232"/>
        <v>28.85846650589874</v>
      </c>
      <c r="BB55" s="421">
        <f t="shared" si="233"/>
        <v>29.660090575507038</v>
      </c>
      <c r="BC55" s="421">
        <f t="shared" si="234"/>
        <v>14.42923325294937</v>
      </c>
      <c r="BD55" s="421">
        <f t="shared" si="235"/>
        <v>13.627609183341072</v>
      </c>
      <c r="BE55" s="417">
        <f>VLOOKUP($J55,Fatores!$G$1:$J$5,4,FALSE)</f>
        <v>1</v>
      </c>
      <c r="BF55" s="417">
        <f>VLOOKUP($C55,Fatores!$A:$D,4,FALSE)</f>
        <v>1</v>
      </c>
      <c r="BG55" s="420">
        <f t="shared" si="20"/>
        <v>27</v>
      </c>
      <c r="BH55" s="420">
        <f t="shared" si="21"/>
        <v>27</v>
      </c>
      <c r="BI55" s="420">
        <f t="shared" si="22"/>
        <v>36</v>
      </c>
      <c r="BJ55" s="420">
        <f t="shared" si="23"/>
        <v>37</v>
      </c>
      <c r="BK55" s="420">
        <f t="shared" si="24"/>
        <v>18</v>
      </c>
      <c r="BL55" s="420">
        <f t="shared" si="25"/>
        <v>17</v>
      </c>
      <c r="BM55" s="421">
        <f t="shared" si="236"/>
        <v>27</v>
      </c>
      <c r="BN55" s="421">
        <f t="shared" si="237"/>
        <v>27</v>
      </c>
      <c r="BO55" s="421">
        <f t="shared" si="238"/>
        <v>36</v>
      </c>
      <c r="BP55" s="421">
        <f t="shared" si="239"/>
        <v>37</v>
      </c>
      <c r="BQ55" s="421">
        <f t="shared" si="240"/>
        <v>18</v>
      </c>
      <c r="BR55" s="421">
        <f t="shared" si="241"/>
        <v>17</v>
      </c>
    </row>
    <row r="56" spans="1:70" x14ac:dyDescent="0.25">
      <c r="A56" s="431">
        <v>111</v>
      </c>
      <c r="B56" s="424"/>
      <c r="C56" s="424" t="s">
        <v>37</v>
      </c>
      <c r="D56" s="437" t="s">
        <v>37</v>
      </c>
      <c r="E56" s="444">
        <v>110</v>
      </c>
      <c r="F56" s="424"/>
      <c r="G56" s="424"/>
      <c r="H56" s="424"/>
      <c r="I56" s="432"/>
      <c r="J56" s="440">
        <v>2</v>
      </c>
      <c r="K56" s="419">
        <f>VLOOKUP($A56,Prevs!$C:$I,Ajustes!K$1,FALSE)</f>
        <v>176</v>
      </c>
      <c r="L56" s="419">
        <f>VLOOKUP($A56,Prevs!$C:$I,Ajustes!L$1,FALSE)</f>
        <v>182</v>
      </c>
      <c r="M56" s="419">
        <f>VLOOKUP($A56,Prevs!$C:$I,Ajustes!M$1,FALSE)</f>
        <v>237</v>
      </c>
      <c r="N56" s="419">
        <f>VLOOKUP($A56,Prevs!$C:$I,Ajustes!N$1,FALSE)</f>
        <v>243</v>
      </c>
      <c r="O56" s="419">
        <f>VLOOKUP($A56,Prevs!$C:$I,Ajustes!O$1,FALSE)</f>
        <v>121</v>
      </c>
      <c r="P56" s="419">
        <f>VLOOKUP($A56,Prevs!$C:$I,Ajustes!P$1,FALSE)</f>
        <v>116</v>
      </c>
      <c r="Q56" s="419">
        <f>VLOOKUP($E56,Prevs!$C:$I,Ajustes!K$1,FALSE)</f>
        <v>27</v>
      </c>
      <c r="R56" s="419">
        <f>VLOOKUP($E56,Prevs!$C:$I,Ajustes!L$1,FALSE)</f>
        <v>27</v>
      </c>
      <c r="S56" s="419">
        <f>VLOOKUP($E56,Prevs!$C:$I,Ajustes!M$1,FALSE)</f>
        <v>36</v>
      </c>
      <c r="T56" s="419">
        <f>VLOOKUP($E56,Prevs!$C:$I,Ajustes!N$1,FALSE)</f>
        <v>37</v>
      </c>
      <c r="U56" s="419">
        <f>VLOOKUP($E56,Prevs!$C:$I,Ajustes!O$1,FALSE)</f>
        <v>18</v>
      </c>
      <c r="V56" s="419">
        <f>VLOOKUP($E56,Prevs!$C:$I,Ajustes!P$1,FALSE)</f>
        <v>17</v>
      </c>
      <c r="W56" s="419">
        <f t="shared" ref="W56:W59" si="242">K56-Q56</f>
        <v>149</v>
      </c>
      <c r="X56" s="419">
        <f t="shared" ref="X56:X59" si="243">L56-R56</f>
        <v>155</v>
      </c>
      <c r="Y56" s="419">
        <f t="shared" ref="Y56:Y59" si="244">M56-S56</f>
        <v>201</v>
      </c>
      <c r="Z56" s="419">
        <f t="shared" ref="Z56:Z59" si="245">N56-T56</f>
        <v>206</v>
      </c>
      <c r="AA56" s="419">
        <f t="shared" ref="AA56:AA59" si="246">O56-U56</f>
        <v>103</v>
      </c>
      <c r="AB56" s="419">
        <f t="shared" ref="AB56:AB59" si="247">P56-V56</f>
        <v>99</v>
      </c>
      <c r="AC56" s="417">
        <f>VLOOKUP($J56,Fatores!$G$1:$J$5,2,FALSE)</f>
        <v>0.80162406960829835</v>
      </c>
      <c r="AD56" s="417">
        <f>VLOOKUP($C56,Fatores!$A:$D,2,FALSE)</f>
        <v>1</v>
      </c>
      <c r="AE56" s="420">
        <f t="shared" si="6"/>
        <v>119.44198637163646</v>
      </c>
      <c r="AF56" s="420">
        <f t="shared" si="7"/>
        <v>124.25173078928624</v>
      </c>
      <c r="AG56" s="420">
        <f t="shared" si="8"/>
        <v>161.12643799126798</v>
      </c>
      <c r="AH56" s="420">
        <f t="shared" si="9"/>
        <v>165.13455833930945</v>
      </c>
      <c r="AI56" s="420">
        <f t="shared" si="10"/>
        <v>82.567279169654725</v>
      </c>
      <c r="AJ56" s="420">
        <f t="shared" si="11"/>
        <v>79.360782891221533</v>
      </c>
      <c r="AK56" s="421">
        <f t="shared" ref="AK56:AP59" si="248">AE56+VLOOKUP($E56,$A:$BR,AK$1,FALSE)</f>
        <v>141.08583625106053</v>
      </c>
      <c r="AL56" s="421">
        <f t="shared" si="248"/>
        <v>145.89558066871029</v>
      </c>
      <c r="AM56" s="421">
        <f t="shared" si="248"/>
        <v>189.98490449716672</v>
      </c>
      <c r="AN56" s="421">
        <f t="shared" si="248"/>
        <v>194.79464891481649</v>
      </c>
      <c r="AO56" s="421">
        <f t="shared" si="248"/>
        <v>96.996512422604098</v>
      </c>
      <c r="AP56" s="421">
        <f t="shared" si="248"/>
        <v>92.988392074562597</v>
      </c>
      <c r="AQ56" s="417">
        <f>VLOOKUP($J56,Fatores!$G$1:$J$5,3,FALSE)</f>
        <v>0.80162406960829835</v>
      </c>
      <c r="AR56" s="417">
        <f>VLOOKUP($C56,Fatores!$A:$D,3,FALSE)</f>
        <v>1</v>
      </c>
      <c r="AS56" s="420">
        <f t="shared" si="13"/>
        <v>119.44198637163646</v>
      </c>
      <c r="AT56" s="420">
        <f t="shared" si="14"/>
        <v>124.25173078928624</v>
      </c>
      <c r="AU56" s="420">
        <f t="shared" si="15"/>
        <v>161.12643799126798</v>
      </c>
      <c r="AV56" s="420">
        <f t="shared" si="16"/>
        <v>165.13455833930945</v>
      </c>
      <c r="AW56" s="420">
        <f t="shared" si="17"/>
        <v>82.567279169654725</v>
      </c>
      <c r="AX56" s="420">
        <f t="shared" si="18"/>
        <v>79.360782891221533</v>
      </c>
      <c r="AY56" s="421">
        <f t="shared" ref="AY56:BD59" si="249">AS56+VLOOKUP($E56,$A:$BR,AY$1,FALSE)</f>
        <v>141.08583625106053</v>
      </c>
      <c r="AZ56" s="421">
        <f t="shared" si="249"/>
        <v>145.89558066871029</v>
      </c>
      <c r="BA56" s="421">
        <f t="shared" si="249"/>
        <v>189.98490449716672</v>
      </c>
      <c r="BB56" s="421">
        <f t="shared" si="249"/>
        <v>194.79464891481649</v>
      </c>
      <c r="BC56" s="421">
        <f t="shared" si="249"/>
        <v>96.996512422604098</v>
      </c>
      <c r="BD56" s="421">
        <f t="shared" si="249"/>
        <v>92.988392074562597</v>
      </c>
      <c r="BE56" s="417">
        <f>VLOOKUP($J56,Fatores!$G$1:$J$5,4,FALSE)</f>
        <v>1</v>
      </c>
      <c r="BF56" s="417">
        <f>VLOOKUP($C56,Fatores!$A:$D,4,FALSE)</f>
        <v>1</v>
      </c>
      <c r="BG56" s="420">
        <f t="shared" si="20"/>
        <v>149</v>
      </c>
      <c r="BH56" s="420">
        <f t="shared" si="21"/>
        <v>155</v>
      </c>
      <c r="BI56" s="420">
        <f t="shared" si="22"/>
        <v>201</v>
      </c>
      <c r="BJ56" s="420">
        <f t="shared" si="23"/>
        <v>206</v>
      </c>
      <c r="BK56" s="420">
        <f t="shared" si="24"/>
        <v>103</v>
      </c>
      <c r="BL56" s="420">
        <f t="shared" si="25"/>
        <v>99</v>
      </c>
      <c r="BM56" s="421">
        <f t="shared" ref="BM56:BR59" si="250">BG56+VLOOKUP($E56,$A:$BR,BM$1,FALSE)</f>
        <v>176</v>
      </c>
      <c r="BN56" s="421">
        <f t="shared" si="250"/>
        <v>182</v>
      </c>
      <c r="BO56" s="421">
        <f t="shared" si="250"/>
        <v>237</v>
      </c>
      <c r="BP56" s="421">
        <f t="shared" si="250"/>
        <v>243</v>
      </c>
      <c r="BQ56" s="421">
        <f t="shared" si="250"/>
        <v>121</v>
      </c>
      <c r="BR56" s="421">
        <f t="shared" si="250"/>
        <v>116</v>
      </c>
    </row>
    <row r="57" spans="1:70" x14ac:dyDescent="0.25">
      <c r="A57" s="431">
        <v>112</v>
      </c>
      <c r="B57" s="424"/>
      <c r="C57" s="424" t="s">
        <v>37</v>
      </c>
      <c r="D57" s="437" t="s">
        <v>37</v>
      </c>
      <c r="E57" s="444">
        <v>111</v>
      </c>
      <c r="F57" s="424"/>
      <c r="G57" s="424"/>
      <c r="H57" s="424"/>
      <c r="I57" s="432"/>
      <c r="J57" s="440">
        <v>2</v>
      </c>
      <c r="K57" s="419">
        <f>VLOOKUP($A57,Prevs!$C:$I,Ajustes!K$1,FALSE)</f>
        <v>178</v>
      </c>
      <c r="L57" s="419">
        <f>VLOOKUP($A57,Prevs!$C:$I,Ajustes!L$1,FALSE)</f>
        <v>183</v>
      </c>
      <c r="M57" s="419">
        <f>VLOOKUP($A57,Prevs!$C:$I,Ajustes!M$1,FALSE)</f>
        <v>239</v>
      </c>
      <c r="N57" s="419">
        <f>VLOOKUP($A57,Prevs!$C:$I,Ajustes!N$1,FALSE)</f>
        <v>245</v>
      </c>
      <c r="O57" s="419">
        <f>VLOOKUP($A57,Prevs!$C:$I,Ajustes!O$1,FALSE)</f>
        <v>122</v>
      </c>
      <c r="P57" s="419">
        <f>VLOOKUP($A57,Prevs!$C:$I,Ajustes!P$1,FALSE)</f>
        <v>117</v>
      </c>
      <c r="Q57" s="419">
        <f>VLOOKUP($E57,Prevs!$C:$I,Ajustes!K$1,FALSE)</f>
        <v>176</v>
      </c>
      <c r="R57" s="419">
        <f>VLOOKUP($E57,Prevs!$C:$I,Ajustes!L$1,FALSE)</f>
        <v>182</v>
      </c>
      <c r="S57" s="419">
        <f>VLOOKUP($E57,Prevs!$C:$I,Ajustes!M$1,FALSE)</f>
        <v>237</v>
      </c>
      <c r="T57" s="419">
        <f>VLOOKUP($E57,Prevs!$C:$I,Ajustes!N$1,FALSE)</f>
        <v>243</v>
      </c>
      <c r="U57" s="419">
        <f>VLOOKUP($E57,Prevs!$C:$I,Ajustes!O$1,FALSE)</f>
        <v>121</v>
      </c>
      <c r="V57" s="419">
        <f>VLOOKUP($E57,Prevs!$C:$I,Ajustes!P$1,FALSE)</f>
        <v>116</v>
      </c>
      <c r="W57" s="419">
        <f t="shared" si="242"/>
        <v>2</v>
      </c>
      <c r="X57" s="419">
        <f t="shared" si="243"/>
        <v>1</v>
      </c>
      <c r="Y57" s="419">
        <f t="shared" si="244"/>
        <v>2</v>
      </c>
      <c r="Z57" s="419">
        <f t="shared" si="245"/>
        <v>2</v>
      </c>
      <c r="AA57" s="419">
        <f t="shared" si="246"/>
        <v>1</v>
      </c>
      <c r="AB57" s="419">
        <f t="shared" si="247"/>
        <v>1</v>
      </c>
      <c r="AC57" s="417">
        <f>VLOOKUP($J57,Fatores!$G$1:$J$5,2,FALSE)</f>
        <v>0.80162406960829835</v>
      </c>
      <c r="AD57" s="417">
        <f>VLOOKUP($C57,Fatores!$A:$D,2,FALSE)</f>
        <v>1</v>
      </c>
      <c r="AE57" s="420">
        <f t="shared" si="6"/>
        <v>1.6032481392165967</v>
      </c>
      <c r="AF57" s="420">
        <f t="shared" si="7"/>
        <v>0.80162406960829835</v>
      </c>
      <c r="AG57" s="420">
        <f t="shared" si="8"/>
        <v>1.6032481392165967</v>
      </c>
      <c r="AH57" s="420">
        <f t="shared" si="9"/>
        <v>1.6032481392165967</v>
      </c>
      <c r="AI57" s="420">
        <f t="shared" si="10"/>
        <v>0.80162406960829835</v>
      </c>
      <c r="AJ57" s="420">
        <f t="shared" si="11"/>
        <v>0.80162406960829835</v>
      </c>
      <c r="AK57" s="421">
        <f t="shared" si="248"/>
        <v>142.68908439027712</v>
      </c>
      <c r="AL57" s="421">
        <f t="shared" si="248"/>
        <v>146.69720473831859</v>
      </c>
      <c r="AM57" s="421">
        <f t="shared" si="248"/>
        <v>191.58815263638331</v>
      </c>
      <c r="AN57" s="421">
        <f t="shared" si="248"/>
        <v>196.39789705403308</v>
      </c>
      <c r="AO57" s="421">
        <f t="shared" si="248"/>
        <v>97.798136492212393</v>
      </c>
      <c r="AP57" s="421">
        <f t="shared" si="248"/>
        <v>93.790016144170892</v>
      </c>
      <c r="AQ57" s="417">
        <f>VLOOKUP($J57,Fatores!$G$1:$J$5,3,FALSE)</f>
        <v>0.80162406960829835</v>
      </c>
      <c r="AR57" s="417">
        <f>VLOOKUP($C57,Fatores!$A:$D,3,FALSE)</f>
        <v>1</v>
      </c>
      <c r="AS57" s="420">
        <f t="shared" si="13"/>
        <v>1.6032481392165967</v>
      </c>
      <c r="AT57" s="420">
        <f t="shared" si="14"/>
        <v>0.80162406960829835</v>
      </c>
      <c r="AU57" s="420">
        <f t="shared" si="15"/>
        <v>1.6032481392165967</v>
      </c>
      <c r="AV57" s="420">
        <f t="shared" si="16"/>
        <v>1.6032481392165967</v>
      </c>
      <c r="AW57" s="420">
        <f t="shared" si="17"/>
        <v>0.80162406960829835</v>
      </c>
      <c r="AX57" s="420">
        <f t="shared" si="18"/>
        <v>0.80162406960829835</v>
      </c>
      <c r="AY57" s="421">
        <f t="shared" si="249"/>
        <v>142.68908439027712</v>
      </c>
      <c r="AZ57" s="421">
        <f t="shared" si="249"/>
        <v>146.69720473831859</v>
      </c>
      <c r="BA57" s="421">
        <f t="shared" si="249"/>
        <v>191.58815263638331</v>
      </c>
      <c r="BB57" s="421">
        <f t="shared" si="249"/>
        <v>196.39789705403308</v>
      </c>
      <c r="BC57" s="421">
        <f t="shared" si="249"/>
        <v>97.798136492212393</v>
      </c>
      <c r="BD57" s="421">
        <f t="shared" si="249"/>
        <v>93.790016144170892</v>
      </c>
      <c r="BE57" s="417">
        <f>VLOOKUP($J57,Fatores!$G$1:$J$5,4,FALSE)</f>
        <v>1</v>
      </c>
      <c r="BF57" s="417">
        <f>VLOOKUP($C57,Fatores!$A:$D,4,FALSE)</f>
        <v>1</v>
      </c>
      <c r="BG57" s="420">
        <f t="shared" si="20"/>
        <v>2</v>
      </c>
      <c r="BH57" s="420">
        <f t="shared" si="21"/>
        <v>1</v>
      </c>
      <c r="BI57" s="420">
        <f t="shared" si="22"/>
        <v>2</v>
      </c>
      <c r="BJ57" s="420">
        <f t="shared" si="23"/>
        <v>2</v>
      </c>
      <c r="BK57" s="420">
        <f t="shared" si="24"/>
        <v>1</v>
      </c>
      <c r="BL57" s="420">
        <f t="shared" si="25"/>
        <v>1</v>
      </c>
      <c r="BM57" s="421">
        <f t="shared" si="250"/>
        <v>178</v>
      </c>
      <c r="BN57" s="421">
        <f t="shared" si="250"/>
        <v>183</v>
      </c>
      <c r="BO57" s="421">
        <f t="shared" si="250"/>
        <v>239</v>
      </c>
      <c r="BP57" s="421">
        <f t="shared" si="250"/>
        <v>245</v>
      </c>
      <c r="BQ57" s="421">
        <f t="shared" si="250"/>
        <v>122</v>
      </c>
      <c r="BR57" s="421">
        <f t="shared" si="250"/>
        <v>117</v>
      </c>
    </row>
    <row r="58" spans="1:70" x14ac:dyDescent="0.25">
      <c r="A58" s="431">
        <v>113</v>
      </c>
      <c r="B58" s="424"/>
      <c r="C58" s="424" t="s">
        <v>37</v>
      </c>
      <c r="D58" s="437" t="s">
        <v>37</v>
      </c>
      <c r="E58" s="444">
        <v>112</v>
      </c>
      <c r="F58" s="424"/>
      <c r="G58" s="424"/>
      <c r="H58" s="424"/>
      <c r="I58" s="432"/>
      <c r="J58" s="440">
        <v>2</v>
      </c>
      <c r="K58" s="419">
        <f>VLOOKUP($A58,Prevs!$C:$I,Ajustes!K$1,FALSE)</f>
        <v>233</v>
      </c>
      <c r="L58" s="419">
        <f>VLOOKUP($A58,Prevs!$C:$I,Ajustes!L$1,FALSE)</f>
        <v>240</v>
      </c>
      <c r="M58" s="419">
        <f>VLOOKUP($A58,Prevs!$C:$I,Ajustes!M$1,FALSE)</f>
        <v>314</v>
      </c>
      <c r="N58" s="419">
        <f>VLOOKUP($A58,Prevs!$C:$I,Ajustes!N$1,FALSE)</f>
        <v>322</v>
      </c>
      <c r="O58" s="419">
        <f>VLOOKUP($A58,Prevs!$C:$I,Ajustes!O$1,FALSE)</f>
        <v>159</v>
      </c>
      <c r="P58" s="419">
        <f>VLOOKUP($A58,Prevs!$C:$I,Ajustes!P$1,FALSE)</f>
        <v>148</v>
      </c>
      <c r="Q58" s="419">
        <f>VLOOKUP($E58,Prevs!$C:$I,Ajustes!K$1,FALSE)</f>
        <v>178</v>
      </c>
      <c r="R58" s="419">
        <f>VLOOKUP($E58,Prevs!$C:$I,Ajustes!L$1,FALSE)</f>
        <v>183</v>
      </c>
      <c r="S58" s="419">
        <f>VLOOKUP($E58,Prevs!$C:$I,Ajustes!M$1,FALSE)</f>
        <v>239</v>
      </c>
      <c r="T58" s="419">
        <f>VLOOKUP($E58,Prevs!$C:$I,Ajustes!N$1,FALSE)</f>
        <v>245</v>
      </c>
      <c r="U58" s="419">
        <f>VLOOKUP($E58,Prevs!$C:$I,Ajustes!O$1,FALSE)</f>
        <v>122</v>
      </c>
      <c r="V58" s="419">
        <f>VLOOKUP($E58,Prevs!$C:$I,Ajustes!P$1,FALSE)</f>
        <v>117</v>
      </c>
      <c r="W58" s="419">
        <f t="shared" si="242"/>
        <v>55</v>
      </c>
      <c r="X58" s="419">
        <f t="shared" si="243"/>
        <v>57</v>
      </c>
      <c r="Y58" s="419">
        <f t="shared" si="244"/>
        <v>75</v>
      </c>
      <c r="Z58" s="419">
        <f t="shared" si="245"/>
        <v>77</v>
      </c>
      <c r="AA58" s="419">
        <f t="shared" si="246"/>
        <v>37</v>
      </c>
      <c r="AB58" s="419">
        <f t="shared" si="247"/>
        <v>31</v>
      </c>
      <c r="AC58" s="417">
        <f>VLOOKUP($J58,Fatores!$G$1:$J$5,2,FALSE)</f>
        <v>0.80162406960829835</v>
      </c>
      <c r="AD58" s="417">
        <f>VLOOKUP($C58,Fatores!$A:$D,2,FALSE)</f>
        <v>1</v>
      </c>
      <c r="AE58" s="420">
        <f t="shared" si="6"/>
        <v>44.089323828456408</v>
      </c>
      <c r="AF58" s="420">
        <f t="shared" si="7"/>
        <v>45.692571967673004</v>
      </c>
      <c r="AG58" s="420">
        <f t="shared" si="8"/>
        <v>60.121805220622377</v>
      </c>
      <c r="AH58" s="420">
        <f t="shared" si="9"/>
        <v>61.725053359838974</v>
      </c>
      <c r="AI58" s="420">
        <f t="shared" si="10"/>
        <v>29.660090575507038</v>
      </c>
      <c r="AJ58" s="420">
        <f t="shared" si="11"/>
        <v>24.850346157857249</v>
      </c>
      <c r="AK58" s="421">
        <f t="shared" si="248"/>
        <v>186.77840821873352</v>
      </c>
      <c r="AL58" s="421">
        <f t="shared" si="248"/>
        <v>192.38977670599161</v>
      </c>
      <c r="AM58" s="421">
        <f t="shared" si="248"/>
        <v>251.70995785700569</v>
      </c>
      <c r="AN58" s="421">
        <f t="shared" si="248"/>
        <v>258.12295041387205</v>
      </c>
      <c r="AO58" s="421">
        <f t="shared" si="248"/>
        <v>127.45822706771943</v>
      </c>
      <c r="AP58" s="421">
        <f t="shared" si="248"/>
        <v>118.64036230202814</v>
      </c>
      <c r="AQ58" s="417">
        <f>VLOOKUP($J58,Fatores!$G$1:$J$5,3,FALSE)</f>
        <v>0.80162406960829835</v>
      </c>
      <c r="AR58" s="417">
        <f>VLOOKUP($C58,Fatores!$A:$D,3,FALSE)</f>
        <v>1</v>
      </c>
      <c r="AS58" s="420">
        <f t="shared" si="13"/>
        <v>44.089323828456408</v>
      </c>
      <c r="AT58" s="420">
        <f t="shared" si="14"/>
        <v>45.692571967673004</v>
      </c>
      <c r="AU58" s="420">
        <f t="shared" si="15"/>
        <v>60.121805220622377</v>
      </c>
      <c r="AV58" s="420">
        <f t="shared" si="16"/>
        <v>61.725053359838974</v>
      </c>
      <c r="AW58" s="420">
        <f t="shared" si="17"/>
        <v>29.660090575507038</v>
      </c>
      <c r="AX58" s="420">
        <f t="shared" si="18"/>
        <v>24.850346157857249</v>
      </c>
      <c r="AY58" s="421">
        <f t="shared" si="249"/>
        <v>186.77840821873352</v>
      </c>
      <c r="AZ58" s="421">
        <f t="shared" si="249"/>
        <v>192.38977670599161</v>
      </c>
      <c r="BA58" s="421">
        <f t="shared" si="249"/>
        <v>251.70995785700569</v>
      </c>
      <c r="BB58" s="421">
        <f t="shared" si="249"/>
        <v>258.12295041387205</v>
      </c>
      <c r="BC58" s="421">
        <f t="shared" si="249"/>
        <v>127.45822706771943</v>
      </c>
      <c r="BD58" s="421">
        <f t="shared" si="249"/>
        <v>118.64036230202814</v>
      </c>
      <c r="BE58" s="417">
        <f>VLOOKUP($J58,Fatores!$G$1:$J$5,4,FALSE)</f>
        <v>1</v>
      </c>
      <c r="BF58" s="417">
        <f>VLOOKUP($C58,Fatores!$A:$D,4,FALSE)</f>
        <v>1</v>
      </c>
      <c r="BG58" s="420">
        <f t="shared" si="20"/>
        <v>55</v>
      </c>
      <c r="BH58" s="420">
        <f t="shared" si="21"/>
        <v>57</v>
      </c>
      <c r="BI58" s="420">
        <f t="shared" si="22"/>
        <v>75</v>
      </c>
      <c r="BJ58" s="420">
        <f t="shared" si="23"/>
        <v>77</v>
      </c>
      <c r="BK58" s="420">
        <f t="shared" si="24"/>
        <v>37</v>
      </c>
      <c r="BL58" s="420">
        <f t="shared" si="25"/>
        <v>31</v>
      </c>
      <c r="BM58" s="421">
        <f t="shared" si="250"/>
        <v>233</v>
      </c>
      <c r="BN58" s="421">
        <f t="shared" si="250"/>
        <v>240</v>
      </c>
      <c r="BO58" s="421">
        <f t="shared" si="250"/>
        <v>314</v>
      </c>
      <c r="BP58" s="421">
        <f t="shared" si="250"/>
        <v>322</v>
      </c>
      <c r="BQ58" s="421">
        <f t="shared" si="250"/>
        <v>159</v>
      </c>
      <c r="BR58" s="421">
        <f t="shared" si="250"/>
        <v>148</v>
      </c>
    </row>
    <row r="59" spans="1:70" x14ac:dyDescent="0.25">
      <c r="A59" s="431">
        <v>114</v>
      </c>
      <c r="B59" s="424"/>
      <c r="C59" s="424" t="s">
        <v>37</v>
      </c>
      <c r="D59" s="437" t="s">
        <v>37</v>
      </c>
      <c r="E59" s="444">
        <v>113</v>
      </c>
      <c r="F59" s="424"/>
      <c r="G59" s="424"/>
      <c r="H59" s="424"/>
      <c r="I59" s="432"/>
      <c r="J59" s="440">
        <v>2</v>
      </c>
      <c r="K59" s="419">
        <f>VLOOKUP($A59,Prevs!$C:$I,Ajustes!K$1,FALSE)</f>
        <v>286</v>
      </c>
      <c r="L59" s="419">
        <f>VLOOKUP($A59,Prevs!$C:$I,Ajustes!L$1,FALSE)</f>
        <v>294</v>
      </c>
      <c r="M59" s="419">
        <f>VLOOKUP($A59,Prevs!$C:$I,Ajustes!M$1,FALSE)</f>
        <v>383</v>
      </c>
      <c r="N59" s="419">
        <f>VLOOKUP($A59,Prevs!$C:$I,Ajustes!N$1,FALSE)</f>
        <v>393</v>
      </c>
      <c r="O59" s="419">
        <f>VLOOKUP($A59,Prevs!$C:$I,Ajustes!O$1,FALSE)</f>
        <v>197</v>
      </c>
      <c r="P59" s="419">
        <f>VLOOKUP($A59,Prevs!$C:$I,Ajustes!P$1,FALSE)</f>
        <v>179</v>
      </c>
      <c r="Q59" s="419">
        <f>VLOOKUP($E59,Prevs!$C:$I,Ajustes!K$1,FALSE)</f>
        <v>233</v>
      </c>
      <c r="R59" s="419">
        <f>VLOOKUP($E59,Prevs!$C:$I,Ajustes!L$1,FALSE)</f>
        <v>240</v>
      </c>
      <c r="S59" s="419">
        <f>VLOOKUP($E59,Prevs!$C:$I,Ajustes!M$1,FALSE)</f>
        <v>314</v>
      </c>
      <c r="T59" s="419">
        <f>VLOOKUP($E59,Prevs!$C:$I,Ajustes!N$1,FALSE)</f>
        <v>322</v>
      </c>
      <c r="U59" s="419">
        <f>VLOOKUP($E59,Prevs!$C:$I,Ajustes!O$1,FALSE)</f>
        <v>159</v>
      </c>
      <c r="V59" s="419">
        <f>VLOOKUP($E59,Prevs!$C:$I,Ajustes!P$1,FALSE)</f>
        <v>148</v>
      </c>
      <c r="W59" s="419">
        <f t="shared" si="242"/>
        <v>53</v>
      </c>
      <c r="X59" s="419">
        <f t="shared" si="243"/>
        <v>54</v>
      </c>
      <c r="Y59" s="419">
        <f t="shared" si="244"/>
        <v>69</v>
      </c>
      <c r="Z59" s="419">
        <f t="shared" si="245"/>
        <v>71</v>
      </c>
      <c r="AA59" s="419">
        <f t="shared" si="246"/>
        <v>38</v>
      </c>
      <c r="AB59" s="419">
        <f t="shared" si="247"/>
        <v>31</v>
      </c>
      <c r="AC59" s="417">
        <f>VLOOKUP($J59,Fatores!$G$1:$J$5,2,FALSE)</f>
        <v>0.80162406960829835</v>
      </c>
      <c r="AD59" s="417">
        <f>VLOOKUP($C59,Fatores!$A:$D,2,FALSE)</f>
        <v>1</v>
      </c>
      <c r="AE59" s="420">
        <f t="shared" si="6"/>
        <v>42.486075689239811</v>
      </c>
      <c r="AF59" s="420">
        <f t="shared" si="7"/>
        <v>43.287699758848113</v>
      </c>
      <c r="AG59" s="420">
        <f t="shared" si="8"/>
        <v>55.312060802972589</v>
      </c>
      <c r="AH59" s="420">
        <f t="shared" si="9"/>
        <v>56.915308942189185</v>
      </c>
      <c r="AI59" s="420">
        <f t="shared" si="10"/>
        <v>30.461714645115336</v>
      </c>
      <c r="AJ59" s="420">
        <f t="shared" si="11"/>
        <v>24.850346157857249</v>
      </c>
      <c r="AK59" s="421">
        <f t="shared" si="248"/>
        <v>229.26448390797333</v>
      </c>
      <c r="AL59" s="421">
        <f t="shared" si="248"/>
        <v>235.67747646483971</v>
      </c>
      <c r="AM59" s="421">
        <f t="shared" si="248"/>
        <v>307.0220186599783</v>
      </c>
      <c r="AN59" s="421">
        <f t="shared" si="248"/>
        <v>315.03825935606125</v>
      </c>
      <c r="AO59" s="421">
        <f t="shared" si="248"/>
        <v>157.91994171283477</v>
      </c>
      <c r="AP59" s="421">
        <f t="shared" si="248"/>
        <v>143.49070845988538</v>
      </c>
      <c r="AQ59" s="417">
        <f>VLOOKUP($J59,Fatores!$G$1:$J$5,3,FALSE)</f>
        <v>0.80162406960829835</v>
      </c>
      <c r="AR59" s="417">
        <f>VLOOKUP($C59,Fatores!$A:$D,3,FALSE)</f>
        <v>1</v>
      </c>
      <c r="AS59" s="420">
        <f t="shared" si="13"/>
        <v>42.486075689239811</v>
      </c>
      <c r="AT59" s="420">
        <f t="shared" si="14"/>
        <v>43.287699758848113</v>
      </c>
      <c r="AU59" s="420">
        <f t="shared" si="15"/>
        <v>55.312060802972589</v>
      </c>
      <c r="AV59" s="420">
        <f t="shared" si="16"/>
        <v>56.915308942189185</v>
      </c>
      <c r="AW59" s="420">
        <f t="shared" si="17"/>
        <v>30.461714645115336</v>
      </c>
      <c r="AX59" s="420">
        <f t="shared" si="18"/>
        <v>24.850346157857249</v>
      </c>
      <c r="AY59" s="421">
        <f t="shared" si="249"/>
        <v>229.26448390797333</v>
      </c>
      <c r="AZ59" s="421">
        <f t="shared" si="249"/>
        <v>235.67747646483971</v>
      </c>
      <c r="BA59" s="421">
        <f t="shared" si="249"/>
        <v>307.0220186599783</v>
      </c>
      <c r="BB59" s="421">
        <f t="shared" si="249"/>
        <v>315.03825935606125</v>
      </c>
      <c r="BC59" s="421">
        <f t="shared" si="249"/>
        <v>157.91994171283477</v>
      </c>
      <c r="BD59" s="421">
        <f t="shared" si="249"/>
        <v>143.49070845988538</v>
      </c>
      <c r="BE59" s="417">
        <f>VLOOKUP($J59,Fatores!$G$1:$J$5,4,FALSE)</f>
        <v>1</v>
      </c>
      <c r="BF59" s="417">
        <f>VLOOKUP($C59,Fatores!$A:$D,4,FALSE)</f>
        <v>1</v>
      </c>
      <c r="BG59" s="420">
        <f t="shared" si="20"/>
        <v>53</v>
      </c>
      <c r="BH59" s="420">
        <f t="shared" si="21"/>
        <v>54</v>
      </c>
      <c r="BI59" s="420">
        <f t="shared" si="22"/>
        <v>69</v>
      </c>
      <c r="BJ59" s="420">
        <f t="shared" si="23"/>
        <v>71</v>
      </c>
      <c r="BK59" s="420">
        <f t="shared" si="24"/>
        <v>38</v>
      </c>
      <c r="BL59" s="420">
        <f t="shared" si="25"/>
        <v>31</v>
      </c>
      <c r="BM59" s="421">
        <f t="shared" si="250"/>
        <v>286</v>
      </c>
      <c r="BN59" s="421">
        <f t="shared" si="250"/>
        <v>294</v>
      </c>
      <c r="BO59" s="421">
        <f t="shared" si="250"/>
        <v>383</v>
      </c>
      <c r="BP59" s="421">
        <f t="shared" si="250"/>
        <v>393</v>
      </c>
      <c r="BQ59" s="421">
        <f t="shared" si="250"/>
        <v>197</v>
      </c>
      <c r="BR59" s="421">
        <f t="shared" si="250"/>
        <v>179</v>
      </c>
    </row>
    <row r="60" spans="1:70" x14ac:dyDescent="0.25">
      <c r="A60" s="431">
        <v>115</v>
      </c>
      <c r="B60" s="424"/>
      <c r="C60" s="424" t="s">
        <v>39</v>
      </c>
      <c r="D60" s="437" t="s">
        <v>474</v>
      </c>
      <c r="E60" s="431"/>
      <c r="F60" s="424"/>
      <c r="G60" s="424"/>
      <c r="H60" s="424"/>
      <c r="I60" s="432"/>
      <c r="J60" s="440">
        <v>2</v>
      </c>
      <c r="K60" s="419">
        <f>VLOOKUP($A60,Prevs!$C:$I,Ajustes!K$1,FALSE)</f>
        <v>7</v>
      </c>
      <c r="L60" s="419">
        <f>VLOOKUP($A60,Prevs!$C:$I,Ajustes!L$1,FALSE)</f>
        <v>9</v>
      </c>
      <c r="M60" s="419">
        <f>VLOOKUP($A60,Prevs!$C:$I,Ajustes!M$1,FALSE)</f>
        <v>8</v>
      </c>
      <c r="N60" s="419">
        <f>VLOOKUP($A60,Prevs!$C:$I,Ajustes!N$1,FALSE)</f>
        <v>6</v>
      </c>
      <c r="O60" s="419">
        <f>VLOOKUP($A60,Prevs!$C:$I,Ajustes!O$1,FALSE)</f>
        <v>6</v>
      </c>
      <c r="P60" s="419">
        <f>VLOOKUP($A60,Prevs!$C:$I,Ajustes!P$1,FALSE)</f>
        <v>5</v>
      </c>
      <c r="Q60" s="419">
        <v>0</v>
      </c>
      <c r="R60" s="419">
        <v>0</v>
      </c>
      <c r="S60" s="419">
        <v>0</v>
      </c>
      <c r="T60" s="419">
        <v>0</v>
      </c>
      <c r="U60" s="419">
        <v>0</v>
      </c>
      <c r="V60" s="419">
        <v>0</v>
      </c>
      <c r="W60" s="419">
        <f t="shared" ref="W60:AB66" si="251">K60-Q60</f>
        <v>7</v>
      </c>
      <c r="X60" s="419">
        <f t="shared" si="251"/>
        <v>9</v>
      </c>
      <c r="Y60" s="419">
        <f t="shared" si="251"/>
        <v>8</v>
      </c>
      <c r="Z60" s="419">
        <f t="shared" si="251"/>
        <v>6</v>
      </c>
      <c r="AA60" s="419">
        <f t="shared" si="251"/>
        <v>6</v>
      </c>
      <c r="AB60" s="419">
        <f t="shared" si="251"/>
        <v>5</v>
      </c>
      <c r="AC60" s="417">
        <f>VLOOKUP($J60,Fatores!$G$1:$J$5,2,FALSE)</f>
        <v>0.80162406960829835</v>
      </c>
      <c r="AD60" s="417">
        <f>VLOOKUP($C60,Fatores!$A:$D,2,FALSE)</f>
        <v>1</v>
      </c>
      <c r="AE60" s="420">
        <f t="shared" si="6"/>
        <v>5.6113684872580887</v>
      </c>
      <c r="AF60" s="420">
        <f t="shared" si="7"/>
        <v>7.2146166264746849</v>
      </c>
      <c r="AG60" s="420">
        <f t="shared" si="8"/>
        <v>6.4129925568663868</v>
      </c>
      <c r="AH60" s="420">
        <f t="shared" si="9"/>
        <v>4.8097444176497905</v>
      </c>
      <c r="AI60" s="420">
        <f t="shared" si="10"/>
        <v>4.8097444176497905</v>
      </c>
      <c r="AJ60" s="420">
        <f t="shared" si="11"/>
        <v>4.0081203480414915</v>
      </c>
      <c r="AK60" s="421">
        <f t="shared" ref="AK60:AP62" si="252">AE60</f>
        <v>5.6113684872580887</v>
      </c>
      <c r="AL60" s="421">
        <f t="shared" si="252"/>
        <v>7.2146166264746849</v>
      </c>
      <c r="AM60" s="421">
        <f t="shared" si="252"/>
        <v>6.4129925568663868</v>
      </c>
      <c r="AN60" s="421">
        <f t="shared" si="252"/>
        <v>4.8097444176497905</v>
      </c>
      <c r="AO60" s="421">
        <f t="shared" si="252"/>
        <v>4.8097444176497905</v>
      </c>
      <c r="AP60" s="421">
        <f t="shared" si="252"/>
        <v>4.0081203480414915</v>
      </c>
      <c r="AQ60" s="417">
        <f>VLOOKUP($J60,Fatores!$G$1:$J$5,3,FALSE)</f>
        <v>0.80162406960829835</v>
      </c>
      <c r="AR60" s="417">
        <f>VLOOKUP($C60,Fatores!$A:$D,3,FALSE)</f>
        <v>1</v>
      </c>
      <c r="AS60" s="420">
        <f t="shared" si="13"/>
        <v>5.6113684872580887</v>
      </c>
      <c r="AT60" s="420">
        <f t="shared" si="14"/>
        <v>7.2146166264746849</v>
      </c>
      <c r="AU60" s="420">
        <f t="shared" si="15"/>
        <v>6.4129925568663868</v>
      </c>
      <c r="AV60" s="420">
        <f t="shared" si="16"/>
        <v>4.8097444176497905</v>
      </c>
      <c r="AW60" s="420">
        <f t="shared" si="17"/>
        <v>4.8097444176497905</v>
      </c>
      <c r="AX60" s="420">
        <f t="shared" si="18"/>
        <v>4.0081203480414915</v>
      </c>
      <c r="AY60" s="421">
        <f t="shared" ref="AY60:AY62" si="253">AS60</f>
        <v>5.6113684872580887</v>
      </c>
      <c r="AZ60" s="421">
        <f t="shared" ref="AZ60:AZ62" si="254">AT60</f>
        <v>7.2146166264746849</v>
      </c>
      <c r="BA60" s="421">
        <f t="shared" ref="BA60:BA62" si="255">AU60</f>
        <v>6.4129925568663868</v>
      </c>
      <c r="BB60" s="421">
        <f t="shared" ref="BB60:BB62" si="256">AV60</f>
        <v>4.8097444176497905</v>
      </c>
      <c r="BC60" s="421">
        <f t="shared" ref="BC60:BC62" si="257">AW60</f>
        <v>4.8097444176497905</v>
      </c>
      <c r="BD60" s="421">
        <f t="shared" ref="BD60:BD62" si="258">AX60</f>
        <v>4.0081203480414915</v>
      </c>
      <c r="BE60" s="417">
        <f>VLOOKUP($J60,Fatores!$G$1:$J$5,4,FALSE)</f>
        <v>1</v>
      </c>
      <c r="BF60" s="417">
        <f>VLOOKUP($C60,Fatores!$A:$D,4,FALSE)</f>
        <v>1</v>
      </c>
      <c r="BG60" s="420">
        <f t="shared" si="20"/>
        <v>7</v>
      </c>
      <c r="BH60" s="420">
        <f t="shared" si="21"/>
        <v>9</v>
      </c>
      <c r="BI60" s="420">
        <f t="shared" si="22"/>
        <v>8</v>
      </c>
      <c r="BJ60" s="420">
        <f t="shared" si="23"/>
        <v>6</v>
      </c>
      <c r="BK60" s="420">
        <f t="shared" si="24"/>
        <v>6</v>
      </c>
      <c r="BL60" s="420">
        <f t="shared" si="25"/>
        <v>5</v>
      </c>
      <c r="BM60" s="421">
        <f t="shared" ref="BM60:BM62" si="259">BG60</f>
        <v>7</v>
      </c>
      <c r="BN60" s="421">
        <f t="shared" ref="BN60:BN62" si="260">BH60</f>
        <v>9</v>
      </c>
      <c r="BO60" s="421">
        <f t="shared" ref="BO60:BO62" si="261">BI60</f>
        <v>8</v>
      </c>
      <c r="BP60" s="421">
        <f t="shared" ref="BP60:BP62" si="262">BJ60</f>
        <v>6</v>
      </c>
      <c r="BQ60" s="421">
        <f t="shared" ref="BQ60:BQ62" si="263">BK60</f>
        <v>6</v>
      </c>
      <c r="BR60" s="421">
        <f t="shared" ref="BR60:BR62" si="264">BL60</f>
        <v>5</v>
      </c>
    </row>
    <row r="61" spans="1:70" x14ac:dyDescent="0.25">
      <c r="A61" s="431">
        <v>116</v>
      </c>
      <c r="B61" s="424" t="s">
        <v>630</v>
      </c>
      <c r="C61" s="424" t="s">
        <v>30</v>
      </c>
      <c r="D61" s="437" t="s">
        <v>477</v>
      </c>
      <c r="E61" s="444"/>
      <c r="F61" s="424"/>
      <c r="G61" s="424"/>
      <c r="H61" s="424"/>
      <c r="I61" s="444">
        <v>9118</v>
      </c>
      <c r="J61" s="440">
        <v>1</v>
      </c>
      <c r="K61" s="419">
        <f>VLOOKUP($A61,Prevs!$C:$I,Ajustes!K$1,FALSE)</f>
        <v>2</v>
      </c>
      <c r="L61" s="419">
        <f>VLOOKUP($A61,Prevs!$C:$I,Ajustes!L$1,FALSE)</f>
        <v>3</v>
      </c>
      <c r="M61" s="419">
        <f>VLOOKUP($A61,Prevs!$C:$I,Ajustes!M$1,FALSE)</f>
        <v>2</v>
      </c>
      <c r="N61" s="419">
        <f>VLOOKUP($A61,Prevs!$C:$I,Ajustes!N$1,FALSE)</f>
        <v>2</v>
      </c>
      <c r="O61" s="419">
        <f>VLOOKUP($A61,Prevs!$C:$I,Ajustes!O$1,FALSE)</f>
        <v>2</v>
      </c>
      <c r="P61" s="419">
        <f>VLOOKUP($A61,Prevs!$C:$I,Ajustes!P$1,FALSE)</f>
        <v>2</v>
      </c>
      <c r="Q61" s="419">
        <v>0</v>
      </c>
      <c r="R61" s="419">
        <v>0</v>
      </c>
      <c r="S61" s="419">
        <v>0</v>
      </c>
      <c r="T61" s="419">
        <v>0</v>
      </c>
      <c r="U61" s="419">
        <v>0</v>
      </c>
      <c r="V61" s="419">
        <v>0</v>
      </c>
      <c r="W61" s="419">
        <f t="shared" si="251"/>
        <v>2</v>
      </c>
      <c r="X61" s="419">
        <f t="shared" si="251"/>
        <v>3</v>
      </c>
      <c r="Y61" s="419">
        <f t="shared" si="251"/>
        <v>2</v>
      </c>
      <c r="Z61" s="419">
        <f t="shared" si="251"/>
        <v>2</v>
      </c>
      <c r="AA61" s="419">
        <f t="shared" si="251"/>
        <v>2</v>
      </c>
      <c r="AB61" s="419">
        <f t="shared" si="251"/>
        <v>2</v>
      </c>
      <c r="AC61" s="417">
        <f>VLOOKUP($J61,Fatores!$G$1:$J$5,2,FALSE)</f>
        <v>1.5531612828314754</v>
      </c>
      <c r="AD61" s="417">
        <f>VLOOKUP($C61,Fatores!$A:$D,2,FALSE)</f>
        <v>1</v>
      </c>
      <c r="AE61" s="420">
        <f t="shared" si="6"/>
        <v>3.1063225656629507</v>
      </c>
      <c r="AF61" s="420">
        <f t="shared" si="7"/>
        <v>4.6594838484944265</v>
      </c>
      <c r="AG61" s="420">
        <f t="shared" si="8"/>
        <v>3.1063225656629507</v>
      </c>
      <c r="AH61" s="420">
        <f t="shared" si="9"/>
        <v>3.1063225656629507</v>
      </c>
      <c r="AI61" s="420">
        <f t="shared" si="10"/>
        <v>3.1063225656629507</v>
      </c>
      <c r="AJ61" s="420">
        <f t="shared" si="11"/>
        <v>3.1063225656629507</v>
      </c>
      <c r="AK61" s="421">
        <f t="shared" si="252"/>
        <v>3.1063225656629507</v>
      </c>
      <c r="AL61" s="421">
        <f t="shared" si="252"/>
        <v>4.6594838484944265</v>
      </c>
      <c r="AM61" s="421">
        <f t="shared" si="252"/>
        <v>3.1063225656629507</v>
      </c>
      <c r="AN61" s="421">
        <f t="shared" si="252"/>
        <v>3.1063225656629507</v>
      </c>
      <c r="AO61" s="421">
        <f t="shared" si="252"/>
        <v>3.1063225656629507</v>
      </c>
      <c r="AP61" s="421">
        <f t="shared" si="252"/>
        <v>3.1063225656629507</v>
      </c>
      <c r="AQ61" s="417">
        <f>VLOOKUP($J61,Fatores!$G$1:$J$5,3,FALSE)</f>
        <v>1.3186317794730578</v>
      </c>
      <c r="AR61" s="417">
        <f>VLOOKUP($C61,Fatores!$A:$D,3,FALSE)</f>
        <v>1</v>
      </c>
      <c r="AS61" s="420">
        <f t="shared" si="13"/>
        <v>2.6372635589461155</v>
      </c>
      <c r="AT61" s="420">
        <f t="shared" si="14"/>
        <v>3.9558953384191735</v>
      </c>
      <c r="AU61" s="420">
        <f t="shared" si="15"/>
        <v>2.6372635589461155</v>
      </c>
      <c r="AV61" s="420">
        <f t="shared" si="16"/>
        <v>2.6372635589461155</v>
      </c>
      <c r="AW61" s="420">
        <f t="shared" si="17"/>
        <v>2.6372635589461155</v>
      </c>
      <c r="AX61" s="420">
        <f t="shared" si="18"/>
        <v>2.6372635589461155</v>
      </c>
      <c r="AY61" s="421">
        <f t="shared" si="253"/>
        <v>2.6372635589461155</v>
      </c>
      <c r="AZ61" s="421">
        <f t="shared" si="254"/>
        <v>3.9558953384191735</v>
      </c>
      <c r="BA61" s="421">
        <f t="shared" si="255"/>
        <v>2.6372635589461155</v>
      </c>
      <c r="BB61" s="421">
        <f t="shared" si="256"/>
        <v>2.6372635589461155</v>
      </c>
      <c r="BC61" s="421">
        <f t="shared" si="257"/>
        <v>2.6372635589461155</v>
      </c>
      <c r="BD61" s="421">
        <f t="shared" si="258"/>
        <v>2.6372635589461155</v>
      </c>
      <c r="BE61" s="417">
        <f>VLOOKUP($J61,Fatores!$G$1:$J$5,4,FALSE)</f>
        <v>1</v>
      </c>
      <c r="BF61" s="417">
        <f>VLOOKUP($C61,Fatores!$A:$D,4,FALSE)</f>
        <v>1</v>
      </c>
      <c r="BG61" s="420">
        <f t="shared" si="20"/>
        <v>2</v>
      </c>
      <c r="BH61" s="420">
        <f t="shared" si="21"/>
        <v>3</v>
      </c>
      <c r="BI61" s="420">
        <f t="shared" si="22"/>
        <v>2</v>
      </c>
      <c r="BJ61" s="420">
        <f t="shared" si="23"/>
        <v>2</v>
      </c>
      <c r="BK61" s="420">
        <f t="shared" si="24"/>
        <v>2</v>
      </c>
      <c r="BL61" s="420">
        <f t="shared" si="25"/>
        <v>2</v>
      </c>
      <c r="BM61" s="421">
        <f t="shared" si="259"/>
        <v>2</v>
      </c>
      <c r="BN61" s="421">
        <f t="shared" si="260"/>
        <v>3</v>
      </c>
      <c r="BO61" s="421">
        <f t="shared" si="261"/>
        <v>2</v>
      </c>
      <c r="BP61" s="421">
        <f t="shared" si="262"/>
        <v>2</v>
      </c>
      <c r="BQ61" s="421">
        <f t="shared" si="263"/>
        <v>2</v>
      </c>
      <c r="BR61" s="421">
        <f t="shared" si="264"/>
        <v>2</v>
      </c>
    </row>
    <row r="62" spans="1:70" x14ac:dyDescent="0.25">
      <c r="A62" s="431">
        <v>117</v>
      </c>
      <c r="B62" s="424"/>
      <c r="C62" s="424" t="s">
        <v>30</v>
      </c>
      <c r="D62" s="437" t="s">
        <v>479</v>
      </c>
      <c r="E62" s="431"/>
      <c r="F62" s="424"/>
      <c r="G62" s="424"/>
      <c r="H62" s="424"/>
      <c r="I62" s="432"/>
      <c r="J62" s="440">
        <v>1</v>
      </c>
      <c r="K62" s="419">
        <f>VLOOKUP($A62,Prevs!$C:$I,Ajustes!K$1,FALSE)</f>
        <v>15</v>
      </c>
      <c r="L62" s="419">
        <f>VLOOKUP($A62,Prevs!$C:$I,Ajustes!L$1,FALSE)</f>
        <v>14</v>
      </c>
      <c r="M62" s="419">
        <f>VLOOKUP($A62,Prevs!$C:$I,Ajustes!M$1,FALSE)</f>
        <v>12</v>
      </c>
      <c r="N62" s="419">
        <f>VLOOKUP($A62,Prevs!$C:$I,Ajustes!N$1,FALSE)</f>
        <v>12</v>
      </c>
      <c r="O62" s="419">
        <f>VLOOKUP($A62,Prevs!$C:$I,Ajustes!O$1,FALSE)</f>
        <v>11</v>
      </c>
      <c r="P62" s="419">
        <f>VLOOKUP($A62,Prevs!$C:$I,Ajustes!P$1,FALSE)</f>
        <v>10</v>
      </c>
      <c r="Q62" s="419">
        <v>0</v>
      </c>
      <c r="R62" s="419">
        <v>0</v>
      </c>
      <c r="S62" s="419">
        <v>0</v>
      </c>
      <c r="T62" s="419">
        <v>0</v>
      </c>
      <c r="U62" s="419">
        <v>0</v>
      </c>
      <c r="V62" s="419">
        <v>0</v>
      </c>
      <c r="W62" s="419">
        <f t="shared" si="251"/>
        <v>15</v>
      </c>
      <c r="X62" s="419">
        <f t="shared" si="251"/>
        <v>14</v>
      </c>
      <c r="Y62" s="419">
        <f t="shared" si="251"/>
        <v>12</v>
      </c>
      <c r="Z62" s="419">
        <f t="shared" si="251"/>
        <v>12</v>
      </c>
      <c r="AA62" s="419">
        <f t="shared" si="251"/>
        <v>11</v>
      </c>
      <c r="AB62" s="419">
        <f t="shared" si="251"/>
        <v>10</v>
      </c>
      <c r="AC62" s="417">
        <f>VLOOKUP($J62,Fatores!$G$1:$J$5,2,FALSE)</f>
        <v>1.5531612828314754</v>
      </c>
      <c r="AD62" s="417">
        <f>VLOOKUP($C62,Fatores!$A:$D,2,FALSE)</f>
        <v>1</v>
      </c>
      <c r="AE62" s="420">
        <f t="shared" si="6"/>
        <v>23.297419242472131</v>
      </c>
      <c r="AF62" s="420">
        <f t="shared" si="7"/>
        <v>21.744257959640656</v>
      </c>
      <c r="AG62" s="420">
        <f t="shared" si="8"/>
        <v>18.637935393977706</v>
      </c>
      <c r="AH62" s="420">
        <f t="shared" si="9"/>
        <v>18.637935393977706</v>
      </c>
      <c r="AI62" s="420">
        <f t="shared" si="10"/>
        <v>17.084774111146228</v>
      </c>
      <c r="AJ62" s="420">
        <f t="shared" si="11"/>
        <v>15.531612828314753</v>
      </c>
      <c r="AK62" s="421">
        <f t="shared" si="252"/>
        <v>23.297419242472131</v>
      </c>
      <c r="AL62" s="421">
        <f t="shared" si="252"/>
        <v>21.744257959640656</v>
      </c>
      <c r="AM62" s="421">
        <f t="shared" si="252"/>
        <v>18.637935393977706</v>
      </c>
      <c r="AN62" s="421">
        <f t="shared" si="252"/>
        <v>18.637935393977706</v>
      </c>
      <c r="AO62" s="421">
        <f t="shared" si="252"/>
        <v>17.084774111146228</v>
      </c>
      <c r="AP62" s="421">
        <f t="shared" si="252"/>
        <v>15.531612828314753</v>
      </c>
      <c r="AQ62" s="417">
        <f>VLOOKUP($J62,Fatores!$G$1:$J$5,3,FALSE)</f>
        <v>1.3186317794730578</v>
      </c>
      <c r="AR62" s="417">
        <f>VLOOKUP($C62,Fatores!$A:$D,3,FALSE)</f>
        <v>1</v>
      </c>
      <c r="AS62" s="420">
        <f t="shared" si="13"/>
        <v>19.779476692095866</v>
      </c>
      <c r="AT62" s="420">
        <f t="shared" si="14"/>
        <v>18.460844912622807</v>
      </c>
      <c r="AU62" s="420">
        <f t="shared" si="15"/>
        <v>15.823581353676694</v>
      </c>
      <c r="AV62" s="420">
        <f t="shared" si="16"/>
        <v>15.823581353676694</v>
      </c>
      <c r="AW62" s="420">
        <f t="shared" si="17"/>
        <v>14.504949574203636</v>
      </c>
      <c r="AX62" s="420">
        <f t="shared" si="18"/>
        <v>13.186317794730577</v>
      </c>
      <c r="AY62" s="421">
        <f t="shared" si="253"/>
        <v>19.779476692095866</v>
      </c>
      <c r="AZ62" s="421">
        <f t="shared" si="254"/>
        <v>18.460844912622807</v>
      </c>
      <c r="BA62" s="421">
        <f t="shared" si="255"/>
        <v>15.823581353676694</v>
      </c>
      <c r="BB62" s="421">
        <f t="shared" si="256"/>
        <v>15.823581353676694</v>
      </c>
      <c r="BC62" s="421">
        <f t="shared" si="257"/>
        <v>14.504949574203636</v>
      </c>
      <c r="BD62" s="421">
        <f t="shared" si="258"/>
        <v>13.186317794730577</v>
      </c>
      <c r="BE62" s="417">
        <f>VLOOKUP($J62,Fatores!$G$1:$J$5,4,FALSE)</f>
        <v>1</v>
      </c>
      <c r="BF62" s="417">
        <f>VLOOKUP($C62,Fatores!$A:$D,4,FALSE)</f>
        <v>1</v>
      </c>
      <c r="BG62" s="420">
        <f t="shared" si="20"/>
        <v>15</v>
      </c>
      <c r="BH62" s="420">
        <f t="shared" si="21"/>
        <v>14</v>
      </c>
      <c r="BI62" s="420">
        <f t="shared" si="22"/>
        <v>12</v>
      </c>
      <c r="BJ62" s="420">
        <f t="shared" si="23"/>
        <v>12</v>
      </c>
      <c r="BK62" s="420">
        <f t="shared" si="24"/>
        <v>11</v>
      </c>
      <c r="BL62" s="420">
        <f t="shared" si="25"/>
        <v>10</v>
      </c>
      <c r="BM62" s="421">
        <f t="shared" si="259"/>
        <v>15</v>
      </c>
      <c r="BN62" s="421">
        <f t="shared" si="260"/>
        <v>14</v>
      </c>
      <c r="BO62" s="421">
        <f t="shared" si="261"/>
        <v>12</v>
      </c>
      <c r="BP62" s="421">
        <f t="shared" si="262"/>
        <v>12</v>
      </c>
      <c r="BQ62" s="421">
        <f t="shared" si="263"/>
        <v>11</v>
      </c>
      <c r="BR62" s="421">
        <f t="shared" si="264"/>
        <v>10</v>
      </c>
    </row>
    <row r="63" spans="1:70" x14ac:dyDescent="0.25">
      <c r="A63" s="431">
        <v>118</v>
      </c>
      <c r="B63" s="424"/>
      <c r="C63" s="424" t="s">
        <v>30</v>
      </c>
      <c r="D63" s="437" t="s">
        <v>467</v>
      </c>
      <c r="E63" s="444">
        <v>117</v>
      </c>
      <c r="F63" s="424"/>
      <c r="G63" s="424"/>
      <c r="H63" s="424"/>
      <c r="I63" s="432"/>
      <c r="J63" s="440">
        <v>1</v>
      </c>
      <c r="K63" s="419">
        <f>VLOOKUP($A63,Prevs!$C:$I,Ajustes!K$1,FALSE)</f>
        <v>14</v>
      </c>
      <c r="L63" s="419">
        <f>VLOOKUP($A63,Prevs!$C:$I,Ajustes!L$1,FALSE)</f>
        <v>13</v>
      </c>
      <c r="M63" s="419">
        <f>VLOOKUP($A63,Prevs!$C:$I,Ajustes!M$1,FALSE)</f>
        <v>12</v>
      </c>
      <c r="N63" s="419">
        <f>VLOOKUP($A63,Prevs!$C:$I,Ajustes!N$1,FALSE)</f>
        <v>11</v>
      </c>
      <c r="O63" s="419">
        <f>VLOOKUP($A63,Prevs!$C:$I,Ajustes!O$1,FALSE)</f>
        <v>11</v>
      </c>
      <c r="P63" s="419">
        <f>VLOOKUP($A63,Prevs!$C:$I,Ajustes!P$1,FALSE)</f>
        <v>10</v>
      </c>
      <c r="Q63" s="419">
        <f>VLOOKUP($E63,Prevs!$C:$I,Ajustes!K$1,FALSE)</f>
        <v>15</v>
      </c>
      <c r="R63" s="419">
        <f>VLOOKUP($E63,Prevs!$C:$I,Ajustes!L$1,FALSE)</f>
        <v>14</v>
      </c>
      <c r="S63" s="419">
        <f>VLOOKUP($E63,Prevs!$C:$I,Ajustes!M$1,FALSE)</f>
        <v>12</v>
      </c>
      <c r="T63" s="419">
        <f>VLOOKUP($E63,Prevs!$C:$I,Ajustes!N$1,FALSE)</f>
        <v>12</v>
      </c>
      <c r="U63" s="419">
        <f>VLOOKUP($E63,Prevs!$C:$I,Ajustes!O$1,FALSE)</f>
        <v>11</v>
      </c>
      <c r="V63" s="419">
        <f>VLOOKUP($E63,Prevs!$C:$I,Ajustes!P$1,FALSE)</f>
        <v>10</v>
      </c>
      <c r="W63" s="419">
        <f t="shared" si="251"/>
        <v>-1</v>
      </c>
      <c r="X63" s="419">
        <f t="shared" si="251"/>
        <v>-1</v>
      </c>
      <c r="Y63" s="419">
        <f t="shared" si="251"/>
        <v>0</v>
      </c>
      <c r="Z63" s="419">
        <f t="shared" si="251"/>
        <v>-1</v>
      </c>
      <c r="AA63" s="419">
        <f t="shared" si="251"/>
        <v>0</v>
      </c>
      <c r="AB63" s="419">
        <f t="shared" si="251"/>
        <v>0</v>
      </c>
      <c r="AC63" s="417">
        <f>VLOOKUP($J63,Fatores!$G$1:$J$5,2,FALSE)</f>
        <v>1.5531612828314754</v>
      </c>
      <c r="AD63" s="417">
        <f>VLOOKUP($C63,Fatores!$A:$D,2,FALSE)</f>
        <v>1</v>
      </c>
      <c r="AE63" s="420">
        <f t="shared" si="6"/>
        <v>-1.5531612828314754</v>
      </c>
      <c r="AF63" s="420">
        <f t="shared" si="7"/>
        <v>-1.5531612828314754</v>
      </c>
      <c r="AG63" s="420">
        <f t="shared" si="8"/>
        <v>0</v>
      </c>
      <c r="AH63" s="420">
        <f t="shared" si="9"/>
        <v>-1.5531612828314754</v>
      </c>
      <c r="AI63" s="420">
        <f t="shared" si="10"/>
        <v>0</v>
      </c>
      <c r="AJ63" s="420">
        <f t="shared" si="11"/>
        <v>0</v>
      </c>
      <c r="AK63" s="421">
        <f t="shared" ref="AK63:AP63" si="265">AE63+VLOOKUP($E63,$A:$BR,AK$1,FALSE)</f>
        <v>21.744257959640656</v>
      </c>
      <c r="AL63" s="421">
        <f t="shared" si="265"/>
        <v>20.191096676809181</v>
      </c>
      <c r="AM63" s="421">
        <f t="shared" si="265"/>
        <v>18.637935393977706</v>
      </c>
      <c r="AN63" s="421">
        <f t="shared" si="265"/>
        <v>17.084774111146231</v>
      </c>
      <c r="AO63" s="421">
        <f t="shared" si="265"/>
        <v>17.084774111146228</v>
      </c>
      <c r="AP63" s="421">
        <f t="shared" si="265"/>
        <v>15.531612828314753</v>
      </c>
      <c r="AQ63" s="417">
        <f>VLOOKUP($J63,Fatores!$G$1:$J$5,3,FALSE)</f>
        <v>1.3186317794730578</v>
      </c>
      <c r="AR63" s="417">
        <f>VLOOKUP($C63,Fatores!$A:$D,3,FALSE)</f>
        <v>1</v>
      </c>
      <c r="AS63" s="420">
        <f t="shared" si="13"/>
        <v>-1.3186317794730578</v>
      </c>
      <c r="AT63" s="420">
        <f t="shared" si="14"/>
        <v>-1.3186317794730578</v>
      </c>
      <c r="AU63" s="420">
        <f t="shared" si="15"/>
        <v>0</v>
      </c>
      <c r="AV63" s="420">
        <f t="shared" si="16"/>
        <v>-1.3186317794730578</v>
      </c>
      <c r="AW63" s="420">
        <f t="shared" si="17"/>
        <v>0</v>
      </c>
      <c r="AX63" s="420">
        <f t="shared" si="18"/>
        <v>0</v>
      </c>
      <c r="AY63" s="421">
        <f t="shared" ref="AY63:BD63" si="266">AS63+VLOOKUP($E63,$A:$BR,AY$1,FALSE)</f>
        <v>18.460844912622807</v>
      </c>
      <c r="AZ63" s="421">
        <f t="shared" si="266"/>
        <v>17.142213133149749</v>
      </c>
      <c r="BA63" s="421">
        <f t="shared" si="266"/>
        <v>15.823581353676694</v>
      </c>
      <c r="BB63" s="421">
        <f t="shared" si="266"/>
        <v>14.504949574203636</v>
      </c>
      <c r="BC63" s="421">
        <f t="shared" si="266"/>
        <v>14.504949574203636</v>
      </c>
      <c r="BD63" s="421">
        <f t="shared" si="266"/>
        <v>13.186317794730577</v>
      </c>
      <c r="BE63" s="417">
        <f>VLOOKUP($J63,Fatores!$G$1:$J$5,4,FALSE)</f>
        <v>1</v>
      </c>
      <c r="BF63" s="417">
        <f>VLOOKUP($C63,Fatores!$A:$D,4,FALSE)</f>
        <v>1</v>
      </c>
      <c r="BG63" s="420">
        <f t="shared" si="20"/>
        <v>-1</v>
      </c>
      <c r="BH63" s="420">
        <f t="shared" si="21"/>
        <v>-1</v>
      </c>
      <c r="BI63" s="420">
        <f t="shared" si="22"/>
        <v>0</v>
      </c>
      <c r="BJ63" s="420">
        <f t="shared" si="23"/>
        <v>-1</v>
      </c>
      <c r="BK63" s="420">
        <f t="shared" si="24"/>
        <v>0</v>
      </c>
      <c r="BL63" s="420">
        <f t="shared" si="25"/>
        <v>0</v>
      </c>
      <c r="BM63" s="421">
        <f t="shared" ref="BM63:BR63" si="267">BG63+VLOOKUP($E63,$A:$BR,BM$1,FALSE)</f>
        <v>14</v>
      </c>
      <c r="BN63" s="421">
        <f t="shared" si="267"/>
        <v>13</v>
      </c>
      <c r="BO63" s="421">
        <f t="shared" si="267"/>
        <v>12</v>
      </c>
      <c r="BP63" s="421">
        <f t="shared" si="267"/>
        <v>11</v>
      </c>
      <c r="BQ63" s="421">
        <f t="shared" si="267"/>
        <v>11</v>
      </c>
      <c r="BR63" s="421">
        <f t="shared" si="267"/>
        <v>10</v>
      </c>
    </row>
    <row r="64" spans="1:70" x14ac:dyDescent="0.25">
      <c r="A64" s="431">
        <v>119</v>
      </c>
      <c r="B64" s="424" t="s">
        <v>634</v>
      </c>
      <c r="C64" s="424" t="s">
        <v>30</v>
      </c>
      <c r="D64" s="437" t="s">
        <v>482</v>
      </c>
      <c r="E64" s="431"/>
      <c r="F64" s="424"/>
      <c r="G64" s="424"/>
      <c r="H64" s="424"/>
      <c r="I64" s="432"/>
      <c r="J64" s="440">
        <v>1</v>
      </c>
      <c r="K64" s="419">
        <f>VLOOKUP($A64,Prevs!$C:$I,Ajustes!K$1,FALSE)</f>
        <v>16</v>
      </c>
      <c r="L64" s="419">
        <f>VLOOKUP($A64,Prevs!$C:$I,Ajustes!L$1,FALSE)</f>
        <v>16</v>
      </c>
      <c r="M64" s="419">
        <f>VLOOKUP($A64,Prevs!$C:$I,Ajustes!M$1,FALSE)</f>
        <v>14</v>
      </c>
      <c r="N64" s="419">
        <f>VLOOKUP($A64,Prevs!$C:$I,Ajustes!N$1,FALSE)</f>
        <v>13</v>
      </c>
      <c r="O64" s="419">
        <f>VLOOKUP($A64,Prevs!$C:$I,Ajustes!O$1,FALSE)</f>
        <v>13</v>
      </c>
      <c r="P64" s="419">
        <f>VLOOKUP($A64,Prevs!$C:$I,Ajustes!P$1,FALSE)</f>
        <v>12</v>
      </c>
      <c r="Q64" s="419">
        <v>0</v>
      </c>
      <c r="R64" s="419">
        <v>0</v>
      </c>
      <c r="S64" s="419">
        <v>0</v>
      </c>
      <c r="T64" s="419">
        <v>0</v>
      </c>
      <c r="U64" s="419">
        <v>0</v>
      </c>
      <c r="V64" s="419">
        <v>0</v>
      </c>
      <c r="W64" s="419">
        <f t="shared" si="251"/>
        <v>16</v>
      </c>
      <c r="X64" s="419">
        <f t="shared" si="251"/>
        <v>16</v>
      </c>
      <c r="Y64" s="419">
        <f t="shared" si="251"/>
        <v>14</v>
      </c>
      <c r="Z64" s="419">
        <f t="shared" si="251"/>
        <v>13</v>
      </c>
      <c r="AA64" s="419">
        <f t="shared" si="251"/>
        <v>13</v>
      </c>
      <c r="AB64" s="419">
        <f t="shared" si="251"/>
        <v>12</v>
      </c>
      <c r="AC64" s="417">
        <f>VLOOKUP($J64,Fatores!$G$1:$J$5,2,FALSE)</f>
        <v>1.5531612828314754</v>
      </c>
      <c r="AD64" s="417">
        <f>VLOOKUP($C64,Fatores!$A:$D,2,FALSE)</f>
        <v>1</v>
      </c>
      <c r="AE64" s="420">
        <f t="shared" si="6"/>
        <v>24.850580525303606</v>
      </c>
      <c r="AF64" s="420">
        <f t="shared" si="7"/>
        <v>24.850580525303606</v>
      </c>
      <c r="AG64" s="420">
        <f t="shared" si="8"/>
        <v>21.744257959640656</v>
      </c>
      <c r="AH64" s="420">
        <f t="shared" si="9"/>
        <v>20.191096676809181</v>
      </c>
      <c r="AI64" s="420">
        <f t="shared" si="10"/>
        <v>20.191096676809181</v>
      </c>
      <c r="AJ64" s="420">
        <f t="shared" si="11"/>
        <v>18.637935393977706</v>
      </c>
      <c r="AK64" s="421">
        <f t="shared" ref="AK64:AP66" si="268">AE64</f>
        <v>24.850580525303606</v>
      </c>
      <c r="AL64" s="421">
        <f t="shared" si="268"/>
        <v>24.850580525303606</v>
      </c>
      <c r="AM64" s="421">
        <f t="shared" si="268"/>
        <v>21.744257959640656</v>
      </c>
      <c r="AN64" s="421">
        <f t="shared" si="268"/>
        <v>20.191096676809181</v>
      </c>
      <c r="AO64" s="421">
        <f t="shared" si="268"/>
        <v>20.191096676809181</v>
      </c>
      <c r="AP64" s="421">
        <f t="shared" si="268"/>
        <v>18.637935393977706</v>
      </c>
      <c r="AQ64" s="417">
        <f>VLOOKUP($J64,Fatores!$G$1:$J$5,3,FALSE)</f>
        <v>1.3186317794730578</v>
      </c>
      <c r="AR64" s="417">
        <f>VLOOKUP($C64,Fatores!$A:$D,3,FALSE)</f>
        <v>1</v>
      </c>
      <c r="AS64" s="420">
        <f t="shared" si="13"/>
        <v>21.098108471568924</v>
      </c>
      <c r="AT64" s="420">
        <f t="shared" si="14"/>
        <v>21.098108471568924</v>
      </c>
      <c r="AU64" s="420">
        <f t="shared" si="15"/>
        <v>18.460844912622807</v>
      </c>
      <c r="AV64" s="420">
        <f t="shared" si="16"/>
        <v>17.142213133149752</v>
      </c>
      <c r="AW64" s="420">
        <f t="shared" si="17"/>
        <v>17.142213133149752</v>
      </c>
      <c r="AX64" s="420">
        <f t="shared" si="18"/>
        <v>15.823581353676694</v>
      </c>
      <c r="AY64" s="421">
        <f t="shared" ref="AY64:AY66" si="269">AS64</f>
        <v>21.098108471568924</v>
      </c>
      <c r="AZ64" s="421">
        <f t="shared" ref="AZ64:AZ66" si="270">AT64</f>
        <v>21.098108471568924</v>
      </c>
      <c r="BA64" s="421">
        <f t="shared" ref="BA64:BA66" si="271">AU64</f>
        <v>18.460844912622807</v>
      </c>
      <c r="BB64" s="421">
        <f t="shared" ref="BB64:BB66" si="272">AV64</f>
        <v>17.142213133149752</v>
      </c>
      <c r="BC64" s="421">
        <f t="shared" ref="BC64:BC66" si="273">AW64</f>
        <v>17.142213133149752</v>
      </c>
      <c r="BD64" s="421">
        <f t="shared" ref="BD64:BD66" si="274">AX64</f>
        <v>15.823581353676694</v>
      </c>
      <c r="BE64" s="417">
        <f>VLOOKUP($J64,Fatores!$G$1:$J$5,4,FALSE)</f>
        <v>1</v>
      </c>
      <c r="BF64" s="417">
        <f>VLOOKUP($C64,Fatores!$A:$D,4,FALSE)</f>
        <v>1</v>
      </c>
      <c r="BG64" s="420">
        <f t="shared" si="20"/>
        <v>16</v>
      </c>
      <c r="BH64" s="420">
        <f t="shared" si="21"/>
        <v>16</v>
      </c>
      <c r="BI64" s="420">
        <f t="shared" si="22"/>
        <v>14</v>
      </c>
      <c r="BJ64" s="420">
        <f t="shared" si="23"/>
        <v>13</v>
      </c>
      <c r="BK64" s="420">
        <f t="shared" si="24"/>
        <v>13</v>
      </c>
      <c r="BL64" s="420">
        <f t="shared" si="25"/>
        <v>12</v>
      </c>
      <c r="BM64" s="421">
        <f t="shared" ref="BM64:BM66" si="275">BG64</f>
        <v>16</v>
      </c>
      <c r="BN64" s="421">
        <f t="shared" ref="BN64:BN66" si="276">BH64</f>
        <v>16</v>
      </c>
      <c r="BO64" s="421">
        <f t="shared" ref="BO64:BO66" si="277">BI64</f>
        <v>14</v>
      </c>
      <c r="BP64" s="421">
        <f t="shared" ref="BP64:BP66" si="278">BJ64</f>
        <v>13</v>
      </c>
      <c r="BQ64" s="421">
        <f t="shared" ref="BQ64:BQ66" si="279">BK64</f>
        <v>13</v>
      </c>
      <c r="BR64" s="421">
        <f t="shared" ref="BR64:BR66" si="280">BL64</f>
        <v>12</v>
      </c>
    </row>
    <row r="65" spans="1:70" x14ac:dyDescent="0.25">
      <c r="A65" s="431">
        <v>120</v>
      </c>
      <c r="B65" s="424"/>
      <c r="C65" s="424" t="s">
        <v>31</v>
      </c>
      <c r="D65" s="437" t="s">
        <v>485</v>
      </c>
      <c r="E65" s="431"/>
      <c r="F65" s="424"/>
      <c r="G65" s="424"/>
      <c r="H65" s="424"/>
      <c r="I65" s="432"/>
      <c r="J65" s="440">
        <v>1</v>
      </c>
      <c r="K65" s="419">
        <f>VLOOKUP($A65,Prevs!$C:$I,Ajustes!K$1,FALSE)</f>
        <v>11</v>
      </c>
      <c r="L65" s="419">
        <f>VLOOKUP($A65,Prevs!$C:$I,Ajustes!L$1,FALSE)</f>
        <v>12</v>
      </c>
      <c r="M65" s="419">
        <f>VLOOKUP($A65,Prevs!$C:$I,Ajustes!M$1,FALSE)</f>
        <v>11</v>
      </c>
      <c r="N65" s="419">
        <f>VLOOKUP($A65,Prevs!$C:$I,Ajustes!N$1,FALSE)</f>
        <v>12</v>
      </c>
      <c r="O65" s="419">
        <f>VLOOKUP($A65,Prevs!$C:$I,Ajustes!O$1,FALSE)</f>
        <v>13</v>
      </c>
      <c r="P65" s="419">
        <f>VLOOKUP($A65,Prevs!$C:$I,Ajustes!P$1,FALSE)</f>
        <v>11</v>
      </c>
      <c r="Q65" s="419">
        <v>0</v>
      </c>
      <c r="R65" s="419">
        <v>0</v>
      </c>
      <c r="S65" s="419">
        <v>0</v>
      </c>
      <c r="T65" s="419">
        <v>0</v>
      </c>
      <c r="U65" s="419">
        <v>0</v>
      </c>
      <c r="V65" s="419">
        <v>0</v>
      </c>
      <c r="W65" s="419">
        <f t="shared" si="251"/>
        <v>11</v>
      </c>
      <c r="X65" s="419">
        <f t="shared" si="251"/>
        <v>12</v>
      </c>
      <c r="Y65" s="419">
        <f t="shared" si="251"/>
        <v>11</v>
      </c>
      <c r="Z65" s="419">
        <f t="shared" si="251"/>
        <v>12</v>
      </c>
      <c r="AA65" s="419">
        <f t="shared" si="251"/>
        <v>13</v>
      </c>
      <c r="AB65" s="419">
        <f t="shared" si="251"/>
        <v>11</v>
      </c>
      <c r="AC65" s="417">
        <f>VLOOKUP($J65,Fatores!$G$1:$J$5,2,FALSE)</f>
        <v>1.5531612828314754</v>
      </c>
      <c r="AD65" s="417">
        <f>VLOOKUP($C65,Fatores!$A:$D,2,FALSE)</f>
        <v>1</v>
      </c>
      <c r="AE65" s="420">
        <f t="shared" si="6"/>
        <v>17.084774111146228</v>
      </c>
      <c r="AF65" s="420">
        <f t="shared" si="7"/>
        <v>18.637935393977706</v>
      </c>
      <c r="AG65" s="420">
        <f t="shared" si="8"/>
        <v>17.084774111146228</v>
      </c>
      <c r="AH65" s="420">
        <f t="shared" si="9"/>
        <v>18.637935393977706</v>
      </c>
      <c r="AI65" s="420">
        <f t="shared" si="10"/>
        <v>20.191096676809181</v>
      </c>
      <c r="AJ65" s="420">
        <f t="shared" si="11"/>
        <v>17.084774111146228</v>
      </c>
      <c r="AK65" s="421">
        <f t="shared" si="268"/>
        <v>17.084774111146228</v>
      </c>
      <c r="AL65" s="421">
        <f t="shared" si="268"/>
        <v>18.637935393977706</v>
      </c>
      <c r="AM65" s="421">
        <f t="shared" si="268"/>
        <v>17.084774111146228</v>
      </c>
      <c r="AN65" s="421">
        <f t="shared" si="268"/>
        <v>18.637935393977706</v>
      </c>
      <c r="AO65" s="421">
        <f t="shared" si="268"/>
        <v>20.191096676809181</v>
      </c>
      <c r="AP65" s="421">
        <f t="shared" si="268"/>
        <v>17.084774111146228</v>
      </c>
      <c r="AQ65" s="417">
        <f>VLOOKUP($J65,Fatores!$G$1:$J$5,3,FALSE)</f>
        <v>1.3186317794730578</v>
      </c>
      <c r="AR65" s="417">
        <f>VLOOKUP($C65,Fatores!$A:$D,3,FALSE)</f>
        <v>1</v>
      </c>
      <c r="AS65" s="420">
        <f t="shared" si="13"/>
        <v>14.504949574203636</v>
      </c>
      <c r="AT65" s="420">
        <f t="shared" si="14"/>
        <v>15.823581353676694</v>
      </c>
      <c r="AU65" s="420">
        <f t="shared" si="15"/>
        <v>14.504949574203636</v>
      </c>
      <c r="AV65" s="420">
        <f t="shared" si="16"/>
        <v>15.823581353676694</v>
      </c>
      <c r="AW65" s="420">
        <f t="shared" si="17"/>
        <v>17.142213133149752</v>
      </c>
      <c r="AX65" s="420">
        <f t="shared" si="18"/>
        <v>14.504949574203636</v>
      </c>
      <c r="AY65" s="421">
        <f t="shared" si="269"/>
        <v>14.504949574203636</v>
      </c>
      <c r="AZ65" s="421">
        <f t="shared" si="270"/>
        <v>15.823581353676694</v>
      </c>
      <c r="BA65" s="421">
        <f t="shared" si="271"/>
        <v>14.504949574203636</v>
      </c>
      <c r="BB65" s="421">
        <f t="shared" si="272"/>
        <v>15.823581353676694</v>
      </c>
      <c r="BC65" s="421">
        <f t="shared" si="273"/>
        <v>17.142213133149752</v>
      </c>
      <c r="BD65" s="421">
        <f t="shared" si="274"/>
        <v>14.504949574203636</v>
      </c>
      <c r="BE65" s="417">
        <f>VLOOKUP($J65,Fatores!$G$1:$J$5,4,FALSE)</f>
        <v>1</v>
      </c>
      <c r="BF65" s="417">
        <f>VLOOKUP($C65,Fatores!$A:$D,4,FALSE)</f>
        <v>1</v>
      </c>
      <c r="BG65" s="420">
        <f t="shared" si="20"/>
        <v>11</v>
      </c>
      <c r="BH65" s="420">
        <f t="shared" si="21"/>
        <v>12</v>
      </c>
      <c r="BI65" s="420">
        <f t="shared" si="22"/>
        <v>11</v>
      </c>
      <c r="BJ65" s="420">
        <f t="shared" si="23"/>
        <v>12</v>
      </c>
      <c r="BK65" s="420">
        <f t="shared" si="24"/>
        <v>13</v>
      </c>
      <c r="BL65" s="420">
        <f t="shared" si="25"/>
        <v>11</v>
      </c>
      <c r="BM65" s="421">
        <f t="shared" si="275"/>
        <v>11</v>
      </c>
      <c r="BN65" s="421">
        <f t="shared" si="276"/>
        <v>12</v>
      </c>
      <c r="BO65" s="421">
        <f t="shared" si="277"/>
        <v>11</v>
      </c>
      <c r="BP65" s="421">
        <f t="shared" si="278"/>
        <v>12</v>
      </c>
      <c r="BQ65" s="421">
        <f t="shared" si="279"/>
        <v>13</v>
      </c>
      <c r="BR65" s="421">
        <f t="shared" si="280"/>
        <v>11</v>
      </c>
    </row>
    <row r="66" spans="1:70" x14ac:dyDescent="0.25">
      <c r="A66" s="431">
        <v>121</v>
      </c>
      <c r="B66" s="424"/>
      <c r="C66" s="424" t="s">
        <v>31</v>
      </c>
      <c r="D66" s="437" t="s">
        <v>486</v>
      </c>
      <c r="E66" s="431"/>
      <c r="F66" s="424"/>
      <c r="G66" s="424"/>
      <c r="H66" s="424"/>
      <c r="I66" s="432"/>
      <c r="J66" s="440">
        <v>1</v>
      </c>
      <c r="K66" s="419">
        <f>VLOOKUP($A66,Prevs!$C:$I,Ajustes!K$1,FALSE)</f>
        <v>33</v>
      </c>
      <c r="L66" s="419">
        <f>VLOOKUP($A66,Prevs!$C:$I,Ajustes!L$1,FALSE)</f>
        <v>34</v>
      </c>
      <c r="M66" s="419">
        <f>VLOOKUP($A66,Prevs!$C:$I,Ajustes!M$1,FALSE)</f>
        <v>35</v>
      </c>
      <c r="N66" s="419">
        <f>VLOOKUP($A66,Prevs!$C:$I,Ajustes!N$1,FALSE)</f>
        <v>32</v>
      </c>
      <c r="O66" s="419">
        <f>VLOOKUP($A66,Prevs!$C:$I,Ajustes!O$1,FALSE)</f>
        <v>39</v>
      </c>
      <c r="P66" s="419">
        <f>VLOOKUP($A66,Prevs!$C:$I,Ajustes!P$1,FALSE)</f>
        <v>36</v>
      </c>
      <c r="Q66" s="419">
        <v>0</v>
      </c>
      <c r="R66" s="419">
        <v>0</v>
      </c>
      <c r="S66" s="419">
        <v>0</v>
      </c>
      <c r="T66" s="419">
        <v>0</v>
      </c>
      <c r="U66" s="419">
        <v>0</v>
      </c>
      <c r="V66" s="419">
        <v>0</v>
      </c>
      <c r="W66" s="419">
        <f t="shared" si="251"/>
        <v>33</v>
      </c>
      <c r="X66" s="419">
        <f t="shared" si="251"/>
        <v>34</v>
      </c>
      <c r="Y66" s="419">
        <f t="shared" si="251"/>
        <v>35</v>
      </c>
      <c r="Z66" s="419">
        <f t="shared" si="251"/>
        <v>32</v>
      </c>
      <c r="AA66" s="419">
        <f t="shared" si="251"/>
        <v>39</v>
      </c>
      <c r="AB66" s="419">
        <f t="shared" si="251"/>
        <v>36</v>
      </c>
      <c r="AC66" s="417">
        <f>VLOOKUP($J66,Fatores!$G$1:$J$5,2,FALSE)</f>
        <v>1.5531612828314754</v>
      </c>
      <c r="AD66" s="417">
        <f>VLOOKUP($C66,Fatores!$A:$D,2,FALSE)</f>
        <v>1</v>
      </c>
      <c r="AE66" s="420">
        <f t="shared" si="6"/>
        <v>51.254322333438687</v>
      </c>
      <c r="AF66" s="420">
        <f t="shared" si="7"/>
        <v>52.807483616270162</v>
      </c>
      <c r="AG66" s="420">
        <f t="shared" si="8"/>
        <v>54.360644899101636</v>
      </c>
      <c r="AH66" s="420">
        <f t="shared" si="9"/>
        <v>49.701161050607212</v>
      </c>
      <c r="AI66" s="420">
        <f t="shared" si="10"/>
        <v>60.573290030427536</v>
      </c>
      <c r="AJ66" s="420">
        <f t="shared" si="11"/>
        <v>55.913806181933111</v>
      </c>
      <c r="AK66" s="421">
        <f t="shared" si="268"/>
        <v>51.254322333438687</v>
      </c>
      <c r="AL66" s="421">
        <f t="shared" si="268"/>
        <v>52.807483616270162</v>
      </c>
      <c r="AM66" s="421">
        <f t="shared" si="268"/>
        <v>54.360644899101636</v>
      </c>
      <c r="AN66" s="421">
        <f t="shared" si="268"/>
        <v>49.701161050607212</v>
      </c>
      <c r="AO66" s="421">
        <f t="shared" si="268"/>
        <v>60.573290030427536</v>
      </c>
      <c r="AP66" s="421">
        <f t="shared" si="268"/>
        <v>55.913806181933111</v>
      </c>
      <c r="AQ66" s="417">
        <f>VLOOKUP($J66,Fatores!$G$1:$J$5,3,FALSE)</f>
        <v>1.3186317794730578</v>
      </c>
      <c r="AR66" s="417">
        <f>VLOOKUP($C66,Fatores!$A:$D,3,FALSE)</f>
        <v>1</v>
      </c>
      <c r="AS66" s="420">
        <f t="shared" si="13"/>
        <v>43.514848722610907</v>
      </c>
      <c r="AT66" s="420">
        <f t="shared" si="14"/>
        <v>44.833480502083965</v>
      </c>
      <c r="AU66" s="420">
        <f t="shared" si="15"/>
        <v>46.152112281557024</v>
      </c>
      <c r="AV66" s="420">
        <f t="shared" si="16"/>
        <v>42.196216943137848</v>
      </c>
      <c r="AW66" s="420">
        <f t="shared" si="17"/>
        <v>51.42663939944925</v>
      </c>
      <c r="AX66" s="420">
        <f t="shared" si="18"/>
        <v>47.470744061030082</v>
      </c>
      <c r="AY66" s="421">
        <f t="shared" si="269"/>
        <v>43.514848722610907</v>
      </c>
      <c r="AZ66" s="421">
        <f t="shared" si="270"/>
        <v>44.833480502083965</v>
      </c>
      <c r="BA66" s="421">
        <f t="shared" si="271"/>
        <v>46.152112281557024</v>
      </c>
      <c r="BB66" s="421">
        <f t="shared" si="272"/>
        <v>42.196216943137848</v>
      </c>
      <c r="BC66" s="421">
        <f t="shared" si="273"/>
        <v>51.42663939944925</v>
      </c>
      <c r="BD66" s="421">
        <f t="shared" si="274"/>
        <v>47.470744061030082</v>
      </c>
      <c r="BE66" s="417">
        <f>VLOOKUP($J66,Fatores!$G$1:$J$5,4,FALSE)</f>
        <v>1</v>
      </c>
      <c r="BF66" s="417">
        <f>VLOOKUP($C66,Fatores!$A:$D,4,FALSE)</f>
        <v>1</v>
      </c>
      <c r="BG66" s="420">
        <f t="shared" si="20"/>
        <v>33</v>
      </c>
      <c r="BH66" s="420">
        <f t="shared" si="21"/>
        <v>34</v>
      </c>
      <c r="BI66" s="420">
        <f t="shared" si="22"/>
        <v>35</v>
      </c>
      <c r="BJ66" s="420">
        <f t="shared" si="23"/>
        <v>32</v>
      </c>
      <c r="BK66" s="420">
        <f t="shared" si="24"/>
        <v>39</v>
      </c>
      <c r="BL66" s="420">
        <f t="shared" si="25"/>
        <v>36</v>
      </c>
      <c r="BM66" s="421">
        <f t="shared" si="275"/>
        <v>33</v>
      </c>
      <c r="BN66" s="421">
        <f t="shared" si="276"/>
        <v>34</v>
      </c>
      <c r="BO66" s="421">
        <f t="shared" si="277"/>
        <v>35</v>
      </c>
      <c r="BP66" s="421">
        <f t="shared" si="278"/>
        <v>32</v>
      </c>
      <c r="BQ66" s="421">
        <f t="shared" si="279"/>
        <v>39</v>
      </c>
      <c r="BR66" s="421">
        <f t="shared" si="280"/>
        <v>36</v>
      </c>
    </row>
    <row r="67" spans="1:70" x14ac:dyDescent="0.25">
      <c r="A67" s="431">
        <v>122</v>
      </c>
      <c r="B67" s="424"/>
      <c r="C67" s="424" t="s">
        <v>31</v>
      </c>
      <c r="D67" s="437" t="s">
        <v>31</v>
      </c>
      <c r="E67" s="444">
        <v>121</v>
      </c>
      <c r="F67" s="424"/>
      <c r="G67" s="424"/>
      <c r="H67" s="424"/>
      <c r="I67" s="432"/>
      <c r="J67" s="440">
        <v>1</v>
      </c>
      <c r="K67" s="419">
        <f>VLOOKUP($A67,Prevs!$C:$I,Ajustes!K$1,FALSE)</f>
        <v>41</v>
      </c>
      <c r="L67" s="419">
        <f>VLOOKUP($A67,Prevs!$C:$I,Ajustes!L$1,FALSE)</f>
        <v>41</v>
      </c>
      <c r="M67" s="419">
        <f>VLOOKUP($A67,Prevs!$C:$I,Ajustes!M$1,FALSE)</f>
        <v>43</v>
      </c>
      <c r="N67" s="419">
        <f>VLOOKUP($A67,Prevs!$C:$I,Ajustes!N$1,FALSE)</f>
        <v>39</v>
      </c>
      <c r="O67" s="419">
        <f>VLOOKUP($A67,Prevs!$C:$I,Ajustes!O$1,FALSE)</f>
        <v>46</v>
      </c>
      <c r="P67" s="419">
        <f>VLOOKUP($A67,Prevs!$C:$I,Ajustes!P$1,FALSE)</f>
        <v>43</v>
      </c>
      <c r="Q67" s="419">
        <f>VLOOKUP($E67,Prevs!$C:$I,Ajustes!K$1,FALSE)</f>
        <v>33</v>
      </c>
      <c r="R67" s="419">
        <f>VLOOKUP($E67,Prevs!$C:$I,Ajustes!L$1,FALSE)</f>
        <v>34</v>
      </c>
      <c r="S67" s="419">
        <f>VLOOKUP($E67,Prevs!$C:$I,Ajustes!M$1,FALSE)</f>
        <v>35</v>
      </c>
      <c r="T67" s="419">
        <f>VLOOKUP($E67,Prevs!$C:$I,Ajustes!N$1,FALSE)</f>
        <v>32</v>
      </c>
      <c r="U67" s="419">
        <f>VLOOKUP($E67,Prevs!$C:$I,Ajustes!O$1,FALSE)</f>
        <v>39</v>
      </c>
      <c r="V67" s="419">
        <f>VLOOKUP($E67,Prevs!$C:$I,Ajustes!P$1,FALSE)</f>
        <v>36</v>
      </c>
      <c r="W67" s="419">
        <f t="shared" ref="W67:W71" si="281">K67-Q67</f>
        <v>8</v>
      </c>
      <c r="X67" s="419">
        <f t="shared" ref="X67:X71" si="282">L67-R67</f>
        <v>7</v>
      </c>
      <c r="Y67" s="419">
        <f t="shared" ref="Y67:Y71" si="283">M67-S67</f>
        <v>8</v>
      </c>
      <c r="Z67" s="419">
        <f t="shared" ref="Z67:Z71" si="284">N67-T67</f>
        <v>7</v>
      </c>
      <c r="AA67" s="419">
        <f t="shared" ref="AA67:AA71" si="285">O67-U67</f>
        <v>7</v>
      </c>
      <c r="AB67" s="419">
        <f t="shared" ref="AB67:AB71" si="286">P67-V67</f>
        <v>7</v>
      </c>
      <c r="AC67" s="417">
        <f>VLOOKUP($J67,Fatores!$G$1:$J$5,2,FALSE)</f>
        <v>1.5531612828314754</v>
      </c>
      <c r="AD67" s="417">
        <f>VLOOKUP($C67,Fatores!$A:$D,2,FALSE)</f>
        <v>1</v>
      </c>
      <c r="AE67" s="420">
        <f t="shared" si="6"/>
        <v>12.425290262651803</v>
      </c>
      <c r="AF67" s="420">
        <f t="shared" si="7"/>
        <v>10.872128979820328</v>
      </c>
      <c r="AG67" s="420">
        <f t="shared" si="8"/>
        <v>12.425290262651803</v>
      </c>
      <c r="AH67" s="420">
        <f t="shared" si="9"/>
        <v>10.872128979820328</v>
      </c>
      <c r="AI67" s="420">
        <f t="shared" si="10"/>
        <v>10.872128979820328</v>
      </c>
      <c r="AJ67" s="420">
        <f t="shared" si="11"/>
        <v>10.872128979820328</v>
      </c>
      <c r="AK67" s="421">
        <f t="shared" ref="AK67:AP67" si="287">AE67+VLOOKUP($E67,$A:$BR,AK$1,FALSE)</f>
        <v>63.679612596090493</v>
      </c>
      <c r="AL67" s="421">
        <f t="shared" si="287"/>
        <v>63.679612596090493</v>
      </c>
      <c r="AM67" s="421">
        <f t="shared" si="287"/>
        <v>66.785935161753443</v>
      </c>
      <c r="AN67" s="421">
        <f t="shared" si="287"/>
        <v>60.573290030427543</v>
      </c>
      <c r="AO67" s="421">
        <f t="shared" si="287"/>
        <v>71.445419010247861</v>
      </c>
      <c r="AP67" s="421">
        <f t="shared" si="287"/>
        <v>66.785935161753443</v>
      </c>
      <c r="AQ67" s="417">
        <f>VLOOKUP($J67,Fatores!$G$1:$J$5,3,FALSE)</f>
        <v>1.3186317794730578</v>
      </c>
      <c r="AR67" s="417">
        <f>VLOOKUP($C67,Fatores!$A:$D,3,FALSE)</f>
        <v>1</v>
      </c>
      <c r="AS67" s="420">
        <f t="shared" si="13"/>
        <v>10.549054235784462</v>
      </c>
      <c r="AT67" s="420">
        <f t="shared" si="14"/>
        <v>9.2304224563114037</v>
      </c>
      <c r="AU67" s="420">
        <f t="shared" si="15"/>
        <v>10.549054235784462</v>
      </c>
      <c r="AV67" s="420">
        <f t="shared" si="16"/>
        <v>9.2304224563114037</v>
      </c>
      <c r="AW67" s="420">
        <f t="shared" si="17"/>
        <v>9.2304224563114037</v>
      </c>
      <c r="AX67" s="420">
        <f t="shared" si="18"/>
        <v>9.2304224563114037</v>
      </c>
      <c r="AY67" s="421">
        <f t="shared" ref="AY67:BD67" si="288">AS67+VLOOKUP($E67,$A:$BR,AY$1,FALSE)</f>
        <v>54.063902958395367</v>
      </c>
      <c r="AZ67" s="421">
        <f t="shared" si="288"/>
        <v>54.063902958395367</v>
      </c>
      <c r="BA67" s="421">
        <f t="shared" si="288"/>
        <v>56.701166517341484</v>
      </c>
      <c r="BB67" s="421">
        <f t="shared" si="288"/>
        <v>51.42663939944925</v>
      </c>
      <c r="BC67" s="421">
        <f t="shared" si="288"/>
        <v>60.657061855760652</v>
      </c>
      <c r="BD67" s="421">
        <f t="shared" si="288"/>
        <v>56.701166517341484</v>
      </c>
      <c r="BE67" s="417">
        <f>VLOOKUP($J67,Fatores!$G$1:$J$5,4,FALSE)</f>
        <v>1</v>
      </c>
      <c r="BF67" s="417">
        <f>VLOOKUP($C67,Fatores!$A:$D,4,FALSE)</f>
        <v>1</v>
      </c>
      <c r="BG67" s="420">
        <f t="shared" si="20"/>
        <v>8</v>
      </c>
      <c r="BH67" s="420">
        <f t="shared" si="21"/>
        <v>7</v>
      </c>
      <c r="BI67" s="420">
        <f t="shared" si="22"/>
        <v>8</v>
      </c>
      <c r="BJ67" s="420">
        <f t="shared" si="23"/>
        <v>7</v>
      </c>
      <c r="BK67" s="420">
        <f t="shared" si="24"/>
        <v>7</v>
      </c>
      <c r="BL67" s="420">
        <f t="shared" si="25"/>
        <v>7</v>
      </c>
      <c r="BM67" s="421">
        <f t="shared" ref="BM67:BR67" si="289">BG67+VLOOKUP($E67,$A:$BR,BM$1,FALSE)</f>
        <v>41</v>
      </c>
      <c r="BN67" s="421">
        <f t="shared" si="289"/>
        <v>41</v>
      </c>
      <c r="BO67" s="421">
        <f t="shared" si="289"/>
        <v>43</v>
      </c>
      <c r="BP67" s="421">
        <f t="shared" si="289"/>
        <v>39</v>
      </c>
      <c r="BQ67" s="421">
        <f t="shared" si="289"/>
        <v>46</v>
      </c>
      <c r="BR67" s="421">
        <f t="shared" si="289"/>
        <v>43</v>
      </c>
    </row>
    <row r="68" spans="1:70" x14ac:dyDescent="0.25">
      <c r="A68" s="431">
        <v>123</v>
      </c>
      <c r="B68" s="424"/>
      <c r="C68" s="424" t="s">
        <v>31</v>
      </c>
      <c r="D68" s="437" t="s">
        <v>31</v>
      </c>
      <c r="E68" s="444">
        <v>120</v>
      </c>
      <c r="F68" s="425">
        <v>122</v>
      </c>
      <c r="G68" s="424"/>
      <c r="H68" s="424"/>
      <c r="I68" s="432"/>
      <c r="J68" s="440">
        <v>1</v>
      </c>
      <c r="K68" s="419">
        <f>VLOOKUP($A68,Prevs!$C:$I,Ajustes!K$1,FALSE)</f>
        <v>95</v>
      </c>
      <c r="L68" s="419">
        <f>VLOOKUP($A68,Prevs!$C:$I,Ajustes!L$1,FALSE)</f>
        <v>96</v>
      </c>
      <c r="M68" s="419">
        <f>VLOOKUP($A68,Prevs!$C:$I,Ajustes!M$1,FALSE)</f>
        <v>96</v>
      </c>
      <c r="N68" s="419">
        <f>VLOOKUP($A68,Prevs!$C:$I,Ajustes!N$1,FALSE)</f>
        <v>69</v>
      </c>
      <c r="O68" s="419">
        <f>VLOOKUP($A68,Prevs!$C:$I,Ajustes!O$1,FALSE)</f>
        <v>105</v>
      </c>
      <c r="P68" s="419">
        <f>VLOOKUP($A68,Prevs!$C:$I,Ajustes!P$1,FALSE)</f>
        <v>106</v>
      </c>
      <c r="Q68" s="419">
        <f>VLOOKUP($E68,Prevs!$C:$I,Ajustes!K$1,FALSE)+VLOOKUP($F68,Prevs!$C:$I,Ajustes!K$1,FALSE)</f>
        <v>52</v>
      </c>
      <c r="R68" s="419">
        <f>VLOOKUP($E68,Prevs!$C:$I,Ajustes!L$1,FALSE)+VLOOKUP($F68,Prevs!$C:$I,Ajustes!L$1,FALSE)</f>
        <v>53</v>
      </c>
      <c r="S68" s="419">
        <f>VLOOKUP($E68,Prevs!$C:$I,Ajustes!M$1,FALSE)+VLOOKUP($F68,Prevs!$C:$I,Ajustes!M$1,FALSE)</f>
        <v>54</v>
      </c>
      <c r="T68" s="419">
        <f>VLOOKUP($E68,Prevs!$C:$I,Ajustes!N$1,FALSE)+VLOOKUP($F68,Prevs!$C:$I,Ajustes!N$1,FALSE)</f>
        <v>51</v>
      </c>
      <c r="U68" s="419">
        <f>VLOOKUP($E68,Prevs!$C:$I,Ajustes!O$1,FALSE)+VLOOKUP($F68,Prevs!$C:$I,Ajustes!O$1,FALSE)</f>
        <v>59</v>
      </c>
      <c r="V68" s="419">
        <f>VLOOKUP($E68,Prevs!$C:$I,Ajustes!P$1,FALSE)+VLOOKUP($F68,Prevs!$C:$I,Ajustes!P$1,FALSE)</f>
        <v>54</v>
      </c>
      <c r="W68" s="419">
        <f t="shared" si="281"/>
        <v>43</v>
      </c>
      <c r="X68" s="419">
        <f t="shared" si="282"/>
        <v>43</v>
      </c>
      <c r="Y68" s="419">
        <f t="shared" si="283"/>
        <v>42</v>
      </c>
      <c r="Z68" s="419">
        <f t="shared" si="284"/>
        <v>18</v>
      </c>
      <c r="AA68" s="419">
        <f t="shared" si="285"/>
        <v>46</v>
      </c>
      <c r="AB68" s="419">
        <f t="shared" si="286"/>
        <v>52</v>
      </c>
      <c r="AC68" s="417">
        <f>VLOOKUP($J68,Fatores!$G$1:$J$5,2,FALSE)</f>
        <v>1.5531612828314754</v>
      </c>
      <c r="AD68" s="417">
        <f>VLOOKUP($C68,Fatores!$A:$D,2,FALSE)</f>
        <v>1</v>
      </c>
      <c r="AE68" s="420">
        <f t="shared" ref="AE68:AE131" si="290">W68*(($AC68*$AD68-1)*AE$1+1)</f>
        <v>66.785935161753443</v>
      </c>
      <c r="AF68" s="420">
        <f t="shared" ref="AF68:AF131" si="291">X68*(($AC68*$AD68-1)*AF$1+1)</f>
        <v>66.785935161753443</v>
      </c>
      <c r="AG68" s="420">
        <f t="shared" ref="AG68:AG131" si="292">Y68*(($AC68*$AD68-1)*AG$1+1)</f>
        <v>65.232773878921961</v>
      </c>
      <c r="AH68" s="420">
        <f t="shared" ref="AH68:AH131" si="293">Z68*(($AC68*$AD68-1)*AH$1+1)</f>
        <v>27.956903090966556</v>
      </c>
      <c r="AI68" s="420">
        <f t="shared" ref="AI68:AI131" si="294">AA68*(($AC68*$AD68-1)*AI$1+1)</f>
        <v>71.445419010247861</v>
      </c>
      <c r="AJ68" s="420">
        <f t="shared" ref="AJ68:AJ131" si="295">AB68*(($AC68*$AD68-1)*AJ$1+1)</f>
        <v>80.764386707236724</v>
      </c>
      <c r="AK68" s="421">
        <f t="shared" ref="AK68:AP68" si="296">AE68+VLOOKUP($E68,$A:$BR,AK$1,FALSE)+VLOOKUP($F68,$A:$BR,AK$1,FALSE)</f>
        <v>147.55032186899018</v>
      </c>
      <c r="AL68" s="421">
        <f t="shared" si="296"/>
        <v>149.10348315182165</v>
      </c>
      <c r="AM68" s="421">
        <f t="shared" si="296"/>
        <v>149.10348315182165</v>
      </c>
      <c r="AN68" s="421">
        <f t="shared" si="296"/>
        <v>107.16812851537181</v>
      </c>
      <c r="AO68" s="421">
        <f t="shared" si="296"/>
        <v>163.08193469730492</v>
      </c>
      <c r="AP68" s="421">
        <f t="shared" si="296"/>
        <v>164.63509598013638</v>
      </c>
      <c r="AQ68" s="417">
        <f>VLOOKUP($J68,Fatores!$G$1:$J$5,3,FALSE)</f>
        <v>1.3186317794730578</v>
      </c>
      <c r="AR68" s="417">
        <f>VLOOKUP($C68,Fatores!$A:$D,3,FALSE)</f>
        <v>1</v>
      </c>
      <c r="AS68" s="420">
        <f t="shared" ref="AS68:AS131" si="297">W68*(($AQ68*$AR68-1)*AE$1+1)</f>
        <v>56.701166517341484</v>
      </c>
      <c r="AT68" s="420">
        <f t="shared" ref="AT68:AT131" si="298">X68*(($AQ68*$AR68-1)*AF$1+1)</f>
        <v>56.701166517341484</v>
      </c>
      <c r="AU68" s="420">
        <f t="shared" ref="AU68:AU131" si="299">Y68*(($AQ68*$AR68-1)*AG$1+1)</f>
        <v>55.382534737868426</v>
      </c>
      <c r="AV68" s="420">
        <f t="shared" ref="AV68:AV131" si="300">Z68*(($AQ68*$AR68-1)*AH$1+1)</f>
        <v>23.735372030515041</v>
      </c>
      <c r="AW68" s="420">
        <f t="shared" ref="AW68:AW131" si="301">AA68*(($AQ68*$AR68-1)*AI$1+1)</f>
        <v>60.657061855760659</v>
      </c>
      <c r="AX68" s="420">
        <f t="shared" ref="AX68:AX131" si="302">AB68*(($AQ68*$AR68-1)*AJ$1+1)</f>
        <v>68.56885253259901</v>
      </c>
      <c r="AY68" s="421">
        <f t="shared" ref="AY68:BD68" si="303">AS68+VLOOKUP($E68,$A:$BR,AY$1,FALSE)+VLOOKUP($F68,$A:$BR,AY$1,FALSE)</f>
        <v>125.27001904994049</v>
      </c>
      <c r="AZ68" s="421">
        <f t="shared" si="303"/>
        <v>126.58865082941355</v>
      </c>
      <c r="BA68" s="421">
        <f t="shared" si="303"/>
        <v>126.58865082941355</v>
      </c>
      <c r="BB68" s="421">
        <f t="shared" si="303"/>
        <v>90.985592783640982</v>
      </c>
      <c r="BC68" s="421">
        <f t="shared" si="303"/>
        <v>138.45633684467106</v>
      </c>
      <c r="BD68" s="421">
        <f t="shared" si="303"/>
        <v>139.77496862414412</v>
      </c>
      <c r="BE68" s="417">
        <f>VLOOKUP($J68,Fatores!$G$1:$J$5,4,FALSE)</f>
        <v>1</v>
      </c>
      <c r="BF68" s="417">
        <f>VLOOKUP($C68,Fatores!$A:$D,4,FALSE)</f>
        <v>1</v>
      </c>
      <c r="BG68" s="420">
        <f t="shared" ref="BG68:BG131" si="304">W68*(($BE68*$BF68-1)*AE$1+1)</f>
        <v>43</v>
      </c>
      <c r="BH68" s="420">
        <f t="shared" ref="BH68:BH131" si="305">X68*(($BE68*$BF68-1)*AF$1+1)</f>
        <v>43</v>
      </c>
      <c r="BI68" s="420">
        <f t="shared" ref="BI68:BI131" si="306">Y68*(($BE68*$BF68-1)*AG$1+1)</f>
        <v>42</v>
      </c>
      <c r="BJ68" s="420">
        <f t="shared" ref="BJ68:BJ131" si="307">Z68*(($BE68*$BF68-1)*AH$1+1)</f>
        <v>18</v>
      </c>
      <c r="BK68" s="420">
        <f t="shared" ref="BK68:BK131" si="308">AA68*(($BE68*$BF68-1)*AI$1+1)</f>
        <v>46</v>
      </c>
      <c r="BL68" s="420">
        <f t="shared" ref="BL68:BL131" si="309">AB68*(($BE68*$BF68-1)*AJ$1+1)</f>
        <v>52</v>
      </c>
      <c r="BM68" s="421">
        <f t="shared" ref="BM68:BR68" si="310">BG68+VLOOKUP($E68,$A:$BR,BM$1,FALSE)+VLOOKUP($F68,$A:$BR,BM$1,FALSE)</f>
        <v>95</v>
      </c>
      <c r="BN68" s="421">
        <f t="shared" si="310"/>
        <v>96</v>
      </c>
      <c r="BO68" s="421">
        <f t="shared" si="310"/>
        <v>96</v>
      </c>
      <c r="BP68" s="421">
        <f t="shared" si="310"/>
        <v>69</v>
      </c>
      <c r="BQ68" s="421">
        <f t="shared" si="310"/>
        <v>105</v>
      </c>
      <c r="BR68" s="421">
        <f t="shared" si="310"/>
        <v>106</v>
      </c>
    </row>
    <row r="69" spans="1:70" x14ac:dyDescent="0.25">
      <c r="A69" s="431">
        <v>125</v>
      </c>
      <c r="B69" s="424"/>
      <c r="C69" s="424" t="s">
        <v>31</v>
      </c>
      <c r="D69" s="437" t="s">
        <v>31</v>
      </c>
      <c r="E69" s="444">
        <v>123</v>
      </c>
      <c r="F69" s="424"/>
      <c r="G69" s="424"/>
      <c r="H69" s="424"/>
      <c r="I69" s="432"/>
      <c r="J69" s="440">
        <v>1</v>
      </c>
      <c r="K69" s="419">
        <f>VLOOKUP($A69,Prevs!$C:$I,Ajustes!K$1,FALSE)</f>
        <v>125</v>
      </c>
      <c r="L69" s="419">
        <f>VLOOKUP($A69,Prevs!$C:$I,Ajustes!L$1,FALSE)</f>
        <v>126</v>
      </c>
      <c r="M69" s="419">
        <f>VLOOKUP($A69,Prevs!$C:$I,Ajustes!M$1,FALSE)</f>
        <v>127</v>
      </c>
      <c r="N69" s="419">
        <f>VLOOKUP($A69,Prevs!$C:$I,Ajustes!N$1,FALSE)</f>
        <v>92</v>
      </c>
      <c r="O69" s="419">
        <f>VLOOKUP($A69,Prevs!$C:$I,Ajustes!O$1,FALSE)</f>
        <v>137</v>
      </c>
      <c r="P69" s="419">
        <f>VLOOKUP($A69,Prevs!$C:$I,Ajustes!P$1,FALSE)</f>
        <v>137</v>
      </c>
      <c r="Q69" s="419">
        <f>VLOOKUP($E69,Prevs!$C:$I,Ajustes!K$1,FALSE)</f>
        <v>95</v>
      </c>
      <c r="R69" s="419">
        <f>VLOOKUP($E69,Prevs!$C:$I,Ajustes!L$1,FALSE)</f>
        <v>96</v>
      </c>
      <c r="S69" s="419">
        <f>VLOOKUP($E69,Prevs!$C:$I,Ajustes!M$1,FALSE)</f>
        <v>96</v>
      </c>
      <c r="T69" s="419">
        <f>VLOOKUP($E69,Prevs!$C:$I,Ajustes!N$1,FALSE)</f>
        <v>69</v>
      </c>
      <c r="U69" s="419">
        <f>VLOOKUP($E69,Prevs!$C:$I,Ajustes!O$1,FALSE)</f>
        <v>105</v>
      </c>
      <c r="V69" s="419">
        <f>VLOOKUP($E69,Prevs!$C:$I,Ajustes!P$1,FALSE)</f>
        <v>106</v>
      </c>
      <c r="W69" s="419">
        <f t="shared" si="281"/>
        <v>30</v>
      </c>
      <c r="X69" s="419">
        <f t="shared" si="282"/>
        <v>30</v>
      </c>
      <c r="Y69" s="419">
        <f t="shared" si="283"/>
        <v>31</v>
      </c>
      <c r="Z69" s="419">
        <f t="shared" si="284"/>
        <v>23</v>
      </c>
      <c r="AA69" s="419">
        <f t="shared" si="285"/>
        <v>32</v>
      </c>
      <c r="AB69" s="419">
        <f t="shared" si="286"/>
        <v>31</v>
      </c>
      <c r="AC69" s="417">
        <f>VLOOKUP($J69,Fatores!$G$1:$J$5,2,FALSE)</f>
        <v>1.5531612828314754</v>
      </c>
      <c r="AD69" s="417">
        <f>VLOOKUP($C69,Fatores!$A:$D,2,FALSE)</f>
        <v>1</v>
      </c>
      <c r="AE69" s="420">
        <f t="shared" si="290"/>
        <v>46.594838484944262</v>
      </c>
      <c r="AF69" s="420">
        <f t="shared" si="291"/>
        <v>46.594838484944262</v>
      </c>
      <c r="AG69" s="420">
        <f t="shared" si="292"/>
        <v>48.147999767775737</v>
      </c>
      <c r="AH69" s="420">
        <f t="shared" si="293"/>
        <v>35.72270950512393</v>
      </c>
      <c r="AI69" s="420">
        <f t="shared" si="294"/>
        <v>49.701161050607212</v>
      </c>
      <c r="AJ69" s="420">
        <f t="shared" si="295"/>
        <v>48.147999767775737</v>
      </c>
      <c r="AK69" s="421">
        <f t="shared" ref="AK69:AP69" si="311">AE69+VLOOKUP($E69,$A:$BR,AK$1,FALSE)</f>
        <v>194.14516035393444</v>
      </c>
      <c r="AL69" s="421">
        <f t="shared" si="311"/>
        <v>195.69832163676591</v>
      </c>
      <c r="AM69" s="421">
        <f t="shared" si="311"/>
        <v>197.25148291959738</v>
      </c>
      <c r="AN69" s="421">
        <f t="shared" si="311"/>
        <v>142.89083802049572</v>
      </c>
      <c r="AO69" s="421">
        <f t="shared" si="311"/>
        <v>212.78309574791211</v>
      </c>
      <c r="AP69" s="421">
        <f t="shared" si="311"/>
        <v>212.78309574791211</v>
      </c>
      <c r="AQ69" s="417">
        <f>VLOOKUP($J69,Fatores!$G$1:$J$5,3,FALSE)</f>
        <v>1.3186317794730578</v>
      </c>
      <c r="AR69" s="417">
        <f>VLOOKUP($C69,Fatores!$A:$D,3,FALSE)</f>
        <v>1</v>
      </c>
      <c r="AS69" s="420">
        <f t="shared" si="297"/>
        <v>39.558953384191732</v>
      </c>
      <c r="AT69" s="420">
        <f t="shared" si="298"/>
        <v>39.558953384191732</v>
      </c>
      <c r="AU69" s="420">
        <f t="shared" si="299"/>
        <v>40.87758516366479</v>
      </c>
      <c r="AV69" s="420">
        <f t="shared" si="300"/>
        <v>30.32853092788033</v>
      </c>
      <c r="AW69" s="420">
        <f t="shared" si="301"/>
        <v>42.196216943137848</v>
      </c>
      <c r="AX69" s="420">
        <f t="shared" si="302"/>
        <v>40.87758516366479</v>
      </c>
      <c r="AY69" s="421">
        <f t="shared" ref="AY69:BD69" si="312">AS69+VLOOKUP($E69,$A:$BR,AY$1,FALSE)</f>
        <v>164.82897243413223</v>
      </c>
      <c r="AZ69" s="421">
        <f t="shared" si="312"/>
        <v>166.14760421360529</v>
      </c>
      <c r="BA69" s="421">
        <f t="shared" si="312"/>
        <v>167.46623599307833</v>
      </c>
      <c r="BB69" s="421">
        <f t="shared" si="312"/>
        <v>121.31412371152132</v>
      </c>
      <c r="BC69" s="421">
        <f t="shared" si="312"/>
        <v>180.6525537878089</v>
      </c>
      <c r="BD69" s="421">
        <f t="shared" si="312"/>
        <v>180.65255378780893</v>
      </c>
      <c r="BE69" s="417">
        <f>VLOOKUP($J69,Fatores!$G$1:$J$5,4,FALSE)</f>
        <v>1</v>
      </c>
      <c r="BF69" s="417">
        <f>VLOOKUP($C69,Fatores!$A:$D,4,FALSE)</f>
        <v>1</v>
      </c>
      <c r="BG69" s="420">
        <f t="shared" si="304"/>
        <v>30</v>
      </c>
      <c r="BH69" s="420">
        <f t="shared" si="305"/>
        <v>30</v>
      </c>
      <c r="BI69" s="420">
        <f t="shared" si="306"/>
        <v>31</v>
      </c>
      <c r="BJ69" s="420">
        <f t="shared" si="307"/>
        <v>23</v>
      </c>
      <c r="BK69" s="420">
        <f t="shared" si="308"/>
        <v>32</v>
      </c>
      <c r="BL69" s="420">
        <f t="shared" si="309"/>
        <v>31</v>
      </c>
      <c r="BM69" s="421">
        <f t="shared" ref="BM69:BR69" si="313">BG69+VLOOKUP($E69,$A:$BR,BM$1,FALSE)</f>
        <v>125</v>
      </c>
      <c r="BN69" s="421">
        <f t="shared" si="313"/>
        <v>126</v>
      </c>
      <c r="BO69" s="421">
        <f t="shared" si="313"/>
        <v>127</v>
      </c>
      <c r="BP69" s="421">
        <f t="shared" si="313"/>
        <v>92</v>
      </c>
      <c r="BQ69" s="421">
        <f t="shared" si="313"/>
        <v>137</v>
      </c>
      <c r="BR69" s="421">
        <f t="shared" si="313"/>
        <v>137</v>
      </c>
    </row>
    <row r="70" spans="1:70" x14ac:dyDescent="0.25">
      <c r="A70" s="431">
        <v>129</v>
      </c>
      <c r="B70" s="424"/>
      <c r="C70" s="424" t="s">
        <v>31</v>
      </c>
      <c r="D70" s="437" t="s">
        <v>31</v>
      </c>
      <c r="E70" s="444">
        <v>198</v>
      </c>
      <c r="F70" s="425">
        <v>203</v>
      </c>
      <c r="G70" s="424"/>
      <c r="H70" s="424"/>
      <c r="I70" s="432"/>
      <c r="J70" s="440">
        <v>1</v>
      </c>
      <c r="K70" s="419">
        <f>VLOOKUP($A70,Prevs!$C:$I,Ajustes!K$1,FALSE)</f>
        <v>253</v>
      </c>
      <c r="L70" s="419">
        <f>VLOOKUP($A70,Prevs!$C:$I,Ajustes!L$1,FALSE)</f>
        <v>253</v>
      </c>
      <c r="M70" s="419">
        <f>VLOOKUP($A70,Prevs!$C:$I,Ajustes!M$1,FALSE)</f>
        <v>259</v>
      </c>
      <c r="N70" s="419">
        <f>VLOOKUP($A70,Prevs!$C:$I,Ajustes!N$1,FALSE)</f>
        <v>239</v>
      </c>
      <c r="O70" s="419">
        <f>VLOOKUP($A70,Prevs!$C:$I,Ajustes!O$1,FALSE)</f>
        <v>254</v>
      </c>
      <c r="P70" s="419">
        <f>VLOOKUP($A70,Prevs!$C:$I,Ajustes!P$1,FALSE)</f>
        <v>234</v>
      </c>
      <c r="Q70" s="419">
        <f>VLOOKUP($E70,Prevs!$C:$I,Ajustes!K$1,FALSE)+VLOOKUP($F70,Prevs!$C:$I,Ajustes!K$1,FALSE)</f>
        <v>43</v>
      </c>
      <c r="R70" s="419">
        <f>VLOOKUP($E70,Prevs!$C:$I,Ajustes!L$1,FALSE)+VLOOKUP($F70,Prevs!$C:$I,Ajustes!L$1,FALSE)</f>
        <v>43</v>
      </c>
      <c r="S70" s="419">
        <f>VLOOKUP($E70,Prevs!$C:$I,Ajustes!M$1,FALSE)+VLOOKUP($F70,Prevs!$C:$I,Ajustes!M$1,FALSE)</f>
        <v>40</v>
      </c>
      <c r="T70" s="419">
        <f>VLOOKUP($E70,Prevs!$C:$I,Ajustes!N$1,FALSE)+VLOOKUP($F70,Prevs!$C:$I,Ajustes!N$1,FALSE)</f>
        <v>40</v>
      </c>
      <c r="U70" s="419">
        <f>VLOOKUP($E70,Prevs!$C:$I,Ajustes!O$1,FALSE)+VLOOKUP($F70,Prevs!$C:$I,Ajustes!O$1,FALSE)</f>
        <v>37</v>
      </c>
      <c r="V70" s="419">
        <f>VLOOKUP($E70,Prevs!$C:$I,Ajustes!P$1,FALSE)+VLOOKUP($F70,Prevs!$C:$I,Ajustes!P$1,FALSE)</f>
        <v>40</v>
      </c>
      <c r="W70" s="419">
        <f t="shared" si="281"/>
        <v>210</v>
      </c>
      <c r="X70" s="419">
        <f t="shared" si="282"/>
        <v>210</v>
      </c>
      <c r="Y70" s="419">
        <f t="shared" si="283"/>
        <v>219</v>
      </c>
      <c r="Z70" s="419">
        <f t="shared" si="284"/>
        <v>199</v>
      </c>
      <c r="AA70" s="419">
        <f t="shared" si="285"/>
        <v>217</v>
      </c>
      <c r="AB70" s="419">
        <f t="shared" si="286"/>
        <v>194</v>
      </c>
      <c r="AC70" s="417">
        <f>VLOOKUP($J70,Fatores!$G$1:$J$5,2,FALSE)</f>
        <v>1.5531612828314754</v>
      </c>
      <c r="AD70" s="417">
        <f>VLOOKUP($C70,Fatores!$A:$D,2,FALSE)</f>
        <v>1</v>
      </c>
      <c r="AE70" s="420">
        <f t="shared" si="290"/>
        <v>326.16386939460983</v>
      </c>
      <c r="AF70" s="420">
        <f t="shared" si="291"/>
        <v>326.16386939460983</v>
      </c>
      <c r="AG70" s="420">
        <f t="shared" si="292"/>
        <v>340.1423209400931</v>
      </c>
      <c r="AH70" s="420">
        <f t="shared" si="293"/>
        <v>309.07909528346357</v>
      </c>
      <c r="AI70" s="420">
        <f t="shared" si="294"/>
        <v>337.03599837443016</v>
      </c>
      <c r="AJ70" s="420">
        <f t="shared" si="295"/>
        <v>301.31328886930623</v>
      </c>
      <c r="AK70" s="421">
        <f t="shared" ref="AK70:AP70" si="314">AE70+VLOOKUP($E70,$A:$BR,AK$1,FALSE)+VLOOKUP($F70,$A:$BR,AK$1,FALSE)</f>
        <v>392.94980455636323</v>
      </c>
      <c r="AL70" s="421">
        <f t="shared" si="314"/>
        <v>392.94980455636323</v>
      </c>
      <c r="AM70" s="421">
        <f t="shared" si="314"/>
        <v>402.2687722533521</v>
      </c>
      <c r="AN70" s="421">
        <f t="shared" si="314"/>
        <v>371.20554659672257</v>
      </c>
      <c r="AO70" s="421">
        <f t="shared" si="314"/>
        <v>394.50296583919476</v>
      </c>
      <c r="AP70" s="421">
        <f t="shared" si="314"/>
        <v>363.43974018256523</v>
      </c>
      <c r="AQ70" s="417">
        <f>VLOOKUP($J70,Fatores!$G$1:$J$5,3,FALSE)</f>
        <v>1.3186317794730578</v>
      </c>
      <c r="AR70" s="417">
        <f>VLOOKUP($C70,Fatores!$A:$D,3,FALSE)</f>
        <v>1</v>
      </c>
      <c r="AS70" s="420">
        <f t="shared" si="297"/>
        <v>276.91267368934211</v>
      </c>
      <c r="AT70" s="420">
        <f t="shared" si="298"/>
        <v>276.91267368934211</v>
      </c>
      <c r="AU70" s="420">
        <f t="shared" si="299"/>
        <v>288.78035970459968</v>
      </c>
      <c r="AV70" s="420">
        <f t="shared" si="300"/>
        <v>262.40772411513848</v>
      </c>
      <c r="AW70" s="420">
        <f t="shared" si="301"/>
        <v>286.14309614565354</v>
      </c>
      <c r="AX70" s="420">
        <f t="shared" si="302"/>
        <v>255.81456521777321</v>
      </c>
      <c r="AY70" s="421">
        <f t="shared" ref="AY70:BD70" si="315">AS70+VLOOKUP($E70,$A:$BR,AY$1,FALSE)+VLOOKUP($F70,$A:$BR,AY$1,FALSE)</f>
        <v>333.61384020668356</v>
      </c>
      <c r="AZ70" s="421">
        <f t="shared" si="315"/>
        <v>333.61384020668362</v>
      </c>
      <c r="BA70" s="421">
        <f t="shared" si="315"/>
        <v>341.52563088352196</v>
      </c>
      <c r="BB70" s="421">
        <f t="shared" si="315"/>
        <v>315.15299529406082</v>
      </c>
      <c r="BC70" s="421">
        <f t="shared" si="315"/>
        <v>334.93247198615671</v>
      </c>
      <c r="BD70" s="421">
        <f t="shared" si="315"/>
        <v>308.55983639669552</v>
      </c>
      <c r="BE70" s="417">
        <f>VLOOKUP($J70,Fatores!$G$1:$J$5,4,FALSE)</f>
        <v>1</v>
      </c>
      <c r="BF70" s="417">
        <f>VLOOKUP($C70,Fatores!$A:$D,4,FALSE)</f>
        <v>1</v>
      </c>
      <c r="BG70" s="420">
        <f t="shared" si="304"/>
        <v>210</v>
      </c>
      <c r="BH70" s="420">
        <f t="shared" si="305"/>
        <v>210</v>
      </c>
      <c r="BI70" s="420">
        <f t="shared" si="306"/>
        <v>219</v>
      </c>
      <c r="BJ70" s="420">
        <f t="shared" si="307"/>
        <v>199</v>
      </c>
      <c r="BK70" s="420">
        <f t="shared" si="308"/>
        <v>217</v>
      </c>
      <c r="BL70" s="420">
        <f t="shared" si="309"/>
        <v>194</v>
      </c>
      <c r="BM70" s="421">
        <f t="shared" ref="BM70:BR70" si="316">BG70+VLOOKUP($E70,$A:$BR,BM$1,FALSE)+VLOOKUP($F70,$A:$BR,BM$1,FALSE)</f>
        <v>253</v>
      </c>
      <c r="BN70" s="421">
        <f t="shared" si="316"/>
        <v>253</v>
      </c>
      <c r="BO70" s="421">
        <f t="shared" si="316"/>
        <v>259</v>
      </c>
      <c r="BP70" s="421">
        <f t="shared" si="316"/>
        <v>239</v>
      </c>
      <c r="BQ70" s="421">
        <f t="shared" si="316"/>
        <v>254</v>
      </c>
      <c r="BR70" s="421">
        <f t="shared" si="316"/>
        <v>234</v>
      </c>
    </row>
    <row r="71" spans="1:70" x14ac:dyDescent="0.25">
      <c r="A71" s="431">
        <v>130</v>
      </c>
      <c r="B71" s="424"/>
      <c r="C71" s="424" t="s">
        <v>31</v>
      </c>
      <c r="D71" s="437" t="s">
        <v>31</v>
      </c>
      <c r="E71" s="444">
        <v>129</v>
      </c>
      <c r="F71" s="424"/>
      <c r="G71" s="424"/>
      <c r="H71" s="424"/>
      <c r="I71" s="432"/>
      <c r="J71" s="440">
        <v>1</v>
      </c>
      <c r="K71" s="419">
        <f>VLOOKUP($A71,Prevs!$C:$I,Ajustes!K$1,FALSE)</f>
        <v>261</v>
      </c>
      <c r="L71" s="419">
        <f>VLOOKUP($A71,Prevs!$C:$I,Ajustes!L$1,FALSE)</f>
        <v>261</v>
      </c>
      <c r="M71" s="419">
        <f>VLOOKUP($A71,Prevs!$C:$I,Ajustes!M$1,FALSE)</f>
        <v>268</v>
      </c>
      <c r="N71" s="419">
        <f>VLOOKUP($A71,Prevs!$C:$I,Ajustes!N$1,FALSE)</f>
        <v>245</v>
      </c>
      <c r="O71" s="419">
        <f>VLOOKUP($A71,Prevs!$C:$I,Ajustes!O$1,FALSE)</f>
        <v>262</v>
      </c>
      <c r="P71" s="419">
        <f>VLOOKUP($A71,Prevs!$C:$I,Ajustes!P$1,FALSE)</f>
        <v>243</v>
      </c>
      <c r="Q71" s="419">
        <f>VLOOKUP($E71,Prevs!$C:$I,Ajustes!K$1,FALSE)</f>
        <v>253</v>
      </c>
      <c r="R71" s="419">
        <f>VLOOKUP($E71,Prevs!$C:$I,Ajustes!L$1,FALSE)</f>
        <v>253</v>
      </c>
      <c r="S71" s="419">
        <f>VLOOKUP($E71,Prevs!$C:$I,Ajustes!M$1,FALSE)</f>
        <v>259</v>
      </c>
      <c r="T71" s="419">
        <f>VLOOKUP($E71,Prevs!$C:$I,Ajustes!N$1,FALSE)</f>
        <v>239</v>
      </c>
      <c r="U71" s="419">
        <f>VLOOKUP($E71,Prevs!$C:$I,Ajustes!O$1,FALSE)</f>
        <v>254</v>
      </c>
      <c r="V71" s="419">
        <f>VLOOKUP($E71,Prevs!$C:$I,Ajustes!P$1,FALSE)</f>
        <v>234</v>
      </c>
      <c r="W71" s="419">
        <f t="shared" si="281"/>
        <v>8</v>
      </c>
      <c r="X71" s="419">
        <f t="shared" si="282"/>
        <v>8</v>
      </c>
      <c r="Y71" s="419">
        <f t="shared" si="283"/>
        <v>9</v>
      </c>
      <c r="Z71" s="419">
        <f t="shared" si="284"/>
        <v>6</v>
      </c>
      <c r="AA71" s="419">
        <f t="shared" si="285"/>
        <v>8</v>
      </c>
      <c r="AB71" s="419">
        <f t="shared" si="286"/>
        <v>9</v>
      </c>
      <c r="AC71" s="417">
        <f>VLOOKUP($J71,Fatores!$G$1:$J$5,2,FALSE)</f>
        <v>1.5531612828314754</v>
      </c>
      <c r="AD71" s="417">
        <f>VLOOKUP($C71,Fatores!$A:$D,2,FALSE)</f>
        <v>1</v>
      </c>
      <c r="AE71" s="420">
        <f t="shared" si="290"/>
        <v>12.425290262651803</v>
      </c>
      <c r="AF71" s="420">
        <f t="shared" si="291"/>
        <v>12.425290262651803</v>
      </c>
      <c r="AG71" s="420">
        <f t="shared" si="292"/>
        <v>13.978451545483278</v>
      </c>
      <c r="AH71" s="420">
        <f t="shared" si="293"/>
        <v>9.3189676969888531</v>
      </c>
      <c r="AI71" s="420">
        <f t="shared" si="294"/>
        <v>12.425290262651803</v>
      </c>
      <c r="AJ71" s="420">
        <f t="shared" si="295"/>
        <v>13.978451545483278</v>
      </c>
      <c r="AK71" s="421">
        <f t="shared" ref="AK71:AP71" si="317">AE71+VLOOKUP($E71,$A:$BR,AK$1,FALSE)</f>
        <v>405.37509481901503</v>
      </c>
      <c r="AL71" s="421">
        <f t="shared" si="317"/>
        <v>405.37509481901503</v>
      </c>
      <c r="AM71" s="421">
        <f t="shared" si="317"/>
        <v>416.24722379883536</v>
      </c>
      <c r="AN71" s="421">
        <f t="shared" si="317"/>
        <v>380.52451429371143</v>
      </c>
      <c r="AO71" s="421">
        <f t="shared" si="317"/>
        <v>406.92825610184656</v>
      </c>
      <c r="AP71" s="421">
        <f t="shared" si="317"/>
        <v>377.4181917280485</v>
      </c>
      <c r="AQ71" s="417">
        <f>VLOOKUP($J71,Fatores!$G$1:$J$5,3,FALSE)</f>
        <v>1.3186317794730578</v>
      </c>
      <c r="AR71" s="417">
        <f>VLOOKUP($C71,Fatores!$A:$D,3,FALSE)</f>
        <v>1</v>
      </c>
      <c r="AS71" s="420">
        <f t="shared" si="297"/>
        <v>10.549054235784462</v>
      </c>
      <c r="AT71" s="420">
        <f t="shared" si="298"/>
        <v>10.549054235784462</v>
      </c>
      <c r="AU71" s="420">
        <f t="shared" si="299"/>
        <v>11.867686015257521</v>
      </c>
      <c r="AV71" s="420">
        <f t="shared" si="300"/>
        <v>7.911790676838347</v>
      </c>
      <c r="AW71" s="420">
        <f t="shared" si="301"/>
        <v>10.549054235784462</v>
      </c>
      <c r="AX71" s="420">
        <f t="shared" si="302"/>
        <v>11.867686015257521</v>
      </c>
      <c r="AY71" s="421">
        <f t="shared" ref="AY71:BD71" si="318">AS71+VLOOKUP($E71,$A:$BR,AY$1,FALSE)</f>
        <v>344.16289444246803</v>
      </c>
      <c r="AZ71" s="421">
        <f t="shared" si="318"/>
        <v>344.16289444246809</v>
      </c>
      <c r="BA71" s="421">
        <f t="shared" si="318"/>
        <v>353.39331689877946</v>
      </c>
      <c r="BB71" s="421">
        <f t="shared" si="318"/>
        <v>323.06478597089915</v>
      </c>
      <c r="BC71" s="421">
        <f t="shared" si="318"/>
        <v>345.48152622194118</v>
      </c>
      <c r="BD71" s="421">
        <f t="shared" si="318"/>
        <v>320.42752241195302</v>
      </c>
      <c r="BE71" s="417">
        <f>VLOOKUP($J71,Fatores!$G$1:$J$5,4,FALSE)</f>
        <v>1</v>
      </c>
      <c r="BF71" s="417">
        <f>VLOOKUP($C71,Fatores!$A:$D,4,FALSE)</f>
        <v>1</v>
      </c>
      <c r="BG71" s="420">
        <f t="shared" si="304"/>
        <v>8</v>
      </c>
      <c r="BH71" s="420">
        <f t="shared" si="305"/>
        <v>8</v>
      </c>
      <c r="BI71" s="420">
        <f t="shared" si="306"/>
        <v>9</v>
      </c>
      <c r="BJ71" s="420">
        <f t="shared" si="307"/>
        <v>6</v>
      </c>
      <c r="BK71" s="420">
        <f t="shared" si="308"/>
        <v>8</v>
      </c>
      <c r="BL71" s="420">
        <f t="shared" si="309"/>
        <v>9</v>
      </c>
      <c r="BM71" s="421">
        <f t="shared" ref="BM71:BR71" si="319">BG71+VLOOKUP($E71,$A:$BR,BM$1,FALSE)</f>
        <v>261</v>
      </c>
      <c r="BN71" s="421">
        <f t="shared" si="319"/>
        <v>261</v>
      </c>
      <c r="BO71" s="421">
        <f t="shared" si="319"/>
        <v>268</v>
      </c>
      <c r="BP71" s="421">
        <f t="shared" si="319"/>
        <v>245</v>
      </c>
      <c r="BQ71" s="421">
        <f t="shared" si="319"/>
        <v>262</v>
      </c>
      <c r="BR71" s="421">
        <f t="shared" si="319"/>
        <v>243</v>
      </c>
    </row>
    <row r="72" spans="1:70" x14ac:dyDescent="0.25">
      <c r="A72" s="431">
        <v>134</v>
      </c>
      <c r="B72" s="424"/>
      <c r="C72" s="424" t="s">
        <v>34</v>
      </c>
      <c r="D72" s="437" t="s">
        <v>34</v>
      </c>
      <c r="E72" s="431"/>
      <c r="F72" s="424"/>
      <c r="G72" s="424"/>
      <c r="H72" s="424"/>
      <c r="I72" s="432"/>
      <c r="J72" s="440">
        <v>1</v>
      </c>
      <c r="K72" s="419">
        <f>VLOOKUP($A72,Prevs!$C:$I,Ajustes!K$1,FALSE)</f>
        <v>42</v>
      </c>
      <c r="L72" s="419">
        <f>VLOOKUP($A72,Prevs!$C:$I,Ajustes!L$1,FALSE)</f>
        <v>41</v>
      </c>
      <c r="M72" s="419">
        <f>VLOOKUP($A72,Prevs!$C:$I,Ajustes!M$1,FALSE)</f>
        <v>40</v>
      </c>
      <c r="N72" s="419">
        <f>VLOOKUP($A72,Prevs!$C:$I,Ajustes!N$1,FALSE)</f>
        <v>39</v>
      </c>
      <c r="O72" s="419">
        <f>VLOOKUP($A72,Prevs!$C:$I,Ajustes!O$1,FALSE)</f>
        <v>36</v>
      </c>
      <c r="P72" s="419">
        <f>VLOOKUP($A72,Prevs!$C:$I,Ajustes!P$1,FALSE)</f>
        <v>34</v>
      </c>
      <c r="Q72" s="419">
        <v>0</v>
      </c>
      <c r="R72" s="419">
        <v>0</v>
      </c>
      <c r="S72" s="419">
        <v>0</v>
      </c>
      <c r="T72" s="419">
        <v>0</v>
      </c>
      <c r="U72" s="419">
        <v>0</v>
      </c>
      <c r="V72" s="419">
        <v>0</v>
      </c>
      <c r="W72" s="419">
        <f t="shared" ref="W72:AB72" si="320">K72-Q72</f>
        <v>42</v>
      </c>
      <c r="X72" s="419">
        <f t="shared" si="320"/>
        <v>41</v>
      </c>
      <c r="Y72" s="419">
        <f t="shared" si="320"/>
        <v>40</v>
      </c>
      <c r="Z72" s="419">
        <f t="shared" si="320"/>
        <v>39</v>
      </c>
      <c r="AA72" s="419">
        <f t="shared" si="320"/>
        <v>36</v>
      </c>
      <c r="AB72" s="419">
        <f t="shared" si="320"/>
        <v>34</v>
      </c>
      <c r="AC72" s="417">
        <f>VLOOKUP($J72,Fatores!$G$1:$J$5,2,FALSE)</f>
        <v>1.5531612828314754</v>
      </c>
      <c r="AD72" s="417">
        <f>VLOOKUP($C72,Fatores!$A:$D,2,FALSE)</f>
        <v>1</v>
      </c>
      <c r="AE72" s="420">
        <f t="shared" si="290"/>
        <v>65.232773878921961</v>
      </c>
      <c r="AF72" s="420">
        <f t="shared" si="291"/>
        <v>63.679612596090493</v>
      </c>
      <c r="AG72" s="420">
        <f t="shared" si="292"/>
        <v>62.126451313259011</v>
      </c>
      <c r="AH72" s="420">
        <f t="shared" si="293"/>
        <v>60.573290030427536</v>
      </c>
      <c r="AI72" s="420">
        <f t="shared" si="294"/>
        <v>55.913806181933111</v>
      </c>
      <c r="AJ72" s="420">
        <f t="shared" si="295"/>
        <v>52.807483616270162</v>
      </c>
      <c r="AK72" s="421">
        <f t="shared" ref="AK72:AP72" si="321">AE72</f>
        <v>65.232773878921961</v>
      </c>
      <c r="AL72" s="421">
        <f t="shared" si="321"/>
        <v>63.679612596090493</v>
      </c>
      <c r="AM72" s="421">
        <f t="shared" si="321"/>
        <v>62.126451313259011</v>
      </c>
      <c r="AN72" s="421">
        <f t="shared" si="321"/>
        <v>60.573290030427536</v>
      </c>
      <c r="AO72" s="421">
        <f t="shared" si="321"/>
        <v>55.913806181933111</v>
      </c>
      <c r="AP72" s="421">
        <f t="shared" si="321"/>
        <v>52.807483616270162</v>
      </c>
      <c r="AQ72" s="417">
        <f>VLOOKUP($J72,Fatores!$G$1:$J$5,3,FALSE)</f>
        <v>1.3186317794730578</v>
      </c>
      <c r="AR72" s="417">
        <f>VLOOKUP($C72,Fatores!$A:$D,3,FALSE)</f>
        <v>1</v>
      </c>
      <c r="AS72" s="420">
        <f t="shared" si="297"/>
        <v>55.382534737868426</v>
      </c>
      <c r="AT72" s="420">
        <f t="shared" si="298"/>
        <v>54.063902958395367</v>
      </c>
      <c r="AU72" s="420">
        <f t="shared" si="299"/>
        <v>52.745271178922309</v>
      </c>
      <c r="AV72" s="420">
        <f t="shared" si="300"/>
        <v>51.42663939944925</v>
      </c>
      <c r="AW72" s="420">
        <f t="shared" si="301"/>
        <v>47.470744061030082</v>
      </c>
      <c r="AX72" s="420">
        <f t="shared" si="302"/>
        <v>44.833480502083965</v>
      </c>
      <c r="AY72" s="421">
        <f t="shared" ref="AY72" si="322">AS72</f>
        <v>55.382534737868426</v>
      </c>
      <c r="AZ72" s="421">
        <f t="shared" ref="AZ72" si="323">AT72</f>
        <v>54.063902958395367</v>
      </c>
      <c r="BA72" s="421">
        <f t="shared" ref="BA72" si="324">AU72</f>
        <v>52.745271178922309</v>
      </c>
      <c r="BB72" s="421">
        <f t="shared" ref="BB72" si="325">AV72</f>
        <v>51.42663939944925</v>
      </c>
      <c r="BC72" s="421">
        <f t="shared" ref="BC72" si="326">AW72</f>
        <v>47.470744061030082</v>
      </c>
      <c r="BD72" s="421">
        <f t="shared" ref="BD72" si="327">AX72</f>
        <v>44.833480502083965</v>
      </c>
      <c r="BE72" s="417">
        <f>VLOOKUP($J72,Fatores!$G$1:$J$5,4,FALSE)</f>
        <v>1</v>
      </c>
      <c r="BF72" s="417">
        <f>VLOOKUP($C72,Fatores!$A:$D,4,FALSE)</f>
        <v>1</v>
      </c>
      <c r="BG72" s="420">
        <f t="shared" si="304"/>
        <v>42</v>
      </c>
      <c r="BH72" s="420">
        <f t="shared" si="305"/>
        <v>41</v>
      </c>
      <c r="BI72" s="420">
        <f t="shared" si="306"/>
        <v>40</v>
      </c>
      <c r="BJ72" s="420">
        <f t="shared" si="307"/>
        <v>39</v>
      </c>
      <c r="BK72" s="420">
        <f t="shared" si="308"/>
        <v>36</v>
      </c>
      <c r="BL72" s="420">
        <f t="shared" si="309"/>
        <v>34</v>
      </c>
      <c r="BM72" s="421">
        <f t="shared" ref="BM72" si="328">BG72</f>
        <v>42</v>
      </c>
      <c r="BN72" s="421">
        <f t="shared" ref="BN72" si="329">BH72</f>
        <v>41</v>
      </c>
      <c r="BO72" s="421">
        <f t="shared" ref="BO72" si="330">BI72</f>
        <v>40</v>
      </c>
      <c r="BP72" s="421">
        <f t="shared" ref="BP72" si="331">BJ72</f>
        <v>39</v>
      </c>
      <c r="BQ72" s="421">
        <f t="shared" ref="BQ72" si="332">BK72</f>
        <v>36</v>
      </c>
      <c r="BR72" s="421">
        <f t="shared" ref="BR72" si="333">BL72</f>
        <v>34</v>
      </c>
    </row>
    <row r="73" spans="1:70" x14ac:dyDescent="0.25">
      <c r="A73" s="431">
        <v>141</v>
      </c>
      <c r="B73" s="424"/>
      <c r="C73" s="424" t="s">
        <v>34</v>
      </c>
      <c r="D73" s="437" t="s">
        <v>34</v>
      </c>
      <c r="E73" s="444">
        <v>263</v>
      </c>
      <c r="F73" s="425">
        <v>149</v>
      </c>
      <c r="G73" s="425">
        <v>183</v>
      </c>
      <c r="H73" s="424"/>
      <c r="I73" s="432"/>
      <c r="J73" s="440">
        <v>1</v>
      </c>
      <c r="K73" s="419">
        <f>VLOOKUP($A73,Prevs!$C:$I,Ajustes!K$1,FALSE)</f>
        <v>242</v>
      </c>
      <c r="L73" s="419">
        <f>VLOOKUP($A73,Prevs!$C:$I,Ajustes!L$1,FALSE)</f>
        <v>242</v>
      </c>
      <c r="M73" s="419">
        <f>VLOOKUP($A73,Prevs!$C:$I,Ajustes!M$1,FALSE)</f>
        <v>232</v>
      </c>
      <c r="N73" s="419">
        <f>VLOOKUP($A73,Prevs!$C:$I,Ajustes!N$1,FALSE)</f>
        <v>229</v>
      </c>
      <c r="O73" s="419">
        <f>VLOOKUP($A73,Prevs!$C:$I,Ajustes!O$1,FALSE)</f>
        <v>226</v>
      </c>
      <c r="P73" s="419">
        <f>VLOOKUP($A73,Prevs!$C:$I,Ajustes!P$1,FALSE)</f>
        <v>224</v>
      </c>
      <c r="Q73" s="419">
        <f>VLOOKUP($E73,Prevs!$C:$I,Ajustes!K$1,FALSE)+VLOOKUP($F73,Prevs!$C:$I,Ajustes!K$1,FALSE)+VLOOKUP($G73,Prevs!$C:$I,Ajustes!K$1,FALSE)</f>
        <v>128</v>
      </c>
      <c r="R73" s="419">
        <f>VLOOKUP($E73,Prevs!$C:$I,Ajustes!L$1,FALSE)+VLOOKUP($F73,Prevs!$C:$I,Ajustes!L$1,FALSE)+VLOOKUP($G73,Prevs!$C:$I,Ajustes!L$1,FALSE)</f>
        <v>128</v>
      </c>
      <c r="S73" s="419">
        <f>VLOOKUP($E73,Prevs!$C:$I,Ajustes!M$1,FALSE)+VLOOKUP($F73,Prevs!$C:$I,Ajustes!M$1,FALSE)+VLOOKUP($G73,Prevs!$C:$I,Ajustes!M$1,FALSE)</f>
        <v>124</v>
      </c>
      <c r="T73" s="419">
        <f>VLOOKUP($E73,Prevs!$C:$I,Ajustes!N$1,FALSE)+VLOOKUP($F73,Prevs!$C:$I,Ajustes!N$1,FALSE)+VLOOKUP($G73,Prevs!$C:$I,Ajustes!N$1,FALSE)</f>
        <v>121</v>
      </c>
      <c r="U73" s="419">
        <f>VLOOKUP($E73,Prevs!$C:$I,Ajustes!O$1,FALSE)+VLOOKUP($F73,Prevs!$C:$I,Ajustes!O$1,FALSE)+VLOOKUP($G73,Prevs!$C:$I,Ajustes!O$1,FALSE)</f>
        <v>121</v>
      </c>
      <c r="V73" s="419">
        <f>VLOOKUP($E73,Prevs!$C:$I,Ajustes!P$1,FALSE)+VLOOKUP($F73,Prevs!$C:$I,Ajustes!P$1,FALSE)+VLOOKUP($G73,Prevs!$C:$I,Ajustes!P$1,FALSE)</f>
        <v>118</v>
      </c>
      <c r="W73" s="419">
        <f t="shared" ref="W73" si="334">K73-Q73</f>
        <v>114</v>
      </c>
      <c r="X73" s="419">
        <f t="shared" ref="X73" si="335">L73-R73</f>
        <v>114</v>
      </c>
      <c r="Y73" s="419">
        <f t="shared" ref="Y73" si="336">M73-S73</f>
        <v>108</v>
      </c>
      <c r="Z73" s="419">
        <f t="shared" ref="Z73" si="337">N73-T73</f>
        <v>108</v>
      </c>
      <c r="AA73" s="419">
        <f t="shared" ref="AA73" si="338">O73-U73</f>
        <v>105</v>
      </c>
      <c r="AB73" s="419">
        <f t="shared" ref="AB73" si="339">P73-V73</f>
        <v>106</v>
      </c>
      <c r="AC73" s="417">
        <f>VLOOKUP($J73,Fatores!$G$1:$J$5,2,FALSE)</f>
        <v>1.5531612828314754</v>
      </c>
      <c r="AD73" s="417">
        <f>VLOOKUP($C73,Fatores!$A:$D,2,FALSE)</f>
        <v>1</v>
      </c>
      <c r="AE73" s="420">
        <f t="shared" si="290"/>
        <v>177.06038624278818</v>
      </c>
      <c r="AF73" s="420">
        <f t="shared" si="291"/>
        <v>177.06038624278818</v>
      </c>
      <c r="AG73" s="420">
        <f t="shared" si="292"/>
        <v>167.74141854579935</v>
      </c>
      <c r="AH73" s="420">
        <f t="shared" si="293"/>
        <v>167.74141854579935</v>
      </c>
      <c r="AI73" s="420">
        <f t="shared" si="294"/>
        <v>163.08193469730492</v>
      </c>
      <c r="AJ73" s="420">
        <f t="shared" si="295"/>
        <v>164.63509598013638</v>
      </c>
      <c r="AK73" s="421">
        <f t="shared" ref="AK73:AP73" si="340">AE73+VLOOKUP($E73,$A:$BR,AK$1,FALSE)+VLOOKUP($F73,$A:$BR,AK$1,FALSE)+VLOOKUP($G73,$A:$BR,AK$1,FALSE)</f>
        <v>375.86503044521709</v>
      </c>
      <c r="AL73" s="421">
        <f t="shared" si="340"/>
        <v>375.86503044521709</v>
      </c>
      <c r="AM73" s="421">
        <f t="shared" si="340"/>
        <v>360.33341761690224</v>
      </c>
      <c r="AN73" s="421">
        <f t="shared" si="340"/>
        <v>355.67393376840789</v>
      </c>
      <c r="AO73" s="421">
        <f t="shared" si="340"/>
        <v>351.01444991991343</v>
      </c>
      <c r="AP73" s="421">
        <f t="shared" si="340"/>
        <v>347.90812735425044</v>
      </c>
      <c r="AQ73" s="417">
        <f>VLOOKUP($J73,Fatores!$G$1:$J$5,3,FALSE)</f>
        <v>1.3186317794730578</v>
      </c>
      <c r="AR73" s="417">
        <f>VLOOKUP($C73,Fatores!$A:$D,3,FALSE)</f>
        <v>1</v>
      </c>
      <c r="AS73" s="420">
        <f t="shared" si="297"/>
        <v>150.32402285992859</v>
      </c>
      <c r="AT73" s="420">
        <f t="shared" si="298"/>
        <v>150.32402285992859</v>
      </c>
      <c r="AU73" s="420">
        <f t="shared" si="299"/>
        <v>142.41223218309023</v>
      </c>
      <c r="AV73" s="420">
        <f t="shared" si="300"/>
        <v>142.41223218309023</v>
      </c>
      <c r="AW73" s="420">
        <f t="shared" si="301"/>
        <v>138.45633684467106</v>
      </c>
      <c r="AX73" s="420">
        <f t="shared" si="302"/>
        <v>139.77496862414412</v>
      </c>
      <c r="AY73" s="421">
        <f t="shared" ref="AY73:BD73" si="341">AS73+VLOOKUP($E73,$A:$BR,AY$1,FALSE)+VLOOKUP($F73,$A:$BR,AY$1,FALSE)+VLOOKUP($G73,$A:$BR,AY$1,FALSE)</f>
        <v>319.10889063247998</v>
      </c>
      <c r="AZ73" s="421">
        <f t="shared" si="341"/>
        <v>319.10889063247998</v>
      </c>
      <c r="BA73" s="421">
        <f t="shared" si="341"/>
        <v>305.92257283774939</v>
      </c>
      <c r="BB73" s="421">
        <f t="shared" si="341"/>
        <v>301.96667749933022</v>
      </c>
      <c r="BC73" s="421">
        <f t="shared" si="341"/>
        <v>298.01078216091105</v>
      </c>
      <c r="BD73" s="421">
        <f t="shared" si="341"/>
        <v>295.37351860196492</v>
      </c>
      <c r="BE73" s="417">
        <f>VLOOKUP($J73,Fatores!$G$1:$J$5,4,FALSE)</f>
        <v>1</v>
      </c>
      <c r="BF73" s="417">
        <f>VLOOKUP($C73,Fatores!$A:$D,4,FALSE)</f>
        <v>1</v>
      </c>
      <c r="BG73" s="420">
        <f t="shared" si="304"/>
        <v>114</v>
      </c>
      <c r="BH73" s="420">
        <f t="shared" si="305"/>
        <v>114</v>
      </c>
      <c r="BI73" s="420">
        <f t="shared" si="306"/>
        <v>108</v>
      </c>
      <c r="BJ73" s="420">
        <f t="shared" si="307"/>
        <v>108</v>
      </c>
      <c r="BK73" s="420">
        <f t="shared" si="308"/>
        <v>105</v>
      </c>
      <c r="BL73" s="420">
        <f t="shared" si="309"/>
        <v>106</v>
      </c>
      <c r="BM73" s="421">
        <f t="shared" ref="BM73:BR73" si="342">BG73+VLOOKUP($E73,$A:$BR,BM$1,FALSE)+VLOOKUP($F73,$A:$BR,BM$1,FALSE)+VLOOKUP($G73,$A:$BR,BM$1,FALSE)</f>
        <v>242</v>
      </c>
      <c r="BN73" s="421">
        <f t="shared" si="342"/>
        <v>242</v>
      </c>
      <c r="BO73" s="421">
        <f t="shared" si="342"/>
        <v>232</v>
      </c>
      <c r="BP73" s="421">
        <f t="shared" si="342"/>
        <v>229</v>
      </c>
      <c r="BQ73" s="421">
        <f t="shared" si="342"/>
        <v>226</v>
      </c>
      <c r="BR73" s="421">
        <f t="shared" si="342"/>
        <v>224</v>
      </c>
    </row>
    <row r="74" spans="1:70" x14ac:dyDescent="0.25">
      <c r="A74" s="431">
        <v>144</v>
      </c>
      <c r="B74" s="424"/>
      <c r="C74" s="424" t="s">
        <v>34</v>
      </c>
      <c r="D74" s="437" t="s">
        <v>34</v>
      </c>
      <c r="E74" s="444">
        <v>148</v>
      </c>
      <c r="F74" s="424"/>
      <c r="G74" s="424"/>
      <c r="H74" s="424"/>
      <c r="I74" s="432"/>
      <c r="J74" s="440">
        <v>1</v>
      </c>
      <c r="K74" s="419">
        <f>VLOOKUP($A74,Prevs!$C:$I,Ajustes!K$1,FALSE)</f>
        <v>317</v>
      </c>
      <c r="L74" s="419">
        <f>VLOOKUP($A74,Prevs!$C:$I,Ajustes!L$1,FALSE)</f>
        <v>319</v>
      </c>
      <c r="M74" s="419">
        <f>VLOOKUP($A74,Prevs!$C:$I,Ajustes!M$1,FALSE)</f>
        <v>298</v>
      </c>
      <c r="N74" s="419">
        <f>VLOOKUP($A74,Prevs!$C:$I,Ajustes!N$1,FALSE)</f>
        <v>290</v>
      </c>
      <c r="O74" s="419">
        <f>VLOOKUP($A74,Prevs!$C:$I,Ajustes!O$1,FALSE)</f>
        <v>284</v>
      </c>
      <c r="P74" s="419">
        <f>VLOOKUP($A74,Prevs!$C:$I,Ajustes!P$1,FALSE)</f>
        <v>287</v>
      </c>
      <c r="Q74" s="419">
        <f>VLOOKUP($E74,Prevs!$C:$I,Ajustes!K$1,FALSE)</f>
        <v>281</v>
      </c>
      <c r="R74" s="419">
        <f>VLOOKUP($E74,Prevs!$C:$I,Ajustes!L$1,FALSE)</f>
        <v>282</v>
      </c>
      <c r="S74" s="419">
        <f>VLOOKUP($E74,Prevs!$C:$I,Ajustes!M$1,FALSE)</f>
        <v>264</v>
      </c>
      <c r="T74" s="419">
        <f>VLOOKUP($E74,Prevs!$C:$I,Ajustes!N$1,FALSE)</f>
        <v>258</v>
      </c>
      <c r="U74" s="419">
        <f>VLOOKUP($E74,Prevs!$C:$I,Ajustes!O$1,FALSE)</f>
        <v>252</v>
      </c>
      <c r="V74" s="419">
        <f>VLOOKUP($E74,Prevs!$C:$I,Ajustes!P$1,FALSE)</f>
        <v>256</v>
      </c>
      <c r="W74" s="419">
        <f t="shared" ref="W74" si="343">K74-Q74</f>
        <v>36</v>
      </c>
      <c r="X74" s="419">
        <f t="shared" ref="X74" si="344">L74-R74</f>
        <v>37</v>
      </c>
      <c r="Y74" s="419">
        <f t="shared" ref="Y74" si="345">M74-S74</f>
        <v>34</v>
      </c>
      <c r="Z74" s="419">
        <f t="shared" ref="Z74" si="346">N74-T74</f>
        <v>32</v>
      </c>
      <c r="AA74" s="419">
        <f t="shared" ref="AA74" si="347">O74-U74</f>
        <v>32</v>
      </c>
      <c r="AB74" s="419">
        <f t="shared" ref="AB74" si="348">P74-V74</f>
        <v>31</v>
      </c>
      <c r="AC74" s="417">
        <f>VLOOKUP($J74,Fatores!$G$1:$J$5,2,FALSE)</f>
        <v>1.5531612828314754</v>
      </c>
      <c r="AD74" s="417">
        <f>VLOOKUP($C74,Fatores!$A:$D,2,FALSE)</f>
        <v>1</v>
      </c>
      <c r="AE74" s="420">
        <f t="shared" si="290"/>
        <v>55.913806181933111</v>
      </c>
      <c r="AF74" s="420">
        <f t="shared" si="291"/>
        <v>57.466967464764586</v>
      </c>
      <c r="AG74" s="420">
        <f t="shared" si="292"/>
        <v>52.807483616270162</v>
      </c>
      <c r="AH74" s="420">
        <f t="shared" si="293"/>
        <v>49.701161050607212</v>
      </c>
      <c r="AI74" s="420">
        <f t="shared" si="294"/>
        <v>49.701161050607212</v>
      </c>
      <c r="AJ74" s="420">
        <f t="shared" si="295"/>
        <v>48.147999767775737</v>
      </c>
      <c r="AK74" s="421">
        <f t="shared" ref="AK74:AP74" si="349">AE74+VLOOKUP($E74,$A:$BR,AK$1,FALSE)</f>
        <v>492.35212665757774</v>
      </c>
      <c r="AL74" s="421">
        <f t="shared" si="349"/>
        <v>495.45844922324068</v>
      </c>
      <c r="AM74" s="421">
        <f t="shared" si="349"/>
        <v>462.84206228377957</v>
      </c>
      <c r="AN74" s="421">
        <f t="shared" si="349"/>
        <v>450.41677202112788</v>
      </c>
      <c r="AO74" s="421">
        <f t="shared" si="349"/>
        <v>441.09780432413902</v>
      </c>
      <c r="AP74" s="421">
        <f t="shared" si="349"/>
        <v>445.75728817263337</v>
      </c>
      <c r="AQ74" s="417">
        <f>VLOOKUP($J74,Fatores!$G$1:$J$5,3,FALSE)</f>
        <v>1.3186317794730578</v>
      </c>
      <c r="AR74" s="417">
        <f>VLOOKUP($C74,Fatores!$A:$D,3,FALSE)</f>
        <v>1</v>
      </c>
      <c r="AS74" s="420">
        <f t="shared" si="297"/>
        <v>47.470744061030082</v>
      </c>
      <c r="AT74" s="420">
        <f t="shared" si="298"/>
        <v>48.789375840503141</v>
      </c>
      <c r="AU74" s="420">
        <f t="shared" si="299"/>
        <v>44.833480502083965</v>
      </c>
      <c r="AV74" s="420">
        <f t="shared" si="300"/>
        <v>42.196216943137848</v>
      </c>
      <c r="AW74" s="420">
        <f t="shared" si="301"/>
        <v>42.196216943137848</v>
      </c>
      <c r="AX74" s="420">
        <f t="shared" si="302"/>
        <v>40.87758516366479</v>
      </c>
      <c r="AY74" s="421">
        <f t="shared" ref="AY74:BD74" si="350">AS74+VLOOKUP($E74,$A:$BR,AY$1,FALSE)</f>
        <v>418.0062740929593</v>
      </c>
      <c r="AZ74" s="421">
        <f t="shared" si="350"/>
        <v>420.64353765190538</v>
      </c>
      <c r="BA74" s="421">
        <f t="shared" si="350"/>
        <v>392.9522702829712</v>
      </c>
      <c r="BB74" s="421">
        <f t="shared" si="350"/>
        <v>382.40321604718679</v>
      </c>
      <c r="BC74" s="421">
        <f t="shared" si="350"/>
        <v>374.49142537034845</v>
      </c>
      <c r="BD74" s="421">
        <f t="shared" si="350"/>
        <v>378.44732070876756</v>
      </c>
      <c r="BE74" s="417">
        <f>VLOOKUP($J74,Fatores!$G$1:$J$5,4,FALSE)</f>
        <v>1</v>
      </c>
      <c r="BF74" s="417">
        <f>VLOOKUP($C74,Fatores!$A:$D,4,FALSE)</f>
        <v>1</v>
      </c>
      <c r="BG74" s="420">
        <f t="shared" si="304"/>
        <v>36</v>
      </c>
      <c r="BH74" s="420">
        <f t="shared" si="305"/>
        <v>37</v>
      </c>
      <c r="BI74" s="420">
        <f t="shared" si="306"/>
        <v>34</v>
      </c>
      <c r="BJ74" s="420">
        <f t="shared" si="307"/>
        <v>32</v>
      </c>
      <c r="BK74" s="420">
        <f t="shared" si="308"/>
        <v>32</v>
      </c>
      <c r="BL74" s="420">
        <f t="shared" si="309"/>
        <v>31</v>
      </c>
      <c r="BM74" s="421">
        <f t="shared" ref="BM74:BR74" si="351">BG74+VLOOKUP($E74,$A:$BR,BM$1,FALSE)</f>
        <v>317</v>
      </c>
      <c r="BN74" s="421">
        <f t="shared" si="351"/>
        <v>319</v>
      </c>
      <c r="BO74" s="421">
        <f t="shared" si="351"/>
        <v>298</v>
      </c>
      <c r="BP74" s="421">
        <f t="shared" si="351"/>
        <v>290</v>
      </c>
      <c r="BQ74" s="421">
        <f t="shared" si="351"/>
        <v>284</v>
      </c>
      <c r="BR74" s="421">
        <f t="shared" si="351"/>
        <v>287</v>
      </c>
    </row>
    <row r="75" spans="1:70" x14ac:dyDescent="0.25">
      <c r="A75" s="431">
        <v>145</v>
      </c>
      <c r="B75" s="424"/>
      <c r="C75" s="424" t="s">
        <v>52</v>
      </c>
      <c r="D75" s="437" t="s">
        <v>500</v>
      </c>
      <c r="E75" s="431"/>
      <c r="F75" s="424"/>
      <c r="G75" s="424"/>
      <c r="H75" s="424"/>
      <c r="I75" s="432"/>
      <c r="J75" s="440">
        <v>1</v>
      </c>
      <c r="K75" s="419">
        <f>VLOOKUP($A75,Prevs!$C:$I,Ajustes!K$1,FALSE)</f>
        <v>59</v>
      </c>
      <c r="L75" s="419">
        <f>VLOOKUP($A75,Prevs!$C:$I,Ajustes!L$1,FALSE)</f>
        <v>62</v>
      </c>
      <c r="M75" s="419">
        <f>VLOOKUP($A75,Prevs!$C:$I,Ajustes!M$1,FALSE)</f>
        <v>60</v>
      </c>
      <c r="N75" s="419">
        <f>VLOOKUP($A75,Prevs!$C:$I,Ajustes!N$1,FALSE)</f>
        <v>58</v>
      </c>
      <c r="O75" s="419">
        <f>VLOOKUP($A75,Prevs!$C:$I,Ajustes!O$1,FALSE)</f>
        <v>52</v>
      </c>
      <c r="P75" s="419">
        <f>VLOOKUP($A75,Prevs!$C:$I,Ajustes!P$1,FALSE)</f>
        <v>52</v>
      </c>
      <c r="Q75" s="419">
        <v>0</v>
      </c>
      <c r="R75" s="419">
        <v>0</v>
      </c>
      <c r="S75" s="419">
        <v>0</v>
      </c>
      <c r="T75" s="419">
        <v>0</v>
      </c>
      <c r="U75" s="419">
        <v>0</v>
      </c>
      <c r="V75" s="419">
        <v>0</v>
      </c>
      <c r="W75" s="419">
        <f t="shared" ref="W75:AB76" si="352">K75-Q75</f>
        <v>59</v>
      </c>
      <c r="X75" s="419">
        <f t="shared" si="352"/>
        <v>62</v>
      </c>
      <c r="Y75" s="419">
        <f t="shared" si="352"/>
        <v>60</v>
      </c>
      <c r="Z75" s="419">
        <f t="shared" si="352"/>
        <v>58</v>
      </c>
      <c r="AA75" s="419">
        <f t="shared" si="352"/>
        <v>52</v>
      </c>
      <c r="AB75" s="419">
        <f t="shared" si="352"/>
        <v>52</v>
      </c>
      <c r="AC75" s="417">
        <f>VLOOKUP($J75,Fatores!$G$1:$J$5,2,FALSE)</f>
        <v>1.5531612828314754</v>
      </c>
      <c r="AD75" s="417">
        <f>VLOOKUP($C75,Fatores!$A:$D,2,FALSE)</f>
        <v>1</v>
      </c>
      <c r="AE75" s="420">
        <f t="shared" si="290"/>
        <v>91.636515687057042</v>
      </c>
      <c r="AF75" s="420">
        <f t="shared" si="291"/>
        <v>96.295999535551474</v>
      </c>
      <c r="AG75" s="420">
        <f t="shared" si="292"/>
        <v>93.189676969888524</v>
      </c>
      <c r="AH75" s="420">
        <f t="shared" si="293"/>
        <v>90.083354404225574</v>
      </c>
      <c r="AI75" s="420">
        <f t="shared" si="294"/>
        <v>80.764386707236724</v>
      </c>
      <c r="AJ75" s="420">
        <f t="shared" si="295"/>
        <v>80.764386707236724</v>
      </c>
      <c r="AK75" s="421">
        <f t="shared" ref="AK75:AP75" si="353">AE75</f>
        <v>91.636515687057042</v>
      </c>
      <c r="AL75" s="421">
        <f t="shared" si="353"/>
        <v>96.295999535551474</v>
      </c>
      <c r="AM75" s="421">
        <f t="shared" si="353"/>
        <v>93.189676969888524</v>
      </c>
      <c r="AN75" s="421">
        <f t="shared" si="353"/>
        <v>90.083354404225574</v>
      </c>
      <c r="AO75" s="421">
        <f t="shared" si="353"/>
        <v>80.764386707236724</v>
      </c>
      <c r="AP75" s="421">
        <f t="shared" si="353"/>
        <v>80.764386707236724</v>
      </c>
      <c r="AQ75" s="417">
        <f>VLOOKUP($J75,Fatores!$G$1:$J$5,3,FALSE)</f>
        <v>1.3186317794730578</v>
      </c>
      <c r="AR75" s="417">
        <f>VLOOKUP($C75,Fatores!$A:$D,3,FALSE)</f>
        <v>1</v>
      </c>
      <c r="AS75" s="420">
        <f t="shared" si="297"/>
        <v>77.799274988910412</v>
      </c>
      <c r="AT75" s="420">
        <f t="shared" si="298"/>
        <v>81.75517032732958</v>
      </c>
      <c r="AU75" s="420">
        <f t="shared" si="299"/>
        <v>79.117906768383463</v>
      </c>
      <c r="AV75" s="420">
        <f t="shared" si="300"/>
        <v>76.480643209437346</v>
      </c>
      <c r="AW75" s="420">
        <f t="shared" si="301"/>
        <v>68.56885253259901</v>
      </c>
      <c r="AX75" s="420">
        <f t="shared" si="302"/>
        <v>68.56885253259901</v>
      </c>
      <c r="AY75" s="421">
        <f t="shared" ref="AY75" si="354">AS75</f>
        <v>77.799274988910412</v>
      </c>
      <c r="AZ75" s="421">
        <f t="shared" ref="AZ75" si="355">AT75</f>
        <v>81.75517032732958</v>
      </c>
      <c r="BA75" s="421">
        <f t="shared" ref="BA75" si="356">AU75</f>
        <v>79.117906768383463</v>
      </c>
      <c r="BB75" s="421">
        <f t="shared" ref="BB75" si="357">AV75</f>
        <v>76.480643209437346</v>
      </c>
      <c r="BC75" s="421">
        <f t="shared" ref="BC75" si="358">AW75</f>
        <v>68.56885253259901</v>
      </c>
      <c r="BD75" s="421">
        <f t="shared" ref="BD75" si="359">AX75</f>
        <v>68.56885253259901</v>
      </c>
      <c r="BE75" s="417">
        <f>VLOOKUP($J75,Fatores!$G$1:$J$5,4,FALSE)</f>
        <v>1</v>
      </c>
      <c r="BF75" s="417">
        <f>VLOOKUP($C75,Fatores!$A:$D,4,FALSE)</f>
        <v>1</v>
      </c>
      <c r="BG75" s="420">
        <f t="shared" si="304"/>
        <v>59</v>
      </c>
      <c r="BH75" s="420">
        <f t="shared" si="305"/>
        <v>62</v>
      </c>
      <c r="BI75" s="420">
        <f t="shared" si="306"/>
        <v>60</v>
      </c>
      <c r="BJ75" s="420">
        <f t="shared" si="307"/>
        <v>58</v>
      </c>
      <c r="BK75" s="420">
        <f t="shared" si="308"/>
        <v>52</v>
      </c>
      <c r="BL75" s="420">
        <f t="shared" si="309"/>
        <v>52</v>
      </c>
      <c r="BM75" s="421">
        <f t="shared" ref="BM75" si="360">BG75</f>
        <v>59</v>
      </c>
      <c r="BN75" s="421">
        <f t="shared" ref="BN75" si="361">BH75</f>
        <v>62</v>
      </c>
      <c r="BO75" s="421">
        <f t="shared" ref="BO75" si="362">BI75</f>
        <v>60</v>
      </c>
      <c r="BP75" s="421">
        <f t="shared" ref="BP75" si="363">BJ75</f>
        <v>58</v>
      </c>
      <c r="BQ75" s="421">
        <f t="shared" ref="BQ75" si="364">BK75</f>
        <v>52</v>
      </c>
      <c r="BR75" s="421">
        <f t="shared" ref="BR75" si="365">BL75</f>
        <v>52</v>
      </c>
    </row>
    <row r="76" spans="1:70" x14ac:dyDescent="0.25">
      <c r="A76" s="431">
        <v>148</v>
      </c>
      <c r="B76" s="424"/>
      <c r="C76" s="424" t="s">
        <v>34</v>
      </c>
      <c r="D76" s="437" t="s">
        <v>34</v>
      </c>
      <c r="E76" s="444">
        <v>141</v>
      </c>
      <c r="F76" s="426"/>
      <c r="G76" s="424"/>
      <c r="H76" s="424"/>
      <c r="I76" s="432"/>
      <c r="J76" s="440">
        <v>1</v>
      </c>
      <c r="K76" s="419">
        <f>VLOOKUP($A76,Prevs!$C:$I,Ajustes!K$1,FALSE)</f>
        <v>281</v>
      </c>
      <c r="L76" s="419">
        <f>VLOOKUP($A76,Prevs!$C:$I,Ajustes!L$1,FALSE)</f>
        <v>282</v>
      </c>
      <c r="M76" s="419">
        <f>VLOOKUP($A76,Prevs!$C:$I,Ajustes!M$1,FALSE)</f>
        <v>264</v>
      </c>
      <c r="N76" s="419">
        <f>VLOOKUP($A76,Prevs!$C:$I,Ajustes!N$1,FALSE)</f>
        <v>258</v>
      </c>
      <c r="O76" s="419">
        <f>VLOOKUP($A76,Prevs!$C:$I,Ajustes!O$1,FALSE)</f>
        <v>252</v>
      </c>
      <c r="P76" s="419">
        <f>VLOOKUP($A76,Prevs!$C:$I,Ajustes!P$1,FALSE)</f>
        <v>256</v>
      </c>
      <c r="Q76" s="419">
        <f>VLOOKUP($E76,Prevs!$C:$I,Ajustes!K$1,FALSE)</f>
        <v>242</v>
      </c>
      <c r="R76" s="419">
        <f>VLOOKUP($E76,Prevs!$C:$I,Ajustes!L$1,FALSE)</f>
        <v>242</v>
      </c>
      <c r="S76" s="419">
        <f>VLOOKUP($E76,Prevs!$C:$I,Ajustes!M$1,FALSE)</f>
        <v>232</v>
      </c>
      <c r="T76" s="419">
        <f>VLOOKUP($E76,Prevs!$C:$I,Ajustes!N$1,FALSE)</f>
        <v>229</v>
      </c>
      <c r="U76" s="419">
        <f>VLOOKUP($E76,Prevs!$C:$I,Ajustes!O$1,FALSE)</f>
        <v>226</v>
      </c>
      <c r="V76" s="419">
        <f>VLOOKUP($E76,Prevs!$C:$I,Ajustes!P$1,FALSE)</f>
        <v>224</v>
      </c>
      <c r="W76" s="419">
        <f t="shared" si="352"/>
        <v>39</v>
      </c>
      <c r="X76" s="419">
        <f t="shared" si="352"/>
        <v>40</v>
      </c>
      <c r="Y76" s="419">
        <f t="shared" si="352"/>
        <v>32</v>
      </c>
      <c r="Z76" s="419">
        <f t="shared" si="352"/>
        <v>29</v>
      </c>
      <c r="AA76" s="419">
        <f t="shared" si="352"/>
        <v>26</v>
      </c>
      <c r="AB76" s="419">
        <f t="shared" si="352"/>
        <v>32</v>
      </c>
      <c r="AC76" s="417">
        <f>VLOOKUP($J76,Fatores!$G$1:$J$5,2,FALSE)</f>
        <v>1.5531612828314754</v>
      </c>
      <c r="AD76" s="417">
        <f>VLOOKUP($C76,Fatores!$A:$D,2,FALSE)</f>
        <v>1</v>
      </c>
      <c r="AE76" s="420">
        <f t="shared" si="290"/>
        <v>60.573290030427536</v>
      </c>
      <c r="AF76" s="420">
        <f t="shared" si="291"/>
        <v>62.126451313259011</v>
      </c>
      <c r="AG76" s="420">
        <f t="shared" si="292"/>
        <v>49.701161050607212</v>
      </c>
      <c r="AH76" s="420">
        <f t="shared" si="293"/>
        <v>45.041677202112787</v>
      </c>
      <c r="AI76" s="420">
        <f t="shared" si="294"/>
        <v>40.382193353618362</v>
      </c>
      <c r="AJ76" s="420">
        <f t="shared" si="295"/>
        <v>49.701161050607212</v>
      </c>
      <c r="AK76" s="421">
        <f t="shared" ref="AK76:AP76" si="366">AE76+VLOOKUP($E76,$A:$BR,AK$1,FALSE)</f>
        <v>436.43832047564462</v>
      </c>
      <c r="AL76" s="421">
        <f t="shared" si="366"/>
        <v>437.99148175847608</v>
      </c>
      <c r="AM76" s="421">
        <f t="shared" si="366"/>
        <v>410.03457866750944</v>
      </c>
      <c r="AN76" s="421">
        <f t="shared" si="366"/>
        <v>400.71561097052069</v>
      </c>
      <c r="AO76" s="421">
        <f t="shared" si="366"/>
        <v>391.39664327353182</v>
      </c>
      <c r="AP76" s="421">
        <f t="shared" si="366"/>
        <v>397.60928840485764</v>
      </c>
      <c r="AQ76" s="417">
        <f>VLOOKUP($J76,Fatores!$G$1:$J$5,3,FALSE)</f>
        <v>1.3186317794730578</v>
      </c>
      <c r="AR76" s="417">
        <f>VLOOKUP($C76,Fatores!$A:$D,3,FALSE)</f>
        <v>1</v>
      </c>
      <c r="AS76" s="420">
        <f t="shared" si="297"/>
        <v>51.42663939944925</v>
      </c>
      <c r="AT76" s="420">
        <f t="shared" si="298"/>
        <v>52.745271178922309</v>
      </c>
      <c r="AU76" s="420">
        <f t="shared" si="299"/>
        <v>42.196216943137848</v>
      </c>
      <c r="AV76" s="420">
        <f t="shared" si="300"/>
        <v>38.240321604718673</v>
      </c>
      <c r="AW76" s="420">
        <f t="shared" si="301"/>
        <v>34.284426266299505</v>
      </c>
      <c r="AX76" s="420">
        <f t="shared" si="302"/>
        <v>42.196216943137848</v>
      </c>
      <c r="AY76" s="421">
        <f t="shared" ref="AY76:BD76" si="367">AS76+VLOOKUP($E76,$A:$BR,AY$1,FALSE)</f>
        <v>370.53553003192923</v>
      </c>
      <c r="AZ76" s="421">
        <f t="shared" si="367"/>
        <v>371.85416181140226</v>
      </c>
      <c r="BA76" s="421">
        <f t="shared" si="367"/>
        <v>348.11878978088725</v>
      </c>
      <c r="BB76" s="421">
        <f t="shared" si="367"/>
        <v>340.20699910404892</v>
      </c>
      <c r="BC76" s="421">
        <f t="shared" si="367"/>
        <v>332.29520842721058</v>
      </c>
      <c r="BD76" s="421">
        <f t="shared" si="367"/>
        <v>337.56973554510279</v>
      </c>
      <c r="BE76" s="417">
        <f>VLOOKUP($J76,Fatores!$G$1:$J$5,4,FALSE)</f>
        <v>1</v>
      </c>
      <c r="BF76" s="417">
        <f>VLOOKUP($C76,Fatores!$A:$D,4,FALSE)</f>
        <v>1</v>
      </c>
      <c r="BG76" s="420">
        <f t="shared" si="304"/>
        <v>39</v>
      </c>
      <c r="BH76" s="420">
        <f t="shared" si="305"/>
        <v>40</v>
      </c>
      <c r="BI76" s="420">
        <f t="shared" si="306"/>
        <v>32</v>
      </c>
      <c r="BJ76" s="420">
        <f t="shared" si="307"/>
        <v>29</v>
      </c>
      <c r="BK76" s="420">
        <f t="shared" si="308"/>
        <v>26</v>
      </c>
      <c r="BL76" s="420">
        <f t="shared" si="309"/>
        <v>32</v>
      </c>
      <c r="BM76" s="421">
        <f t="shared" ref="BM76:BR76" si="368">BG76+VLOOKUP($E76,$A:$BR,BM$1,FALSE)</f>
        <v>281</v>
      </c>
      <c r="BN76" s="421">
        <f t="shared" si="368"/>
        <v>282</v>
      </c>
      <c r="BO76" s="421">
        <f t="shared" si="368"/>
        <v>264</v>
      </c>
      <c r="BP76" s="421">
        <f t="shared" si="368"/>
        <v>258</v>
      </c>
      <c r="BQ76" s="421">
        <f t="shared" si="368"/>
        <v>252</v>
      </c>
      <c r="BR76" s="421">
        <f t="shared" si="368"/>
        <v>256</v>
      </c>
    </row>
    <row r="77" spans="1:70" x14ac:dyDescent="0.25">
      <c r="A77" s="431">
        <v>149</v>
      </c>
      <c r="B77" s="424"/>
      <c r="C77" s="424" t="s">
        <v>34</v>
      </c>
      <c r="D77" s="437" t="s">
        <v>34</v>
      </c>
      <c r="E77" s="445"/>
      <c r="F77" s="424"/>
      <c r="G77" s="424"/>
      <c r="H77" s="424"/>
      <c r="I77" s="432"/>
      <c r="J77" s="440">
        <v>1</v>
      </c>
      <c r="K77" s="419">
        <f>VLOOKUP($A77,Prevs!$C:$I,Ajustes!K$1,FALSE)</f>
        <v>50</v>
      </c>
      <c r="L77" s="419">
        <f>VLOOKUP($A77,Prevs!$C:$I,Ajustes!L$1,FALSE)</f>
        <v>51</v>
      </c>
      <c r="M77" s="419">
        <f>VLOOKUP($A77,Prevs!$C:$I,Ajustes!M$1,FALSE)</f>
        <v>48</v>
      </c>
      <c r="N77" s="419">
        <f>VLOOKUP($A77,Prevs!$C:$I,Ajustes!N$1,FALSE)</f>
        <v>47</v>
      </c>
      <c r="O77" s="419">
        <f>VLOOKUP($A77,Prevs!$C:$I,Ajustes!O$1,FALSE)</f>
        <v>51</v>
      </c>
      <c r="P77" s="419">
        <f>VLOOKUP($A77,Prevs!$C:$I,Ajustes!P$1,FALSE)</f>
        <v>49</v>
      </c>
      <c r="Q77" s="419">
        <v>0</v>
      </c>
      <c r="R77" s="419">
        <v>0</v>
      </c>
      <c r="S77" s="419">
        <v>0</v>
      </c>
      <c r="T77" s="419">
        <v>0</v>
      </c>
      <c r="U77" s="419">
        <v>0</v>
      </c>
      <c r="V77" s="419">
        <v>0</v>
      </c>
      <c r="W77" s="419">
        <f t="shared" ref="W77:W78" si="369">K77-Q77</f>
        <v>50</v>
      </c>
      <c r="X77" s="419">
        <f t="shared" ref="X77:X78" si="370">L77-R77</f>
        <v>51</v>
      </c>
      <c r="Y77" s="419">
        <f t="shared" ref="Y77:Y78" si="371">M77-S77</f>
        <v>48</v>
      </c>
      <c r="Z77" s="419">
        <f t="shared" ref="Z77:Z78" si="372">N77-T77</f>
        <v>47</v>
      </c>
      <c r="AA77" s="419">
        <f t="shared" ref="AA77:AA78" si="373">O77-U77</f>
        <v>51</v>
      </c>
      <c r="AB77" s="419">
        <f t="shared" ref="AB77:AB78" si="374">P77-V77</f>
        <v>49</v>
      </c>
      <c r="AC77" s="417">
        <f>VLOOKUP($J77,Fatores!$G$1:$J$5,2,FALSE)</f>
        <v>1.5531612828314754</v>
      </c>
      <c r="AD77" s="417">
        <f>VLOOKUP($C77,Fatores!$A:$D,2,FALSE)</f>
        <v>1</v>
      </c>
      <c r="AE77" s="420">
        <f t="shared" si="290"/>
        <v>77.658064141573774</v>
      </c>
      <c r="AF77" s="420">
        <f t="shared" si="291"/>
        <v>79.211225424405242</v>
      </c>
      <c r="AG77" s="420">
        <f t="shared" si="292"/>
        <v>74.551741575910825</v>
      </c>
      <c r="AH77" s="420">
        <f t="shared" si="293"/>
        <v>72.998580293079343</v>
      </c>
      <c r="AI77" s="420">
        <f t="shared" si="294"/>
        <v>79.211225424405242</v>
      </c>
      <c r="AJ77" s="420">
        <f t="shared" si="295"/>
        <v>76.104902858742292</v>
      </c>
      <c r="AK77" s="421">
        <f t="shared" ref="AK77:AK78" si="375">AE77</f>
        <v>77.658064141573774</v>
      </c>
      <c r="AL77" s="421">
        <f t="shared" ref="AL77:AL78" si="376">AF77</f>
        <v>79.211225424405242</v>
      </c>
      <c r="AM77" s="421">
        <f t="shared" ref="AM77:AM78" si="377">AG77</f>
        <v>74.551741575910825</v>
      </c>
      <c r="AN77" s="421">
        <f t="shared" ref="AN77:AN78" si="378">AH77</f>
        <v>72.998580293079343</v>
      </c>
      <c r="AO77" s="421">
        <f t="shared" ref="AO77:AO78" si="379">AI77</f>
        <v>79.211225424405242</v>
      </c>
      <c r="AP77" s="421">
        <f t="shared" ref="AP77:AP78" si="380">AJ77</f>
        <v>76.104902858742292</v>
      </c>
      <c r="AQ77" s="417">
        <f>VLOOKUP($J77,Fatores!$G$1:$J$5,3,FALSE)</f>
        <v>1.3186317794730578</v>
      </c>
      <c r="AR77" s="417">
        <f>VLOOKUP($C77,Fatores!$A:$D,3,FALSE)</f>
        <v>1</v>
      </c>
      <c r="AS77" s="420">
        <f t="shared" si="297"/>
        <v>65.931588973652893</v>
      </c>
      <c r="AT77" s="420">
        <f t="shared" si="298"/>
        <v>67.250220753125944</v>
      </c>
      <c r="AU77" s="420">
        <f t="shared" si="299"/>
        <v>63.294325414706776</v>
      </c>
      <c r="AV77" s="420">
        <f t="shared" si="300"/>
        <v>61.975693635233718</v>
      </c>
      <c r="AW77" s="420">
        <f t="shared" si="301"/>
        <v>67.250220753125944</v>
      </c>
      <c r="AX77" s="420">
        <f t="shared" si="302"/>
        <v>64.612957194179828</v>
      </c>
      <c r="AY77" s="421">
        <f t="shared" ref="AY77:AY78" si="381">AS77</f>
        <v>65.931588973652893</v>
      </c>
      <c r="AZ77" s="421">
        <f t="shared" ref="AZ77:AZ78" si="382">AT77</f>
        <v>67.250220753125944</v>
      </c>
      <c r="BA77" s="421">
        <f t="shared" ref="BA77:BA78" si="383">AU77</f>
        <v>63.294325414706776</v>
      </c>
      <c r="BB77" s="421">
        <f t="shared" ref="BB77:BB78" si="384">AV77</f>
        <v>61.975693635233718</v>
      </c>
      <c r="BC77" s="421">
        <f t="shared" ref="BC77:BC78" si="385">AW77</f>
        <v>67.250220753125944</v>
      </c>
      <c r="BD77" s="421">
        <f t="shared" ref="BD77:BD78" si="386">AX77</f>
        <v>64.612957194179828</v>
      </c>
      <c r="BE77" s="417">
        <f>VLOOKUP($J77,Fatores!$G$1:$J$5,4,FALSE)</f>
        <v>1</v>
      </c>
      <c r="BF77" s="417">
        <f>VLOOKUP($C77,Fatores!$A:$D,4,FALSE)</f>
        <v>1</v>
      </c>
      <c r="BG77" s="420">
        <f t="shared" si="304"/>
        <v>50</v>
      </c>
      <c r="BH77" s="420">
        <f t="shared" si="305"/>
        <v>51</v>
      </c>
      <c r="BI77" s="420">
        <f t="shared" si="306"/>
        <v>48</v>
      </c>
      <c r="BJ77" s="420">
        <f t="shared" si="307"/>
        <v>47</v>
      </c>
      <c r="BK77" s="420">
        <f t="shared" si="308"/>
        <v>51</v>
      </c>
      <c r="BL77" s="420">
        <f t="shared" si="309"/>
        <v>49</v>
      </c>
      <c r="BM77" s="421">
        <f t="shared" ref="BM77:BM78" si="387">BG77</f>
        <v>50</v>
      </c>
      <c r="BN77" s="421">
        <f t="shared" ref="BN77:BN78" si="388">BH77</f>
        <v>51</v>
      </c>
      <c r="BO77" s="421">
        <f t="shared" ref="BO77:BO78" si="389">BI77</f>
        <v>48</v>
      </c>
      <c r="BP77" s="421">
        <f t="shared" ref="BP77:BP78" si="390">BJ77</f>
        <v>47</v>
      </c>
      <c r="BQ77" s="421">
        <f t="shared" ref="BQ77:BQ78" si="391">BK77</f>
        <v>51</v>
      </c>
      <c r="BR77" s="421">
        <f t="shared" ref="BR77:BR78" si="392">BL77</f>
        <v>49</v>
      </c>
    </row>
    <row r="78" spans="1:70" x14ac:dyDescent="0.25">
      <c r="A78" s="431">
        <v>155</v>
      </c>
      <c r="B78" s="424"/>
      <c r="C78" s="424" t="s">
        <v>41</v>
      </c>
      <c r="D78" s="437" t="s">
        <v>502</v>
      </c>
      <c r="E78" s="446"/>
      <c r="F78" s="425"/>
      <c r="G78" s="424"/>
      <c r="H78" s="446">
        <v>9099</v>
      </c>
      <c r="I78" s="425">
        <v>9261</v>
      </c>
      <c r="J78" s="440">
        <v>1</v>
      </c>
      <c r="K78" s="419">
        <f>VLOOKUP($A78,Prevs!$C:$I,Ajustes!K$1,FALSE)</f>
        <v>27</v>
      </c>
      <c r="L78" s="419">
        <f>VLOOKUP($A78,Prevs!$C:$I,Ajustes!L$1,FALSE)</f>
        <v>28</v>
      </c>
      <c r="M78" s="419">
        <f>VLOOKUP($A78,Prevs!$C:$I,Ajustes!M$1,FALSE)</f>
        <v>27</v>
      </c>
      <c r="N78" s="419">
        <f>VLOOKUP($A78,Prevs!$C:$I,Ajustes!N$1,FALSE)</f>
        <v>26</v>
      </c>
      <c r="O78" s="419">
        <f>VLOOKUP($A78,Prevs!$C:$I,Ajustes!O$1,FALSE)</f>
        <v>26</v>
      </c>
      <c r="P78" s="419">
        <f>VLOOKUP($A78,Prevs!$C:$I,Ajustes!P$1,FALSE)</f>
        <v>26</v>
      </c>
      <c r="Q78" s="419">
        <v>0</v>
      </c>
      <c r="R78" s="419">
        <v>0</v>
      </c>
      <c r="S78" s="419">
        <v>0</v>
      </c>
      <c r="T78" s="419">
        <v>0</v>
      </c>
      <c r="U78" s="419">
        <v>0</v>
      </c>
      <c r="V78" s="419">
        <v>0</v>
      </c>
      <c r="W78" s="419">
        <f t="shared" si="369"/>
        <v>27</v>
      </c>
      <c r="X78" s="419">
        <f t="shared" si="370"/>
        <v>28</v>
      </c>
      <c r="Y78" s="419">
        <f t="shared" si="371"/>
        <v>27</v>
      </c>
      <c r="Z78" s="419">
        <f t="shared" si="372"/>
        <v>26</v>
      </c>
      <c r="AA78" s="419">
        <f t="shared" si="373"/>
        <v>26</v>
      </c>
      <c r="AB78" s="419">
        <f t="shared" si="374"/>
        <v>26</v>
      </c>
      <c r="AC78" s="417">
        <f>VLOOKUP($J78,Fatores!$G$1:$J$5,2,FALSE)</f>
        <v>1.5531612828314754</v>
      </c>
      <c r="AD78" s="417">
        <f>VLOOKUP($C78,Fatores!$A:$D,2,FALSE)</f>
        <v>1</v>
      </c>
      <c r="AE78" s="420">
        <f t="shared" si="290"/>
        <v>41.935354636449837</v>
      </c>
      <c r="AF78" s="420">
        <f t="shared" si="291"/>
        <v>43.488515919281312</v>
      </c>
      <c r="AG78" s="420">
        <f t="shared" si="292"/>
        <v>41.935354636449837</v>
      </c>
      <c r="AH78" s="420">
        <f t="shared" si="293"/>
        <v>40.382193353618362</v>
      </c>
      <c r="AI78" s="420">
        <f t="shared" si="294"/>
        <v>40.382193353618362</v>
      </c>
      <c r="AJ78" s="420">
        <f t="shared" si="295"/>
        <v>40.382193353618362</v>
      </c>
      <c r="AK78" s="421">
        <f t="shared" si="375"/>
        <v>41.935354636449837</v>
      </c>
      <c r="AL78" s="421">
        <f t="shared" si="376"/>
        <v>43.488515919281312</v>
      </c>
      <c r="AM78" s="421">
        <f t="shared" si="377"/>
        <v>41.935354636449837</v>
      </c>
      <c r="AN78" s="421">
        <f t="shared" si="378"/>
        <v>40.382193353618362</v>
      </c>
      <c r="AO78" s="421">
        <f t="shared" si="379"/>
        <v>40.382193353618362</v>
      </c>
      <c r="AP78" s="421">
        <f t="shared" si="380"/>
        <v>40.382193353618362</v>
      </c>
      <c r="AQ78" s="417">
        <f>VLOOKUP($J78,Fatores!$G$1:$J$5,3,FALSE)</f>
        <v>1.3186317794730578</v>
      </c>
      <c r="AR78" s="417">
        <f>VLOOKUP($C78,Fatores!$A:$D,3,FALSE)</f>
        <v>1</v>
      </c>
      <c r="AS78" s="420">
        <f t="shared" si="297"/>
        <v>35.603058045772556</v>
      </c>
      <c r="AT78" s="420">
        <f t="shared" si="298"/>
        <v>36.921689825245615</v>
      </c>
      <c r="AU78" s="420">
        <f t="shared" si="299"/>
        <v>35.603058045772556</v>
      </c>
      <c r="AV78" s="420">
        <f t="shared" si="300"/>
        <v>34.284426266299505</v>
      </c>
      <c r="AW78" s="420">
        <f t="shared" si="301"/>
        <v>34.284426266299505</v>
      </c>
      <c r="AX78" s="420">
        <f t="shared" si="302"/>
        <v>34.284426266299505</v>
      </c>
      <c r="AY78" s="421">
        <f t="shared" si="381"/>
        <v>35.603058045772556</v>
      </c>
      <c r="AZ78" s="421">
        <f t="shared" si="382"/>
        <v>36.921689825245615</v>
      </c>
      <c r="BA78" s="421">
        <f t="shared" si="383"/>
        <v>35.603058045772556</v>
      </c>
      <c r="BB78" s="421">
        <f t="shared" si="384"/>
        <v>34.284426266299505</v>
      </c>
      <c r="BC78" s="421">
        <f t="shared" si="385"/>
        <v>34.284426266299505</v>
      </c>
      <c r="BD78" s="421">
        <f t="shared" si="386"/>
        <v>34.284426266299505</v>
      </c>
      <c r="BE78" s="417">
        <f>VLOOKUP($J78,Fatores!$G$1:$J$5,4,FALSE)</f>
        <v>1</v>
      </c>
      <c r="BF78" s="417">
        <f>VLOOKUP($C78,Fatores!$A:$D,4,FALSE)</f>
        <v>1</v>
      </c>
      <c r="BG78" s="420">
        <f t="shared" si="304"/>
        <v>27</v>
      </c>
      <c r="BH78" s="420">
        <f t="shared" si="305"/>
        <v>28</v>
      </c>
      <c r="BI78" s="420">
        <f t="shared" si="306"/>
        <v>27</v>
      </c>
      <c r="BJ78" s="420">
        <f t="shared" si="307"/>
        <v>26</v>
      </c>
      <c r="BK78" s="420">
        <f t="shared" si="308"/>
        <v>26</v>
      </c>
      <c r="BL78" s="420">
        <f t="shared" si="309"/>
        <v>26</v>
      </c>
      <c r="BM78" s="421">
        <f t="shared" si="387"/>
        <v>27</v>
      </c>
      <c r="BN78" s="421">
        <f t="shared" si="388"/>
        <v>28</v>
      </c>
      <c r="BO78" s="421">
        <f t="shared" si="389"/>
        <v>27</v>
      </c>
      <c r="BP78" s="421">
        <f t="shared" si="390"/>
        <v>26</v>
      </c>
      <c r="BQ78" s="421">
        <f t="shared" si="391"/>
        <v>26</v>
      </c>
      <c r="BR78" s="421">
        <f t="shared" si="392"/>
        <v>26</v>
      </c>
    </row>
    <row r="79" spans="1:70" x14ac:dyDescent="0.25">
      <c r="A79" s="431">
        <v>156</v>
      </c>
      <c r="B79" s="424"/>
      <c r="C79" s="424" t="s">
        <v>41</v>
      </c>
      <c r="D79" s="437" t="s">
        <v>501</v>
      </c>
      <c r="E79" s="444">
        <v>155</v>
      </c>
      <c r="F79" s="424"/>
      <c r="G79" s="424"/>
      <c r="H79" s="424"/>
      <c r="I79" s="432"/>
      <c r="J79" s="440">
        <v>1</v>
      </c>
      <c r="K79" s="419">
        <f>VLOOKUP($A79,Prevs!$C:$I,Ajustes!K$1,FALSE)</f>
        <v>97</v>
      </c>
      <c r="L79" s="419">
        <f>VLOOKUP($A79,Prevs!$C:$I,Ajustes!L$1,FALSE)</f>
        <v>97</v>
      </c>
      <c r="M79" s="419">
        <f>VLOOKUP($A79,Prevs!$C:$I,Ajustes!M$1,FALSE)</f>
        <v>90</v>
      </c>
      <c r="N79" s="419">
        <f>VLOOKUP($A79,Prevs!$C:$I,Ajustes!N$1,FALSE)</f>
        <v>94</v>
      </c>
      <c r="O79" s="419">
        <f>VLOOKUP($A79,Prevs!$C:$I,Ajustes!O$1,FALSE)</f>
        <v>94</v>
      </c>
      <c r="P79" s="419">
        <f>VLOOKUP($A79,Prevs!$C:$I,Ajustes!P$1,FALSE)</f>
        <v>95</v>
      </c>
      <c r="Q79" s="419">
        <f>VLOOKUP($E79,Prevs!$C:$I,Ajustes!K$1,FALSE)</f>
        <v>27</v>
      </c>
      <c r="R79" s="419">
        <f>VLOOKUP($E79,Prevs!$C:$I,Ajustes!L$1,FALSE)</f>
        <v>28</v>
      </c>
      <c r="S79" s="419">
        <f>VLOOKUP($E79,Prevs!$C:$I,Ajustes!M$1,FALSE)</f>
        <v>27</v>
      </c>
      <c r="T79" s="419">
        <f>VLOOKUP($E79,Prevs!$C:$I,Ajustes!N$1,FALSE)</f>
        <v>26</v>
      </c>
      <c r="U79" s="419">
        <f>VLOOKUP($E79,Prevs!$C:$I,Ajustes!O$1,FALSE)</f>
        <v>26</v>
      </c>
      <c r="V79" s="419">
        <f>VLOOKUP($E79,Prevs!$C:$I,Ajustes!P$1,FALSE)</f>
        <v>26</v>
      </c>
      <c r="W79" s="419">
        <f t="shared" ref="W79:AB79" si="393">K79-Q79</f>
        <v>70</v>
      </c>
      <c r="X79" s="419">
        <f t="shared" si="393"/>
        <v>69</v>
      </c>
      <c r="Y79" s="419">
        <f t="shared" si="393"/>
        <v>63</v>
      </c>
      <c r="Z79" s="419">
        <f t="shared" si="393"/>
        <v>68</v>
      </c>
      <c r="AA79" s="419">
        <f t="shared" si="393"/>
        <v>68</v>
      </c>
      <c r="AB79" s="419">
        <f t="shared" si="393"/>
        <v>69</v>
      </c>
      <c r="AC79" s="417">
        <f>VLOOKUP($J79,Fatores!$G$1:$J$5,2,FALSE)</f>
        <v>1.5531612828314754</v>
      </c>
      <c r="AD79" s="417">
        <f>VLOOKUP($C79,Fatores!$A:$D,2,FALSE)</f>
        <v>1</v>
      </c>
      <c r="AE79" s="420">
        <f t="shared" si="290"/>
        <v>108.72128979820327</v>
      </c>
      <c r="AF79" s="420">
        <f t="shared" si="291"/>
        <v>107.16812851537181</v>
      </c>
      <c r="AG79" s="420">
        <f t="shared" si="292"/>
        <v>97.849160818382941</v>
      </c>
      <c r="AH79" s="420">
        <f t="shared" si="293"/>
        <v>105.61496723254032</v>
      </c>
      <c r="AI79" s="420">
        <f t="shared" si="294"/>
        <v>105.61496723254032</v>
      </c>
      <c r="AJ79" s="420">
        <f t="shared" si="295"/>
        <v>107.16812851537181</v>
      </c>
      <c r="AK79" s="421">
        <f t="shared" ref="AK79:AP79" si="394">AE79+VLOOKUP($E79,$A:$BR,AK$1,FALSE)</f>
        <v>150.65664443465312</v>
      </c>
      <c r="AL79" s="421">
        <f t="shared" si="394"/>
        <v>150.65664443465312</v>
      </c>
      <c r="AM79" s="421">
        <f t="shared" si="394"/>
        <v>139.78451545483279</v>
      </c>
      <c r="AN79" s="421">
        <f t="shared" si="394"/>
        <v>145.99716058615869</v>
      </c>
      <c r="AO79" s="421">
        <f t="shared" si="394"/>
        <v>145.99716058615869</v>
      </c>
      <c r="AP79" s="421">
        <f t="shared" si="394"/>
        <v>147.55032186899018</v>
      </c>
      <c r="AQ79" s="417">
        <f>VLOOKUP($J79,Fatores!$G$1:$J$5,3,FALSE)</f>
        <v>1.3186317794730578</v>
      </c>
      <c r="AR79" s="417">
        <f>VLOOKUP($C79,Fatores!$A:$D,3,FALSE)</f>
        <v>1</v>
      </c>
      <c r="AS79" s="420">
        <f t="shared" si="297"/>
        <v>92.304224563114047</v>
      </c>
      <c r="AT79" s="420">
        <f t="shared" si="298"/>
        <v>90.985592783640982</v>
      </c>
      <c r="AU79" s="420">
        <f t="shared" si="299"/>
        <v>83.073802106802646</v>
      </c>
      <c r="AV79" s="420">
        <f t="shared" si="300"/>
        <v>89.666961004167931</v>
      </c>
      <c r="AW79" s="420">
        <f t="shared" si="301"/>
        <v>89.666961004167931</v>
      </c>
      <c r="AX79" s="420">
        <f t="shared" si="302"/>
        <v>90.985592783640982</v>
      </c>
      <c r="AY79" s="421">
        <f t="shared" ref="AY79:BD79" si="395">AS79+VLOOKUP($E79,$A:$BR,AY$1,FALSE)</f>
        <v>127.9072826088866</v>
      </c>
      <c r="AZ79" s="421">
        <f t="shared" si="395"/>
        <v>127.90728260888659</v>
      </c>
      <c r="BA79" s="421">
        <f t="shared" si="395"/>
        <v>118.6768601525752</v>
      </c>
      <c r="BB79" s="421">
        <f t="shared" si="395"/>
        <v>123.95138727046744</v>
      </c>
      <c r="BC79" s="421">
        <f t="shared" si="395"/>
        <v>123.95138727046744</v>
      </c>
      <c r="BD79" s="421">
        <f t="shared" si="395"/>
        <v>125.27001904994049</v>
      </c>
      <c r="BE79" s="417">
        <f>VLOOKUP($J79,Fatores!$G$1:$J$5,4,FALSE)</f>
        <v>1</v>
      </c>
      <c r="BF79" s="417">
        <f>VLOOKUP($C79,Fatores!$A:$D,4,FALSE)</f>
        <v>1</v>
      </c>
      <c r="BG79" s="420">
        <f t="shared" si="304"/>
        <v>70</v>
      </c>
      <c r="BH79" s="420">
        <f t="shared" si="305"/>
        <v>69</v>
      </c>
      <c r="BI79" s="420">
        <f t="shared" si="306"/>
        <v>63</v>
      </c>
      <c r="BJ79" s="420">
        <f t="shared" si="307"/>
        <v>68</v>
      </c>
      <c r="BK79" s="420">
        <f t="shared" si="308"/>
        <v>68</v>
      </c>
      <c r="BL79" s="420">
        <f t="shared" si="309"/>
        <v>69</v>
      </c>
      <c r="BM79" s="421">
        <f t="shared" ref="BM79:BR79" si="396">BG79+VLOOKUP($E79,$A:$BR,BM$1,FALSE)</f>
        <v>97</v>
      </c>
      <c r="BN79" s="421">
        <f t="shared" si="396"/>
        <v>97</v>
      </c>
      <c r="BO79" s="421">
        <f t="shared" si="396"/>
        <v>90</v>
      </c>
      <c r="BP79" s="421">
        <f t="shared" si="396"/>
        <v>94</v>
      </c>
      <c r="BQ79" s="421">
        <f t="shared" si="396"/>
        <v>94</v>
      </c>
      <c r="BR79" s="421">
        <f t="shared" si="396"/>
        <v>95</v>
      </c>
    </row>
    <row r="80" spans="1:70" x14ac:dyDescent="0.25">
      <c r="A80" s="431">
        <v>158</v>
      </c>
      <c r="B80" s="424"/>
      <c r="C80" s="424" t="s">
        <v>41</v>
      </c>
      <c r="D80" s="437" t="s">
        <v>503</v>
      </c>
      <c r="E80" s="431"/>
      <c r="F80" s="424"/>
      <c r="G80" s="424"/>
      <c r="H80" s="424"/>
      <c r="I80" s="432"/>
      <c r="J80" s="440">
        <v>1</v>
      </c>
      <c r="K80" s="419">
        <f>VLOOKUP($A80,Prevs!$C:$I,Ajustes!K$1,FALSE)</f>
        <v>30</v>
      </c>
      <c r="L80" s="419">
        <f>VLOOKUP($A80,Prevs!$C:$I,Ajustes!L$1,FALSE)</f>
        <v>29</v>
      </c>
      <c r="M80" s="419">
        <f>VLOOKUP($A80,Prevs!$C:$I,Ajustes!M$1,FALSE)</f>
        <v>28</v>
      </c>
      <c r="N80" s="419">
        <f>VLOOKUP($A80,Prevs!$C:$I,Ajustes!N$1,FALSE)</f>
        <v>27</v>
      </c>
      <c r="O80" s="419">
        <f>VLOOKUP($A80,Prevs!$C:$I,Ajustes!O$1,FALSE)</f>
        <v>25</v>
      </c>
      <c r="P80" s="419">
        <f>VLOOKUP($A80,Prevs!$C:$I,Ajustes!P$1,FALSE)</f>
        <v>25</v>
      </c>
      <c r="Q80" s="419">
        <v>0</v>
      </c>
      <c r="R80" s="419">
        <v>0</v>
      </c>
      <c r="S80" s="419">
        <v>0</v>
      </c>
      <c r="T80" s="419">
        <v>0</v>
      </c>
      <c r="U80" s="419">
        <v>0</v>
      </c>
      <c r="V80" s="419">
        <v>0</v>
      </c>
      <c r="W80" s="419">
        <f t="shared" ref="W80:W82" si="397">K80-Q80</f>
        <v>30</v>
      </c>
      <c r="X80" s="419">
        <f t="shared" ref="X80:X82" si="398">L80-R80</f>
        <v>29</v>
      </c>
      <c r="Y80" s="419">
        <f t="shared" ref="Y80:Y82" si="399">M80-S80</f>
        <v>28</v>
      </c>
      <c r="Z80" s="419">
        <f t="shared" ref="Z80:Z82" si="400">N80-T80</f>
        <v>27</v>
      </c>
      <c r="AA80" s="419">
        <f t="shared" ref="AA80:AA82" si="401">O80-U80</f>
        <v>25</v>
      </c>
      <c r="AB80" s="419">
        <f t="shared" ref="AB80:AB82" si="402">P80-V80</f>
        <v>25</v>
      </c>
      <c r="AC80" s="417">
        <f>VLOOKUP($J80,Fatores!$G$1:$J$5,2,FALSE)</f>
        <v>1.5531612828314754</v>
      </c>
      <c r="AD80" s="417">
        <f>VLOOKUP($C80,Fatores!$A:$D,2,FALSE)</f>
        <v>1</v>
      </c>
      <c r="AE80" s="420">
        <f t="shared" si="290"/>
        <v>46.594838484944262</v>
      </c>
      <c r="AF80" s="420">
        <f t="shared" si="291"/>
        <v>45.041677202112787</v>
      </c>
      <c r="AG80" s="420">
        <f t="shared" si="292"/>
        <v>43.488515919281312</v>
      </c>
      <c r="AH80" s="420">
        <f t="shared" si="293"/>
        <v>41.935354636449837</v>
      </c>
      <c r="AI80" s="420">
        <f t="shared" si="294"/>
        <v>38.829032070786887</v>
      </c>
      <c r="AJ80" s="420">
        <f t="shared" si="295"/>
        <v>38.829032070786887</v>
      </c>
      <c r="AK80" s="421">
        <f t="shared" ref="AK80:AK81" si="403">AE80</f>
        <v>46.594838484944262</v>
      </c>
      <c r="AL80" s="421">
        <f t="shared" ref="AL80:AL81" si="404">AF80</f>
        <v>45.041677202112787</v>
      </c>
      <c r="AM80" s="421">
        <f t="shared" ref="AM80:AM81" si="405">AG80</f>
        <v>43.488515919281312</v>
      </c>
      <c r="AN80" s="421">
        <f t="shared" ref="AN80:AN81" si="406">AH80</f>
        <v>41.935354636449837</v>
      </c>
      <c r="AO80" s="421">
        <f t="shared" ref="AO80:AO81" si="407">AI80</f>
        <v>38.829032070786887</v>
      </c>
      <c r="AP80" s="421">
        <f t="shared" ref="AP80:AP81" si="408">AJ80</f>
        <v>38.829032070786887</v>
      </c>
      <c r="AQ80" s="417">
        <f>VLOOKUP($J80,Fatores!$G$1:$J$5,3,FALSE)</f>
        <v>1.3186317794730578</v>
      </c>
      <c r="AR80" s="417">
        <f>VLOOKUP($C80,Fatores!$A:$D,3,FALSE)</f>
        <v>1</v>
      </c>
      <c r="AS80" s="420">
        <f t="shared" si="297"/>
        <v>39.558953384191732</v>
      </c>
      <c r="AT80" s="420">
        <f t="shared" si="298"/>
        <v>38.240321604718673</v>
      </c>
      <c r="AU80" s="420">
        <f t="shared" si="299"/>
        <v>36.921689825245615</v>
      </c>
      <c r="AV80" s="420">
        <f t="shared" si="300"/>
        <v>35.603058045772556</v>
      </c>
      <c r="AW80" s="420">
        <f t="shared" si="301"/>
        <v>32.965794486826447</v>
      </c>
      <c r="AX80" s="420">
        <f t="shared" si="302"/>
        <v>32.965794486826447</v>
      </c>
      <c r="AY80" s="421">
        <f t="shared" ref="AY80:AY81" si="409">AS80</f>
        <v>39.558953384191732</v>
      </c>
      <c r="AZ80" s="421">
        <f t="shared" ref="AZ80:AZ81" si="410">AT80</f>
        <v>38.240321604718673</v>
      </c>
      <c r="BA80" s="421">
        <f t="shared" ref="BA80:BA81" si="411">AU80</f>
        <v>36.921689825245615</v>
      </c>
      <c r="BB80" s="421">
        <f t="shared" ref="BB80:BB81" si="412">AV80</f>
        <v>35.603058045772556</v>
      </c>
      <c r="BC80" s="421">
        <f t="shared" ref="BC80:BC81" si="413">AW80</f>
        <v>32.965794486826447</v>
      </c>
      <c r="BD80" s="421">
        <f t="shared" ref="BD80:BD81" si="414">AX80</f>
        <v>32.965794486826447</v>
      </c>
      <c r="BE80" s="417">
        <f>VLOOKUP($J80,Fatores!$G$1:$J$5,4,FALSE)</f>
        <v>1</v>
      </c>
      <c r="BF80" s="417">
        <f>VLOOKUP($C80,Fatores!$A:$D,4,FALSE)</f>
        <v>1</v>
      </c>
      <c r="BG80" s="420">
        <f t="shared" si="304"/>
        <v>30</v>
      </c>
      <c r="BH80" s="420">
        <f t="shared" si="305"/>
        <v>29</v>
      </c>
      <c r="BI80" s="420">
        <f t="shared" si="306"/>
        <v>28</v>
      </c>
      <c r="BJ80" s="420">
        <f t="shared" si="307"/>
        <v>27</v>
      </c>
      <c r="BK80" s="420">
        <f t="shared" si="308"/>
        <v>25</v>
      </c>
      <c r="BL80" s="420">
        <f t="shared" si="309"/>
        <v>25</v>
      </c>
      <c r="BM80" s="421">
        <f t="shared" ref="BM80:BM81" si="415">BG80</f>
        <v>30</v>
      </c>
      <c r="BN80" s="421">
        <f t="shared" ref="BN80:BN81" si="416">BH80</f>
        <v>29</v>
      </c>
      <c r="BO80" s="421">
        <f t="shared" ref="BO80:BO81" si="417">BI80</f>
        <v>28</v>
      </c>
      <c r="BP80" s="421">
        <f t="shared" ref="BP80:BP81" si="418">BJ80</f>
        <v>27</v>
      </c>
      <c r="BQ80" s="421">
        <f t="shared" ref="BQ80:BQ81" si="419">BK80</f>
        <v>25</v>
      </c>
      <c r="BR80" s="421">
        <f t="shared" ref="BR80:BR81" si="420">BL80</f>
        <v>25</v>
      </c>
    </row>
    <row r="81" spans="1:70" x14ac:dyDescent="0.25">
      <c r="A81" s="431">
        <v>160</v>
      </c>
      <c r="B81" s="424"/>
      <c r="C81" s="424" t="s">
        <v>30</v>
      </c>
      <c r="D81" s="437" t="s">
        <v>24</v>
      </c>
      <c r="E81" s="431"/>
      <c r="F81" s="424"/>
      <c r="G81" s="424"/>
      <c r="H81" s="424"/>
      <c r="I81" s="432"/>
      <c r="J81" s="440">
        <v>1</v>
      </c>
      <c r="K81" s="419">
        <f>VLOOKUP($A81,Prevs!$C:$I,Ajustes!K$1,FALSE)</f>
        <v>6</v>
      </c>
      <c r="L81" s="419">
        <f>VLOOKUP($A81,Prevs!$C:$I,Ajustes!L$1,FALSE)</f>
        <v>6</v>
      </c>
      <c r="M81" s="419">
        <f>VLOOKUP($A81,Prevs!$C:$I,Ajustes!M$1,FALSE)</f>
        <v>5</v>
      </c>
      <c r="N81" s="419">
        <f>VLOOKUP($A81,Prevs!$C:$I,Ajustes!N$1,FALSE)</f>
        <v>6</v>
      </c>
      <c r="O81" s="419">
        <f>VLOOKUP($A81,Prevs!$C:$I,Ajustes!O$1,FALSE)</f>
        <v>6</v>
      </c>
      <c r="P81" s="419">
        <f>VLOOKUP($A81,Prevs!$C:$I,Ajustes!P$1,FALSE)</f>
        <v>5</v>
      </c>
      <c r="Q81" s="419">
        <v>0</v>
      </c>
      <c r="R81" s="419">
        <v>0</v>
      </c>
      <c r="S81" s="419">
        <v>0</v>
      </c>
      <c r="T81" s="419">
        <v>0</v>
      </c>
      <c r="U81" s="419">
        <v>0</v>
      </c>
      <c r="V81" s="419">
        <v>0</v>
      </c>
      <c r="W81" s="419">
        <f t="shared" si="397"/>
        <v>6</v>
      </c>
      <c r="X81" s="419">
        <f t="shared" si="398"/>
        <v>6</v>
      </c>
      <c r="Y81" s="419">
        <f t="shared" si="399"/>
        <v>5</v>
      </c>
      <c r="Z81" s="419">
        <f t="shared" si="400"/>
        <v>6</v>
      </c>
      <c r="AA81" s="419">
        <f t="shared" si="401"/>
        <v>6</v>
      </c>
      <c r="AB81" s="419">
        <f t="shared" si="402"/>
        <v>5</v>
      </c>
      <c r="AC81" s="417">
        <f>VLOOKUP($J81,Fatores!$G$1:$J$5,2,FALSE)</f>
        <v>1.5531612828314754</v>
      </c>
      <c r="AD81" s="417">
        <f>VLOOKUP($C81,Fatores!$A:$D,2,FALSE)</f>
        <v>1</v>
      </c>
      <c r="AE81" s="420">
        <f t="shared" si="290"/>
        <v>9.3189676969888531</v>
      </c>
      <c r="AF81" s="420">
        <f t="shared" si="291"/>
        <v>9.3189676969888531</v>
      </c>
      <c r="AG81" s="420">
        <f t="shared" si="292"/>
        <v>7.7658064141573764</v>
      </c>
      <c r="AH81" s="420">
        <f t="shared" si="293"/>
        <v>9.3189676969888531</v>
      </c>
      <c r="AI81" s="420">
        <f t="shared" si="294"/>
        <v>9.3189676969888531</v>
      </c>
      <c r="AJ81" s="420">
        <f t="shared" si="295"/>
        <v>7.7658064141573764</v>
      </c>
      <c r="AK81" s="421">
        <f t="shared" si="403"/>
        <v>9.3189676969888531</v>
      </c>
      <c r="AL81" s="421">
        <f t="shared" si="404"/>
        <v>9.3189676969888531</v>
      </c>
      <c r="AM81" s="421">
        <f t="shared" si="405"/>
        <v>7.7658064141573764</v>
      </c>
      <c r="AN81" s="421">
        <f t="shared" si="406"/>
        <v>9.3189676969888531</v>
      </c>
      <c r="AO81" s="421">
        <f t="shared" si="407"/>
        <v>9.3189676969888531</v>
      </c>
      <c r="AP81" s="421">
        <f t="shared" si="408"/>
        <v>7.7658064141573764</v>
      </c>
      <c r="AQ81" s="417">
        <f>VLOOKUP($J81,Fatores!$G$1:$J$5,3,FALSE)</f>
        <v>1.3186317794730578</v>
      </c>
      <c r="AR81" s="417">
        <f>VLOOKUP($C81,Fatores!$A:$D,3,FALSE)</f>
        <v>1</v>
      </c>
      <c r="AS81" s="420">
        <f t="shared" si="297"/>
        <v>7.911790676838347</v>
      </c>
      <c r="AT81" s="420">
        <f t="shared" si="298"/>
        <v>7.911790676838347</v>
      </c>
      <c r="AU81" s="420">
        <f t="shared" si="299"/>
        <v>6.5931588973652886</v>
      </c>
      <c r="AV81" s="420">
        <f t="shared" si="300"/>
        <v>7.911790676838347</v>
      </c>
      <c r="AW81" s="420">
        <f t="shared" si="301"/>
        <v>7.911790676838347</v>
      </c>
      <c r="AX81" s="420">
        <f t="shared" si="302"/>
        <v>6.5931588973652886</v>
      </c>
      <c r="AY81" s="421">
        <f t="shared" si="409"/>
        <v>7.911790676838347</v>
      </c>
      <c r="AZ81" s="421">
        <f t="shared" si="410"/>
        <v>7.911790676838347</v>
      </c>
      <c r="BA81" s="421">
        <f t="shared" si="411"/>
        <v>6.5931588973652886</v>
      </c>
      <c r="BB81" s="421">
        <f t="shared" si="412"/>
        <v>7.911790676838347</v>
      </c>
      <c r="BC81" s="421">
        <f t="shared" si="413"/>
        <v>7.911790676838347</v>
      </c>
      <c r="BD81" s="421">
        <f t="shared" si="414"/>
        <v>6.5931588973652886</v>
      </c>
      <c r="BE81" s="417">
        <f>VLOOKUP($J81,Fatores!$G$1:$J$5,4,FALSE)</f>
        <v>1</v>
      </c>
      <c r="BF81" s="417">
        <f>VLOOKUP($C81,Fatores!$A:$D,4,FALSE)</f>
        <v>1</v>
      </c>
      <c r="BG81" s="420">
        <f t="shared" si="304"/>
        <v>6</v>
      </c>
      <c r="BH81" s="420">
        <f t="shared" si="305"/>
        <v>6</v>
      </c>
      <c r="BI81" s="420">
        <f t="shared" si="306"/>
        <v>5</v>
      </c>
      <c r="BJ81" s="420">
        <f t="shared" si="307"/>
        <v>6</v>
      </c>
      <c r="BK81" s="420">
        <f t="shared" si="308"/>
        <v>6</v>
      </c>
      <c r="BL81" s="420">
        <f t="shared" si="309"/>
        <v>5</v>
      </c>
      <c r="BM81" s="421">
        <f t="shared" si="415"/>
        <v>6</v>
      </c>
      <c r="BN81" s="421">
        <f t="shared" si="416"/>
        <v>6</v>
      </c>
      <c r="BO81" s="421">
        <f t="shared" si="417"/>
        <v>5</v>
      </c>
      <c r="BP81" s="421">
        <f t="shared" si="418"/>
        <v>6</v>
      </c>
      <c r="BQ81" s="421">
        <f t="shared" si="419"/>
        <v>6</v>
      </c>
      <c r="BR81" s="421">
        <f t="shared" si="420"/>
        <v>5</v>
      </c>
    </row>
    <row r="82" spans="1:70" x14ac:dyDescent="0.25">
      <c r="A82" s="431">
        <v>161</v>
      </c>
      <c r="B82" s="424"/>
      <c r="C82" s="424" t="s">
        <v>30</v>
      </c>
      <c r="D82" s="437" t="s">
        <v>24</v>
      </c>
      <c r="E82" s="444">
        <v>160</v>
      </c>
      <c r="F82" s="425">
        <v>104</v>
      </c>
      <c r="G82" s="424"/>
      <c r="H82" s="424"/>
      <c r="I82" s="432"/>
      <c r="J82" s="440">
        <v>1</v>
      </c>
      <c r="K82" s="419">
        <f>VLOOKUP($A82,Prevs!$C:$I,Ajustes!K$1,FALSE)</f>
        <v>52</v>
      </c>
      <c r="L82" s="419">
        <f>VLOOKUP($A82,Prevs!$C:$I,Ajustes!L$1,FALSE)</f>
        <v>44</v>
      </c>
      <c r="M82" s="419">
        <f>VLOOKUP($A82,Prevs!$C:$I,Ajustes!M$1,FALSE)</f>
        <v>43</v>
      </c>
      <c r="N82" s="419">
        <f>VLOOKUP($A82,Prevs!$C:$I,Ajustes!N$1,FALSE)</f>
        <v>41</v>
      </c>
      <c r="O82" s="419">
        <f>VLOOKUP($A82,Prevs!$C:$I,Ajustes!O$1,FALSE)</f>
        <v>40</v>
      </c>
      <c r="P82" s="419">
        <f>VLOOKUP($A82,Prevs!$C:$I,Ajustes!P$1,FALSE)</f>
        <v>39</v>
      </c>
      <c r="Q82" s="419">
        <f>VLOOKUP($E82,Prevs!$C:$I,Ajustes!K$1,FALSE)+VLOOKUP($F82,Prevs!$C:$I,Ajustes!K$1,FALSE)</f>
        <v>35</v>
      </c>
      <c r="R82" s="419">
        <f>VLOOKUP($E82,Prevs!$C:$I,Ajustes!L$1,FALSE)+VLOOKUP($F82,Prevs!$C:$I,Ajustes!L$1,FALSE)</f>
        <v>33</v>
      </c>
      <c r="S82" s="419">
        <f>VLOOKUP($E82,Prevs!$C:$I,Ajustes!M$1,FALSE)+VLOOKUP($F82,Prevs!$C:$I,Ajustes!M$1,FALSE)</f>
        <v>29</v>
      </c>
      <c r="T82" s="419">
        <f>VLOOKUP($E82,Prevs!$C:$I,Ajustes!N$1,FALSE)+VLOOKUP($F82,Prevs!$C:$I,Ajustes!N$1,FALSE)</f>
        <v>28</v>
      </c>
      <c r="U82" s="419">
        <f>VLOOKUP($E82,Prevs!$C:$I,Ajustes!O$1,FALSE)+VLOOKUP($F82,Prevs!$C:$I,Ajustes!O$1,FALSE)</f>
        <v>27</v>
      </c>
      <c r="V82" s="419">
        <f>VLOOKUP($E82,Prevs!$C:$I,Ajustes!P$1,FALSE)+VLOOKUP($F82,Prevs!$C:$I,Ajustes!P$1,FALSE)</f>
        <v>24</v>
      </c>
      <c r="W82" s="419">
        <f t="shared" si="397"/>
        <v>17</v>
      </c>
      <c r="X82" s="419">
        <f t="shared" si="398"/>
        <v>11</v>
      </c>
      <c r="Y82" s="419">
        <f t="shared" si="399"/>
        <v>14</v>
      </c>
      <c r="Z82" s="419">
        <f t="shared" si="400"/>
        <v>13</v>
      </c>
      <c r="AA82" s="419">
        <f t="shared" si="401"/>
        <v>13</v>
      </c>
      <c r="AB82" s="419">
        <f t="shared" si="402"/>
        <v>15</v>
      </c>
      <c r="AC82" s="417">
        <f>VLOOKUP($J82,Fatores!$G$1:$J$5,2,FALSE)</f>
        <v>1.5531612828314754</v>
      </c>
      <c r="AD82" s="417">
        <f>VLOOKUP($C82,Fatores!$A:$D,2,FALSE)</f>
        <v>1</v>
      </c>
      <c r="AE82" s="420">
        <f t="shared" si="290"/>
        <v>26.403741808135081</v>
      </c>
      <c r="AF82" s="420">
        <f t="shared" si="291"/>
        <v>17.084774111146228</v>
      </c>
      <c r="AG82" s="420">
        <f t="shared" si="292"/>
        <v>21.744257959640656</v>
      </c>
      <c r="AH82" s="420">
        <f t="shared" si="293"/>
        <v>20.191096676809181</v>
      </c>
      <c r="AI82" s="420">
        <f t="shared" si="294"/>
        <v>20.191096676809181</v>
      </c>
      <c r="AJ82" s="420">
        <f t="shared" si="295"/>
        <v>23.297419242472131</v>
      </c>
      <c r="AK82" s="421">
        <f t="shared" ref="AK82:AP82" si="421">AE82+VLOOKUP($E82,$A:$BR,AK$1,FALSE)+VLOOKUP($F82,$A:$BR,AK$1,FALSE)</f>
        <v>80.764386707236724</v>
      </c>
      <c r="AL82" s="421">
        <f t="shared" si="421"/>
        <v>68.339096444584925</v>
      </c>
      <c r="AM82" s="421">
        <f t="shared" si="421"/>
        <v>66.785935161753443</v>
      </c>
      <c r="AN82" s="421">
        <f t="shared" si="421"/>
        <v>63.679612596090493</v>
      </c>
      <c r="AO82" s="421">
        <f t="shared" si="421"/>
        <v>62.126451313259011</v>
      </c>
      <c r="AP82" s="421">
        <f t="shared" si="421"/>
        <v>60.573290030427536</v>
      </c>
      <c r="AQ82" s="417">
        <f>VLOOKUP($J82,Fatores!$G$1:$J$5,3,FALSE)</f>
        <v>1.3186317794730578</v>
      </c>
      <c r="AR82" s="417">
        <f>VLOOKUP($C82,Fatores!$A:$D,3,FALSE)</f>
        <v>1</v>
      </c>
      <c r="AS82" s="420">
        <f t="shared" si="297"/>
        <v>22.416740251041983</v>
      </c>
      <c r="AT82" s="420">
        <f t="shared" si="298"/>
        <v>14.504949574203636</v>
      </c>
      <c r="AU82" s="420">
        <f t="shared" si="299"/>
        <v>18.460844912622807</v>
      </c>
      <c r="AV82" s="420">
        <f t="shared" si="300"/>
        <v>17.142213133149752</v>
      </c>
      <c r="AW82" s="420">
        <f t="shared" si="301"/>
        <v>17.142213133149752</v>
      </c>
      <c r="AX82" s="420">
        <f t="shared" si="302"/>
        <v>19.779476692095866</v>
      </c>
      <c r="AY82" s="421">
        <f t="shared" ref="AY82:BD82" si="422">AS82+VLOOKUP($E82,$A:$BR,AY$1,FALSE)+VLOOKUP($F82,$A:$BR,AY$1,FALSE)</f>
        <v>68.56885253259901</v>
      </c>
      <c r="AZ82" s="421">
        <f t="shared" si="422"/>
        <v>58.019798296814542</v>
      </c>
      <c r="BA82" s="421">
        <f t="shared" si="422"/>
        <v>56.701166517341484</v>
      </c>
      <c r="BB82" s="421">
        <f t="shared" si="422"/>
        <v>54.063902958395374</v>
      </c>
      <c r="BC82" s="421">
        <f t="shared" si="422"/>
        <v>52.745271178922309</v>
      </c>
      <c r="BD82" s="421">
        <f t="shared" si="422"/>
        <v>51.42663939944925</v>
      </c>
      <c r="BE82" s="417">
        <f>VLOOKUP($J82,Fatores!$G$1:$J$5,4,FALSE)</f>
        <v>1</v>
      </c>
      <c r="BF82" s="417">
        <f>VLOOKUP($C82,Fatores!$A:$D,4,FALSE)</f>
        <v>1</v>
      </c>
      <c r="BG82" s="420">
        <f t="shared" si="304"/>
        <v>17</v>
      </c>
      <c r="BH82" s="420">
        <f t="shared" si="305"/>
        <v>11</v>
      </c>
      <c r="BI82" s="420">
        <f t="shared" si="306"/>
        <v>14</v>
      </c>
      <c r="BJ82" s="420">
        <f t="shared" si="307"/>
        <v>13</v>
      </c>
      <c r="BK82" s="420">
        <f t="shared" si="308"/>
        <v>13</v>
      </c>
      <c r="BL82" s="420">
        <f t="shared" si="309"/>
        <v>15</v>
      </c>
      <c r="BM82" s="421">
        <f t="shared" ref="BM82:BR82" si="423">BG82+VLOOKUP($E82,$A:$BR,BM$1,FALSE)+VLOOKUP($F82,$A:$BR,BM$1,FALSE)</f>
        <v>52</v>
      </c>
      <c r="BN82" s="421">
        <f t="shared" si="423"/>
        <v>44</v>
      </c>
      <c r="BO82" s="421">
        <f t="shared" si="423"/>
        <v>43</v>
      </c>
      <c r="BP82" s="421">
        <f t="shared" si="423"/>
        <v>41</v>
      </c>
      <c r="BQ82" s="421">
        <f t="shared" si="423"/>
        <v>40</v>
      </c>
      <c r="BR82" s="421">
        <f t="shared" si="423"/>
        <v>39</v>
      </c>
    </row>
    <row r="83" spans="1:70" x14ac:dyDescent="0.25">
      <c r="A83" s="431">
        <v>168</v>
      </c>
      <c r="B83" s="424" t="s">
        <v>632</v>
      </c>
      <c r="C83" s="424" t="s">
        <v>42</v>
      </c>
      <c r="D83" s="437" t="s">
        <v>501</v>
      </c>
      <c r="E83" s="431"/>
      <c r="F83" s="424"/>
      <c r="G83" s="424"/>
      <c r="H83" s="424"/>
      <c r="I83" s="432"/>
      <c r="J83" s="440">
        <v>3</v>
      </c>
      <c r="K83" s="419">
        <f>VLOOKUP($A83,Prevs!$C:$I,Ajustes!K$1,FALSE)</f>
        <v>556</v>
      </c>
      <c r="L83" s="419">
        <f>VLOOKUP($A83,Prevs!$C:$I,Ajustes!L$1,FALSE)</f>
        <v>596</v>
      </c>
      <c r="M83" s="419">
        <f>VLOOKUP($A83,Prevs!$C:$I,Ajustes!M$1,FALSE)</f>
        <v>597</v>
      </c>
      <c r="N83" s="419">
        <f>VLOOKUP($A83,Prevs!$C:$I,Ajustes!N$1,FALSE)</f>
        <v>594</v>
      </c>
      <c r="O83" s="419">
        <f>VLOOKUP($A83,Prevs!$C:$I,Ajustes!O$1,FALSE)</f>
        <v>578</v>
      </c>
      <c r="P83" s="419">
        <f>VLOOKUP($A83,Prevs!$C:$I,Ajustes!P$1,FALSE)</f>
        <v>578</v>
      </c>
      <c r="Q83" s="419">
        <v>0</v>
      </c>
      <c r="R83" s="419">
        <v>0</v>
      </c>
      <c r="S83" s="419">
        <v>0</v>
      </c>
      <c r="T83" s="419">
        <v>0</v>
      </c>
      <c r="U83" s="419">
        <v>0</v>
      </c>
      <c r="V83" s="419">
        <v>0</v>
      </c>
      <c r="W83" s="419">
        <f t="shared" ref="W83:AB83" si="424">K83-Q83</f>
        <v>556</v>
      </c>
      <c r="X83" s="419">
        <f t="shared" si="424"/>
        <v>596</v>
      </c>
      <c r="Y83" s="419">
        <f t="shared" si="424"/>
        <v>597</v>
      </c>
      <c r="Z83" s="419">
        <f t="shared" si="424"/>
        <v>594</v>
      </c>
      <c r="AA83" s="419">
        <f t="shared" si="424"/>
        <v>578</v>
      </c>
      <c r="AB83" s="419">
        <f t="shared" si="424"/>
        <v>578</v>
      </c>
      <c r="AC83" s="417">
        <f>VLOOKUP($J83,Fatores!$G$1:$J$5,2,FALSE)</f>
        <v>1.864607586789548</v>
      </c>
      <c r="AD83" s="417">
        <f>VLOOKUP($C83,Fatores!$A:$D,2,FALSE)</f>
        <v>1</v>
      </c>
      <c r="AE83" s="420">
        <f t="shared" si="290"/>
        <v>1036.7218182549886</v>
      </c>
      <c r="AF83" s="420">
        <f t="shared" si="291"/>
        <v>1111.3061217265706</v>
      </c>
      <c r="AG83" s="420">
        <f t="shared" si="292"/>
        <v>1113.1707293133602</v>
      </c>
      <c r="AH83" s="420">
        <f t="shared" si="293"/>
        <v>1107.5769065529914</v>
      </c>
      <c r="AI83" s="420">
        <f t="shared" si="294"/>
        <v>1077.7431851643587</v>
      </c>
      <c r="AJ83" s="420">
        <f t="shared" si="295"/>
        <v>1077.7431851643587</v>
      </c>
      <c r="AK83" s="421">
        <f t="shared" ref="AK83:AP83" si="425">AE83</f>
        <v>1036.7218182549886</v>
      </c>
      <c r="AL83" s="421">
        <f t="shared" si="425"/>
        <v>1111.3061217265706</v>
      </c>
      <c r="AM83" s="421">
        <f t="shared" si="425"/>
        <v>1113.1707293133602</v>
      </c>
      <c r="AN83" s="421">
        <f t="shared" si="425"/>
        <v>1107.5769065529914</v>
      </c>
      <c r="AO83" s="421">
        <f t="shared" si="425"/>
        <v>1077.7431851643587</v>
      </c>
      <c r="AP83" s="421">
        <f t="shared" si="425"/>
        <v>1077.7431851643587</v>
      </c>
      <c r="AQ83" s="417">
        <f>VLOOKUP($J83,Fatores!$G$1:$J$5,3,FALSE)</f>
        <v>1.8891301835110699</v>
      </c>
      <c r="AR83" s="417">
        <f>VLOOKUP($C83,Fatores!$A:$D,3,FALSE)</f>
        <v>1</v>
      </c>
      <c r="AS83" s="420">
        <f t="shared" si="297"/>
        <v>1050.3563820321549</v>
      </c>
      <c r="AT83" s="420">
        <f t="shared" si="298"/>
        <v>1125.9215893725977</v>
      </c>
      <c r="AU83" s="420">
        <f t="shared" si="299"/>
        <v>1127.8107195561088</v>
      </c>
      <c r="AV83" s="420">
        <f t="shared" si="300"/>
        <v>1122.1433290055754</v>
      </c>
      <c r="AW83" s="420">
        <f t="shared" si="301"/>
        <v>1091.9172460693983</v>
      </c>
      <c r="AX83" s="420">
        <f t="shared" si="302"/>
        <v>1091.9172460693983</v>
      </c>
      <c r="AY83" s="421">
        <f t="shared" ref="AY83" si="426">AS83</f>
        <v>1050.3563820321549</v>
      </c>
      <c r="AZ83" s="421">
        <f t="shared" ref="AZ83" si="427">AT83</f>
        <v>1125.9215893725977</v>
      </c>
      <c r="BA83" s="421">
        <f t="shared" ref="BA83" si="428">AU83</f>
        <v>1127.8107195561088</v>
      </c>
      <c r="BB83" s="421">
        <f t="shared" ref="BB83" si="429">AV83</f>
        <v>1122.1433290055754</v>
      </c>
      <c r="BC83" s="421">
        <f t="shared" ref="BC83" si="430">AW83</f>
        <v>1091.9172460693983</v>
      </c>
      <c r="BD83" s="421">
        <f t="shared" ref="BD83" si="431">AX83</f>
        <v>1091.9172460693983</v>
      </c>
      <c r="BE83" s="417">
        <f>VLOOKUP($J83,Fatores!$G$1:$J$5,4,FALSE)</f>
        <v>1</v>
      </c>
      <c r="BF83" s="417">
        <f>VLOOKUP($C83,Fatores!$A:$D,4,FALSE)</f>
        <v>1</v>
      </c>
      <c r="BG83" s="420">
        <f t="shared" si="304"/>
        <v>556</v>
      </c>
      <c r="BH83" s="420">
        <f t="shared" si="305"/>
        <v>596</v>
      </c>
      <c r="BI83" s="420">
        <f t="shared" si="306"/>
        <v>597</v>
      </c>
      <c r="BJ83" s="420">
        <f t="shared" si="307"/>
        <v>594</v>
      </c>
      <c r="BK83" s="420">
        <f t="shared" si="308"/>
        <v>578</v>
      </c>
      <c r="BL83" s="420">
        <f t="shared" si="309"/>
        <v>578</v>
      </c>
      <c r="BM83" s="421">
        <f t="shared" ref="BM83" si="432">BG83</f>
        <v>556</v>
      </c>
      <c r="BN83" s="421">
        <f t="shared" ref="BN83" si="433">BH83</f>
        <v>596</v>
      </c>
      <c r="BO83" s="421">
        <f t="shared" ref="BO83" si="434">BI83</f>
        <v>597</v>
      </c>
      <c r="BP83" s="421">
        <f t="shared" ref="BP83" si="435">BJ83</f>
        <v>594</v>
      </c>
      <c r="BQ83" s="421">
        <f t="shared" ref="BQ83" si="436">BK83</f>
        <v>578</v>
      </c>
      <c r="BR83" s="421">
        <f t="shared" ref="BR83" si="437">BL83</f>
        <v>578</v>
      </c>
    </row>
    <row r="84" spans="1:70" x14ac:dyDescent="0.25">
      <c r="A84" s="431">
        <v>169</v>
      </c>
      <c r="B84" s="424"/>
      <c r="C84" s="424" t="s">
        <v>42</v>
      </c>
      <c r="D84" s="437" t="s">
        <v>501</v>
      </c>
      <c r="E84" s="444">
        <v>158</v>
      </c>
      <c r="F84" s="425">
        <v>156</v>
      </c>
      <c r="G84" s="424"/>
      <c r="H84" s="424"/>
      <c r="I84" s="432"/>
      <c r="J84" s="440">
        <v>3</v>
      </c>
      <c r="K84" s="419">
        <f>VLOOKUP($A84,Prevs!$C:$I,Ajustes!K$1,FALSE)</f>
        <v>666</v>
      </c>
      <c r="L84" s="419">
        <f>VLOOKUP($A84,Prevs!$C:$I,Ajustes!L$1,FALSE)</f>
        <v>723</v>
      </c>
      <c r="M84" s="419">
        <f>VLOOKUP($A84,Prevs!$C:$I,Ajustes!M$1,FALSE)</f>
        <v>725</v>
      </c>
      <c r="N84" s="419">
        <f>VLOOKUP($A84,Prevs!$C:$I,Ajustes!N$1,FALSE)</f>
        <v>720</v>
      </c>
      <c r="O84" s="419">
        <f>VLOOKUP($A84,Prevs!$C:$I,Ajustes!O$1,FALSE)</f>
        <v>696</v>
      </c>
      <c r="P84" s="419">
        <f>VLOOKUP($A84,Prevs!$C:$I,Ajustes!P$1,FALSE)</f>
        <v>696</v>
      </c>
      <c r="Q84" s="419">
        <f>VLOOKUP($E84,Prevs!$C:$I,Ajustes!K$1,FALSE)+VLOOKUP($F84,Prevs!$C:$I,Ajustes!K$1,FALSE)</f>
        <v>127</v>
      </c>
      <c r="R84" s="419">
        <f>VLOOKUP($E84,Prevs!$C:$I,Ajustes!L$1,FALSE)+VLOOKUP($F84,Prevs!$C:$I,Ajustes!L$1,FALSE)</f>
        <v>126</v>
      </c>
      <c r="S84" s="419">
        <f>VLOOKUP($E84,Prevs!$C:$I,Ajustes!M$1,FALSE)+VLOOKUP($F84,Prevs!$C:$I,Ajustes!M$1,FALSE)</f>
        <v>118</v>
      </c>
      <c r="T84" s="419">
        <f>VLOOKUP($E84,Prevs!$C:$I,Ajustes!N$1,FALSE)+VLOOKUP($F84,Prevs!$C:$I,Ajustes!N$1,FALSE)</f>
        <v>121</v>
      </c>
      <c r="U84" s="419">
        <f>VLOOKUP($E84,Prevs!$C:$I,Ajustes!O$1,FALSE)+VLOOKUP($F84,Prevs!$C:$I,Ajustes!O$1,FALSE)</f>
        <v>119</v>
      </c>
      <c r="V84" s="419">
        <f>VLOOKUP($E84,Prevs!$C:$I,Ajustes!P$1,FALSE)+VLOOKUP($F84,Prevs!$C:$I,Ajustes!P$1,FALSE)</f>
        <v>120</v>
      </c>
      <c r="W84" s="419">
        <f t="shared" ref="W84" si="438">K84-Q84</f>
        <v>539</v>
      </c>
      <c r="X84" s="419">
        <f t="shared" ref="X84" si="439">L84-R84</f>
        <v>597</v>
      </c>
      <c r="Y84" s="419">
        <f t="shared" ref="Y84" si="440">M84-S84</f>
        <v>607</v>
      </c>
      <c r="Z84" s="419">
        <f t="shared" ref="Z84" si="441">N84-T84</f>
        <v>599</v>
      </c>
      <c r="AA84" s="419">
        <f t="shared" ref="AA84" si="442">O84-U84</f>
        <v>577</v>
      </c>
      <c r="AB84" s="419">
        <f t="shared" ref="AB84" si="443">P84-V84</f>
        <v>576</v>
      </c>
      <c r="AC84" s="417">
        <f>VLOOKUP($J84,Fatores!$G$1:$J$5,2,FALSE)</f>
        <v>1.864607586789548</v>
      </c>
      <c r="AD84" s="417">
        <f>VLOOKUP($C84,Fatores!$A:$D,2,FALSE)</f>
        <v>1</v>
      </c>
      <c r="AE84" s="420">
        <f t="shared" si="290"/>
        <v>1005.0234892795663</v>
      </c>
      <c r="AF84" s="420">
        <f t="shared" si="291"/>
        <v>1113.1707293133602</v>
      </c>
      <c r="AG84" s="420">
        <f t="shared" si="292"/>
        <v>1131.8168051812556</v>
      </c>
      <c r="AH84" s="420">
        <f t="shared" si="293"/>
        <v>1116.8999444869391</v>
      </c>
      <c r="AI84" s="420">
        <f t="shared" si="294"/>
        <v>1075.8785775775691</v>
      </c>
      <c r="AJ84" s="420">
        <f t="shared" si="295"/>
        <v>1074.0139699907795</v>
      </c>
      <c r="AK84" s="421">
        <f t="shared" ref="AK84:AP84" si="444">AE84+VLOOKUP($E84,$A:$BR,AK$1,FALSE)+VLOOKUP($F84,$A:$BR,AK$1,FALSE)</f>
        <v>1202.2749721991636</v>
      </c>
      <c r="AL84" s="421">
        <f t="shared" si="444"/>
        <v>1308.8690509501262</v>
      </c>
      <c r="AM84" s="421">
        <f t="shared" si="444"/>
        <v>1315.0898365553699</v>
      </c>
      <c r="AN84" s="421">
        <f t="shared" si="444"/>
        <v>1304.8324597095477</v>
      </c>
      <c r="AO84" s="421">
        <f t="shared" si="444"/>
        <v>1260.7047702345149</v>
      </c>
      <c r="AP84" s="421">
        <f t="shared" si="444"/>
        <v>1260.3933239305566</v>
      </c>
      <c r="AQ84" s="417">
        <f>VLOOKUP($J84,Fatores!$G$1:$J$5,3,FALSE)</f>
        <v>1.8891301835110699</v>
      </c>
      <c r="AR84" s="417">
        <f>VLOOKUP($C84,Fatores!$A:$D,3,FALSE)</f>
        <v>1</v>
      </c>
      <c r="AS84" s="420">
        <f t="shared" si="297"/>
        <v>1018.2411689124666</v>
      </c>
      <c r="AT84" s="420">
        <f t="shared" si="298"/>
        <v>1127.8107195561088</v>
      </c>
      <c r="AU84" s="420">
        <f t="shared" si="299"/>
        <v>1146.7020213912194</v>
      </c>
      <c r="AV84" s="420">
        <f t="shared" si="300"/>
        <v>1131.5889799231309</v>
      </c>
      <c r="AW84" s="420">
        <f t="shared" si="301"/>
        <v>1090.0281158858872</v>
      </c>
      <c r="AX84" s="420">
        <f t="shared" si="302"/>
        <v>1088.1389857023762</v>
      </c>
      <c r="AY84" s="421">
        <f t="shared" ref="AY84:BD84" si="445">AS84+VLOOKUP($E84,$A:$BR,AY$1,FALSE)+VLOOKUP($F84,$A:$BR,AY$1,FALSE)</f>
        <v>1185.707404905545</v>
      </c>
      <c r="AZ84" s="421">
        <f t="shared" si="445"/>
        <v>1293.9583237697141</v>
      </c>
      <c r="BA84" s="421">
        <f t="shared" si="445"/>
        <v>1302.3005713690404</v>
      </c>
      <c r="BB84" s="421">
        <f t="shared" si="445"/>
        <v>1291.1434252393708</v>
      </c>
      <c r="BC84" s="421">
        <f t="shared" si="445"/>
        <v>1246.9452976431812</v>
      </c>
      <c r="BD84" s="421">
        <f t="shared" si="445"/>
        <v>1246.3747992391432</v>
      </c>
      <c r="BE84" s="417">
        <f>VLOOKUP($J84,Fatores!$G$1:$J$5,4,FALSE)</f>
        <v>1</v>
      </c>
      <c r="BF84" s="417">
        <f>VLOOKUP($C84,Fatores!$A:$D,4,FALSE)</f>
        <v>1</v>
      </c>
      <c r="BG84" s="420">
        <f t="shared" si="304"/>
        <v>539</v>
      </c>
      <c r="BH84" s="420">
        <f t="shared" si="305"/>
        <v>597</v>
      </c>
      <c r="BI84" s="420">
        <f t="shared" si="306"/>
        <v>607</v>
      </c>
      <c r="BJ84" s="420">
        <f t="shared" si="307"/>
        <v>599</v>
      </c>
      <c r="BK84" s="420">
        <f t="shared" si="308"/>
        <v>577</v>
      </c>
      <c r="BL84" s="420">
        <f t="shared" si="309"/>
        <v>576</v>
      </c>
      <c r="BM84" s="421">
        <f t="shared" ref="BM84:BR84" si="446">BG84+VLOOKUP($E84,$A:$BR,BM$1,FALSE)+VLOOKUP($F84,$A:$BR,BM$1,FALSE)</f>
        <v>666</v>
      </c>
      <c r="BN84" s="421">
        <f t="shared" si="446"/>
        <v>723</v>
      </c>
      <c r="BO84" s="421">
        <f t="shared" si="446"/>
        <v>725</v>
      </c>
      <c r="BP84" s="421">
        <f t="shared" si="446"/>
        <v>720</v>
      </c>
      <c r="BQ84" s="421">
        <f t="shared" si="446"/>
        <v>696</v>
      </c>
      <c r="BR84" s="421">
        <f t="shared" si="446"/>
        <v>696</v>
      </c>
    </row>
    <row r="85" spans="1:70" x14ac:dyDescent="0.25">
      <c r="A85" s="431">
        <v>171</v>
      </c>
      <c r="B85" s="424"/>
      <c r="C85" s="424" t="s">
        <v>42</v>
      </c>
      <c r="D85" s="437" t="s">
        <v>501</v>
      </c>
      <c r="E85" s="445"/>
      <c r="F85" s="424"/>
      <c r="G85" s="424"/>
      <c r="H85" s="424"/>
      <c r="I85" s="432"/>
      <c r="J85" s="440">
        <v>3</v>
      </c>
      <c r="K85" s="419">
        <f>VLOOKUP($A85,Prevs!$C:$I,Ajustes!K$1,FALSE)</f>
        <v>0</v>
      </c>
      <c r="L85" s="419">
        <f>VLOOKUP($A85,Prevs!$C:$I,Ajustes!L$1,FALSE)</f>
        <v>0</v>
      </c>
      <c r="M85" s="419">
        <f>VLOOKUP($A85,Prevs!$C:$I,Ajustes!M$1,FALSE)</f>
        <v>0</v>
      </c>
      <c r="N85" s="419">
        <f>VLOOKUP($A85,Prevs!$C:$I,Ajustes!N$1,FALSE)</f>
        <v>0</v>
      </c>
      <c r="O85" s="419">
        <f>VLOOKUP($A85,Prevs!$C:$I,Ajustes!O$1,FALSE)</f>
        <v>0</v>
      </c>
      <c r="P85" s="419">
        <f>VLOOKUP($A85,Prevs!$C:$I,Ajustes!P$1,FALSE)</f>
        <v>0</v>
      </c>
      <c r="Q85" s="419">
        <v>0</v>
      </c>
      <c r="R85" s="419">
        <v>0</v>
      </c>
      <c r="S85" s="419">
        <v>0</v>
      </c>
      <c r="T85" s="419">
        <v>0</v>
      </c>
      <c r="U85" s="419">
        <v>0</v>
      </c>
      <c r="V85" s="419">
        <v>0</v>
      </c>
      <c r="W85" s="419">
        <f t="shared" ref="W85:AB87" si="447">K85-Q85</f>
        <v>0</v>
      </c>
      <c r="X85" s="419">
        <f t="shared" si="447"/>
        <v>0</v>
      </c>
      <c r="Y85" s="419">
        <f t="shared" si="447"/>
        <v>0</v>
      </c>
      <c r="Z85" s="419">
        <f t="shared" si="447"/>
        <v>0</v>
      </c>
      <c r="AA85" s="419">
        <f t="shared" si="447"/>
        <v>0</v>
      </c>
      <c r="AB85" s="419">
        <f t="shared" si="447"/>
        <v>0</v>
      </c>
      <c r="AC85" s="417">
        <f>VLOOKUP($J85,Fatores!$G$1:$J$5,2,FALSE)</f>
        <v>1.864607586789548</v>
      </c>
      <c r="AD85" s="417">
        <f>VLOOKUP($C85,Fatores!$A:$D,2,FALSE)</f>
        <v>1</v>
      </c>
      <c r="AE85" s="420">
        <f t="shared" si="290"/>
        <v>0</v>
      </c>
      <c r="AF85" s="420">
        <f t="shared" si="291"/>
        <v>0</v>
      </c>
      <c r="AG85" s="420">
        <f t="shared" si="292"/>
        <v>0</v>
      </c>
      <c r="AH85" s="420">
        <f t="shared" si="293"/>
        <v>0</v>
      </c>
      <c r="AI85" s="420">
        <f t="shared" si="294"/>
        <v>0</v>
      </c>
      <c r="AJ85" s="420">
        <f t="shared" si="295"/>
        <v>0</v>
      </c>
      <c r="AK85" s="421">
        <f t="shared" ref="AK85:AP85" si="448">AE85</f>
        <v>0</v>
      </c>
      <c r="AL85" s="421">
        <f t="shared" si="448"/>
        <v>0</v>
      </c>
      <c r="AM85" s="421">
        <f t="shared" si="448"/>
        <v>0</v>
      </c>
      <c r="AN85" s="421">
        <f t="shared" si="448"/>
        <v>0</v>
      </c>
      <c r="AO85" s="421">
        <f t="shared" si="448"/>
        <v>0</v>
      </c>
      <c r="AP85" s="421">
        <f t="shared" si="448"/>
        <v>0</v>
      </c>
      <c r="AQ85" s="417">
        <f>VLOOKUP($J85,Fatores!$G$1:$J$5,3,FALSE)</f>
        <v>1.8891301835110699</v>
      </c>
      <c r="AR85" s="417">
        <f>VLOOKUP($C85,Fatores!$A:$D,3,FALSE)</f>
        <v>1</v>
      </c>
      <c r="AS85" s="420">
        <f t="shared" si="297"/>
        <v>0</v>
      </c>
      <c r="AT85" s="420">
        <f t="shared" si="298"/>
        <v>0</v>
      </c>
      <c r="AU85" s="420">
        <f t="shared" si="299"/>
        <v>0</v>
      </c>
      <c r="AV85" s="420">
        <f t="shared" si="300"/>
        <v>0</v>
      </c>
      <c r="AW85" s="420">
        <f t="shared" si="301"/>
        <v>0</v>
      </c>
      <c r="AX85" s="420">
        <f t="shared" si="302"/>
        <v>0</v>
      </c>
      <c r="AY85" s="421">
        <f t="shared" ref="AY85" si="449">AS85</f>
        <v>0</v>
      </c>
      <c r="AZ85" s="421">
        <f t="shared" ref="AZ85" si="450">AT85</f>
        <v>0</v>
      </c>
      <c r="BA85" s="421">
        <f t="shared" ref="BA85" si="451">AU85</f>
        <v>0</v>
      </c>
      <c r="BB85" s="421">
        <f t="shared" ref="BB85" si="452">AV85</f>
        <v>0</v>
      </c>
      <c r="BC85" s="421">
        <f t="shared" ref="BC85" si="453">AW85</f>
        <v>0</v>
      </c>
      <c r="BD85" s="421">
        <f t="shared" ref="BD85" si="454">AX85</f>
        <v>0</v>
      </c>
      <c r="BE85" s="417">
        <f>VLOOKUP($J85,Fatores!$G$1:$J$5,4,FALSE)</f>
        <v>1</v>
      </c>
      <c r="BF85" s="417">
        <f>VLOOKUP($C85,Fatores!$A:$D,4,FALSE)</f>
        <v>1</v>
      </c>
      <c r="BG85" s="420">
        <f t="shared" si="304"/>
        <v>0</v>
      </c>
      <c r="BH85" s="420">
        <f t="shared" si="305"/>
        <v>0</v>
      </c>
      <c r="BI85" s="420">
        <f t="shared" si="306"/>
        <v>0</v>
      </c>
      <c r="BJ85" s="420">
        <f t="shared" si="307"/>
        <v>0</v>
      </c>
      <c r="BK85" s="420">
        <f t="shared" si="308"/>
        <v>0</v>
      </c>
      <c r="BL85" s="420">
        <f t="shared" si="309"/>
        <v>0</v>
      </c>
      <c r="BM85" s="421">
        <f t="shared" ref="BM85" si="455">BG85</f>
        <v>0</v>
      </c>
      <c r="BN85" s="421">
        <f t="shared" ref="BN85" si="456">BH85</f>
        <v>0</v>
      </c>
      <c r="BO85" s="421">
        <f t="shared" ref="BO85" si="457">BI85</f>
        <v>0</v>
      </c>
      <c r="BP85" s="421">
        <f t="shared" ref="BP85" si="458">BJ85</f>
        <v>0</v>
      </c>
      <c r="BQ85" s="421">
        <f t="shared" ref="BQ85" si="459">BK85</f>
        <v>0</v>
      </c>
      <c r="BR85" s="421">
        <f t="shared" ref="BR85" si="460">BL85</f>
        <v>0</v>
      </c>
    </row>
    <row r="86" spans="1:70" x14ac:dyDescent="0.25">
      <c r="A86" s="431">
        <v>172</v>
      </c>
      <c r="B86" s="424"/>
      <c r="C86" s="424" t="s">
        <v>42</v>
      </c>
      <c r="D86" s="437" t="s">
        <v>501</v>
      </c>
      <c r="E86" s="444">
        <v>169</v>
      </c>
      <c r="F86" s="424"/>
      <c r="G86" s="424"/>
      <c r="H86" s="424"/>
      <c r="I86" s="432"/>
      <c r="J86" s="440">
        <v>3</v>
      </c>
      <c r="K86" s="419">
        <f>VLOOKUP($A86,Prevs!$C:$I,Ajustes!K$1,FALSE)</f>
        <v>666</v>
      </c>
      <c r="L86" s="419">
        <f>VLOOKUP($A86,Prevs!$C:$I,Ajustes!L$1,FALSE)</f>
        <v>723</v>
      </c>
      <c r="M86" s="419">
        <f>VLOOKUP($A86,Prevs!$C:$I,Ajustes!M$1,FALSE)</f>
        <v>725</v>
      </c>
      <c r="N86" s="419">
        <f>VLOOKUP($A86,Prevs!$C:$I,Ajustes!N$1,FALSE)</f>
        <v>720</v>
      </c>
      <c r="O86" s="419">
        <f>VLOOKUP($A86,Prevs!$C:$I,Ajustes!O$1,FALSE)</f>
        <v>696</v>
      </c>
      <c r="P86" s="419">
        <f>VLOOKUP($A86,Prevs!$C:$I,Ajustes!P$1,FALSE)</f>
        <v>696</v>
      </c>
      <c r="Q86" s="419">
        <f>VLOOKUP($E86,Prevs!$C:$I,Ajustes!K$1,FALSE)</f>
        <v>666</v>
      </c>
      <c r="R86" s="419">
        <f>VLOOKUP($E86,Prevs!$C:$I,Ajustes!L$1,FALSE)</f>
        <v>723</v>
      </c>
      <c r="S86" s="419">
        <f>VLOOKUP($E86,Prevs!$C:$I,Ajustes!M$1,FALSE)</f>
        <v>725</v>
      </c>
      <c r="T86" s="419">
        <f>VLOOKUP($E86,Prevs!$C:$I,Ajustes!N$1,FALSE)</f>
        <v>720</v>
      </c>
      <c r="U86" s="419">
        <f>VLOOKUP($E86,Prevs!$C:$I,Ajustes!O$1,FALSE)</f>
        <v>696</v>
      </c>
      <c r="V86" s="419">
        <f>VLOOKUP($E86,Prevs!$C:$I,Ajustes!P$1,FALSE)</f>
        <v>696</v>
      </c>
      <c r="W86" s="419">
        <f t="shared" si="447"/>
        <v>0</v>
      </c>
      <c r="X86" s="419">
        <f t="shared" si="447"/>
        <v>0</v>
      </c>
      <c r="Y86" s="419">
        <f t="shared" si="447"/>
        <v>0</v>
      </c>
      <c r="Z86" s="419">
        <f t="shared" si="447"/>
        <v>0</v>
      </c>
      <c r="AA86" s="419">
        <f t="shared" si="447"/>
        <v>0</v>
      </c>
      <c r="AB86" s="419">
        <f t="shared" si="447"/>
        <v>0</v>
      </c>
      <c r="AC86" s="417">
        <f>VLOOKUP($J86,Fatores!$G$1:$J$5,2,FALSE)</f>
        <v>1.864607586789548</v>
      </c>
      <c r="AD86" s="417">
        <f>VLOOKUP($C86,Fatores!$A:$D,2,FALSE)</f>
        <v>1</v>
      </c>
      <c r="AE86" s="420">
        <f t="shared" si="290"/>
        <v>0</v>
      </c>
      <c r="AF86" s="420">
        <f t="shared" si="291"/>
        <v>0</v>
      </c>
      <c r="AG86" s="420">
        <f t="shared" si="292"/>
        <v>0</v>
      </c>
      <c r="AH86" s="420">
        <f t="shared" si="293"/>
        <v>0</v>
      </c>
      <c r="AI86" s="420">
        <f t="shared" si="294"/>
        <v>0</v>
      </c>
      <c r="AJ86" s="420">
        <f t="shared" si="295"/>
        <v>0</v>
      </c>
      <c r="AK86" s="421">
        <f t="shared" ref="AK86:AP86" si="461">AE86+VLOOKUP($E86,$A:$BR,AK$1,FALSE)</f>
        <v>1202.2749721991636</v>
      </c>
      <c r="AL86" s="421">
        <f t="shared" si="461"/>
        <v>1308.8690509501262</v>
      </c>
      <c r="AM86" s="421">
        <f t="shared" si="461"/>
        <v>1315.0898365553699</v>
      </c>
      <c r="AN86" s="421">
        <f t="shared" si="461"/>
        <v>1304.8324597095477</v>
      </c>
      <c r="AO86" s="421">
        <f t="shared" si="461"/>
        <v>1260.7047702345149</v>
      </c>
      <c r="AP86" s="421">
        <f t="shared" si="461"/>
        <v>1260.3933239305566</v>
      </c>
      <c r="AQ86" s="417">
        <f>VLOOKUP($J86,Fatores!$G$1:$J$5,3,FALSE)</f>
        <v>1.8891301835110699</v>
      </c>
      <c r="AR86" s="417">
        <f>VLOOKUP($C86,Fatores!$A:$D,3,FALSE)</f>
        <v>1</v>
      </c>
      <c r="AS86" s="420">
        <f t="shared" si="297"/>
        <v>0</v>
      </c>
      <c r="AT86" s="420">
        <f t="shared" si="298"/>
        <v>0</v>
      </c>
      <c r="AU86" s="420">
        <f t="shared" si="299"/>
        <v>0</v>
      </c>
      <c r="AV86" s="420">
        <f t="shared" si="300"/>
        <v>0</v>
      </c>
      <c r="AW86" s="420">
        <f t="shared" si="301"/>
        <v>0</v>
      </c>
      <c r="AX86" s="420">
        <f t="shared" si="302"/>
        <v>0</v>
      </c>
      <c r="AY86" s="421">
        <f t="shared" ref="AY86:BD86" si="462">AS86+VLOOKUP($E86,$A:$BR,AY$1,FALSE)</f>
        <v>1185.707404905545</v>
      </c>
      <c r="AZ86" s="421">
        <f t="shared" si="462"/>
        <v>1293.9583237697141</v>
      </c>
      <c r="BA86" s="421">
        <f t="shared" si="462"/>
        <v>1302.3005713690404</v>
      </c>
      <c r="BB86" s="421">
        <f t="shared" si="462"/>
        <v>1291.1434252393708</v>
      </c>
      <c r="BC86" s="421">
        <f t="shared" si="462"/>
        <v>1246.9452976431812</v>
      </c>
      <c r="BD86" s="421">
        <f t="shared" si="462"/>
        <v>1246.3747992391432</v>
      </c>
      <c r="BE86" s="417">
        <f>VLOOKUP($J86,Fatores!$G$1:$J$5,4,FALSE)</f>
        <v>1</v>
      </c>
      <c r="BF86" s="417">
        <f>VLOOKUP($C86,Fatores!$A:$D,4,FALSE)</f>
        <v>1</v>
      </c>
      <c r="BG86" s="420">
        <f t="shared" si="304"/>
        <v>0</v>
      </c>
      <c r="BH86" s="420">
        <f t="shared" si="305"/>
        <v>0</v>
      </c>
      <c r="BI86" s="420">
        <f t="shared" si="306"/>
        <v>0</v>
      </c>
      <c r="BJ86" s="420">
        <f t="shared" si="307"/>
        <v>0</v>
      </c>
      <c r="BK86" s="420">
        <f t="shared" si="308"/>
        <v>0</v>
      </c>
      <c r="BL86" s="420">
        <f t="shared" si="309"/>
        <v>0</v>
      </c>
      <c r="BM86" s="421">
        <f t="shared" ref="BM86:BR86" si="463">BG86+VLOOKUP($E86,$A:$BR,BM$1,FALSE)</f>
        <v>666</v>
      </c>
      <c r="BN86" s="421">
        <f t="shared" si="463"/>
        <v>723</v>
      </c>
      <c r="BO86" s="421">
        <f t="shared" si="463"/>
        <v>725</v>
      </c>
      <c r="BP86" s="421">
        <f t="shared" si="463"/>
        <v>720</v>
      </c>
      <c r="BQ86" s="421">
        <f t="shared" si="463"/>
        <v>696</v>
      </c>
      <c r="BR86" s="421">
        <f t="shared" si="463"/>
        <v>696</v>
      </c>
    </row>
    <row r="87" spans="1:70" x14ac:dyDescent="0.25">
      <c r="A87" s="431">
        <v>173</v>
      </c>
      <c r="B87" s="424">
        <v>172</v>
      </c>
      <c r="C87" s="424" t="s">
        <v>42</v>
      </c>
      <c r="D87" s="437" t="s">
        <v>501</v>
      </c>
      <c r="E87" s="431"/>
      <c r="F87" s="424"/>
      <c r="G87" s="424"/>
      <c r="H87" s="424"/>
      <c r="I87" s="432"/>
      <c r="J87" s="440">
        <v>3</v>
      </c>
      <c r="K87" s="419">
        <f>VLOOKUP($A87,Prevs!$C:$I,Ajustes!K$1,FALSE)</f>
        <v>673</v>
      </c>
      <c r="L87" s="419">
        <f>VLOOKUP($A87,Prevs!$C:$I,Ajustes!L$1,FALSE)</f>
        <v>730</v>
      </c>
      <c r="M87" s="419">
        <f>VLOOKUP($A87,Prevs!$C:$I,Ajustes!M$1,FALSE)</f>
        <v>732</v>
      </c>
      <c r="N87" s="419">
        <f>VLOOKUP($A87,Prevs!$C:$I,Ajustes!N$1,FALSE)</f>
        <v>727</v>
      </c>
      <c r="O87" s="419">
        <f>VLOOKUP($A87,Prevs!$C:$I,Ajustes!O$1,FALSE)</f>
        <v>703</v>
      </c>
      <c r="P87" s="419">
        <f>VLOOKUP($A87,Prevs!$C:$I,Ajustes!P$1,FALSE)</f>
        <v>703</v>
      </c>
      <c r="Q87" s="419">
        <v>0</v>
      </c>
      <c r="R87" s="419">
        <v>0</v>
      </c>
      <c r="S87" s="419">
        <v>0</v>
      </c>
      <c r="T87" s="419">
        <v>0</v>
      </c>
      <c r="U87" s="419">
        <v>0</v>
      </c>
      <c r="V87" s="419">
        <v>0</v>
      </c>
      <c r="W87" s="419">
        <f t="shared" si="447"/>
        <v>673</v>
      </c>
      <c r="X87" s="419">
        <f t="shared" si="447"/>
        <v>730</v>
      </c>
      <c r="Y87" s="419">
        <f t="shared" si="447"/>
        <v>732</v>
      </c>
      <c r="Z87" s="419">
        <f t="shared" si="447"/>
        <v>727</v>
      </c>
      <c r="AA87" s="419">
        <f t="shared" si="447"/>
        <v>703</v>
      </c>
      <c r="AB87" s="419">
        <f t="shared" si="447"/>
        <v>703</v>
      </c>
      <c r="AC87" s="417">
        <f>VLOOKUP($J87,Fatores!$G$1:$J$5,2,FALSE)</f>
        <v>1.864607586789548</v>
      </c>
      <c r="AD87" s="417">
        <f>VLOOKUP($C87,Fatores!$A:$D,2,FALSE)</f>
        <v>1</v>
      </c>
      <c r="AE87" s="420">
        <f t="shared" si="290"/>
        <v>1254.8809059093658</v>
      </c>
      <c r="AF87" s="420">
        <f t="shared" si="291"/>
        <v>1361.1635383563701</v>
      </c>
      <c r="AG87" s="420">
        <f t="shared" si="292"/>
        <v>1364.892753529949</v>
      </c>
      <c r="AH87" s="420">
        <f t="shared" si="293"/>
        <v>1355.5697155960013</v>
      </c>
      <c r="AI87" s="420">
        <f t="shared" si="294"/>
        <v>1310.8191335130523</v>
      </c>
      <c r="AJ87" s="420">
        <f t="shared" si="295"/>
        <v>1310.8191335130523</v>
      </c>
      <c r="AK87" s="421">
        <f t="shared" ref="AK87:AP87" si="464">AE87</f>
        <v>1254.8809059093658</v>
      </c>
      <c r="AL87" s="421">
        <f t="shared" si="464"/>
        <v>1361.1635383563701</v>
      </c>
      <c r="AM87" s="421">
        <f t="shared" si="464"/>
        <v>1364.892753529949</v>
      </c>
      <c r="AN87" s="421">
        <f t="shared" si="464"/>
        <v>1355.5697155960013</v>
      </c>
      <c r="AO87" s="421">
        <f t="shared" si="464"/>
        <v>1310.8191335130523</v>
      </c>
      <c r="AP87" s="421">
        <f t="shared" si="464"/>
        <v>1310.8191335130523</v>
      </c>
      <c r="AQ87" s="417">
        <f>VLOOKUP($J87,Fatores!$G$1:$J$5,3,FALSE)</f>
        <v>1.8891301835110699</v>
      </c>
      <c r="AR87" s="417">
        <f>VLOOKUP($C87,Fatores!$A:$D,3,FALSE)</f>
        <v>1</v>
      </c>
      <c r="AS87" s="420">
        <f t="shared" si="297"/>
        <v>1271.3846135029501</v>
      </c>
      <c r="AT87" s="420">
        <f t="shared" si="298"/>
        <v>1379.0650339630811</v>
      </c>
      <c r="AU87" s="420">
        <f t="shared" si="299"/>
        <v>1382.8432943301032</v>
      </c>
      <c r="AV87" s="420">
        <f t="shared" si="300"/>
        <v>1373.3976434125477</v>
      </c>
      <c r="AW87" s="420">
        <f t="shared" si="301"/>
        <v>1328.058519008282</v>
      </c>
      <c r="AX87" s="420">
        <f t="shared" si="302"/>
        <v>1328.058519008282</v>
      </c>
      <c r="AY87" s="421">
        <f t="shared" ref="AY87" si="465">AS87</f>
        <v>1271.3846135029501</v>
      </c>
      <c r="AZ87" s="421">
        <f t="shared" ref="AZ87" si="466">AT87</f>
        <v>1379.0650339630811</v>
      </c>
      <c r="BA87" s="421">
        <f t="shared" ref="BA87" si="467">AU87</f>
        <v>1382.8432943301032</v>
      </c>
      <c r="BB87" s="421">
        <f t="shared" ref="BB87" si="468">AV87</f>
        <v>1373.3976434125477</v>
      </c>
      <c r="BC87" s="421">
        <f t="shared" ref="BC87" si="469">AW87</f>
        <v>1328.058519008282</v>
      </c>
      <c r="BD87" s="421">
        <f t="shared" ref="BD87" si="470">AX87</f>
        <v>1328.058519008282</v>
      </c>
      <c r="BE87" s="417">
        <f>VLOOKUP($J87,Fatores!$G$1:$J$5,4,FALSE)</f>
        <v>1</v>
      </c>
      <c r="BF87" s="417">
        <f>VLOOKUP($C87,Fatores!$A:$D,4,FALSE)</f>
        <v>1</v>
      </c>
      <c r="BG87" s="420">
        <f t="shared" si="304"/>
        <v>673</v>
      </c>
      <c r="BH87" s="420">
        <f t="shared" si="305"/>
        <v>730</v>
      </c>
      <c r="BI87" s="420">
        <f t="shared" si="306"/>
        <v>732</v>
      </c>
      <c r="BJ87" s="420">
        <f t="shared" si="307"/>
        <v>727</v>
      </c>
      <c r="BK87" s="420">
        <f t="shared" si="308"/>
        <v>703</v>
      </c>
      <c r="BL87" s="420">
        <f t="shared" si="309"/>
        <v>703</v>
      </c>
      <c r="BM87" s="421">
        <f t="shared" ref="BM87" si="471">BG87</f>
        <v>673</v>
      </c>
      <c r="BN87" s="421">
        <f t="shared" ref="BN87" si="472">BH87</f>
        <v>730</v>
      </c>
      <c r="BO87" s="421">
        <f t="shared" ref="BO87" si="473">BI87</f>
        <v>732</v>
      </c>
      <c r="BP87" s="421">
        <f t="shared" ref="BP87" si="474">BJ87</f>
        <v>727</v>
      </c>
      <c r="BQ87" s="421">
        <f t="shared" ref="BQ87" si="475">BK87</f>
        <v>703</v>
      </c>
      <c r="BR87" s="421">
        <f t="shared" ref="BR87" si="476">BL87</f>
        <v>703</v>
      </c>
    </row>
    <row r="88" spans="1:70" x14ac:dyDescent="0.25">
      <c r="A88" s="431">
        <v>175</v>
      </c>
      <c r="B88" s="424"/>
      <c r="C88" s="424" t="s">
        <v>42</v>
      </c>
      <c r="D88" s="437" t="s">
        <v>501</v>
      </c>
      <c r="E88" s="444">
        <v>173</v>
      </c>
      <c r="F88" s="424"/>
      <c r="G88" s="424"/>
      <c r="H88" s="424"/>
      <c r="I88" s="432"/>
      <c r="J88" s="440">
        <v>3</v>
      </c>
      <c r="K88" s="419">
        <f>VLOOKUP($A88,Prevs!$C:$I,Ajustes!K$1,FALSE)</f>
        <v>673</v>
      </c>
      <c r="L88" s="419">
        <f>VLOOKUP($A88,Prevs!$C:$I,Ajustes!L$1,FALSE)</f>
        <v>730</v>
      </c>
      <c r="M88" s="419">
        <f>VLOOKUP($A88,Prevs!$C:$I,Ajustes!M$1,FALSE)</f>
        <v>732</v>
      </c>
      <c r="N88" s="419">
        <f>VLOOKUP($A88,Prevs!$C:$I,Ajustes!N$1,FALSE)</f>
        <v>727</v>
      </c>
      <c r="O88" s="419">
        <f>VLOOKUP($A88,Prevs!$C:$I,Ajustes!O$1,FALSE)</f>
        <v>703</v>
      </c>
      <c r="P88" s="419">
        <f>VLOOKUP($A88,Prevs!$C:$I,Ajustes!P$1,FALSE)</f>
        <v>703</v>
      </c>
      <c r="Q88" s="419">
        <f>VLOOKUP($E88,Prevs!$C:$I,Ajustes!K$1,FALSE)</f>
        <v>673</v>
      </c>
      <c r="R88" s="419">
        <f>VLOOKUP($E88,Prevs!$C:$I,Ajustes!L$1,FALSE)</f>
        <v>730</v>
      </c>
      <c r="S88" s="419">
        <f>VLOOKUP($E88,Prevs!$C:$I,Ajustes!M$1,FALSE)</f>
        <v>732</v>
      </c>
      <c r="T88" s="419">
        <f>VLOOKUP($E88,Prevs!$C:$I,Ajustes!N$1,FALSE)</f>
        <v>727</v>
      </c>
      <c r="U88" s="419">
        <f>VLOOKUP($E88,Prevs!$C:$I,Ajustes!O$1,FALSE)</f>
        <v>703</v>
      </c>
      <c r="V88" s="419">
        <f>VLOOKUP($E88,Prevs!$C:$I,Ajustes!P$1,FALSE)</f>
        <v>703</v>
      </c>
      <c r="W88" s="419">
        <f t="shared" ref="W88:W91" si="477">K88-Q88</f>
        <v>0</v>
      </c>
      <c r="X88" s="419">
        <f t="shared" ref="X88:X91" si="478">L88-R88</f>
        <v>0</v>
      </c>
      <c r="Y88" s="419">
        <f t="shared" ref="Y88:Y91" si="479">M88-S88</f>
        <v>0</v>
      </c>
      <c r="Z88" s="419">
        <f t="shared" ref="Z88:Z91" si="480">N88-T88</f>
        <v>0</v>
      </c>
      <c r="AA88" s="419">
        <f t="shared" ref="AA88:AA91" si="481">O88-U88</f>
        <v>0</v>
      </c>
      <c r="AB88" s="419">
        <f t="shared" ref="AB88:AB91" si="482">P88-V88</f>
        <v>0</v>
      </c>
      <c r="AC88" s="417">
        <f>VLOOKUP($J88,Fatores!$G$1:$J$5,2,FALSE)</f>
        <v>1.864607586789548</v>
      </c>
      <c r="AD88" s="417">
        <f>VLOOKUP($C88,Fatores!$A:$D,2,FALSE)</f>
        <v>1</v>
      </c>
      <c r="AE88" s="420">
        <f t="shared" si="290"/>
        <v>0</v>
      </c>
      <c r="AF88" s="420">
        <f t="shared" si="291"/>
        <v>0</v>
      </c>
      <c r="AG88" s="420">
        <f t="shared" si="292"/>
        <v>0</v>
      </c>
      <c r="AH88" s="420">
        <f t="shared" si="293"/>
        <v>0</v>
      </c>
      <c r="AI88" s="420">
        <f t="shared" si="294"/>
        <v>0</v>
      </c>
      <c r="AJ88" s="420">
        <f t="shared" si="295"/>
        <v>0</v>
      </c>
      <c r="AK88" s="421">
        <f t="shared" ref="AK88:AP91" si="483">AE88+VLOOKUP($E88,$A:$BR,AK$1,FALSE)</f>
        <v>1254.8809059093658</v>
      </c>
      <c r="AL88" s="421">
        <f t="shared" si="483"/>
        <v>1361.1635383563701</v>
      </c>
      <c r="AM88" s="421">
        <f t="shared" si="483"/>
        <v>1364.892753529949</v>
      </c>
      <c r="AN88" s="421">
        <f t="shared" si="483"/>
        <v>1355.5697155960013</v>
      </c>
      <c r="AO88" s="421">
        <f t="shared" si="483"/>
        <v>1310.8191335130523</v>
      </c>
      <c r="AP88" s="421">
        <f t="shared" si="483"/>
        <v>1310.8191335130523</v>
      </c>
      <c r="AQ88" s="417">
        <f>VLOOKUP($J88,Fatores!$G$1:$J$5,3,FALSE)</f>
        <v>1.8891301835110699</v>
      </c>
      <c r="AR88" s="417">
        <f>VLOOKUP($C88,Fatores!$A:$D,3,FALSE)</f>
        <v>1</v>
      </c>
      <c r="AS88" s="420">
        <f t="shared" si="297"/>
        <v>0</v>
      </c>
      <c r="AT88" s="420">
        <f t="shared" si="298"/>
        <v>0</v>
      </c>
      <c r="AU88" s="420">
        <f t="shared" si="299"/>
        <v>0</v>
      </c>
      <c r="AV88" s="420">
        <f t="shared" si="300"/>
        <v>0</v>
      </c>
      <c r="AW88" s="420">
        <f t="shared" si="301"/>
        <v>0</v>
      </c>
      <c r="AX88" s="420">
        <f t="shared" si="302"/>
        <v>0</v>
      </c>
      <c r="AY88" s="421">
        <f t="shared" ref="AY88:BD91" si="484">AS88+VLOOKUP($E88,$A:$BR,AY$1,FALSE)</f>
        <v>1271.3846135029501</v>
      </c>
      <c r="AZ88" s="421">
        <f t="shared" si="484"/>
        <v>1379.0650339630811</v>
      </c>
      <c r="BA88" s="421">
        <f t="shared" si="484"/>
        <v>1382.8432943301032</v>
      </c>
      <c r="BB88" s="421">
        <f t="shared" si="484"/>
        <v>1373.3976434125477</v>
      </c>
      <c r="BC88" s="421">
        <f t="shared" si="484"/>
        <v>1328.058519008282</v>
      </c>
      <c r="BD88" s="421">
        <f t="shared" si="484"/>
        <v>1328.058519008282</v>
      </c>
      <c r="BE88" s="417">
        <f>VLOOKUP($J88,Fatores!$G$1:$J$5,4,FALSE)</f>
        <v>1</v>
      </c>
      <c r="BF88" s="417">
        <f>VLOOKUP($C88,Fatores!$A:$D,4,FALSE)</f>
        <v>1</v>
      </c>
      <c r="BG88" s="420">
        <f t="shared" si="304"/>
        <v>0</v>
      </c>
      <c r="BH88" s="420">
        <f t="shared" si="305"/>
        <v>0</v>
      </c>
      <c r="BI88" s="420">
        <f t="shared" si="306"/>
        <v>0</v>
      </c>
      <c r="BJ88" s="420">
        <f t="shared" si="307"/>
        <v>0</v>
      </c>
      <c r="BK88" s="420">
        <f t="shared" si="308"/>
        <v>0</v>
      </c>
      <c r="BL88" s="420">
        <f t="shared" si="309"/>
        <v>0</v>
      </c>
      <c r="BM88" s="421">
        <f t="shared" ref="BM88:BR91" si="485">BG88+VLOOKUP($E88,$A:$BR,BM$1,FALSE)</f>
        <v>673</v>
      </c>
      <c r="BN88" s="421">
        <f t="shared" si="485"/>
        <v>730</v>
      </c>
      <c r="BO88" s="421">
        <f t="shared" si="485"/>
        <v>732</v>
      </c>
      <c r="BP88" s="421">
        <f t="shared" si="485"/>
        <v>727</v>
      </c>
      <c r="BQ88" s="421">
        <f t="shared" si="485"/>
        <v>703</v>
      </c>
      <c r="BR88" s="421">
        <f t="shared" si="485"/>
        <v>703</v>
      </c>
    </row>
    <row r="89" spans="1:70" x14ac:dyDescent="0.25">
      <c r="A89" s="431">
        <v>176</v>
      </c>
      <c r="B89" s="424">
        <v>173</v>
      </c>
      <c r="C89" s="424" t="s">
        <v>42</v>
      </c>
      <c r="D89" s="437" t="s">
        <v>501</v>
      </c>
      <c r="E89" s="444">
        <v>172</v>
      </c>
      <c r="F89" s="424"/>
      <c r="G89" s="424"/>
      <c r="H89" s="424"/>
      <c r="I89" s="432"/>
      <c r="J89" s="440">
        <v>3</v>
      </c>
      <c r="K89" s="419">
        <f>VLOOKUP($A89,Prevs!$C:$I,Ajustes!K$1,FALSE)</f>
        <v>666</v>
      </c>
      <c r="L89" s="419">
        <f>VLOOKUP($A89,Prevs!$C:$I,Ajustes!L$1,FALSE)</f>
        <v>723</v>
      </c>
      <c r="M89" s="419">
        <f>VLOOKUP($A89,Prevs!$C:$I,Ajustes!M$1,FALSE)</f>
        <v>725</v>
      </c>
      <c r="N89" s="419">
        <f>VLOOKUP($A89,Prevs!$C:$I,Ajustes!N$1,FALSE)</f>
        <v>720</v>
      </c>
      <c r="O89" s="419">
        <f>VLOOKUP($A89,Prevs!$C:$I,Ajustes!O$1,FALSE)</f>
        <v>696</v>
      </c>
      <c r="P89" s="419">
        <f>VLOOKUP($A89,Prevs!$C:$I,Ajustes!P$1,FALSE)</f>
        <v>696</v>
      </c>
      <c r="Q89" s="419">
        <f>VLOOKUP($E89,Prevs!$C:$I,Ajustes!K$1,FALSE)</f>
        <v>666</v>
      </c>
      <c r="R89" s="419">
        <f>VLOOKUP($E89,Prevs!$C:$I,Ajustes!L$1,FALSE)</f>
        <v>723</v>
      </c>
      <c r="S89" s="419">
        <f>VLOOKUP($E89,Prevs!$C:$I,Ajustes!M$1,FALSE)</f>
        <v>725</v>
      </c>
      <c r="T89" s="419">
        <f>VLOOKUP($E89,Prevs!$C:$I,Ajustes!N$1,FALSE)</f>
        <v>720</v>
      </c>
      <c r="U89" s="419">
        <f>VLOOKUP($E89,Prevs!$C:$I,Ajustes!O$1,FALSE)</f>
        <v>696</v>
      </c>
      <c r="V89" s="419">
        <f>VLOOKUP($E89,Prevs!$C:$I,Ajustes!P$1,FALSE)</f>
        <v>696</v>
      </c>
      <c r="W89" s="419">
        <f t="shared" si="477"/>
        <v>0</v>
      </c>
      <c r="X89" s="419">
        <f t="shared" si="478"/>
        <v>0</v>
      </c>
      <c r="Y89" s="419">
        <f t="shared" si="479"/>
        <v>0</v>
      </c>
      <c r="Z89" s="419">
        <f t="shared" si="480"/>
        <v>0</v>
      </c>
      <c r="AA89" s="419">
        <f t="shared" si="481"/>
        <v>0</v>
      </c>
      <c r="AB89" s="419">
        <f t="shared" si="482"/>
        <v>0</v>
      </c>
      <c r="AC89" s="417">
        <f>VLOOKUP($J89,Fatores!$G$1:$J$5,2,FALSE)</f>
        <v>1.864607586789548</v>
      </c>
      <c r="AD89" s="417">
        <f>VLOOKUP($C89,Fatores!$A:$D,2,FALSE)</f>
        <v>1</v>
      </c>
      <c r="AE89" s="420">
        <f t="shared" si="290"/>
        <v>0</v>
      </c>
      <c r="AF89" s="420">
        <f t="shared" si="291"/>
        <v>0</v>
      </c>
      <c r="AG89" s="420">
        <f t="shared" si="292"/>
        <v>0</v>
      </c>
      <c r="AH89" s="420">
        <f t="shared" si="293"/>
        <v>0</v>
      </c>
      <c r="AI89" s="420">
        <f t="shared" si="294"/>
        <v>0</v>
      </c>
      <c r="AJ89" s="420">
        <f t="shared" si="295"/>
        <v>0</v>
      </c>
      <c r="AK89" s="421">
        <f t="shared" si="483"/>
        <v>1202.2749721991636</v>
      </c>
      <c r="AL89" s="421">
        <f t="shared" si="483"/>
        <v>1308.8690509501262</v>
      </c>
      <c r="AM89" s="421">
        <f t="shared" si="483"/>
        <v>1315.0898365553699</v>
      </c>
      <c r="AN89" s="421">
        <f t="shared" si="483"/>
        <v>1304.8324597095477</v>
      </c>
      <c r="AO89" s="421">
        <f t="shared" si="483"/>
        <v>1260.7047702345149</v>
      </c>
      <c r="AP89" s="421">
        <f t="shared" si="483"/>
        <v>1260.3933239305566</v>
      </c>
      <c r="AQ89" s="417">
        <f>VLOOKUP($J89,Fatores!$G$1:$J$5,3,FALSE)</f>
        <v>1.8891301835110699</v>
      </c>
      <c r="AR89" s="417">
        <f>VLOOKUP($C89,Fatores!$A:$D,3,FALSE)</f>
        <v>1</v>
      </c>
      <c r="AS89" s="420">
        <f t="shared" si="297"/>
        <v>0</v>
      </c>
      <c r="AT89" s="420">
        <f t="shared" si="298"/>
        <v>0</v>
      </c>
      <c r="AU89" s="420">
        <f t="shared" si="299"/>
        <v>0</v>
      </c>
      <c r="AV89" s="420">
        <f t="shared" si="300"/>
        <v>0</v>
      </c>
      <c r="AW89" s="420">
        <f t="shared" si="301"/>
        <v>0</v>
      </c>
      <c r="AX89" s="420">
        <f t="shared" si="302"/>
        <v>0</v>
      </c>
      <c r="AY89" s="421">
        <f t="shared" si="484"/>
        <v>1185.707404905545</v>
      </c>
      <c r="AZ89" s="421">
        <f t="shared" si="484"/>
        <v>1293.9583237697141</v>
      </c>
      <c r="BA89" s="421">
        <f t="shared" si="484"/>
        <v>1302.3005713690404</v>
      </c>
      <c r="BB89" s="421">
        <f t="shared" si="484"/>
        <v>1291.1434252393708</v>
      </c>
      <c r="BC89" s="421">
        <f t="shared" si="484"/>
        <v>1246.9452976431812</v>
      </c>
      <c r="BD89" s="421">
        <f t="shared" si="484"/>
        <v>1246.3747992391432</v>
      </c>
      <c r="BE89" s="417">
        <f>VLOOKUP($J89,Fatores!$G$1:$J$5,4,FALSE)</f>
        <v>1</v>
      </c>
      <c r="BF89" s="417">
        <f>VLOOKUP($C89,Fatores!$A:$D,4,FALSE)</f>
        <v>1</v>
      </c>
      <c r="BG89" s="420">
        <f t="shared" si="304"/>
        <v>0</v>
      </c>
      <c r="BH89" s="420">
        <f t="shared" si="305"/>
        <v>0</v>
      </c>
      <c r="BI89" s="420">
        <f t="shared" si="306"/>
        <v>0</v>
      </c>
      <c r="BJ89" s="420">
        <f t="shared" si="307"/>
        <v>0</v>
      </c>
      <c r="BK89" s="420">
        <f t="shared" si="308"/>
        <v>0</v>
      </c>
      <c r="BL89" s="420">
        <f t="shared" si="309"/>
        <v>0</v>
      </c>
      <c r="BM89" s="421">
        <f t="shared" si="485"/>
        <v>666</v>
      </c>
      <c r="BN89" s="421">
        <f t="shared" si="485"/>
        <v>723</v>
      </c>
      <c r="BO89" s="421">
        <f t="shared" si="485"/>
        <v>725</v>
      </c>
      <c r="BP89" s="421">
        <f t="shared" si="485"/>
        <v>720</v>
      </c>
      <c r="BQ89" s="421">
        <f t="shared" si="485"/>
        <v>696</v>
      </c>
      <c r="BR89" s="421">
        <f t="shared" si="485"/>
        <v>696</v>
      </c>
    </row>
    <row r="90" spans="1:70" x14ac:dyDescent="0.25">
      <c r="A90" s="431">
        <v>178</v>
      </c>
      <c r="B90" s="424"/>
      <c r="C90" s="424" t="s">
        <v>42</v>
      </c>
      <c r="D90" s="437" t="s">
        <v>501</v>
      </c>
      <c r="E90" s="444">
        <v>175</v>
      </c>
      <c r="F90" s="426"/>
      <c r="G90" s="426"/>
      <c r="H90" s="424"/>
      <c r="I90" s="432"/>
      <c r="J90" s="440">
        <v>3</v>
      </c>
      <c r="K90" s="419">
        <f>VLOOKUP($A90,Prevs!$C:$I,Ajustes!K$1,FALSE)</f>
        <v>673</v>
      </c>
      <c r="L90" s="419">
        <f>VLOOKUP($A90,Prevs!$C:$I,Ajustes!L$1,FALSE)</f>
        <v>730</v>
      </c>
      <c r="M90" s="419">
        <f>VLOOKUP($A90,Prevs!$C:$I,Ajustes!M$1,FALSE)</f>
        <v>732</v>
      </c>
      <c r="N90" s="419">
        <f>VLOOKUP($A90,Prevs!$C:$I,Ajustes!N$1,FALSE)</f>
        <v>727</v>
      </c>
      <c r="O90" s="419">
        <f>VLOOKUP($A90,Prevs!$C:$I,Ajustes!O$1,FALSE)</f>
        <v>703</v>
      </c>
      <c r="P90" s="419">
        <f>VLOOKUP($A90,Prevs!$C:$I,Ajustes!P$1,FALSE)</f>
        <v>703</v>
      </c>
      <c r="Q90" s="419">
        <f>VLOOKUP($E90,Prevs!$C:$I,Ajustes!K$1,FALSE)</f>
        <v>673</v>
      </c>
      <c r="R90" s="419">
        <f>VLOOKUP($E90,Prevs!$C:$I,Ajustes!L$1,FALSE)</f>
        <v>730</v>
      </c>
      <c r="S90" s="419">
        <f>VLOOKUP($E90,Prevs!$C:$I,Ajustes!M$1,FALSE)</f>
        <v>732</v>
      </c>
      <c r="T90" s="419">
        <f>VLOOKUP($E90,Prevs!$C:$I,Ajustes!N$1,FALSE)</f>
        <v>727</v>
      </c>
      <c r="U90" s="419">
        <f>VLOOKUP($E90,Prevs!$C:$I,Ajustes!O$1,FALSE)</f>
        <v>703</v>
      </c>
      <c r="V90" s="419">
        <f>VLOOKUP($E90,Prevs!$C:$I,Ajustes!P$1,FALSE)</f>
        <v>703</v>
      </c>
      <c r="W90" s="419">
        <f t="shared" si="477"/>
        <v>0</v>
      </c>
      <c r="X90" s="419">
        <f t="shared" si="478"/>
        <v>0</v>
      </c>
      <c r="Y90" s="419">
        <f t="shared" si="479"/>
        <v>0</v>
      </c>
      <c r="Z90" s="419">
        <f t="shared" si="480"/>
        <v>0</v>
      </c>
      <c r="AA90" s="419">
        <f t="shared" si="481"/>
        <v>0</v>
      </c>
      <c r="AB90" s="419">
        <f t="shared" si="482"/>
        <v>0</v>
      </c>
      <c r="AC90" s="417">
        <f>VLOOKUP($J90,Fatores!$G$1:$J$5,2,FALSE)</f>
        <v>1.864607586789548</v>
      </c>
      <c r="AD90" s="417">
        <f>VLOOKUP($C90,Fatores!$A:$D,2,FALSE)</f>
        <v>1</v>
      </c>
      <c r="AE90" s="420">
        <f t="shared" si="290"/>
        <v>0</v>
      </c>
      <c r="AF90" s="420">
        <f t="shared" si="291"/>
        <v>0</v>
      </c>
      <c r="AG90" s="420">
        <f t="shared" si="292"/>
        <v>0</v>
      </c>
      <c r="AH90" s="420">
        <f t="shared" si="293"/>
        <v>0</v>
      </c>
      <c r="AI90" s="420">
        <f t="shared" si="294"/>
        <v>0</v>
      </c>
      <c r="AJ90" s="420">
        <f t="shared" si="295"/>
        <v>0</v>
      </c>
      <c r="AK90" s="421">
        <f t="shared" si="483"/>
        <v>1254.8809059093658</v>
      </c>
      <c r="AL90" s="421">
        <f t="shared" si="483"/>
        <v>1361.1635383563701</v>
      </c>
      <c r="AM90" s="421">
        <f t="shared" si="483"/>
        <v>1364.892753529949</v>
      </c>
      <c r="AN90" s="421">
        <f t="shared" si="483"/>
        <v>1355.5697155960013</v>
      </c>
      <c r="AO90" s="421">
        <f t="shared" si="483"/>
        <v>1310.8191335130523</v>
      </c>
      <c r="AP90" s="421">
        <f t="shared" si="483"/>
        <v>1310.8191335130523</v>
      </c>
      <c r="AQ90" s="417">
        <f>VLOOKUP($J90,Fatores!$G$1:$J$5,3,FALSE)</f>
        <v>1.8891301835110699</v>
      </c>
      <c r="AR90" s="417">
        <f>VLOOKUP($C90,Fatores!$A:$D,3,FALSE)</f>
        <v>1</v>
      </c>
      <c r="AS90" s="420">
        <f t="shared" si="297"/>
        <v>0</v>
      </c>
      <c r="AT90" s="420">
        <f t="shared" si="298"/>
        <v>0</v>
      </c>
      <c r="AU90" s="420">
        <f t="shared" si="299"/>
        <v>0</v>
      </c>
      <c r="AV90" s="420">
        <f t="shared" si="300"/>
        <v>0</v>
      </c>
      <c r="AW90" s="420">
        <f t="shared" si="301"/>
        <v>0</v>
      </c>
      <c r="AX90" s="420">
        <f t="shared" si="302"/>
        <v>0</v>
      </c>
      <c r="AY90" s="421">
        <f t="shared" si="484"/>
        <v>1271.3846135029501</v>
      </c>
      <c r="AZ90" s="421">
        <f t="shared" si="484"/>
        <v>1379.0650339630811</v>
      </c>
      <c r="BA90" s="421">
        <f t="shared" si="484"/>
        <v>1382.8432943301032</v>
      </c>
      <c r="BB90" s="421">
        <f t="shared" si="484"/>
        <v>1373.3976434125477</v>
      </c>
      <c r="BC90" s="421">
        <f t="shared" si="484"/>
        <v>1328.058519008282</v>
      </c>
      <c r="BD90" s="421">
        <f t="shared" si="484"/>
        <v>1328.058519008282</v>
      </c>
      <c r="BE90" s="417">
        <f>VLOOKUP($J90,Fatores!$G$1:$J$5,4,FALSE)</f>
        <v>1</v>
      </c>
      <c r="BF90" s="417">
        <f>VLOOKUP($C90,Fatores!$A:$D,4,FALSE)</f>
        <v>1</v>
      </c>
      <c r="BG90" s="420">
        <f t="shared" si="304"/>
        <v>0</v>
      </c>
      <c r="BH90" s="420">
        <f t="shared" si="305"/>
        <v>0</v>
      </c>
      <c r="BI90" s="420">
        <f t="shared" si="306"/>
        <v>0</v>
      </c>
      <c r="BJ90" s="420">
        <f t="shared" si="307"/>
        <v>0</v>
      </c>
      <c r="BK90" s="420">
        <f t="shared" si="308"/>
        <v>0</v>
      </c>
      <c r="BL90" s="420">
        <f t="shared" si="309"/>
        <v>0</v>
      </c>
      <c r="BM90" s="421">
        <f t="shared" si="485"/>
        <v>673</v>
      </c>
      <c r="BN90" s="421">
        <f t="shared" si="485"/>
        <v>730</v>
      </c>
      <c r="BO90" s="421">
        <f t="shared" si="485"/>
        <v>732</v>
      </c>
      <c r="BP90" s="421">
        <f t="shared" si="485"/>
        <v>727</v>
      </c>
      <c r="BQ90" s="421">
        <f t="shared" si="485"/>
        <v>703</v>
      </c>
      <c r="BR90" s="421">
        <f t="shared" si="485"/>
        <v>703</v>
      </c>
    </row>
    <row r="91" spans="1:70" x14ac:dyDescent="0.25">
      <c r="A91" s="431">
        <v>183</v>
      </c>
      <c r="B91" s="424"/>
      <c r="C91" s="424" t="s">
        <v>34</v>
      </c>
      <c r="D91" s="437" t="s">
        <v>519</v>
      </c>
      <c r="E91" s="444">
        <v>262</v>
      </c>
      <c r="F91" s="424"/>
      <c r="G91" s="424"/>
      <c r="H91" s="424"/>
      <c r="I91" s="432"/>
      <c r="J91" s="440">
        <v>1</v>
      </c>
      <c r="K91" s="419">
        <f>VLOOKUP($A91,Prevs!$C:$I,Ajustes!K$1,FALSE)</f>
        <v>35</v>
      </c>
      <c r="L91" s="419">
        <f>VLOOKUP($A91,Prevs!$C:$I,Ajustes!L$1,FALSE)</f>
        <v>35</v>
      </c>
      <c r="M91" s="419">
        <f>VLOOKUP($A91,Prevs!$C:$I,Ajustes!M$1,FALSE)</f>
        <v>34</v>
      </c>
      <c r="N91" s="419">
        <f>VLOOKUP($A91,Prevs!$C:$I,Ajustes!N$1,FALSE)</f>
        <v>34</v>
      </c>
      <c r="O91" s="419">
        <f>VLOOKUP($A91,Prevs!$C:$I,Ajustes!O$1,FALSE)</f>
        <v>33</v>
      </c>
      <c r="P91" s="419">
        <f>VLOOKUP($A91,Prevs!$C:$I,Ajustes!P$1,FALSE)</f>
        <v>33</v>
      </c>
      <c r="Q91" s="419">
        <f>VLOOKUP($E91,Prevs!$C:$I,Ajustes!K$1,FALSE)</f>
        <v>33</v>
      </c>
      <c r="R91" s="419">
        <f>VLOOKUP($E91,Prevs!$C:$I,Ajustes!L$1,FALSE)</f>
        <v>33</v>
      </c>
      <c r="S91" s="419">
        <f>VLOOKUP($E91,Prevs!$C:$I,Ajustes!M$1,FALSE)</f>
        <v>32</v>
      </c>
      <c r="T91" s="419">
        <f>VLOOKUP($E91,Prevs!$C:$I,Ajustes!N$1,FALSE)</f>
        <v>31</v>
      </c>
      <c r="U91" s="419">
        <f>VLOOKUP($E91,Prevs!$C:$I,Ajustes!O$1,FALSE)</f>
        <v>31</v>
      </c>
      <c r="V91" s="419">
        <f>VLOOKUP($E91,Prevs!$C:$I,Ajustes!P$1,FALSE)</f>
        <v>31</v>
      </c>
      <c r="W91" s="419">
        <f t="shared" si="477"/>
        <v>2</v>
      </c>
      <c r="X91" s="419">
        <f t="shared" si="478"/>
        <v>2</v>
      </c>
      <c r="Y91" s="419">
        <f t="shared" si="479"/>
        <v>2</v>
      </c>
      <c r="Z91" s="419">
        <f t="shared" si="480"/>
        <v>3</v>
      </c>
      <c r="AA91" s="419">
        <f t="shared" si="481"/>
        <v>2</v>
      </c>
      <c r="AB91" s="419">
        <f t="shared" si="482"/>
        <v>2</v>
      </c>
      <c r="AC91" s="417">
        <f>VLOOKUP($J91,Fatores!$G$1:$J$5,2,FALSE)</f>
        <v>1.5531612828314754</v>
      </c>
      <c r="AD91" s="417">
        <f>VLOOKUP($C91,Fatores!$A:$D,2,FALSE)</f>
        <v>1</v>
      </c>
      <c r="AE91" s="420">
        <f t="shared" si="290"/>
        <v>3.1063225656629507</v>
      </c>
      <c r="AF91" s="420">
        <f t="shared" si="291"/>
        <v>3.1063225656629507</v>
      </c>
      <c r="AG91" s="420">
        <f t="shared" si="292"/>
        <v>3.1063225656629507</v>
      </c>
      <c r="AH91" s="420">
        <f t="shared" si="293"/>
        <v>4.6594838484944265</v>
      </c>
      <c r="AI91" s="420">
        <f t="shared" si="294"/>
        <v>3.1063225656629507</v>
      </c>
      <c r="AJ91" s="420">
        <f t="shared" si="295"/>
        <v>3.1063225656629507</v>
      </c>
      <c r="AK91" s="421">
        <f t="shared" si="483"/>
        <v>54.360644899101636</v>
      </c>
      <c r="AL91" s="421">
        <f t="shared" si="483"/>
        <v>54.360644899101636</v>
      </c>
      <c r="AM91" s="421">
        <f t="shared" si="483"/>
        <v>52.807483616270162</v>
      </c>
      <c r="AN91" s="421">
        <f t="shared" si="483"/>
        <v>52.807483616270162</v>
      </c>
      <c r="AO91" s="421">
        <f t="shared" si="483"/>
        <v>51.254322333438687</v>
      </c>
      <c r="AP91" s="421">
        <f t="shared" si="483"/>
        <v>51.254322333438687</v>
      </c>
      <c r="AQ91" s="417">
        <f>VLOOKUP($J91,Fatores!$G$1:$J$5,3,FALSE)</f>
        <v>1.3186317794730578</v>
      </c>
      <c r="AR91" s="417">
        <f>VLOOKUP($C91,Fatores!$A:$D,3,FALSE)</f>
        <v>1</v>
      </c>
      <c r="AS91" s="420">
        <f t="shared" si="297"/>
        <v>2.6372635589461155</v>
      </c>
      <c r="AT91" s="420">
        <f t="shared" si="298"/>
        <v>2.6372635589461155</v>
      </c>
      <c r="AU91" s="420">
        <f t="shared" si="299"/>
        <v>2.6372635589461155</v>
      </c>
      <c r="AV91" s="420">
        <f t="shared" si="300"/>
        <v>3.9558953384191735</v>
      </c>
      <c r="AW91" s="420">
        <f t="shared" si="301"/>
        <v>2.6372635589461155</v>
      </c>
      <c r="AX91" s="420">
        <f t="shared" si="302"/>
        <v>2.6372635589461155</v>
      </c>
      <c r="AY91" s="421">
        <f t="shared" si="484"/>
        <v>46.152112281557024</v>
      </c>
      <c r="AZ91" s="421">
        <f t="shared" si="484"/>
        <v>46.152112281557024</v>
      </c>
      <c r="BA91" s="421">
        <f t="shared" si="484"/>
        <v>44.833480502083965</v>
      </c>
      <c r="BB91" s="421">
        <f t="shared" si="484"/>
        <v>44.833480502083965</v>
      </c>
      <c r="BC91" s="421">
        <f t="shared" si="484"/>
        <v>43.514848722610907</v>
      </c>
      <c r="BD91" s="421">
        <f t="shared" si="484"/>
        <v>43.514848722610907</v>
      </c>
      <c r="BE91" s="417">
        <f>VLOOKUP($J91,Fatores!$G$1:$J$5,4,FALSE)</f>
        <v>1</v>
      </c>
      <c r="BF91" s="417">
        <f>VLOOKUP($C91,Fatores!$A:$D,4,FALSE)</f>
        <v>1</v>
      </c>
      <c r="BG91" s="420">
        <f t="shared" si="304"/>
        <v>2</v>
      </c>
      <c r="BH91" s="420">
        <f t="shared" si="305"/>
        <v>2</v>
      </c>
      <c r="BI91" s="420">
        <f t="shared" si="306"/>
        <v>2</v>
      </c>
      <c r="BJ91" s="420">
        <f t="shared" si="307"/>
        <v>3</v>
      </c>
      <c r="BK91" s="420">
        <f t="shared" si="308"/>
        <v>2</v>
      </c>
      <c r="BL91" s="420">
        <f t="shared" si="309"/>
        <v>2</v>
      </c>
      <c r="BM91" s="421">
        <f t="shared" si="485"/>
        <v>35</v>
      </c>
      <c r="BN91" s="421">
        <f t="shared" si="485"/>
        <v>35</v>
      </c>
      <c r="BO91" s="421">
        <f t="shared" si="485"/>
        <v>34</v>
      </c>
      <c r="BP91" s="421">
        <f t="shared" si="485"/>
        <v>34</v>
      </c>
      <c r="BQ91" s="421">
        <f t="shared" si="485"/>
        <v>33</v>
      </c>
      <c r="BR91" s="421">
        <f t="shared" si="485"/>
        <v>33</v>
      </c>
    </row>
    <row r="92" spans="1:70" x14ac:dyDescent="0.25">
      <c r="A92" s="431">
        <v>188</v>
      </c>
      <c r="B92" s="424"/>
      <c r="C92" s="424" t="s">
        <v>47</v>
      </c>
      <c r="D92" s="437" t="s">
        <v>520</v>
      </c>
      <c r="E92" s="445"/>
      <c r="F92" s="424"/>
      <c r="G92" s="424"/>
      <c r="H92" s="424"/>
      <c r="I92" s="432"/>
      <c r="J92" s="440">
        <v>3</v>
      </c>
      <c r="K92" s="419">
        <f>VLOOKUP($A92,Prevs!$C:$I,Ajustes!K$1,FALSE)</f>
        <v>94</v>
      </c>
      <c r="L92" s="419">
        <f>VLOOKUP($A92,Prevs!$C:$I,Ajustes!L$1,FALSE)</f>
        <v>91</v>
      </c>
      <c r="M92" s="419">
        <f>VLOOKUP($A92,Prevs!$C:$I,Ajustes!M$1,FALSE)</f>
        <v>88</v>
      </c>
      <c r="N92" s="419">
        <f>VLOOKUP($A92,Prevs!$C:$I,Ajustes!N$1,FALSE)</f>
        <v>88</v>
      </c>
      <c r="O92" s="419">
        <f>VLOOKUP($A92,Prevs!$C:$I,Ajustes!O$1,FALSE)</f>
        <v>84</v>
      </c>
      <c r="P92" s="419">
        <f>VLOOKUP($A92,Prevs!$C:$I,Ajustes!P$1,FALSE)</f>
        <v>82</v>
      </c>
      <c r="Q92" s="419">
        <v>0</v>
      </c>
      <c r="R92" s="419">
        <v>0</v>
      </c>
      <c r="S92" s="419">
        <v>0</v>
      </c>
      <c r="T92" s="419">
        <v>0</v>
      </c>
      <c r="U92" s="419">
        <v>0</v>
      </c>
      <c r="V92" s="419">
        <v>0</v>
      </c>
      <c r="W92" s="419">
        <f t="shared" ref="W92:W93" si="486">K92-Q92</f>
        <v>94</v>
      </c>
      <c r="X92" s="419">
        <f t="shared" ref="X92:X93" si="487">L92-R92</f>
        <v>91</v>
      </c>
      <c r="Y92" s="419">
        <f t="shared" ref="Y92:Y93" si="488">M92-S92</f>
        <v>88</v>
      </c>
      <c r="Z92" s="419">
        <f t="shared" ref="Z92:Z93" si="489">N92-T92</f>
        <v>88</v>
      </c>
      <c r="AA92" s="419">
        <f t="shared" ref="AA92:AA93" si="490">O92-U92</f>
        <v>84</v>
      </c>
      <c r="AB92" s="419">
        <f t="shared" ref="AB92:AB93" si="491">P92-V92</f>
        <v>82</v>
      </c>
      <c r="AC92" s="417">
        <f>VLOOKUP($J92,Fatores!$G$1:$J$5,2,FALSE)</f>
        <v>1.864607586789548</v>
      </c>
      <c r="AD92" s="417">
        <f>VLOOKUP($C92,Fatores!$A:$D,2,FALSE)</f>
        <v>1</v>
      </c>
      <c r="AE92" s="420">
        <f t="shared" si="290"/>
        <v>175.27311315821751</v>
      </c>
      <c r="AF92" s="420">
        <f t="shared" si="291"/>
        <v>169.67929039784886</v>
      </c>
      <c r="AG92" s="420">
        <f t="shared" si="292"/>
        <v>164.08546763748024</v>
      </c>
      <c r="AH92" s="420">
        <f t="shared" si="293"/>
        <v>164.08546763748024</v>
      </c>
      <c r="AI92" s="420">
        <f t="shared" si="294"/>
        <v>156.62703729032202</v>
      </c>
      <c r="AJ92" s="420">
        <f t="shared" si="295"/>
        <v>152.89782211674293</v>
      </c>
      <c r="AK92" s="421">
        <f t="shared" ref="AK92:AK93" si="492">AE92</f>
        <v>175.27311315821751</v>
      </c>
      <c r="AL92" s="421">
        <f t="shared" ref="AL92:AL93" si="493">AF92</f>
        <v>169.67929039784886</v>
      </c>
      <c r="AM92" s="421">
        <f t="shared" ref="AM92:AM93" si="494">AG92</f>
        <v>164.08546763748024</v>
      </c>
      <c r="AN92" s="421">
        <f t="shared" ref="AN92:AN93" si="495">AH92</f>
        <v>164.08546763748024</v>
      </c>
      <c r="AO92" s="421">
        <f t="shared" ref="AO92:AO93" si="496">AI92</f>
        <v>156.62703729032202</v>
      </c>
      <c r="AP92" s="421">
        <f t="shared" ref="AP92:AP93" si="497">AJ92</f>
        <v>152.89782211674293</v>
      </c>
      <c r="AQ92" s="417">
        <f>VLOOKUP($J92,Fatores!$G$1:$J$5,3,FALSE)</f>
        <v>1.8891301835110699</v>
      </c>
      <c r="AR92" s="417">
        <f>VLOOKUP($C92,Fatores!$A:$D,3,FALSE)</f>
        <v>1</v>
      </c>
      <c r="AS92" s="420">
        <f t="shared" si="297"/>
        <v>177.57823725004056</v>
      </c>
      <c r="AT92" s="420">
        <f t="shared" si="298"/>
        <v>171.91084669950735</v>
      </c>
      <c r="AU92" s="420">
        <f t="shared" si="299"/>
        <v>166.24345614897416</v>
      </c>
      <c r="AV92" s="420">
        <f t="shared" si="300"/>
        <v>166.24345614897416</v>
      </c>
      <c r="AW92" s="420">
        <f t="shared" si="301"/>
        <v>158.68693541492988</v>
      </c>
      <c r="AX92" s="420">
        <f t="shared" si="302"/>
        <v>154.90867504790774</v>
      </c>
      <c r="AY92" s="421">
        <f t="shared" ref="AY92:AY93" si="498">AS92</f>
        <v>177.57823725004056</v>
      </c>
      <c r="AZ92" s="421">
        <f t="shared" ref="AZ92:AZ93" si="499">AT92</f>
        <v>171.91084669950735</v>
      </c>
      <c r="BA92" s="421">
        <f t="shared" ref="BA92:BA93" si="500">AU92</f>
        <v>166.24345614897416</v>
      </c>
      <c r="BB92" s="421">
        <f t="shared" ref="BB92:BB93" si="501">AV92</f>
        <v>166.24345614897416</v>
      </c>
      <c r="BC92" s="421">
        <f t="shared" ref="BC92:BC93" si="502">AW92</f>
        <v>158.68693541492988</v>
      </c>
      <c r="BD92" s="421">
        <f t="shared" ref="BD92:BD93" si="503">AX92</f>
        <v>154.90867504790774</v>
      </c>
      <c r="BE92" s="417">
        <f>VLOOKUP($J92,Fatores!$G$1:$J$5,4,FALSE)</f>
        <v>1</v>
      </c>
      <c r="BF92" s="417">
        <f>VLOOKUP($C92,Fatores!$A:$D,4,FALSE)</f>
        <v>1</v>
      </c>
      <c r="BG92" s="420">
        <f t="shared" si="304"/>
        <v>94</v>
      </c>
      <c r="BH92" s="420">
        <f t="shared" si="305"/>
        <v>91</v>
      </c>
      <c r="BI92" s="420">
        <f t="shared" si="306"/>
        <v>88</v>
      </c>
      <c r="BJ92" s="420">
        <f t="shared" si="307"/>
        <v>88</v>
      </c>
      <c r="BK92" s="420">
        <f t="shared" si="308"/>
        <v>84</v>
      </c>
      <c r="BL92" s="420">
        <f t="shared" si="309"/>
        <v>82</v>
      </c>
      <c r="BM92" s="421">
        <f t="shared" ref="BM92:BM93" si="504">BG92</f>
        <v>94</v>
      </c>
      <c r="BN92" s="421">
        <f t="shared" ref="BN92:BN93" si="505">BH92</f>
        <v>91</v>
      </c>
      <c r="BO92" s="421">
        <f t="shared" ref="BO92:BO93" si="506">BI92</f>
        <v>88</v>
      </c>
      <c r="BP92" s="421">
        <f t="shared" ref="BP92:BP93" si="507">BJ92</f>
        <v>88</v>
      </c>
      <c r="BQ92" s="421">
        <f t="shared" ref="BQ92:BQ93" si="508">BK92</f>
        <v>84</v>
      </c>
      <c r="BR92" s="421">
        <f t="shared" ref="BR92:BR93" si="509">BL92</f>
        <v>82</v>
      </c>
    </row>
    <row r="93" spans="1:70" x14ac:dyDescent="0.25">
      <c r="A93" s="431">
        <v>190</v>
      </c>
      <c r="B93" s="424"/>
      <c r="C93" s="424" t="s">
        <v>44</v>
      </c>
      <c r="D93" s="437" t="s">
        <v>44</v>
      </c>
      <c r="E93" s="431"/>
      <c r="F93" s="424"/>
      <c r="G93" s="424"/>
      <c r="H93" s="424"/>
      <c r="I93" s="432"/>
      <c r="J93" s="440">
        <v>3</v>
      </c>
      <c r="K93" s="419">
        <f>VLOOKUP($A93,Prevs!$C:$I,Ajustes!K$1,FALSE)</f>
        <v>278</v>
      </c>
      <c r="L93" s="419">
        <f>VLOOKUP($A93,Prevs!$C:$I,Ajustes!L$1,FALSE)</f>
        <v>270</v>
      </c>
      <c r="M93" s="419">
        <f>VLOOKUP($A93,Prevs!$C:$I,Ajustes!M$1,FALSE)</f>
        <v>260</v>
      </c>
      <c r="N93" s="419">
        <f>VLOOKUP($A93,Prevs!$C:$I,Ajustes!N$1,FALSE)</f>
        <v>257</v>
      </c>
      <c r="O93" s="419">
        <f>VLOOKUP($A93,Prevs!$C:$I,Ajustes!O$1,FALSE)</f>
        <v>253</v>
      </c>
      <c r="P93" s="419">
        <f>VLOOKUP($A93,Prevs!$C:$I,Ajustes!P$1,FALSE)</f>
        <v>254</v>
      </c>
      <c r="Q93" s="419">
        <v>0</v>
      </c>
      <c r="R93" s="419">
        <v>0</v>
      </c>
      <c r="S93" s="419">
        <v>0</v>
      </c>
      <c r="T93" s="419">
        <v>0</v>
      </c>
      <c r="U93" s="419">
        <v>0</v>
      </c>
      <c r="V93" s="419">
        <v>0</v>
      </c>
      <c r="W93" s="419">
        <f t="shared" si="486"/>
        <v>278</v>
      </c>
      <c r="X93" s="419">
        <f t="shared" si="487"/>
        <v>270</v>
      </c>
      <c r="Y93" s="419">
        <f t="shared" si="488"/>
        <v>260</v>
      </c>
      <c r="Z93" s="419">
        <f t="shared" si="489"/>
        <v>257</v>
      </c>
      <c r="AA93" s="419">
        <f t="shared" si="490"/>
        <v>253</v>
      </c>
      <c r="AB93" s="419">
        <f t="shared" si="491"/>
        <v>254</v>
      </c>
      <c r="AC93" s="417">
        <f>VLOOKUP($J93,Fatores!$G$1:$J$5,2,FALSE)</f>
        <v>1.864607586789548</v>
      </c>
      <c r="AD93" s="417">
        <f>VLOOKUP($C93,Fatores!$A:$D,2,FALSE)</f>
        <v>1</v>
      </c>
      <c r="AE93" s="420">
        <f t="shared" si="290"/>
        <v>518.36090912749432</v>
      </c>
      <c r="AF93" s="420">
        <f t="shared" si="291"/>
        <v>503.44404843317795</v>
      </c>
      <c r="AG93" s="420">
        <f t="shared" si="292"/>
        <v>484.79797256528246</v>
      </c>
      <c r="AH93" s="420">
        <f t="shared" si="293"/>
        <v>479.20414980491381</v>
      </c>
      <c r="AI93" s="420">
        <f t="shared" si="294"/>
        <v>471.74571945775563</v>
      </c>
      <c r="AJ93" s="420">
        <f t="shared" si="295"/>
        <v>473.61032704454516</v>
      </c>
      <c r="AK93" s="421">
        <f t="shared" si="492"/>
        <v>518.36090912749432</v>
      </c>
      <c r="AL93" s="421">
        <f t="shared" si="493"/>
        <v>503.44404843317795</v>
      </c>
      <c r="AM93" s="421">
        <f t="shared" si="494"/>
        <v>484.79797256528246</v>
      </c>
      <c r="AN93" s="421">
        <f t="shared" si="495"/>
        <v>479.20414980491381</v>
      </c>
      <c r="AO93" s="421">
        <f t="shared" si="496"/>
        <v>471.74571945775563</v>
      </c>
      <c r="AP93" s="421">
        <f t="shared" si="497"/>
        <v>473.61032704454516</v>
      </c>
      <c r="AQ93" s="417">
        <f>VLOOKUP($J93,Fatores!$G$1:$J$5,3,FALSE)</f>
        <v>1.8891301835110699</v>
      </c>
      <c r="AR93" s="417">
        <f>VLOOKUP($C93,Fatores!$A:$D,3,FALSE)</f>
        <v>1</v>
      </c>
      <c r="AS93" s="420">
        <f t="shared" si="297"/>
        <v>525.17819101607745</v>
      </c>
      <c r="AT93" s="420">
        <f t="shared" si="298"/>
        <v>510.06514954798888</v>
      </c>
      <c r="AU93" s="420">
        <f t="shared" si="299"/>
        <v>491.17384771287817</v>
      </c>
      <c r="AV93" s="420">
        <f t="shared" si="300"/>
        <v>485.50645716234493</v>
      </c>
      <c r="AW93" s="420">
        <f t="shared" si="301"/>
        <v>477.9499364283007</v>
      </c>
      <c r="AX93" s="420">
        <f t="shared" si="302"/>
        <v>479.83906661181175</v>
      </c>
      <c r="AY93" s="421">
        <f t="shared" si="498"/>
        <v>525.17819101607745</v>
      </c>
      <c r="AZ93" s="421">
        <f t="shared" si="499"/>
        <v>510.06514954798888</v>
      </c>
      <c r="BA93" s="421">
        <f t="shared" si="500"/>
        <v>491.17384771287817</v>
      </c>
      <c r="BB93" s="421">
        <f t="shared" si="501"/>
        <v>485.50645716234493</v>
      </c>
      <c r="BC93" s="421">
        <f t="shared" si="502"/>
        <v>477.9499364283007</v>
      </c>
      <c r="BD93" s="421">
        <f t="shared" si="503"/>
        <v>479.83906661181175</v>
      </c>
      <c r="BE93" s="417">
        <f>VLOOKUP($J93,Fatores!$G$1:$J$5,4,FALSE)</f>
        <v>1</v>
      </c>
      <c r="BF93" s="417">
        <f>VLOOKUP($C93,Fatores!$A:$D,4,FALSE)</f>
        <v>1</v>
      </c>
      <c r="BG93" s="420">
        <f t="shared" si="304"/>
        <v>278</v>
      </c>
      <c r="BH93" s="420">
        <f t="shared" si="305"/>
        <v>270</v>
      </c>
      <c r="BI93" s="420">
        <f t="shared" si="306"/>
        <v>260</v>
      </c>
      <c r="BJ93" s="420">
        <f t="shared" si="307"/>
        <v>257</v>
      </c>
      <c r="BK93" s="420">
        <f t="shared" si="308"/>
        <v>253</v>
      </c>
      <c r="BL93" s="420">
        <f t="shared" si="309"/>
        <v>254</v>
      </c>
      <c r="BM93" s="421">
        <f t="shared" si="504"/>
        <v>278</v>
      </c>
      <c r="BN93" s="421">
        <f t="shared" si="505"/>
        <v>270</v>
      </c>
      <c r="BO93" s="421">
        <f t="shared" si="506"/>
        <v>260</v>
      </c>
      <c r="BP93" s="421">
        <f t="shared" si="507"/>
        <v>257</v>
      </c>
      <c r="BQ93" s="421">
        <f t="shared" si="508"/>
        <v>253</v>
      </c>
      <c r="BR93" s="421">
        <f t="shared" si="509"/>
        <v>254</v>
      </c>
    </row>
    <row r="94" spans="1:70" x14ac:dyDescent="0.25">
      <c r="A94" s="431">
        <v>191</v>
      </c>
      <c r="B94" s="424"/>
      <c r="C94" s="424" t="s">
        <v>49</v>
      </c>
      <c r="D94" s="437" t="s">
        <v>522</v>
      </c>
      <c r="E94" s="444">
        <v>270</v>
      </c>
      <c r="F94" s="424"/>
      <c r="G94" s="424"/>
      <c r="H94" s="424"/>
      <c r="I94" s="432"/>
      <c r="J94" s="440">
        <v>1</v>
      </c>
      <c r="K94" s="419">
        <f>VLOOKUP($A94,Prevs!$C:$I,Ajustes!K$1,FALSE)</f>
        <v>324</v>
      </c>
      <c r="L94" s="419">
        <f>VLOOKUP($A94,Prevs!$C:$I,Ajustes!L$1,FALSE)</f>
        <v>306</v>
      </c>
      <c r="M94" s="419">
        <f>VLOOKUP($A94,Prevs!$C:$I,Ajustes!M$1,FALSE)</f>
        <v>264</v>
      </c>
      <c r="N94" s="419">
        <f>VLOOKUP($A94,Prevs!$C:$I,Ajustes!N$1,FALSE)</f>
        <v>256</v>
      </c>
      <c r="O94" s="419">
        <f>VLOOKUP($A94,Prevs!$C:$I,Ajustes!O$1,FALSE)</f>
        <v>240</v>
      </c>
      <c r="P94" s="419">
        <f>VLOOKUP($A94,Prevs!$C:$I,Ajustes!P$1,FALSE)</f>
        <v>241</v>
      </c>
      <c r="Q94" s="419">
        <f>VLOOKUP($E94,Prevs!$C:$I,Ajustes!K$1,FALSE)</f>
        <v>287</v>
      </c>
      <c r="R94" s="419">
        <f>VLOOKUP($E94,Prevs!$C:$I,Ajustes!L$1,FALSE)</f>
        <v>271</v>
      </c>
      <c r="S94" s="419">
        <f>VLOOKUP($E94,Prevs!$C:$I,Ajustes!M$1,FALSE)</f>
        <v>233</v>
      </c>
      <c r="T94" s="419">
        <f>VLOOKUP($E94,Prevs!$C:$I,Ajustes!N$1,FALSE)</f>
        <v>226</v>
      </c>
      <c r="U94" s="419">
        <f>VLOOKUP($E94,Prevs!$C:$I,Ajustes!O$1,FALSE)</f>
        <v>211</v>
      </c>
      <c r="V94" s="419">
        <f>VLOOKUP($E94,Prevs!$C:$I,Ajustes!P$1,FALSE)</f>
        <v>211</v>
      </c>
      <c r="W94" s="419">
        <f t="shared" ref="W94:AB94" si="510">K94-Q94</f>
        <v>37</v>
      </c>
      <c r="X94" s="419">
        <f t="shared" si="510"/>
        <v>35</v>
      </c>
      <c r="Y94" s="419">
        <f t="shared" si="510"/>
        <v>31</v>
      </c>
      <c r="Z94" s="419">
        <f t="shared" si="510"/>
        <v>30</v>
      </c>
      <c r="AA94" s="419">
        <f t="shared" si="510"/>
        <v>29</v>
      </c>
      <c r="AB94" s="419">
        <f t="shared" si="510"/>
        <v>30</v>
      </c>
      <c r="AC94" s="417">
        <f>VLOOKUP($J94,Fatores!$G$1:$J$5,2,FALSE)</f>
        <v>1.5531612828314754</v>
      </c>
      <c r="AD94" s="417">
        <f>VLOOKUP($C94,Fatores!$A:$D,2,FALSE)</f>
        <v>1</v>
      </c>
      <c r="AE94" s="420">
        <f t="shared" si="290"/>
        <v>57.466967464764586</v>
      </c>
      <c r="AF94" s="420">
        <f t="shared" si="291"/>
        <v>54.360644899101636</v>
      </c>
      <c r="AG94" s="420">
        <f t="shared" si="292"/>
        <v>48.147999767775737</v>
      </c>
      <c r="AH94" s="420">
        <f t="shared" si="293"/>
        <v>46.594838484944262</v>
      </c>
      <c r="AI94" s="420">
        <f t="shared" si="294"/>
        <v>45.041677202112787</v>
      </c>
      <c r="AJ94" s="420">
        <f t="shared" si="295"/>
        <v>46.594838484944262</v>
      </c>
      <c r="AK94" s="421">
        <f t="shared" ref="AK94:AP94" si="511">AE94+VLOOKUP($E94,$A:$BR,AK$1,FALSE)</f>
        <v>503.22425563739802</v>
      </c>
      <c r="AL94" s="421">
        <f t="shared" si="511"/>
        <v>475.26735254643148</v>
      </c>
      <c r="AM94" s="421">
        <f t="shared" si="511"/>
        <v>410.03457866750949</v>
      </c>
      <c r="AN94" s="421">
        <f t="shared" si="511"/>
        <v>397.60928840485769</v>
      </c>
      <c r="AO94" s="421">
        <f t="shared" si="511"/>
        <v>372.75870787955409</v>
      </c>
      <c r="AP94" s="421">
        <f t="shared" si="511"/>
        <v>374.31186916238556</v>
      </c>
      <c r="AQ94" s="417">
        <f>VLOOKUP($J94,Fatores!$G$1:$J$5,3,FALSE)</f>
        <v>1.3186317794730578</v>
      </c>
      <c r="AR94" s="417">
        <f>VLOOKUP($C94,Fatores!$A:$D,3,FALSE)</f>
        <v>1</v>
      </c>
      <c r="AS94" s="420">
        <f t="shared" si="297"/>
        <v>48.789375840503141</v>
      </c>
      <c r="AT94" s="420">
        <f t="shared" si="298"/>
        <v>46.152112281557024</v>
      </c>
      <c r="AU94" s="420">
        <f t="shared" si="299"/>
        <v>40.87758516366479</v>
      </c>
      <c r="AV94" s="420">
        <f t="shared" si="300"/>
        <v>39.558953384191732</v>
      </c>
      <c r="AW94" s="420">
        <f t="shared" si="301"/>
        <v>38.240321604718673</v>
      </c>
      <c r="AX94" s="420">
        <f t="shared" si="302"/>
        <v>39.558953384191732</v>
      </c>
      <c r="AY94" s="421">
        <f t="shared" ref="AY94:BD94" si="512">AS94+VLOOKUP($E94,$A:$BR,AY$1,FALSE)</f>
        <v>427.23669654927073</v>
      </c>
      <c r="AZ94" s="421">
        <f t="shared" si="512"/>
        <v>403.50132451875567</v>
      </c>
      <c r="BA94" s="421">
        <f t="shared" si="512"/>
        <v>348.11878978088725</v>
      </c>
      <c r="BB94" s="421">
        <f t="shared" si="512"/>
        <v>337.56973554510279</v>
      </c>
      <c r="BC94" s="421">
        <f t="shared" si="512"/>
        <v>316.47162707353391</v>
      </c>
      <c r="BD94" s="421">
        <f t="shared" si="512"/>
        <v>317.79025885300695</v>
      </c>
      <c r="BE94" s="417">
        <f>VLOOKUP($J94,Fatores!$G$1:$J$5,4,FALSE)</f>
        <v>1</v>
      </c>
      <c r="BF94" s="417">
        <f>VLOOKUP($C94,Fatores!$A:$D,4,FALSE)</f>
        <v>1</v>
      </c>
      <c r="BG94" s="420">
        <f t="shared" si="304"/>
        <v>37</v>
      </c>
      <c r="BH94" s="420">
        <f t="shared" si="305"/>
        <v>35</v>
      </c>
      <c r="BI94" s="420">
        <f t="shared" si="306"/>
        <v>31</v>
      </c>
      <c r="BJ94" s="420">
        <f t="shared" si="307"/>
        <v>30</v>
      </c>
      <c r="BK94" s="420">
        <f t="shared" si="308"/>
        <v>29</v>
      </c>
      <c r="BL94" s="420">
        <f t="shared" si="309"/>
        <v>30</v>
      </c>
      <c r="BM94" s="421">
        <f t="shared" ref="BM94:BR94" si="513">BG94+VLOOKUP($E94,$A:$BR,BM$1,FALSE)</f>
        <v>324</v>
      </c>
      <c r="BN94" s="421">
        <f t="shared" si="513"/>
        <v>306</v>
      </c>
      <c r="BO94" s="421">
        <f t="shared" si="513"/>
        <v>264</v>
      </c>
      <c r="BP94" s="421">
        <f t="shared" si="513"/>
        <v>256</v>
      </c>
      <c r="BQ94" s="421">
        <f t="shared" si="513"/>
        <v>240</v>
      </c>
      <c r="BR94" s="421">
        <f t="shared" si="513"/>
        <v>241</v>
      </c>
    </row>
    <row r="95" spans="1:70" x14ac:dyDescent="0.25">
      <c r="A95" s="431">
        <v>196</v>
      </c>
      <c r="B95" s="424"/>
      <c r="C95" s="424" t="s">
        <v>32</v>
      </c>
      <c r="D95" s="437" t="s">
        <v>32</v>
      </c>
      <c r="E95" s="431"/>
      <c r="F95" s="424"/>
      <c r="G95" s="424"/>
      <c r="H95" s="424"/>
      <c r="I95" s="432"/>
      <c r="J95" s="440">
        <v>1</v>
      </c>
      <c r="K95" s="419">
        <f>VLOOKUP($A95,Prevs!$C:$I,Ajustes!K$1,FALSE)</f>
        <v>13</v>
      </c>
      <c r="L95" s="419">
        <f>VLOOKUP($A95,Prevs!$C:$I,Ajustes!L$1,FALSE)</f>
        <v>14</v>
      </c>
      <c r="M95" s="419">
        <f>VLOOKUP($A95,Prevs!$C:$I,Ajustes!M$1,FALSE)</f>
        <v>14</v>
      </c>
      <c r="N95" s="419">
        <f>VLOOKUP($A95,Prevs!$C:$I,Ajustes!N$1,FALSE)</f>
        <v>14</v>
      </c>
      <c r="O95" s="419">
        <f>VLOOKUP($A95,Prevs!$C:$I,Ajustes!O$1,FALSE)</f>
        <v>13</v>
      </c>
      <c r="P95" s="419">
        <f>VLOOKUP($A95,Prevs!$C:$I,Ajustes!P$1,FALSE)</f>
        <v>12</v>
      </c>
      <c r="Q95" s="419">
        <v>0</v>
      </c>
      <c r="R95" s="419">
        <v>0</v>
      </c>
      <c r="S95" s="419">
        <v>0</v>
      </c>
      <c r="T95" s="419">
        <v>0</v>
      </c>
      <c r="U95" s="419">
        <v>0</v>
      </c>
      <c r="V95" s="419">
        <v>0</v>
      </c>
      <c r="W95" s="419">
        <f t="shared" ref="W95:W96" si="514">K95-Q95</f>
        <v>13</v>
      </c>
      <c r="X95" s="419">
        <f t="shared" ref="X95:X96" si="515">L95-R95</f>
        <v>14</v>
      </c>
      <c r="Y95" s="419">
        <f t="shared" ref="Y95:Y96" si="516">M95-S95</f>
        <v>14</v>
      </c>
      <c r="Z95" s="419">
        <f t="shared" ref="Z95:Z96" si="517">N95-T95</f>
        <v>14</v>
      </c>
      <c r="AA95" s="419">
        <f t="shared" ref="AA95:AA96" si="518">O95-U95</f>
        <v>13</v>
      </c>
      <c r="AB95" s="419">
        <f t="shared" ref="AB95:AB96" si="519">P95-V95</f>
        <v>12</v>
      </c>
      <c r="AC95" s="417">
        <f>VLOOKUP($J95,Fatores!$G$1:$J$5,2,FALSE)</f>
        <v>1.5531612828314754</v>
      </c>
      <c r="AD95" s="417">
        <f>VLOOKUP($C95,Fatores!$A:$D,2,FALSE)</f>
        <v>1</v>
      </c>
      <c r="AE95" s="420">
        <f t="shared" si="290"/>
        <v>20.191096676809181</v>
      </c>
      <c r="AF95" s="420">
        <f t="shared" si="291"/>
        <v>21.744257959640656</v>
      </c>
      <c r="AG95" s="420">
        <f t="shared" si="292"/>
        <v>21.744257959640656</v>
      </c>
      <c r="AH95" s="420">
        <f t="shared" si="293"/>
        <v>21.744257959640656</v>
      </c>
      <c r="AI95" s="420">
        <f t="shared" si="294"/>
        <v>20.191096676809181</v>
      </c>
      <c r="AJ95" s="420">
        <f t="shared" si="295"/>
        <v>18.637935393977706</v>
      </c>
      <c r="AK95" s="421">
        <f t="shared" ref="AK95:AK96" si="520">AE95</f>
        <v>20.191096676809181</v>
      </c>
      <c r="AL95" s="421">
        <f t="shared" ref="AL95:AL96" si="521">AF95</f>
        <v>21.744257959640656</v>
      </c>
      <c r="AM95" s="421">
        <f t="shared" ref="AM95:AM96" si="522">AG95</f>
        <v>21.744257959640656</v>
      </c>
      <c r="AN95" s="421">
        <f t="shared" ref="AN95:AN96" si="523">AH95</f>
        <v>21.744257959640656</v>
      </c>
      <c r="AO95" s="421">
        <f t="shared" ref="AO95:AO96" si="524">AI95</f>
        <v>20.191096676809181</v>
      </c>
      <c r="AP95" s="421">
        <f t="shared" ref="AP95:AP96" si="525">AJ95</f>
        <v>18.637935393977706</v>
      </c>
      <c r="AQ95" s="417">
        <f>VLOOKUP($J95,Fatores!$G$1:$J$5,3,FALSE)</f>
        <v>1.3186317794730578</v>
      </c>
      <c r="AR95" s="417">
        <f>VLOOKUP($C95,Fatores!$A:$D,3,FALSE)</f>
        <v>1</v>
      </c>
      <c r="AS95" s="420">
        <f t="shared" si="297"/>
        <v>17.142213133149752</v>
      </c>
      <c r="AT95" s="420">
        <f t="shared" si="298"/>
        <v>18.460844912622807</v>
      </c>
      <c r="AU95" s="420">
        <f t="shared" si="299"/>
        <v>18.460844912622807</v>
      </c>
      <c r="AV95" s="420">
        <f t="shared" si="300"/>
        <v>18.460844912622807</v>
      </c>
      <c r="AW95" s="420">
        <f t="shared" si="301"/>
        <v>17.142213133149752</v>
      </c>
      <c r="AX95" s="420">
        <f t="shared" si="302"/>
        <v>15.823581353676694</v>
      </c>
      <c r="AY95" s="421">
        <f t="shared" ref="AY95:AY96" si="526">AS95</f>
        <v>17.142213133149752</v>
      </c>
      <c r="AZ95" s="421">
        <f t="shared" ref="AZ95:AZ96" si="527">AT95</f>
        <v>18.460844912622807</v>
      </c>
      <c r="BA95" s="421">
        <f t="shared" ref="BA95:BA96" si="528">AU95</f>
        <v>18.460844912622807</v>
      </c>
      <c r="BB95" s="421">
        <f t="shared" ref="BB95:BB96" si="529">AV95</f>
        <v>18.460844912622807</v>
      </c>
      <c r="BC95" s="421">
        <f t="shared" ref="BC95:BC96" si="530">AW95</f>
        <v>17.142213133149752</v>
      </c>
      <c r="BD95" s="421">
        <f t="shared" ref="BD95:BD96" si="531">AX95</f>
        <v>15.823581353676694</v>
      </c>
      <c r="BE95" s="417">
        <f>VLOOKUP($J95,Fatores!$G$1:$J$5,4,FALSE)</f>
        <v>1</v>
      </c>
      <c r="BF95" s="417">
        <f>VLOOKUP($C95,Fatores!$A:$D,4,FALSE)</f>
        <v>1</v>
      </c>
      <c r="BG95" s="420">
        <f t="shared" si="304"/>
        <v>13</v>
      </c>
      <c r="BH95" s="420">
        <f t="shared" si="305"/>
        <v>14</v>
      </c>
      <c r="BI95" s="420">
        <f t="shared" si="306"/>
        <v>14</v>
      </c>
      <c r="BJ95" s="420">
        <f t="shared" si="307"/>
        <v>14</v>
      </c>
      <c r="BK95" s="420">
        <f t="shared" si="308"/>
        <v>13</v>
      </c>
      <c r="BL95" s="420">
        <f t="shared" si="309"/>
        <v>12</v>
      </c>
      <c r="BM95" s="421">
        <f t="shared" ref="BM95:BM96" si="532">BG95</f>
        <v>13</v>
      </c>
      <c r="BN95" s="421">
        <f t="shared" ref="BN95:BN96" si="533">BH95</f>
        <v>14</v>
      </c>
      <c r="BO95" s="421">
        <f t="shared" ref="BO95:BO96" si="534">BI95</f>
        <v>14</v>
      </c>
      <c r="BP95" s="421">
        <f t="shared" ref="BP95:BP96" si="535">BJ95</f>
        <v>14</v>
      </c>
      <c r="BQ95" s="421">
        <f t="shared" ref="BQ95:BQ96" si="536">BK95</f>
        <v>13</v>
      </c>
      <c r="BR95" s="421">
        <f t="shared" ref="BR95:BR96" si="537">BL95</f>
        <v>12</v>
      </c>
    </row>
    <row r="96" spans="1:70" x14ac:dyDescent="0.25">
      <c r="A96" s="431">
        <v>197</v>
      </c>
      <c r="B96" s="424"/>
      <c r="C96" s="424" t="s">
        <v>31</v>
      </c>
      <c r="D96" s="437" t="s">
        <v>523</v>
      </c>
      <c r="E96" s="431"/>
      <c r="F96" s="424"/>
      <c r="G96" s="424"/>
      <c r="H96" s="424"/>
      <c r="I96" s="432"/>
      <c r="J96" s="440">
        <v>1</v>
      </c>
      <c r="K96" s="419">
        <f>VLOOKUP($A96,Prevs!$C:$I,Ajustes!K$1,FALSE)</f>
        <v>15</v>
      </c>
      <c r="L96" s="419">
        <f>VLOOKUP($A96,Prevs!$C:$I,Ajustes!L$1,FALSE)</f>
        <v>14</v>
      </c>
      <c r="M96" s="419">
        <f>VLOOKUP($A96,Prevs!$C:$I,Ajustes!M$1,FALSE)</f>
        <v>13</v>
      </c>
      <c r="N96" s="419">
        <f>VLOOKUP($A96,Prevs!$C:$I,Ajustes!N$1,FALSE)</f>
        <v>14</v>
      </c>
      <c r="O96" s="419">
        <f>VLOOKUP($A96,Prevs!$C:$I,Ajustes!O$1,FALSE)</f>
        <v>12</v>
      </c>
      <c r="P96" s="419">
        <f>VLOOKUP($A96,Prevs!$C:$I,Ajustes!P$1,FALSE)</f>
        <v>13</v>
      </c>
      <c r="Q96" s="419">
        <v>0</v>
      </c>
      <c r="R96" s="419">
        <v>0</v>
      </c>
      <c r="S96" s="419">
        <v>0</v>
      </c>
      <c r="T96" s="419">
        <v>0</v>
      </c>
      <c r="U96" s="419">
        <v>0</v>
      </c>
      <c r="V96" s="419">
        <v>0</v>
      </c>
      <c r="W96" s="419">
        <f t="shared" si="514"/>
        <v>15</v>
      </c>
      <c r="X96" s="419">
        <f t="shared" si="515"/>
        <v>14</v>
      </c>
      <c r="Y96" s="419">
        <f t="shared" si="516"/>
        <v>13</v>
      </c>
      <c r="Z96" s="419">
        <f t="shared" si="517"/>
        <v>14</v>
      </c>
      <c r="AA96" s="419">
        <f t="shared" si="518"/>
        <v>12</v>
      </c>
      <c r="AB96" s="419">
        <f t="shared" si="519"/>
        <v>13</v>
      </c>
      <c r="AC96" s="417">
        <f>VLOOKUP($J96,Fatores!$G$1:$J$5,2,FALSE)</f>
        <v>1.5531612828314754</v>
      </c>
      <c r="AD96" s="417">
        <f>VLOOKUP($C96,Fatores!$A:$D,2,FALSE)</f>
        <v>1</v>
      </c>
      <c r="AE96" s="420">
        <f t="shared" si="290"/>
        <v>23.297419242472131</v>
      </c>
      <c r="AF96" s="420">
        <f t="shared" si="291"/>
        <v>21.744257959640656</v>
      </c>
      <c r="AG96" s="420">
        <f t="shared" si="292"/>
        <v>20.191096676809181</v>
      </c>
      <c r="AH96" s="420">
        <f t="shared" si="293"/>
        <v>21.744257959640656</v>
      </c>
      <c r="AI96" s="420">
        <f t="shared" si="294"/>
        <v>18.637935393977706</v>
      </c>
      <c r="AJ96" s="420">
        <f t="shared" si="295"/>
        <v>20.191096676809181</v>
      </c>
      <c r="AK96" s="421">
        <f t="shared" si="520"/>
        <v>23.297419242472131</v>
      </c>
      <c r="AL96" s="421">
        <f t="shared" si="521"/>
        <v>21.744257959640656</v>
      </c>
      <c r="AM96" s="421">
        <f t="shared" si="522"/>
        <v>20.191096676809181</v>
      </c>
      <c r="AN96" s="421">
        <f t="shared" si="523"/>
        <v>21.744257959640656</v>
      </c>
      <c r="AO96" s="421">
        <f t="shared" si="524"/>
        <v>18.637935393977706</v>
      </c>
      <c r="AP96" s="421">
        <f t="shared" si="525"/>
        <v>20.191096676809181</v>
      </c>
      <c r="AQ96" s="417">
        <f>VLOOKUP($J96,Fatores!$G$1:$J$5,3,FALSE)</f>
        <v>1.3186317794730578</v>
      </c>
      <c r="AR96" s="417">
        <f>VLOOKUP($C96,Fatores!$A:$D,3,FALSE)</f>
        <v>1</v>
      </c>
      <c r="AS96" s="420">
        <f t="shared" si="297"/>
        <v>19.779476692095866</v>
      </c>
      <c r="AT96" s="420">
        <f t="shared" si="298"/>
        <v>18.460844912622807</v>
      </c>
      <c r="AU96" s="420">
        <f t="shared" si="299"/>
        <v>17.142213133149752</v>
      </c>
      <c r="AV96" s="420">
        <f t="shared" si="300"/>
        <v>18.460844912622807</v>
      </c>
      <c r="AW96" s="420">
        <f t="shared" si="301"/>
        <v>15.823581353676694</v>
      </c>
      <c r="AX96" s="420">
        <f t="shared" si="302"/>
        <v>17.142213133149752</v>
      </c>
      <c r="AY96" s="421">
        <f t="shared" si="526"/>
        <v>19.779476692095866</v>
      </c>
      <c r="AZ96" s="421">
        <f t="shared" si="527"/>
        <v>18.460844912622807</v>
      </c>
      <c r="BA96" s="421">
        <f t="shared" si="528"/>
        <v>17.142213133149752</v>
      </c>
      <c r="BB96" s="421">
        <f t="shared" si="529"/>
        <v>18.460844912622807</v>
      </c>
      <c r="BC96" s="421">
        <f t="shared" si="530"/>
        <v>15.823581353676694</v>
      </c>
      <c r="BD96" s="421">
        <f t="shared" si="531"/>
        <v>17.142213133149752</v>
      </c>
      <c r="BE96" s="417">
        <f>VLOOKUP($J96,Fatores!$G$1:$J$5,4,FALSE)</f>
        <v>1</v>
      </c>
      <c r="BF96" s="417">
        <f>VLOOKUP($C96,Fatores!$A:$D,4,FALSE)</f>
        <v>1</v>
      </c>
      <c r="BG96" s="420">
        <f t="shared" si="304"/>
        <v>15</v>
      </c>
      <c r="BH96" s="420">
        <f t="shared" si="305"/>
        <v>14</v>
      </c>
      <c r="BI96" s="420">
        <f t="shared" si="306"/>
        <v>13</v>
      </c>
      <c r="BJ96" s="420">
        <f t="shared" si="307"/>
        <v>14</v>
      </c>
      <c r="BK96" s="420">
        <f t="shared" si="308"/>
        <v>12</v>
      </c>
      <c r="BL96" s="420">
        <f t="shared" si="309"/>
        <v>13</v>
      </c>
      <c r="BM96" s="421">
        <f t="shared" si="532"/>
        <v>15</v>
      </c>
      <c r="BN96" s="421">
        <f t="shared" si="533"/>
        <v>14</v>
      </c>
      <c r="BO96" s="421">
        <f t="shared" si="534"/>
        <v>13</v>
      </c>
      <c r="BP96" s="421">
        <f t="shared" si="535"/>
        <v>14</v>
      </c>
      <c r="BQ96" s="421">
        <f t="shared" si="536"/>
        <v>12</v>
      </c>
      <c r="BR96" s="421">
        <f t="shared" si="537"/>
        <v>13</v>
      </c>
    </row>
    <row r="97" spans="1:70" x14ac:dyDescent="0.25">
      <c r="A97" s="431">
        <v>198</v>
      </c>
      <c r="B97" s="424"/>
      <c r="C97" s="424" t="s">
        <v>31</v>
      </c>
      <c r="D97" s="437" t="s">
        <v>524</v>
      </c>
      <c r="E97" s="444">
        <v>197</v>
      </c>
      <c r="F97" s="424"/>
      <c r="G97" s="424"/>
      <c r="H97" s="424"/>
      <c r="I97" s="432"/>
      <c r="J97" s="440">
        <v>1</v>
      </c>
      <c r="K97" s="419">
        <f>VLOOKUP($A97,Prevs!$C:$I,Ajustes!K$1,FALSE)</f>
        <v>34</v>
      </c>
      <c r="L97" s="419">
        <f>VLOOKUP($A97,Prevs!$C:$I,Ajustes!L$1,FALSE)</f>
        <v>33</v>
      </c>
      <c r="M97" s="419">
        <f>VLOOKUP($A97,Prevs!$C:$I,Ajustes!M$1,FALSE)</f>
        <v>31</v>
      </c>
      <c r="N97" s="419">
        <f>VLOOKUP($A97,Prevs!$C:$I,Ajustes!N$1,FALSE)</f>
        <v>33</v>
      </c>
      <c r="O97" s="419">
        <f>VLOOKUP($A97,Prevs!$C:$I,Ajustes!O$1,FALSE)</f>
        <v>30</v>
      </c>
      <c r="P97" s="419">
        <f>VLOOKUP($A97,Prevs!$C:$I,Ajustes!P$1,FALSE)</f>
        <v>31</v>
      </c>
      <c r="Q97" s="419">
        <f>VLOOKUP($E97,Prevs!$C:$I,Ajustes!K$1,FALSE)</f>
        <v>15</v>
      </c>
      <c r="R97" s="419">
        <f>VLOOKUP($E97,Prevs!$C:$I,Ajustes!L$1,FALSE)</f>
        <v>14</v>
      </c>
      <c r="S97" s="419">
        <f>VLOOKUP($E97,Prevs!$C:$I,Ajustes!M$1,FALSE)</f>
        <v>13</v>
      </c>
      <c r="T97" s="419">
        <f>VLOOKUP($E97,Prevs!$C:$I,Ajustes!N$1,FALSE)</f>
        <v>14</v>
      </c>
      <c r="U97" s="419">
        <f>VLOOKUP($E97,Prevs!$C:$I,Ajustes!O$1,FALSE)</f>
        <v>12</v>
      </c>
      <c r="V97" s="419">
        <f>VLOOKUP($E97,Prevs!$C:$I,Ajustes!P$1,FALSE)</f>
        <v>13</v>
      </c>
      <c r="W97" s="419">
        <f t="shared" ref="W97:AB97" si="538">K97-Q97</f>
        <v>19</v>
      </c>
      <c r="X97" s="419">
        <f t="shared" si="538"/>
        <v>19</v>
      </c>
      <c r="Y97" s="419">
        <f t="shared" si="538"/>
        <v>18</v>
      </c>
      <c r="Z97" s="419">
        <f t="shared" si="538"/>
        <v>19</v>
      </c>
      <c r="AA97" s="419">
        <f t="shared" si="538"/>
        <v>18</v>
      </c>
      <c r="AB97" s="419">
        <f t="shared" si="538"/>
        <v>18</v>
      </c>
      <c r="AC97" s="417">
        <f>VLOOKUP($J97,Fatores!$G$1:$J$5,2,FALSE)</f>
        <v>1.5531612828314754</v>
      </c>
      <c r="AD97" s="417">
        <f>VLOOKUP($C97,Fatores!$A:$D,2,FALSE)</f>
        <v>1</v>
      </c>
      <c r="AE97" s="420">
        <f t="shared" si="290"/>
        <v>29.510064373798031</v>
      </c>
      <c r="AF97" s="420">
        <f t="shared" si="291"/>
        <v>29.510064373798031</v>
      </c>
      <c r="AG97" s="420">
        <f t="shared" si="292"/>
        <v>27.956903090966556</v>
      </c>
      <c r="AH97" s="420">
        <f t="shared" si="293"/>
        <v>29.510064373798031</v>
      </c>
      <c r="AI97" s="420">
        <f t="shared" si="294"/>
        <v>27.956903090966556</v>
      </c>
      <c r="AJ97" s="420">
        <f t="shared" si="295"/>
        <v>27.956903090966556</v>
      </c>
      <c r="AK97" s="421">
        <f t="shared" ref="AK97:AP97" si="539">AE97+VLOOKUP($E97,$A:$BR,AK$1,FALSE)</f>
        <v>52.807483616270162</v>
      </c>
      <c r="AL97" s="421">
        <f t="shared" si="539"/>
        <v>51.254322333438687</v>
      </c>
      <c r="AM97" s="421">
        <f t="shared" si="539"/>
        <v>48.147999767775737</v>
      </c>
      <c r="AN97" s="421">
        <f t="shared" si="539"/>
        <v>51.254322333438687</v>
      </c>
      <c r="AO97" s="421">
        <f t="shared" si="539"/>
        <v>46.594838484944262</v>
      </c>
      <c r="AP97" s="421">
        <f t="shared" si="539"/>
        <v>48.147999767775737</v>
      </c>
      <c r="AQ97" s="417">
        <f>VLOOKUP($J97,Fatores!$G$1:$J$5,3,FALSE)</f>
        <v>1.3186317794730578</v>
      </c>
      <c r="AR97" s="417">
        <f>VLOOKUP($C97,Fatores!$A:$D,3,FALSE)</f>
        <v>1</v>
      </c>
      <c r="AS97" s="420">
        <f t="shared" si="297"/>
        <v>25.054003809988096</v>
      </c>
      <c r="AT97" s="420">
        <f t="shared" si="298"/>
        <v>25.054003809988096</v>
      </c>
      <c r="AU97" s="420">
        <f t="shared" si="299"/>
        <v>23.735372030515041</v>
      </c>
      <c r="AV97" s="420">
        <f t="shared" si="300"/>
        <v>25.054003809988096</v>
      </c>
      <c r="AW97" s="420">
        <f t="shared" si="301"/>
        <v>23.735372030515041</v>
      </c>
      <c r="AX97" s="420">
        <f t="shared" si="302"/>
        <v>23.735372030515041</v>
      </c>
      <c r="AY97" s="421">
        <f t="shared" ref="AY97:BD97" si="540">AS97+VLOOKUP($E97,$A:$BR,AY$1,FALSE)</f>
        <v>44.833480502083958</v>
      </c>
      <c r="AZ97" s="421">
        <f t="shared" si="540"/>
        <v>43.514848722610907</v>
      </c>
      <c r="BA97" s="421">
        <f t="shared" si="540"/>
        <v>40.87758516366479</v>
      </c>
      <c r="BB97" s="421">
        <f t="shared" si="540"/>
        <v>43.514848722610907</v>
      </c>
      <c r="BC97" s="421">
        <f t="shared" si="540"/>
        <v>39.558953384191739</v>
      </c>
      <c r="BD97" s="421">
        <f t="shared" si="540"/>
        <v>40.87758516366479</v>
      </c>
      <c r="BE97" s="417">
        <f>VLOOKUP($J97,Fatores!$G$1:$J$5,4,FALSE)</f>
        <v>1</v>
      </c>
      <c r="BF97" s="417">
        <f>VLOOKUP($C97,Fatores!$A:$D,4,FALSE)</f>
        <v>1</v>
      </c>
      <c r="BG97" s="420">
        <f t="shared" si="304"/>
        <v>19</v>
      </c>
      <c r="BH97" s="420">
        <f t="shared" si="305"/>
        <v>19</v>
      </c>
      <c r="BI97" s="420">
        <f t="shared" si="306"/>
        <v>18</v>
      </c>
      <c r="BJ97" s="420">
        <f t="shared" si="307"/>
        <v>19</v>
      </c>
      <c r="BK97" s="420">
        <f t="shared" si="308"/>
        <v>18</v>
      </c>
      <c r="BL97" s="420">
        <f t="shared" si="309"/>
        <v>18</v>
      </c>
      <c r="BM97" s="421">
        <f t="shared" ref="BM97:BR97" si="541">BG97+VLOOKUP($E97,$A:$BR,BM$1,FALSE)</f>
        <v>34</v>
      </c>
      <c r="BN97" s="421">
        <f t="shared" si="541"/>
        <v>33</v>
      </c>
      <c r="BO97" s="421">
        <f t="shared" si="541"/>
        <v>31</v>
      </c>
      <c r="BP97" s="421">
        <f t="shared" si="541"/>
        <v>33</v>
      </c>
      <c r="BQ97" s="421">
        <f t="shared" si="541"/>
        <v>30</v>
      </c>
      <c r="BR97" s="421">
        <f t="shared" si="541"/>
        <v>31</v>
      </c>
    </row>
    <row r="98" spans="1:70" x14ac:dyDescent="0.25">
      <c r="A98" s="431">
        <v>201</v>
      </c>
      <c r="B98" s="424"/>
      <c r="C98" s="424" t="s">
        <v>31</v>
      </c>
      <c r="D98" s="437" t="s">
        <v>526</v>
      </c>
      <c r="E98" s="431"/>
      <c r="F98" s="424"/>
      <c r="G98" s="424"/>
      <c r="H98" s="424"/>
      <c r="I98" s="432"/>
      <c r="J98" s="440">
        <v>1</v>
      </c>
      <c r="K98" s="419">
        <f>VLOOKUP($A98,Prevs!$C:$I,Ajustes!K$1,FALSE)</f>
        <v>5</v>
      </c>
      <c r="L98" s="419">
        <f>VLOOKUP($A98,Prevs!$C:$I,Ajustes!L$1,FALSE)</f>
        <v>6</v>
      </c>
      <c r="M98" s="419">
        <f>VLOOKUP($A98,Prevs!$C:$I,Ajustes!M$1,FALSE)</f>
        <v>5</v>
      </c>
      <c r="N98" s="419">
        <f>VLOOKUP($A98,Prevs!$C:$I,Ajustes!N$1,FALSE)</f>
        <v>5</v>
      </c>
      <c r="O98" s="419">
        <f>VLOOKUP($A98,Prevs!$C:$I,Ajustes!O$1,FALSE)</f>
        <v>5</v>
      </c>
      <c r="P98" s="419">
        <f>VLOOKUP($A98,Prevs!$C:$I,Ajustes!P$1,FALSE)</f>
        <v>5</v>
      </c>
      <c r="Q98" s="419">
        <v>0</v>
      </c>
      <c r="R98" s="419">
        <v>0</v>
      </c>
      <c r="S98" s="419">
        <v>0</v>
      </c>
      <c r="T98" s="419">
        <v>0</v>
      </c>
      <c r="U98" s="419">
        <v>0</v>
      </c>
      <c r="V98" s="419">
        <v>0</v>
      </c>
      <c r="W98" s="419">
        <f t="shared" ref="W98:W99" si="542">K98-Q98</f>
        <v>5</v>
      </c>
      <c r="X98" s="419">
        <f t="shared" ref="X98:X99" si="543">L98-R98</f>
        <v>6</v>
      </c>
      <c r="Y98" s="419">
        <f t="shared" ref="Y98:Y99" si="544">M98-S98</f>
        <v>5</v>
      </c>
      <c r="Z98" s="419">
        <f t="shared" ref="Z98:Z99" si="545">N98-T98</f>
        <v>5</v>
      </c>
      <c r="AA98" s="419">
        <f t="shared" ref="AA98:AA99" si="546">O98-U98</f>
        <v>5</v>
      </c>
      <c r="AB98" s="419">
        <f t="shared" ref="AB98:AB99" si="547">P98-V98</f>
        <v>5</v>
      </c>
      <c r="AC98" s="417">
        <f>VLOOKUP($J98,Fatores!$G$1:$J$5,2,FALSE)</f>
        <v>1.5531612828314754</v>
      </c>
      <c r="AD98" s="417">
        <f>VLOOKUP($C98,Fatores!$A:$D,2,FALSE)</f>
        <v>1</v>
      </c>
      <c r="AE98" s="420">
        <f t="shared" si="290"/>
        <v>7.7658064141573764</v>
      </c>
      <c r="AF98" s="420">
        <f t="shared" si="291"/>
        <v>9.3189676969888531</v>
      </c>
      <c r="AG98" s="420">
        <f t="shared" si="292"/>
        <v>7.7658064141573764</v>
      </c>
      <c r="AH98" s="420">
        <f t="shared" si="293"/>
        <v>7.7658064141573764</v>
      </c>
      <c r="AI98" s="420">
        <f t="shared" si="294"/>
        <v>7.7658064141573764</v>
      </c>
      <c r="AJ98" s="420">
        <f t="shared" si="295"/>
        <v>7.7658064141573764</v>
      </c>
      <c r="AK98" s="421">
        <f t="shared" ref="AK98:AK99" si="548">AE98</f>
        <v>7.7658064141573764</v>
      </c>
      <c r="AL98" s="421">
        <f t="shared" ref="AL98:AL99" si="549">AF98</f>
        <v>9.3189676969888531</v>
      </c>
      <c r="AM98" s="421">
        <f t="shared" ref="AM98:AM99" si="550">AG98</f>
        <v>7.7658064141573764</v>
      </c>
      <c r="AN98" s="421">
        <f t="shared" ref="AN98:AN99" si="551">AH98</f>
        <v>7.7658064141573764</v>
      </c>
      <c r="AO98" s="421">
        <f t="shared" ref="AO98:AO99" si="552">AI98</f>
        <v>7.7658064141573764</v>
      </c>
      <c r="AP98" s="421">
        <f t="shared" ref="AP98:AP99" si="553">AJ98</f>
        <v>7.7658064141573764</v>
      </c>
      <c r="AQ98" s="417">
        <f>VLOOKUP($J98,Fatores!$G$1:$J$5,3,FALSE)</f>
        <v>1.3186317794730578</v>
      </c>
      <c r="AR98" s="417">
        <f>VLOOKUP($C98,Fatores!$A:$D,3,FALSE)</f>
        <v>1</v>
      </c>
      <c r="AS98" s="420">
        <f t="shared" si="297"/>
        <v>6.5931588973652886</v>
      </c>
      <c r="AT98" s="420">
        <f t="shared" si="298"/>
        <v>7.911790676838347</v>
      </c>
      <c r="AU98" s="420">
        <f t="shared" si="299"/>
        <v>6.5931588973652886</v>
      </c>
      <c r="AV98" s="420">
        <f t="shared" si="300"/>
        <v>6.5931588973652886</v>
      </c>
      <c r="AW98" s="420">
        <f t="shared" si="301"/>
        <v>6.5931588973652886</v>
      </c>
      <c r="AX98" s="420">
        <f t="shared" si="302"/>
        <v>6.5931588973652886</v>
      </c>
      <c r="AY98" s="421">
        <f t="shared" ref="AY98:AY99" si="554">AS98</f>
        <v>6.5931588973652886</v>
      </c>
      <c r="AZ98" s="421">
        <f t="shared" ref="AZ98:AZ99" si="555">AT98</f>
        <v>7.911790676838347</v>
      </c>
      <c r="BA98" s="421">
        <f t="shared" ref="BA98:BA99" si="556">AU98</f>
        <v>6.5931588973652886</v>
      </c>
      <c r="BB98" s="421">
        <f t="shared" ref="BB98:BB99" si="557">AV98</f>
        <v>6.5931588973652886</v>
      </c>
      <c r="BC98" s="421">
        <f t="shared" ref="BC98:BC99" si="558">AW98</f>
        <v>6.5931588973652886</v>
      </c>
      <c r="BD98" s="421">
        <f t="shared" ref="BD98:BD99" si="559">AX98</f>
        <v>6.5931588973652886</v>
      </c>
      <c r="BE98" s="417">
        <f>VLOOKUP($J98,Fatores!$G$1:$J$5,4,FALSE)</f>
        <v>1</v>
      </c>
      <c r="BF98" s="417">
        <f>VLOOKUP($C98,Fatores!$A:$D,4,FALSE)</f>
        <v>1</v>
      </c>
      <c r="BG98" s="420">
        <f t="shared" si="304"/>
        <v>5</v>
      </c>
      <c r="BH98" s="420">
        <f t="shared" si="305"/>
        <v>6</v>
      </c>
      <c r="BI98" s="420">
        <f t="shared" si="306"/>
        <v>5</v>
      </c>
      <c r="BJ98" s="420">
        <f t="shared" si="307"/>
        <v>5</v>
      </c>
      <c r="BK98" s="420">
        <f t="shared" si="308"/>
        <v>5</v>
      </c>
      <c r="BL98" s="420">
        <f t="shared" si="309"/>
        <v>5</v>
      </c>
      <c r="BM98" s="421">
        <f t="shared" ref="BM98:BM99" si="560">BG98</f>
        <v>5</v>
      </c>
      <c r="BN98" s="421">
        <f t="shared" ref="BN98:BN99" si="561">BH98</f>
        <v>6</v>
      </c>
      <c r="BO98" s="421">
        <f t="shared" ref="BO98:BO99" si="562">BI98</f>
        <v>5</v>
      </c>
      <c r="BP98" s="421">
        <f t="shared" ref="BP98:BP99" si="563">BJ98</f>
        <v>5</v>
      </c>
      <c r="BQ98" s="421">
        <f t="shared" ref="BQ98:BQ99" si="564">BK98</f>
        <v>5</v>
      </c>
      <c r="BR98" s="421">
        <f t="shared" ref="BR98:BR99" si="565">BL98</f>
        <v>5</v>
      </c>
    </row>
    <row r="99" spans="1:70" x14ac:dyDescent="0.25">
      <c r="A99" s="431">
        <v>202</v>
      </c>
      <c r="B99" s="424"/>
      <c r="C99" s="424" t="s">
        <v>31</v>
      </c>
      <c r="D99" s="437" t="s">
        <v>496</v>
      </c>
      <c r="E99" s="431"/>
      <c r="F99" s="424"/>
      <c r="G99" s="424"/>
      <c r="H99" s="424"/>
      <c r="I99" s="432"/>
      <c r="J99" s="440">
        <v>1</v>
      </c>
      <c r="K99" s="419">
        <f>VLOOKUP($A99,Prevs!$C:$I,Ajustes!K$1,FALSE)</f>
        <v>2</v>
      </c>
      <c r="L99" s="419">
        <f>VLOOKUP($A99,Prevs!$C:$I,Ajustes!L$1,FALSE)</f>
        <v>2</v>
      </c>
      <c r="M99" s="419">
        <f>VLOOKUP($A99,Prevs!$C:$I,Ajustes!M$1,FALSE)</f>
        <v>2</v>
      </c>
      <c r="N99" s="419">
        <f>VLOOKUP($A99,Prevs!$C:$I,Ajustes!N$1,FALSE)</f>
        <v>2</v>
      </c>
      <c r="O99" s="419">
        <f>VLOOKUP($A99,Prevs!$C:$I,Ajustes!O$1,FALSE)</f>
        <v>1</v>
      </c>
      <c r="P99" s="419">
        <f>VLOOKUP($A99,Prevs!$C:$I,Ajustes!P$1,FALSE)</f>
        <v>2</v>
      </c>
      <c r="Q99" s="419">
        <v>0</v>
      </c>
      <c r="R99" s="419">
        <v>0</v>
      </c>
      <c r="S99" s="419">
        <v>0</v>
      </c>
      <c r="T99" s="419">
        <v>0</v>
      </c>
      <c r="U99" s="419">
        <v>0</v>
      </c>
      <c r="V99" s="419">
        <v>0</v>
      </c>
      <c r="W99" s="419">
        <f t="shared" si="542"/>
        <v>2</v>
      </c>
      <c r="X99" s="419">
        <f t="shared" si="543"/>
        <v>2</v>
      </c>
      <c r="Y99" s="419">
        <f t="shared" si="544"/>
        <v>2</v>
      </c>
      <c r="Z99" s="419">
        <f t="shared" si="545"/>
        <v>2</v>
      </c>
      <c r="AA99" s="419">
        <f t="shared" si="546"/>
        <v>1</v>
      </c>
      <c r="AB99" s="419">
        <f t="shared" si="547"/>
        <v>2</v>
      </c>
      <c r="AC99" s="417">
        <f>VLOOKUP($J99,Fatores!$G$1:$J$5,2,FALSE)</f>
        <v>1.5531612828314754</v>
      </c>
      <c r="AD99" s="417">
        <f>VLOOKUP($C99,Fatores!$A:$D,2,FALSE)</f>
        <v>1</v>
      </c>
      <c r="AE99" s="420">
        <f t="shared" si="290"/>
        <v>3.1063225656629507</v>
      </c>
      <c r="AF99" s="420">
        <f t="shared" si="291"/>
        <v>3.1063225656629507</v>
      </c>
      <c r="AG99" s="420">
        <f t="shared" si="292"/>
        <v>3.1063225656629507</v>
      </c>
      <c r="AH99" s="420">
        <f t="shared" si="293"/>
        <v>3.1063225656629507</v>
      </c>
      <c r="AI99" s="420">
        <f t="shared" si="294"/>
        <v>1.5531612828314754</v>
      </c>
      <c r="AJ99" s="420">
        <f t="shared" si="295"/>
        <v>3.1063225656629507</v>
      </c>
      <c r="AK99" s="421">
        <f t="shared" si="548"/>
        <v>3.1063225656629507</v>
      </c>
      <c r="AL99" s="421">
        <f t="shared" si="549"/>
        <v>3.1063225656629507</v>
      </c>
      <c r="AM99" s="421">
        <f t="shared" si="550"/>
        <v>3.1063225656629507</v>
      </c>
      <c r="AN99" s="421">
        <f t="shared" si="551"/>
        <v>3.1063225656629507</v>
      </c>
      <c r="AO99" s="421">
        <f t="shared" si="552"/>
        <v>1.5531612828314754</v>
      </c>
      <c r="AP99" s="421">
        <f t="shared" si="553"/>
        <v>3.1063225656629507</v>
      </c>
      <c r="AQ99" s="417">
        <f>VLOOKUP($J99,Fatores!$G$1:$J$5,3,FALSE)</f>
        <v>1.3186317794730578</v>
      </c>
      <c r="AR99" s="417">
        <f>VLOOKUP($C99,Fatores!$A:$D,3,FALSE)</f>
        <v>1</v>
      </c>
      <c r="AS99" s="420">
        <f t="shared" si="297"/>
        <v>2.6372635589461155</v>
      </c>
      <c r="AT99" s="420">
        <f t="shared" si="298"/>
        <v>2.6372635589461155</v>
      </c>
      <c r="AU99" s="420">
        <f t="shared" si="299"/>
        <v>2.6372635589461155</v>
      </c>
      <c r="AV99" s="420">
        <f t="shared" si="300"/>
        <v>2.6372635589461155</v>
      </c>
      <c r="AW99" s="420">
        <f t="shared" si="301"/>
        <v>1.3186317794730578</v>
      </c>
      <c r="AX99" s="420">
        <f t="shared" si="302"/>
        <v>2.6372635589461155</v>
      </c>
      <c r="AY99" s="421">
        <f t="shared" si="554"/>
        <v>2.6372635589461155</v>
      </c>
      <c r="AZ99" s="421">
        <f t="shared" si="555"/>
        <v>2.6372635589461155</v>
      </c>
      <c r="BA99" s="421">
        <f t="shared" si="556"/>
        <v>2.6372635589461155</v>
      </c>
      <c r="BB99" s="421">
        <f t="shared" si="557"/>
        <v>2.6372635589461155</v>
      </c>
      <c r="BC99" s="421">
        <f t="shared" si="558"/>
        <v>1.3186317794730578</v>
      </c>
      <c r="BD99" s="421">
        <f t="shared" si="559"/>
        <v>2.6372635589461155</v>
      </c>
      <c r="BE99" s="417">
        <f>VLOOKUP($J99,Fatores!$G$1:$J$5,4,FALSE)</f>
        <v>1</v>
      </c>
      <c r="BF99" s="417">
        <f>VLOOKUP($C99,Fatores!$A:$D,4,FALSE)</f>
        <v>1</v>
      </c>
      <c r="BG99" s="420">
        <f t="shared" si="304"/>
        <v>2</v>
      </c>
      <c r="BH99" s="420">
        <f t="shared" si="305"/>
        <v>2</v>
      </c>
      <c r="BI99" s="420">
        <f t="shared" si="306"/>
        <v>2</v>
      </c>
      <c r="BJ99" s="420">
        <f t="shared" si="307"/>
        <v>2</v>
      </c>
      <c r="BK99" s="420">
        <f t="shared" si="308"/>
        <v>1</v>
      </c>
      <c r="BL99" s="420">
        <f t="shared" si="309"/>
        <v>2</v>
      </c>
      <c r="BM99" s="421">
        <f t="shared" si="560"/>
        <v>2</v>
      </c>
      <c r="BN99" s="421">
        <f t="shared" si="561"/>
        <v>2</v>
      </c>
      <c r="BO99" s="421">
        <f t="shared" si="562"/>
        <v>2</v>
      </c>
      <c r="BP99" s="421">
        <f t="shared" si="563"/>
        <v>2</v>
      </c>
      <c r="BQ99" s="421">
        <f t="shared" si="564"/>
        <v>1</v>
      </c>
      <c r="BR99" s="421">
        <f t="shared" si="565"/>
        <v>2</v>
      </c>
    </row>
    <row r="100" spans="1:70" x14ac:dyDescent="0.25">
      <c r="A100" s="431">
        <v>203</v>
      </c>
      <c r="B100" s="424"/>
      <c r="C100" s="424" t="s">
        <v>31</v>
      </c>
      <c r="D100" s="437" t="s">
        <v>526</v>
      </c>
      <c r="E100" s="444">
        <v>201</v>
      </c>
      <c r="F100" s="424"/>
      <c r="G100" s="424"/>
      <c r="H100" s="424"/>
      <c r="I100" s="432"/>
      <c r="J100" s="440">
        <v>1</v>
      </c>
      <c r="K100" s="419">
        <f>VLOOKUP($A100,Prevs!$C:$I,Ajustes!K$1,FALSE)</f>
        <v>9</v>
      </c>
      <c r="L100" s="419">
        <f>VLOOKUP($A100,Prevs!$C:$I,Ajustes!L$1,FALSE)</f>
        <v>10</v>
      </c>
      <c r="M100" s="419">
        <f>VLOOKUP($A100,Prevs!$C:$I,Ajustes!M$1,FALSE)</f>
        <v>9</v>
      </c>
      <c r="N100" s="419">
        <f>VLOOKUP($A100,Prevs!$C:$I,Ajustes!N$1,FALSE)</f>
        <v>7</v>
      </c>
      <c r="O100" s="419">
        <f>VLOOKUP($A100,Prevs!$C:$I,Ajustes!O$1,FALSE)</f>
        <v>7</v>
      </c>
      <c r="P100" s="419">
        <f>VLOOKUP($A100,Prevs!$C:$I,Ajustes!P$1,FALSE)</f>
        <v>9</v>
      </c>
      <c r="Q100" s="419">
        <f>VLOOKUP($E100,Prevs!$C:$I,Ajustes!K$1,FALSE)</f>
        <v>5</v>
      </c>
      <c r="R100" s="419">
        <f>VLOOKUP($E100,Prevs!$C:$I,Ajustes!L$1,FALSE)</f>
        <v>6</v>
      </c>
      <c r="S100" s="419">
        <f>VLOOKUP($E100,Prevs!$C:$I,Ajustes!M$1,FALSE)</f>
        <v>5</v>
      </c>
      <c r="T100" s="419">
        <f>VLOOKUP($E100,Prevs!$C:$I,Ajustes!N$1,FALSE)</f>
        <v>5</v>
      </c>
      <c r="U100" s="419">
        <f>VLOOKUP($E100,Prevs!$C:$I,Ajustes!O$1,FALSE)</f>
        <v>5</v>
      </c>
      <c r="V100" s="419">
        <f>VLOOKUP($E100,Prevs!$C:$I,Ajustes!P$1,FALSE)</f>
        <v>5</v>
      </c>
      <c r="W100" s="419">
        <f t="shared" ref="W100:AB101" si="566">K100-Q100</f>
        <v>4</v>
      </c>
      <c r="X100" s="419">
        <f t="shared" si="566"/>
        <v>4</v>
      </c>
      <c r="Y100" s="419">
        <f t="shared" si="566"/>
        <v>4</v>
      </c>
      <c r="Z100" s="419">
        <f t="shared" si="566"/>
        <v>2</v>
      </c>
      <c r="AA100" s="419">
        <f t="shared" si="566"/>
        <v>2</v>
      </c>
      <c r="AB100" s="419">
        <f t="shared" si="566"/>
        <v>4</v>
      </c>
      <c r="AC100" s="417">
        <f>VLOOKUP($J100,Fatores!$G$1:$J$5,2,FALSE)</f>
        <v>1.5531612828314754</v>
      </c>
      <c r="AD100" s="417">
        <f>VLOOKUP($C100,Fatores!$A:$D,2,FALSE)</f>
        <v>1</v>
      </c>
      <c r="AE100" s="420">
        <f t="shared" si="290"/>
        <v>6.2126451313259015</v>
      </c>
      <c r="AF100" s="420">
        <f t="shared" si="291"/>
        <v>6.2126451313259015</v>
      </c>
      <c r="AG100" s="420">
        <f t="shared" si="292"/>
        <v>6.2126451313259015</v>
      </c>
      <c r="AH100" s="420">
        <f t="shared" si="293"/>
        <v>3.1063225656629507</v>
      </c>
      <c r="AI100" s="420">
        <f t="shared" si="294"/>
        <v>3.1063225656629507</v>
      </c>
      <c r="AJ100" s="420">
        <f t="shared" si="295"/>
        <v>6.2126451313259015</v>
      </c>
      <c r="AK100" s="421">
        <f t="shared" ref="AK100:AP100" si="567">AE100+VLOOKUP($E100,$A:$BR,AK$1,FALSE)</f>
        <v>13.978451545483278</v>
      </c>
      <c r="AL100" s="421">
        <f t="shared" si="567"/>
        <v>15.531612828314755</v>
      </c>
      <c r="AM100" s="421">
        <f t="shared" si="567"/>
        <v>13.978451545483278</v>
      </c>
      <c r="AN100" s="421">
        <f t="shared" si="567"/>
        <v>10.872128979820328</v>
      </c>
      <c r="AO100" s="421">
        <f t="shared" si="567"/>
        <v>10.872128979820328</v>
      </c>
      <c r="AP100" s="421">
        <f t="shared" si="567"/>
        <v>13.978451545483278</v>
      </c>
      <c r="AQ100" s="417">
        <f>VLOOKUP($J100,Fatores!$G$1:$J$5,3,FALSE)</f>
        <v>1.3186317794730578</v>
      </c>
      <c r="AR100" s="417">
        <f>VLOOKUP($C100,Fatores!$A:$D,3,FALSE)</f>
        <v>1</v>
      </c>
      <c r="AS100" s="420">
        <f t="shared" si="297"/>
        <v>5.2745271178922311</v>
      </c>
      <c r="AT100" s="420">
        <f t="shared" si="298"/>
        <v>5.2745271178922311</v>
      </c>
      <c r="AU100" s="420">
        <f t="shared" si="299"/>
        <v>5.2745271178922311</v>
      </c>
      <c r="AV100" s="420">
        <f t="shared" si="300"/>
        <v>2.6372635589461155</v>
      </c>
      <c r="AW100" s="420">
        <f t="shared" si="301"/>
        <v>2.6372635589461155</v>
      </c>
      <c r="AX100" s="420">
        <f t="shared" si="302"/>
        <v>5.2745271178922311</v>
      </c>
      <c r="AY100" s="421">
        <f t="shared" ref="AY100:BD100" si="568">AS100+VLOOKUP($E100,$A:$BR,AY$1,FALSE)</f>
        <v>11.867686015257519</v>
      </c>
      <c r="AZ100" s="421">
        <f t="shared" si="568"/>
        <v>13.186317794730577</v>
      </c>
      <c r="BA100" s="421">
        <f t="shared" si="568"/>
        <v>11.867686015257519</v>
      </c>
      <c r="BB100" s="421">
        <f t="shared" si="568"/>
        <v>9.2304224563114037</v>
      </c>
      <c r="BC100" s="421">
        <f t="shared" si="568"/>
        <v>9.2304224563114037</v>
      </c>
      <c r="BD100" s="421">
        <f t="shared" si="568"/>
        <v>11.867686015257519</v>
      </c>
      <c r="BE100" s="417">
        <f>VLOOKUP($J100,Fatores!$G$1:$J$5,4,FALSE)</f>
        <v>1</v>
      </c>
      <c r="BF100" s="417">
        <f>VLOOKUP($C100,Fatores!$A:$D,4,FALSE)</f>
        <v>1</v>
      </c>
      <c r="BG100" s="420">
        <f t="shared" si="304"/>
        <v>4</v>
      </c>
      <c r="BH100" s="420">
        <f t="shared" si="305"/>
        <v>4</v>
      </c>
      <c r="BI100" s="420">
        <f t="shared" si="306"/>
        <v>4</v>
      </c>
      <c r="BJ100" s="420">
        <f t="shared" si="307"/>
        <v>2</v>
      </c>
      <c r="BK100" s="420">
        <f t="shared" si="308"/>
        <v>2</v>
      </c>
      <c r="BL100" s="420">
        <f t="shared" si="309"/>
        <v>4</v>
      </c>
      <c r="BM100" s="421">
        <f t="shared" ref="BM100:BR100" si="569">BG100+VLOOKUP($E100,$A:$BR,BM$1,FALSE)</f>
        <v>9</v>
      </c>
      <c r="BN100" s="421">
        <f t="shared" si="569"/>
        <v>10</v>
      </c>
      <c r="BO100" s="421">
        <f t="shared" si="569"/>
        <v>9</v>
      </c>
      <c r="BP100" s="421">
        <f t="shared" si="569"/>
        <v>7</v>
      </c>
      <c r="BQ100" s="421">
        <f t="shared" si="569"/>
        <v>7</v>
      </c>
      <c r="BR100" s="421">
        <f t="shared" si="569"/>
        <v>9</v>
      </c>
    </row>
    <row r="101" spans="1:70" x14ac:dyDescent="0.25">
      <c r="A101" s="431">
        <v>205</v>
      </c>
      <c r="B101" s="424"/>
      <c r="C101" s="424" t="s">
        <v>23</v>
      </c>
      <c r="D101" s="437" t="s">
        <v>423</v>
      </c>
      <c r="E101" s="431"/>
      <c r="F101" s="424"/>
      <c r="G101" s="424"/>
      <c r="H101" s="424"/>
      <c r="I101" s="432"/>
      <c r="J101" s="440">
        <v>1</v>
      </c>
      <c r="K101" s="419">
        <f>VLOOKUP($A101,Prevs!$C:$I,Ajustes!K$1,FALSE)</f>
        <v>71</v>
      </c>
      <c r="L101" s="419">
        <f>VLOOKUP($A101,Prevs!$C:$I,Ajustes!L$1,FALSE)</f>
        <v>66</v>
      </c>
      <c r="M101" s="419">
        <f>VLOOKUP($A101,Prevs!$C:$I,Ajustes!M$1,FALSE)</f>
        <v>63</v>
      </c>
      <c r="N101" s="419">
        <f>VLOOKUP($A101,Prevs!$C:$I,Ajustes!N$1,FALSE)</f>
        <v>59</v>
      </c>
      <c r="O101" s="419">
        <f>VLOOKUP($A101,Prevs!$C:$I,Ajustes!O$1,FALSE)</f>
        <v>57</v>
      </c>
      <c r="P101" s="419">
        <f>VLOOKUP($A101,Prevs!$C:$I,Ajustes!P$1,FALSE)</f>
        <v>55</v>
      </c>
      <c r="Q101" s="419">
        <v>0</v>
      </c>
      <c r="R101" s="419">
        <v>0</v>
      </c>
      <c r="S101" s="419">
        <v>0</v>
      </c>
      <c r="T101" s="419">
        <v>0</v>
      </c>
      <c r="U101" s="419">
        <v>0</v>
      </c>
      <c r="V101" s="419">
        <v>0</v>
      </c>
      <c r="W101" s="419">
        <f t="shared" si="566"/>
        <v>71</v>
      </c>
      <c r="X101" s="419">
        <f t="shared" si="566"/>
        <v>66</v>
      </c>
      <c r="Y101" s="419">
        <f t="shared" si="566"/>
        <v>63</v>
      </c>
      <c r="Z101" s="419">
        <f t="shared" si="566"/>
        <v>59</v>
      </c>
      <c r="AA101" s="419">
        <f t="shared" si="566"/>
        <v>57</v>
      </c>
      <c r="AB101" s="419">
        <f t="shared" si="566"/>
        <v>55</v>
      </c>
      <c r="AC101" s="417">
        <f>VLOOKUP($J101,Fatores!$G$1:$J$5,2,FALSE)</f>
        <v>1.5531612828314754</v>
      </c>
      <c r="AD101" s="417">
        <f>VLOOKUP($C101,Fatores!$A:$D,2,FALSE)</f>
        <v>1</v>
      </c>
      <c r="AE101" s="420">
        <f t="shared" si="290"/>
        <v>110.27445108103475</v>
      </c>
      <c r="AF101" s="420">
        <f t="shared" si="291"/>
        <v>102.50864466687737</v>
      </c>
      <c r="AG101" s="420">
        <f t="shared" si="292"/>
        <v>97.849160818382941</v>
      </c>
      <c r="AH101" s="420">
        <f t="shared" si="293"/>
        <v>91.636515687057042</v>
      </c>
      <c r="AI101" s="420">
        <f t="shared" si="294"/>
        <v>88.530193121394092</v>
      </c>
      <c r="AJ101" s="420">
        <f t="shared" si="295"/>
        <v>85.423870555731142</v>
      </c>
      <c r="AK101" s="421">
        <f t="shared" ref="AK101:AP101" si="570">AE101</f>
        <v>110.27445108103475</v>
      </c>
      <c r="AL101" s="421">
        <f t="shared" si="570"/>
        <v>102.50864466687737</v>
      </c>
      <c r="AM101" s="421">
        <f t="shared" si="570"/>
        <v>97.849160818382941</v>
      </c>
      <c r="AN101" s="421">
        <f t="shared" si="570"/>
        <v>91.636515687057042</v>
      </c>
      <c r="AO101" s="421">
        <f t="shared" si="570"/>
        <v>88.530193121394092</v>
      </c>
      <c r="AP101" s="421">
        <f t="shared" si="570"/>
        <v>85.423870555731142</v>
      </c>
      <c r="AQ101" s="417">
        <f>VLOOKUP($J101,Fatores!$G$1:$J$5,3,FALSE)</f>
        <v>1.3186317794730578</v>
      </c>
      <c r="AR101" s="417">
        <f>VLOOKUP($C101,Fatores!$A:$D,3,FALSE)</f>
        <v>1</v>
      </c>
      <c r="AS101" s="420">
        <f t="shared" si="297"/>
        <v>93.622856342587099</v>
      </c>
      <c r="AT101" s="420">
        <f t="shared" si="298"/>
        <v>87.029697445221814</v>
      </c>
      <c r="AU101" s="420">
        <f t="shared" si="299"/>
        <v>83.073802106802646</v>
      </c>
      <c r="AV101" s="420">
        <f t="shared" si="300"/>
        <v>77.799274988910412</v>
      </c>
      <c r="AW101" s="420">
        <f t="shared" si="301"/>
        <v>75.162011429964295</v>
      </c>
      <c r="AX101" s="420">
        <f t="shared" si="302"/>
        <v>72.524747871018178</v>
      </c>
      <c r="AY101" s="421">
        <f t="shared" ref="AY101" si="571">AS101</f>
        <v>93.622856342587099</v>
      </c>
      <c r="AZ101" s="421">
        <f t="shared" ref="AZ101" si="572">AT101</f>
        <v>87.029697445221814</v>
      </c>
      <c r="BA101" s="421">
        <f t="shared" ref="BA101" si="573">AU101</f>
        <v>83.073802106802646</v>
      </c>
      <c r="BB101" s="421">
        <f t="shared" ref="BB101" si="574">AV101</f>
        <v>77.799274988910412</v>
      </c>
      <c r="BC101" s="421">
        <f t="shared" ref="BC101" si="575">AW101</f>
        <v>75.162011429964295</v>
      </c>
      <c r="BD101" s="421">
        <f t="shared" ref="BD101" si="576">AX101</f>
        <v>72.524747871018178</v>
      </c>
      <c r="BE101" s="417">
        <f>VLOOKUP($J101,Fatores!$G$1:$J$5,4,FALSE)</f>
        <v>1</v>
      </c>
      <c r="BF101" s="417">
        <f>VLOOKUP($C101,Fatores!$A:$D,4,FALSE)</f>
        <v>1</v>
      </c>
      <c r="BG101" s="420">
        <f t="shared" si="304"/>
        <v>71</v>
      </c>
      <c r="BH101" s="420">
        <f t="shared" si="305"/>
        <v>66</v>
      </c>
      <c r="BI101" s="420">
        <f t="shared" si="306"/>
        <v>63</v>
      </c>
      <c r="BJ101" s="420">
        <f t="shared" si="307"/>
        <v>59</v>
      </c>
      <c r="BK101" s="420">
        <f t="shared" si="308"/>
        <v>57</v>
      </c>
      <c r="BL101" s="420">
        <f t="shared" si="309"/>
        <v>55</v>
      </c>
      <c r="BM101" s="421">
        <f t="shared" ref="BM101" si="577">BG101</f>
        <v>71</v>
      </c>
      <c r="BN101" s="421">
        <f t="shared" ref="BN101" si="578">BH101</f>
        <v>66</v>
      </c>
      <c r="BO101" s="421">
        <f t="shared" ref="BO101" si="579">BI101</f>
        <v>63</v>
      </c>
      <c r="BP101" s="421">
        <f t="shared" ref="BP101" si="580">BJ101</f>
        <v>59</v>
      </c>
      <c r="BQ101" s="421">
        <f t="shared" ref="BQ101" si="581">BK101</f>
        <v>57</v>
      </c>
      <c r="BR101" s="421">
        <f t="shared" ref="BR101" si="582">BL101</f>
        <v>55</v>
      </c>
    </row>
    <row r="102" spans="1:70" x14ac:dyDescent="0.25">
      <c r="A102" s="431">
        <v>206</v>
      </c>
      <c r="B102" s="424"/>
      <c r="C102" s="424" t="s">
        <v>23</v>
      </c>
      <c r="D102" s="437" t="s">
        <v>424</v>
      </c>
      <c r="E102" s="444">
        <v>25</v>
      </c>
      <c r="F102" s="424"/>
      <c r="G102" s="424"/>
      <c r="H102" s="424"/>
      <c r="I102" s="432"/>
      <c r="J102" s="440">
        <v>1</v>
      </c>
      <c r="K102" s="419">
        <f>VLOOKUP($A102,Prevs!$C:$I,Ajustes!K$1,FALSE)</f>
        <v>93</v>
      </c>
      <c r="L102" s="419">
        <f>VLOOKUP($A102,Prevs!$C:$I,Ajustes!L$1,FALSE)</f>
        <v>99</v>
      </c>
      <c r="M102" s="419">
        <f>VLOOKUP($A102,Prevs!$C:$I,Ajustes!M$1,FALSE)</f>
        <v>103</v>
      </c>
      <c r="N102" s="419">
        <f>VLOOKUP($A102,Prevs!$C:$I,Ajustes!N$1,FALSE)</f>
        <v>87</v>
      </c>
      <c r="O102" s="419">
        <f>VLOOKUP($A102,Prevs!$C:$I,Ajustes!O$1,FALSE)</f>
        <v>88</v>
      </c>
      <c r="P102" s="419">
        <f>VLOOKUP($A102,Prevs!$C:$I,Ajustes!P$1,FALSE)</f>
        <v>91</v>
      </c>
      <c r="Q102" s="419">
        <f>VLOOKUP($E102,Prevs!$C:$I,Ajustes!K$1,FALSE)</f>
        <v>89</v>
      </c>
      <c r="R102" s="419">
        <f>VLOOKUP($E102,Prevs!$C:$I,Ajustes!L$1,FALSE)</f>
        <v>90</v>
      </c>
      <c r="S102" s="419">
        <f>VLOOKUP($E102,Prevs!$C:$I,Ajustes!M$1,FALSE)</f>
        <v>91</v>
      </c>
      <c r="T102" s="419">
        <f>VLOOKUP($E102,Prevs!$C:$I,Ajustes!N$1,FALSE)</f>
        <v>81</v>
      </c>
      <c r="U102" s="419">
        <f>VLOOKUP($E102,Prevs!$C:$I,Ajustes!O$1,FALSE)</f>
        <v>81</v>
      </c>
      <c r="V102" s="419">
        <f>VLOOKUP($E102,Prevs!$C:$I,Ajustes!P$1,FALSE)</f>
        <v>76</v>
      </c>
      <c r="W102" s="419">
        <f t="shared" ref="W102:W105" si="583">K102-Q102</f>
        <v>4</v>
      </c>
      <c r="X102" s="419">
        <f t="shared" ref="X102:X105" si="584">L102-R102</f>
        <v>9</v>
      </c>
      <c r="Y102" s="419">
        <f t="shared" ref="Y102:Y105" si="585">M102-S102</f>
        <v>12</v>
      </c>
      <c r="Z102" s="419">
        <f t="shared" ref="Z102:Z105" si="586">N102-T102</f>
        <v>6</v>
      </c>
      <c r="AA102" s="419">
        <f t="shared" ref="AA102:AA105" si="587">O102-U102</f>
        <v>7</v>
      </c>
      <c r="AB102" s="419">
        <f t="shared" ref="AB102:AB105" si="588">P102-V102</f>
        <v>15</v>
      </c>
      <c r="AC102" s="417">
        <f>VLOOKUP($J102,Fatores!$G$1:$J$5,2,FALSE)</f>
        <v>1.5531612828314754</v>
      </c>
      <c r="AD102" s="417">
        <f>VLOOKUP($C102,Fatores!$A:$D,2,FALSE)</f>
        <v>1</v>
      </c>
      <c r="AE102" s="420">
        <f t="shared" si="290"/>
        <v>6.2126451313259015</v>
      </c>
      <c r="AF102" s="420">
        <f t="shared" si="291"/>
        <v>13.978451545483278</v>
      </c>
      <c r="AG102" s="420">
        <f t="shared" si="292"/>
        <v>18.637935393977706</v>
      </c>
      <c r="AH102" s="420">
        <f t="shared" si="293"/>
        <v>9.3189676969888531</v>
      </c>
      <c r="AI102" s="420">
        <f t="shared" si="294"/>
        <v>10.872128979820328</v>
      </c>
      <c r="AJ102" s="420">
        <f t="shared" si="295"/>
        <v>23.297419242472131</v>
      </c>
      <c r="AK102" s="421">
        <f t="shared" ref="AK102:AP105" si="589">AE102+VLOOKUP($E102,$A:$BR,AK$1,FALSE)</f>
        <v>144.44399930332722</v>
      </c>
      <c r="AL102" s="421">
        <f t="shared" si="589"/>
        <v>153.76296700031605</v>
      </c>
      <c r="AM102" s="421">
        <f t="shared" si="589"/>
        <v>159.97561213164195</v>
      </c>
      <c r="AN102" s="421">
        <f t="shared" si="589"/>
        <v>135.12503160633835</v>
      </c>
      <c r="AO102" s="421">
        <f t="shared" si="589"/>
        <v>136.67819288916982</v>
      </c>
      <c r="AP102" s="421">
        <f t="shared" si="589"/>
        <v>141.33767673766425</v>
      </c>
      <c r="AQ102" s="417">
        <f>VLOOKUP($J102,Fatores!$G$1:$J$5,3,FALSE)</f>
        <v>1.3186317794730578</v>
      </c>
      <c r="AR102" s="417">
        <f>VLOOKUP($C102,Fatores!$A:$D,3,FALSE)</f>
        <v>1</v>
      </c>
      <c r="AS102" s="420">
        <f t="shared" si="297"/>
        <v>5.2745271178922311</v>
      </c>
      <c r="AT102" s="420">
        <f t="shared" si="298"/>
        <v>11.867686015257521</v>
      </c>
      <c r="AU102" s="420">
        <f t="shared" si="299"/>
        <v>15.823581353676694</v>
      </c>
      <c r="AV102" s="420">
        <f t="shared" si="300"/>
        <v>7.911790676838347</v>
      </c>
      <c r="AW102" s="420">
        <f t="shared" si="301"/>
        <v>9.2304224563114037</v>
      </c>
      <c r="AX102" s="420">
        <f t="shared" si="302"/>
        <v>19.779476692095866</v>
      </c>
      <c r="AY102" s="421">
        <f t="shared" ref="AY102:BD105" si="590">AS102+VLOOKUP($E102,$A:$BR,AY$1,FALSE)</f>
        <v>122.63275549099437</v>
      </c>
      <c r="AZ102" s="421">
        <f t="shared" si="590"/>
        <v>130.54454616783272</v>
      </c>
      <c r="BA102" s="421">
        <f t="shared" si="590"/>
        <v>135.81907328572495</v>
      </c>
      <c r="BB102" s="421">
        <f t="shared" si="590"/>
        <v>114.72096481415603</v>
      </c>
      <c r="BC102" s="421">
        <f t="shared" si="590"/>
        <v>116.03959659362908</v>
      </c>
      <c r="BD102" s="421">
        <f t="shared" si="590"/>
        <v>119.99549193204825</v>
      </c>
      <c r="BE102" s="417">
        <f>VLOOKUP($J102,Fatores!$G$1:$J$5,4,FALSE)</f>
        <v>1</v>
      </c>
      <c r="BF102" s="417">
        <f>VLOOKUP($C102,Fatores!$A:$D,4,FALSE)</f>
        <v>1</v>
      </c>
      <c r="BG102" s="420">
        <f t="shared" si="304"/>
        <v>4</v>
      </c>
      <c r="BH102" s="420">
        <f t="shared" si="305"/>
        <v>9</v>
      </c>
      <c r="BI102" s="420">
        <f t="shared" si="306"/>
        <v>12</v>
      </c>
      <c r="BJ102" s="420">
        <f t="shared" si="307"/>
        <v>6</v>
      </c>
      <c r="BK102" s="420">
        <f t="shared" si="308"/>
        <v>7</v>
      </c>
      <c r="BL102" s="420">
        <f t="shared" si="309"/>
        <v>15</v>
      </c>
      <c r="BM102" s="421">
        <f t="shared" ref="BM102:BR105" si="591">BG102+VLOOKUP($E102,$A:$BR,BM$1,FALSE)</f>
        <v>93</v>
      </c>
      <c r="BN102" s="421">
        <f t="shared" si="591"/>
        <v>99</v>
      </c>
      <c r="BO102" s="421">
        <f t="shared" si="591"/>
        <v>103</v>
      </c>
      <c r="BP102" s="421">
        <f t="shared" si="591"/>
        <v>87</v>
      </c>
      <c r="BQ102" s="421">
        <f t="shared" si="591"/>
        <v>88</v>
      </c>
      <c r="BR102" s="421">
        <f t="shared" si="591"/>
        <v>91</v>
      </c>
    </row>
    <row r="103" spans="1:70" x14ac:dyDescent="0.25">
      <c r="A103" s="431">
        <v>207</v>
      </c>
      <c r="B103" s="424"/>
      <c r="C103" s="424" t="s">
        <v>23</v>
      </c>
      <c r="D103" s="437" t="s">
        <v>424</v>
      </c>
      <c r="E103" s="444">
        <v>206</v>
      </c>
      <c r="F103" s="424"/>
      <c r="G103" s="424"/>
      <c r="H103" s="424"/>
      <c r="I103" s="432"/>
      <c r="J103" s="440">
        <v>1</v>
      </c>
      <c r="K103" s="419">
        <f>VLOOKUP($A103,Prevs!$C:$I,Ajustes!K$1,FALSE)</f>
        <v>94</v>
      </c>
      <c r="L103" s="419">
        <f>VLOOKUP($A103,Prevs!$C:$I,Ajustes!L$1,FALSE)</f>
        <v>102</v>
      </c>
      <c r="M103" s="419">
        <f>VLOOKUP($A103,Prevs!$C:$I,Ajustes!M$1,FALSE)</f>
        <v>106</v>
      </c>
      <c r="N103" s="419">
        <f>VLOOKUP($A103,Prevs!$C:$I,Ajustes!N$1,FALSE)</f>
        <v>90</v>
      </c>
      <c r="O103" s="419">
        <f>VLOOKUP($A103,Prevs!$C:$I,Ajustes!O$1,FALSE)</f>
        <v>90</v>
      </c>
      <c r="P103" s="419">
        <f>VLOOKUP($A103,Prevs!$C:$I,Ajustes!P$1,FALSE)</f>
        <v>94</v>
      </c>
      <c r="Q103" s="419">
        <f>VLOOKUP($E103,Prevs!$C:$I,Ajustes!K$1,FALSE)</f>
        <v>93</v>
      </c>
      <c r="R103" s="419">
        <f>VLOOKUP($E103,Prevs!$C:$I,Ajustes!L$1,FALSE)</f>
        <v>99</v>
      </c>
      <c r="S103" s="419">
        <f>VLOOKUP($E103,Prevs!$C:$I,Ajustes!M$1,FALSE)</f>
        <v>103</v>
      </c>
      <c r="T103" s="419">
        <f>VLOOKUP($E103,Prevs!$C:$I,Ajustes!N$1,FALSE)</f>
        <v>87</v>
      </c>
      <c r="U103" s="419">
        <f>VLOOKUP($E103,Prevs!$C:$I,Ajustes!O$1,FALSE)</f>
        <v>88</v>
      </c>
      <c r="V103" s="419">
        <f>VLOOKUP($E103,Prevs!$C:$I,Ajustes!P$1,FALSE)</f>
        <v>91</v>
      </c>
      <c r="W103" s="419">
        <f t="shared" si="583"/>
        <v>1</v>
      </c>
      <c r="X103" s="419">
        <f t="shared" si="584"/>
        <v>3</v>
      </c>
      <c r="Y103" s="419">
        <f t="shared" si="585"/>
        <v>3</v>
      </c>
      <c r="Z103" s="419">
        <f t="shared" si="586"/>
        <v>3</v>
      </c>
      <c r="AA103" s="419">
        <f t="shared" si="587"/>
        <v>2</v>
      </c>
      <c r="AB103" s="419">
        <f t="shared" si="588"/>
        <v>3</v>
      </c>
      <c r="AC103" s="417">
        <f>VLOOKUP($J103,Fatores!$G$1:$J$5,2,FALSE)</f>
        <v>1.5531612828314754</v>
      </c>
      <c r="AD103" s="417">
        <f>VLOOKUP($C103,Fatores!$A:$D,2,FALSE)</f>
        <v>1</v>
      </c>
      <c r="AE103" s="420">
        <f t="shared" si="290"/>
        <v>1.5531612828314754</v>
      </c>
      <c r="AF103" s="420">
        <f t="shared" si="291"/>
        <v>4.6594838484944265</v>
      </c>
      <c r="AG103" s="420">
        <f t="shared" si="292"/>
        <v>4.6594838484944265</v>
      </c>
      <c r="AH103" s="420">
        <f t="shared" si="293"/>
        <v>4.6594838484944265</v>
      </c>
      <c r="AI103" s="420">
        <f t="shared" si="294"/>
        <v>3.1063225656629507</v>
      </c>
      <c r="AJ103" s="420">
        <f t="shared" si="295"/>
        <v>4.6594838484944265</v>
      </c>
      <c r="AK103" s="421">
        <f t="shared" si="589"/>
        <v>145.99716058615869</v>
      </c>
      <c r="AL103" s="421">
        <f t="shared" si="589"/>
        <v>158.42245084881048</v>
      </c>
      <c r="AM103" s="421">
        <f t="shared" si="589"/>
        <v>164.63509598013638</v>
      </c>
      <c r="AN103" s="421">
        <f t="shared" si="589"/>
        <v>139.78451545483279</v>
      </c>
      <c r="AO103" s="421">
        <f t="shared" si="589"/>
        <v>139.78451545483279</v>
      </c>
      <c r="AP103" s="421">
        <f t="shared" si="589"/>
        <v>145.99716058615869</v>
      </c>
      <c r="AQ103" s="417">
        <f>VLOOKUP($J103,Fatores!$G$1:$J$5,3,FALSE)</f>
        <v>1.3186317794730578</v>
      </c>
      <c r="AR103" s="417">
        <f>VLOOKUP($C103,Fatores!$A:$D,3,FALSE)</f>
        <v>1</v>
      </c>
      <c r="AS103" s="420">
        <f t="shared" si="297"/>
        <v>1.3186317794730578</v>
      </c>
      <c r="AT103" s="420">
        <f t="shared" si="298"/>
        <v>3.9558953384191735</v>
      </c>
      <c r="AU103" s="420">
        <f t="shared" si="299"/>
        <v>3.9558953384191735</v>
      </c>
      <c r="AV103" s="420">
        <f t="shared" si="300"/>
        <v>3.9558953384191735</v>
      </c>
      <c r="AW103" s="420">
        <f t="shared" si="301"/>
        <v>2.6372635589461155</v>
      </c>
      <c r="AX103" s="420">
        <f t="shared" si="302"/>
        <v>3.9558953384191735</v>
      </c>
      <c r="AY103" s="421">
        <f t="shared" si="590"/>
        <v>123.95138727046742</v>
      </c>
      <c r="AZ103" s="421">
        <f t="shared" si="590"/>
        <v>134.50044150625189</v>
      </c>
      <c r="BA103" s="421">
        <f t="shared" si="590"/>
        <v>139.77496862414412</v>
      </c>
      <c r="BB103" s="421">
        <f t="shared" si="590"/>
        <v>118.6768601525752</v>
      </c>
      <c r="BC103" s="421">
        <f t="shared" si="590"/>
        <v>118.6768601525752</v>
      </c>
      <c r="BD103" s="421">
        <f t="shared" si="590"/>
        <v>123.95138727046742</v>
      </c>
      <c r="BE103" s="417">
        <f>VLOOKUP($J103,Fatores!$G$1:$J$5,4,FALSE)</f>
        <v>1</v>
      </c>
      <c r="BF103" s="417">
        <f>VLOOKUP($C103,Fatores!$A:$D,4,FALSE)</f>
        <v>1</v>
      </c>
      <c r="BG103" s="420">
        <f t="shared" si="304"/>
        <v>1</v>
      </c>
      <c r="BH103" s="420">
        <f t="shared" si="305"/>
        <v>3</v>
      </c>
      <c r="BI103" s="420">
        <f t="shared" si="306"/>
        <v>3</v>
      </c>
      <c r="BJ103" s="420">
        <f t="shared" si="307"/>
        <v>3</v>
      </c>
      <c r="BK103" s="420">
        <f t="shared" si="308"/>
        <v>2</v>
      </c>
      <c r="BL103" s="420">
        <f t="shared" si="309"/>
        <v>3</v>
      </c>
      <c r="BM103" s="421">
        <f t="shared" si="591"/>
        <v>94</v>
      </c>
      <c r="BN103" s="421">
        <f t="shared" si="591"/>
        <v>102</v>
      </c>
      <c r="BO103" s="421">
        <f t="shared" si="591"/>
        <v>106</v>
      </c>
      <c r="BP103" s="421">
        <f t="shared" si="591"/>
        <v>90</v>
      </c>
      <c r="BQ103" s="421">
        <f t="shared" si="591"/>
        <v>90</v>
      </c>
      <c r="BR103" s="421">
        <f t="shared" si="591"/>
        <v>94</v>
      </c>
    </row>
    <row r="104" spans="1:70" x14ac:dyDescent="0.25">
      <c r="A104" s="431">
        <v>209</v>
      </c>
      <c r="B104" s="424"/>
      <c r="C104" s="424" t="s">
        <v>23</v>
      </c>
      <c r="D104" s="437" t="s">
        <v>423</v>
      </c>
      <c r="E104" s="444">
        <v>23</v>
      </c>
      <c r="F104" s="424"/>
      <c r="G104" s="424"/>
      <c r="H104" s="424"/>
      <c r="I104" s="432"/>
      <c r="J104" s="440">
        <v>1</v>
      </c>
      <c r="K104" s="419">
        <f>VLOOKUP($A104,Prevs!$C:$I,Ajustes!K$1,FALSE)</f>
        <v>228</v>
      </c>
      <c r="L104" s="419">
        <f>VLOOKUP($A104,Prevs!$C:$I,Ajustes!L$1,FALSE)</f>
        <v>215</v>
      </c>
      <c r="M104" s="419">
        <f>VLOOKUP($A104,Prevs!$C:$I,Ajustes!M$1,FALSE)</f>
        <v>208</v>
      </c>
      <c r="N104" s="419">
        <f>VLOOKUP($A104,Prevs!$C:$I,Ajustes!N$1,FALSE)</f>
        <v>193</v>
      </c>
      <c r="O104" s="419">
        <f>VLOOKUP($A104,Prevs!$C:$I,Ajustes!O$1,FALSE)</f>
        <v>192</v>
      </c>
      <c r="P104" s="419">
        <f>VLOOKUP($A104,Prevs!$C:$I,Ajustes!P$1,FALSE)</f>
        <v>180</v>
      </c>
      <c r="Q104" s="419">
        <f>VLOOKUP($E104,Prevs!$C:$I,Ajustes!K$1,FALSE)</f>
        <v>87</v>
      </c>
      <c r="R104" s="419">
        <f>VLOOKUP($E104,Prevs!$C:$I,Ajustes!L$1,FALSE)</f>
        <v>84</v>
      </c>
      <c r="S104" s="419">
        <f>VLOOKUP($E104,Prevs!$C:$I,Ajustes!M$1,FALSE)</f>
        <v>78</v>
      </c>
      <c r="T104" s="419">
        <f>VLOOKUP($E104,Prevs!$C:$I,Ajustes!N$1,FALSE)</f>
        <v>75</v>
      </c>
      <c r="U104" s="419">
        <f>VLOOKUP($E104,Prevs!$C:$I,Ajustes!O$1,FALSE)</f>
        <v>72</v>
      </c>
      <c r="V104" s="419">
        <f>VLOOKUP($E104,Prevs!$C:$I,Ajustes!P$1,FALSE)</f>
        <v>67</v>
      </c>
      <c r="W104" s="419">
        <f t="shared" si="583"/>
        <v>141</v>
      </c>
      <c r="X104" s="419">
        <f t="shared" si="584"/>
        <v>131</v>
      </c>
      <c r="Y104" s="419">
        <f t="shared" si="585"/>
        <v>130</v>
      </c>
      <c r="Z104" s="419">
        <f t="shared" si="586"/>
        <v>118</v>
      </c>
      <c r="AA104" s="419">
        <f t="shared" si="587"/>
        <v>120</v>
      </c>
      <c r="AB104" s="419">
        <f t="shared" si="588"/>
        <v>113</v>
      </c>
      <c r="AC104" s="417">
        <f>VLOOKUP($J104,Fatores!$G$1:$J$5,2,FALSE)</f>
        <v>1.5531612828314754</v>
      </c>
      <c r="AD104" s="417">
        <f>VLOOKUP($C104,Fatores!$A:$D,2,FALSE)</f>
        <v>1</v>
      </c>
      <c r="AE104" s="420">
        <f t="shared" si="290"/>
        <v>218.99574087923801</v>
      </c>
      <c r="AF104" s="420">
        <f t="shared" si="291"/>
        <v>203.46412805092328</v>
      </c>
      <c r="AG104" s="420">
        <f t="shared" si="292"/>
        <v>201.91096676809181</v>
      </c>
      <c r="AH104" s="420">
        <f t="shared" si="293"/>
        <v>183.27303137411408</v>
      </c>
      <c r="AI104" s="420">
        <f t="shared" si="294"/>
        <v>186.37935393977705</v>
      </c>
      <c r="AJ104" s="420">
        <f t="shared" si="295"/>
        <v>175.50722495995672</v>
      </c>
      <c r="AK104" s="421">
        <f t="shared" si="589"/>
        <v>354.12077248557637</v>
      </c>
      <c r="AL104" s="421">
        <f t="shared" si="589"/>
        <v>333.92967580876723</v>
      </c>
      <c r="AM104" s="421">
        <f t="shared" si="589"/>
        <v>323.0575468289469</v>
      </c>
      <c r="AN104" s="421">
        <f t="shared" si="589"/>
        <v>299.76012758647471</v>
      </c>
      <c r="AO104" s="421">
        <f t="shared" si="589"/>
        <v>298.2069663036433</v>
      </c>
      <c r="AP104" s="421">
        <f t="shared" si="589"/>
        <v>279.56903090966557</v>
      </c>
      <c r="AQ104" s="417">
        <f>VLOOKUP($J104,Fatores!$G$1:$J$5,3,FALSE)</f>
        <v>1.3186317794730578</v>
      </c>
      <c r="AR104" s="417">
        <f>VLOOKUP($C104,Fatores!$A:$D,3,FALSE)</f>
        <v>1</v>
      </c>
      <c r="AS104" s="420">
        <f t="shared" si="297"/>
        <v>185.92708090570113</v>
      </c>
      <c r="AT104" s="420">
        <f t="shared" si="298"/>
        <v>172.74076311097056</v>
      </c>
      <c r="AU104" s="420">
        <f t="shared" si="299"/>
        <v>171.4221313314975</v>
      </c>
      <c r="AV104" s="420">
        <f t="shared" si="300"/>
        <v>155.59854997782082</v>
      </c>
      <c r="AW104" s="420">
        <f t="shared" si="301"/>
        <v>158.23581353676693</v>
      </c>
      <c r="AX104" s="420">
        <f t="shared" si="302"/>
        <v>149.00539108045552</v>
      </c>
      <c r="AY104" s="421">
        <f t="shared" si="590"/>
        <v>300.64804571985712</v>
      </c>
      <c r="AZ104" s="421">
        <f t="shared" si="590"/>
        <v>283.50583258670741</v>
      </c>
      <c r="BA104" s="421">
        <f t="shared" si="590"/>
        <v>274.27541013039604</v>
      </c>
      <c r="BB104" s="421">
        <f t="shared" si="590"/>
        <v>254.49593343830014</v>
      </c>
      <c r="BC104" s="421">
        <f t="shared" si="590"/>
        <v>253.1773016588271</v>
      </c>
      <c r="BD104" s="421">
        <f t="shared" si="590"/>
        <v>237.3537203051504</v>
      </c>
      <c r="BE104" s="417">
        <f>VLOOKUP($J104,Fatores!$G$1:$J$5,4,FALSE)</f>
        <v>1</v>
      </c>
      <c r="BF104" s="417">
        <f>VLOOKUP($C104,Fatores!$A:$D,4,FALSE)</f>
        <v>1</v>
      </c>
      <c r="BG104" s="420">
        <f t="shared" si="304"/>
        <v>141</v>
      </c>
      <c r="BH104" s="420">
        <f t="shared" si="305"/>
        <v>131</v>
      </c>
      <c r="BI104" s="420">
        <f t="shared" si="306"/>
        <v>130</v>
      </c>
      <c r="BJ104" s="420">
        <f t="shared" si="307"/>
        <v>118</v>
      </c>
      <c r="BK104" s="420">
        <f t="shared" si="308"/>
        <v>120</v>
      </c>
      <c r="BL104" s="420">
        <f t="shared" si="309"/>
        <v>113</v>
      </c>
      <c r="BM104" s="421">
        <f t="shared" si="591"/>
        <v>228</v>
      </c>
      <c r="BN104" s="421">
        <f t="shared" si="591"/>
        <v>215</v>
      </c>
      <c r="BO104" s="421">
        <f t="shared" si="591"/>
        <v>208</v>
      </c>
      <c r="BP104" s="421">
        <f t="shared" si="591"/>
        <v>193</v>
      </c>
      <c r="BQ104" s="421">
        <f t="shared" si="591"/>
        <v>192</v>
      </c>
      <c r="BR104" s="421">
        <f t="shared" si="591"/>
        <v>180</v>
      </c>
    </row>
    <row r="105" spans="1:70" x14ac:dyDescent="0.25">
      <c r="A105" s="431">
        <v>211</v>
      </c>
      <c r="B105" s="424"/>
      <c r="C105" s="424" t="s">
        <v>22</v>
      </c>
      <c r="D105" s="437" t="s">
        <v>22</v>
      </c>
      <c r="E105" s="444">
        <v>2</v>
      </c>
      <c r="F105" s="424"/>
      <c r="G105" s="424"/>
      <c r="H105" s="424"/>
      <c r="I105" s="432"/>
      <c r="J105" s="440">
        <v>1</v>
      </c>
      <c r="K105" s="419">
        <f>VLOOKUP($A105,Prevs!$C:$I,Ajustes!K$1,FALSE)</f>
        <v>85</v>
      </c>
      <c r="L105" s="419">
        <f>VLOOKUP($A105,Prevs!$C:$I,Ajustes!L$1,FALSE)</f>
        <v>84</v>
      </c>
      <c r="M105" s="419">
        <f>VLOOKUP($A105,Prevs!$C:$I,Ajustes!M$1,FALSE)</f>
        <v>85</v>
      </c>
      <c r="N105" s="419">
        <f>VLOOKUP($A105,Prevs!$C:$I,Ajustes!N$1,FALSE)</f>
        <v>89</v>
      </c>
      <c r="O105" s="419">
        <f>VLOOKUP($A105,Prevs!$C:$I,Ajustes!O$1,FALSE)</f>
        <v>79</v>
      </c>
      <c r="P105" s="419">
        <f>VLOOKUP($A105,Prevs!$C:$I,Ajustes!P$1,FALSE)</f>
        <v>77</v>
      </c>
      <c r="Q105" s="419">
        <f>VLOOKUP($E105,Prevs!$C:$I,Ajustes!K$1,FALSE)</f>
        <v>37</v>
      </c>
      <c r="R105" s="419">
        <f>VLOOKUP($E105,Prevs!$C:$I,Ajustes!L$1,FALSE)</f>
        <v>35</v>
      </c>
      <c r="S105" s="419">
        <f>VLOOKUP($E105,Prevs!$C:$I,Ajustes!M$1,FALSE)</f>
        <v>35</v>
      </c>
      <c r="T105" s="419">
        <f>VLOOKUP($E105,Prevs!$C:$I,Ajustes!N$1,FALSE)</f>
        <v>35</v>
      </c>
      <c r="U105" s="419">
        <f>VLOOKUP($E105,Prevs!$C:$I,Ajustes!O$1,FALSE)</f>
        <v>34</v>
      </c>
      <c r="V105" s="419">
        <f>VLOOKUP($E105,Prevs!$C:$I,Ajustes!P$1,FALSE)</f>
        <v>34</v>
      </c>
      <c r="W105" s="419">
        <f t="shared" si="583"/>
        <v>48</v>
      </c>
      <c r="X105" s="419">
        <f t="shared" si="584"/>
        <v>49</v>
      </c>
      <c r="Y105" s="419">
        <f t="shared" si="585"/>
        <v>50</v>
      </c>
      <c r="Z105" s="419">
        <f t="shared" si="586"/>
        <v>54</v>
      </c>
      <c r="AA105" s="419">
        <f t="shared" si="587"/>
        <v>45</v>
      </c>
      <c r="AB105" s="419">
        <f t="shared" si="588"/>
        <v>43</v>
      </c>
      <c r="AC105" s="417">
        <f>VLOOKUP($J105,Fatores!$G$1:$J$5,2,FALSE)</f>
        <v>1.5531612828314754</v>
      </c>
      <c r="AD105" s="417">
        <f>VLOOKUP($C105,Fatores!$A:$D,2,FALSE)</f>
        <v>1</v>
      </c>
      <c r="AE105" s="420">
        <f t="shared" si="290"/>
        <v>74.551741575910825</v>
      </c>
      <c r="AF105" s="420">
        <f t="shared" si="291"/>
        <v>76.104902858742292</v>
      </c>
      <c r="AG105" s="420">
        <f t="shared" si="292"/>
        <v>77.658064141573774</v>
      </c>
      <c r="AH105" s="420">
        <f t="shared" si="293"/>
        <v>83.870709272899674</v>
      </c>
      <c r="AI105" s="420">
        <f t="shared" si="294"/>
        <v>69.892257727416393</v>
      </c>
      <c r="AJ105" s="420">
        <f t="shared" si="295"/>
        <v>66.785935161753443</v>
      </c>
      <c r="AK105" s="421">
        <f t="shared" si="589"/>
        <v>132.01870904067542</v>
      </c>
      <c r="AL105" s="421">
        <f t="shared" si="589"/>
        <v>130.46554775784392</v>
      </c>
      <c r="AM105" s="421">
        <f t="shared" si="589"/>
        <v>132.01870904067542</v>
      </c>
      <c r="AN105" s="421">
        <f t="shared" si="589"/>
        <v>138.23135417200132</v>
      </c>
      <c r="AO105" s="421">
        <f t="shared" si="589"/>
        <v>122.69974134368655</v>
      </c>
      <c r="AP105" s="421">
        <f t="shared" si="589"/>
        <v>119.5934187780236</v>
      </c>
      <c r="AQ105" s="417">
        <f>VLOOKUP($J105,Fatores!$G$1:$J$5,3,FALSE)</f>
        <v>1.3186317794730578</v>
      </c>
      <c r="AR105" s="417">
        <f>VLOOKUP($C105,Fatores!$A:$D,3,FALSE)</f>
        <v>1</v>
      </c>
      <c r="AS105" s="420">
        <f t="shared" si="297"/>
        <v>63.294325414706776</v>
      </c>
      <c r="AT105" s="420">
        <f t="shared" si="298"/>
        <v>64.612957194179828</v>
      </c>
      <c r="AU105" s="420">
        <f t="shared" si="299"/>
        <v>65.931588973652893</v>
      </c>
      <c r="AV105" s="420">
        <f t="shared" si="300"/>
        <v>71.206116091545113</v>
      </c>
      <c r="AW105" s="420">
        <f t="shared" si="301"/>
        <v>59.338430076287601</v>
      </c>
      <c r="AX105" s="420">
        <f t="shared" si="302"/>
        <v>56.701166517341484</v>
      </c>
      <c r="AY105" s="421">
        <f t="shared" si="590"/>
        <v>112.08370125520992</v>
      </c>
      <c r="AZ105" s="421">
        <f t="shared" si="590"/>
        <v>110.76506947573685</v>
      </c>
      <c r="BA105" s="421">
        <f t="shared" si="590"/>
        <v>112.08370125520992</v>
      </c>
      <c r="BB105" s="421">
        <f t="shared" si="590"/>
        <v>117.35822837310214</v>
      </c>
      <c r="BC105" s="421">
        <f t="shared" si="590"/>
        <v>104.17191057837157</v>
      </c>
      <c r="BD105" s="421">
        <f t="shared" si="590"/>
        <v>101.53464701942545</v>
      </c>
      <c r="BE105" s="417">
        <f>VLOOKUP($J105,Fatores!$G$1:$J$5,4,FALSE)</f>
        <v>1</v>
      </c>
      <c r="BF105" s="417">
        <f>VLOOKUP($C105,Fatores!$A:$D,4,FALSE)</f>
        <v>1</v>
      </c>
      <c r="BG105" s="420">
        <f t="shared" si="304"/>
        <v>48</v>
      </c>
      <c r="BH105" s="420">
        <f t="shared" si="305"/>
        <v>49</v>
      </c>
      <c r="BI105" s="420">
        <f t="shared" si="306"/>
        <v>50</v>
      </c>
      <c r="BJ105" s="420">
        <f t="shared" si="307"/>
        <v>54</v>
      </c>
      <c r="BK105" s="420">
        <f t="shared" si="308"/>
        <v>45</v>
      </c>
      <c r="BL105" s="420">
        <f t="shared" si="309"/>
        <v>43</v>
      </c>
      <c r="BM105" s="421">
        <f t="shared" si="591"/>
        <v>85</v>
      </c>
      <c r="BN105" s="421">
        <f t="shared" si="591"/>
        <v>84</v>
      </c>
      <c r="BO105" s="421">
        <f t="shared" si="591"/>
        <v>85</v>
      </c>
      <c r="BP105" s="421">
        <f t="shared" si="591"/>
        <v>89</v>
      </c>
      <c r="BQ105" s="421">
        <f t="shared" si="591"/>
        <v>79</v>
      </c>
      <c r="BR105" s="421">
        <f t="shared" si="591"/>
        <v>77</v>
      </c>
    </row>
    <row r="106" spans="1:70" x14ac:dyDescent="0.25">
      <c r="A106" s="431">
        <v>215</v>
      </c>
      <c r="B106" s="424"/>
      <c r="C106" s="424" t="s">
        <v>38</v>
      </c>
      <c r="D106" s="437" t="s">
        <v>531</v>
      </c>
      <c r="E106" s="445"/>
      <c r="F106" s="424"/>
      <c r="G106" s="424"/>
      <c r="H106" s="424"/>
      <c r="I106" s="432"/>
      <c r="J106" s="440">
        <v>2</v>
      </c>
      <c r="K106" s="419">
        <f>VLOOKUP($A106,Prevs!$C:$I,Ajustes!K$1,FALSE)</f>
        <v>247</v>
      </c>
      <c r="L106" s="419">
        <f>VLOOKUP($A106,Prevs!$C:$I,Ajustes!L$1,FALSE)</f>
        <v>448</v>
      </c>
      <c r="M106" s="419">
        <f>VLOOKUP($A106,Prevs!$C:$I,Ajustes!M$1,FALSE)</f>
        <v>157</v>
      </c>
      <c r="N106" s="419">
        <f>VLOOKUP($A106,Prevs!$C:$I,Ajustes!N$1,FALSE)</f>
        <v>321</v>
      </c>
      <c r="O106" s="419">
        <f>VLOOKUP($A106,Prevs!$C:$I,Ajustes!O$1,FALSE)</f>
        <v>141</v>
      </c>
      <c r="P106" s="419">
        <f>VLOOKUP($A106,Prevs!$C:$I,Ajustes!P$1,FALSE)</f>
        <v>135</v>
      </c>
      <c r="Q106" s="419">
        <v>0</v>
      </c>
      <c r="R106" s="419">
        <v>0</v>
      </c>
      <c r="S106" s="419">
        <v>0</v>
      </c>
      <c r="T106" s="419">
        <v>0</v>
      </c>
      <c r="U106" s="419">
        <v>0</v>
      </c>
      <c r="V106" s="419">
        <v>0</v>
      </c>
      <c r="W106" s="419">
        <f t="shared" ref="W106:AB106" si="592">K106-Q106</f>
        <v>247</v>
      </c>
      <c r="X106" s="419">
        <f t="shared" si="592"/>
        <v>448</v>
      </c>
      <c r="Y106" s="419">
        <f t="shared" si="592"/>
        <v>157</v>
      </c>
      <c r="Z106" s="419">
        <f t="shared" si="592"/>
        <v>321</v>
      </c>
      <c r="AA106" s="419">
        <f t="shared" si="592"/>
        <v>141</v>
      </c>
      <c r="AB106" s="419">
        <f t="shared" si="592"/>
        <v>135</v>
      </c>
      <c r="AC106" s="417">
        <f>VLOOKUP($J106,Fatores!$G$1:$J$5,2,FALSE)</f>
        <v>0.80162406960829835</v>
      </c>
      <c r="AD106" s="417">
        <f>VLOOKUP($C106,Fatores!$A:$D,2,FALSE)</f>
        <v>1</v>
      </c>
      <c r="AE106" s="420">
        <f t="shared" si="290"/>
        <v>198.0011451932497</v>
      </c>
      <c r="AF106" s="420">
        <f t="shared" si="291"/>
        <v>359.12758318451768</v>
      </c>
      <c r="AG106" s="420">
        <f t="shared" si="292"/>
        <v>125.85497892850285</v>
      </c>
      <c r="AH106" s="420">
        <f t="shared" si="293"/>
        <v>257.32132634426375</v>
      </c>
      <c r="AI106" s="420">
        <f t="shared" si="294"/>
        <v>113.02899381477006</v>
      </c>
      <c r="AJ106" s="420">
        <f t="shared" si="295"/>
        <v>108.21924939712028</v>
      </c>
      <c r="AK106" s="421">
        <f t="shared" ref="AK106:AP106" si="593">AE106</f>
        <v>198.0011451932497</v>
      </c>
      <c r="AL106" s="421">
        <f t="shared" si="593"/>
        <v>359.12758318451768</v>
      </c>
      <c r="AM106" s="421">
        <f t="shared" si="593"/>
        <v>125.85497892850285</v>
      </c>
      <c r="AN106" s="421">
        <f t="shared" si="593"/>
        <v>257.32132634426375</v>
      </c>
      <c r="AO106" s="421">
        <f t="shared" si="593"/>
        <v>113.02899381477006</v>
      </c>
      <c r="AP106" s="421">
        <f t="shared" si="593"/>
        <v>108.21924939712028</v>
      </c>
      <c r="AQ106" s="417">
        <f>VLOOKUP($J106,Fatores!$G$1:$J$5,3,FALSE)</f>
        <v>0.80162406960829835</v>
      </c>
      <c r="AR106" s="417">
        <f>VLOOKUP($C106,Fatores!$A:$D,3,FALSE)</f>
        <v>1</v>
      </c>
      <c r="AS106" s="420">
        <f t="shared" si="297"/>
        <v>198.0011451932497</v>
      </c>
      <c r="AT106" s="420">
        <f t="shared" si="298"/>
        <v>359.12758318451768</v>
      </c>
      <c r="AU106" s="420">
        <f t="shared" si="299"/>
        <v>125.85497892850285</v>
      </c>
      <c r="AV106" s="420">
        <f t="shared" si="300"/>
        <v>257.32132634426375</v>
      </c>
      <c r="AW106" s="420">
        <f t="shared" si="301"/>
        <v>113.02899381477006</v>
      </c>
      <c r="AX106" s="420">
        <f t="shared" si="302"/>
        <v>108.21924939712028</v>
      </c>
      <c r="AY106" s="421">
        <f t="shared" ref="AY106" si="594">AS106</f>
        <v>198.0011451932497</v>
      </c>
      <c r="AZ106" s="421">
        <f t="shared" ref="AZ106" si="595">AT106</f>
        <v>359.12758318451768</v>
      </c>
      <c r="BA106" s="421">
        <f t="shared" ref="BA106" si="596">AU106</f>
        <v>125.85497892850285</v>
      </c>
      <c r="BB106" s="421">
        <f t="shared" ref="BB106" si="597">AV106</f>
        <v>257.32132634426375</v>
      </c>
      <c r="BC106" s="421">
        <f t="shared" ref="BC106" si="598">AW106</f>
        <v>113.02899381477006</v>
      </c>
      <c r="BD106" s="421">
        <f t="shared" ref="BD106" si="599">AX106</f>
        <v>108.21924939712028</v>
      </c>
      <c r="BE106" s="417">
        <f>VLOOKUP($J106,Fatores!$G$1:$J$5,4,FALSE)</f>
        <v>1</v>
      </c>
      <c r="BF106" s="417">
        <f>VLOOKUP($C106,Fatores!$A:$D,4,FALSE)</f>
        <v>1</v>
      </c>
      <c r="BG106" s="420">
        <f t="shared" si="304"/>
        <v>247</v>
      </c>
      <c r="BH106" s="420">
        <f t="shared" si="305"/>
        <v>448</v>
      </c>
      <c r="BI106" s="420">
        <f t="shared" si="306"/>
        <v>157</v>
      </c>
      <c r="BJ106" s="420">
        <f t="shared" si="307"/>
        <v>321</v>
      </c>
      <c r="BK106" s="420">
        <f t="shared" si="308"/>
        <v>141</v>
      </c>
      <c r="BL106" s="420">
        <f t="shared" si="309"/>
        <v>135</v>
      </c>
      <c r="BM106" s="421">
        <f t="shared" ref="BM106" si="600">BG106</f>
        <v>247</v>
      </c>
      <c r="BN106" s="421">
        <f t="shared" ref="BN106" si="601">BH106</f>
        <v>448</v>
      </c>
      <c r="BO106" s="421">
        <f t="shared" ref="BO106" si="602">BI106</f>
        <v>157</v>
      </c>
      <c r="BP106" s="421">
        <f t="shared" ref="BP106" si="603">BJ106</f>
        <v>321</v>
      </c>
      <c r="BQ106" s="421">
        <f t="shared" ref="BQ106" si="604">BK106</f>
        <v>141</v>
      </c>
      <c r="BR106" s="421">
        <f t="shared" ref="BR106" si="605">BL106</f>
        <v>135</v>
      </c>
    </row>
    <row r="107" spans="1:70" x14ac:dyDescent="0.25">
      <c r="A107" s="431">
        <v>216</v>
      </c>
      <c r="B107" s="424"/>
      <c r="C107" s="424" t="s">
        <v>38</v>
      </c>
      <c r="D107" s="437" t="s">
        <v>459</v>
      </c>
      <c r="E107" s="444">
        <v>89</v>
      </c>
      <c r="F107" s="424"/>
      <c r="G107" s="424"/>
      <c r="H107" s="424"/>
      <c r="I107" s="432"/>
      <c r="J107" s="440">
        <v>2</v>
      </c>
      <c r="K107" s="419">
        <f>VLOOKUP($A107,Prevs!$C:$I,Ajustes!K$1,FALSE)</f>
        <v>589</v>
      </c>
      <c r="L107" s="419">
        <f>VLOOKUP($A107,Prevs!$C:$I,Ajustes!L$1,FALSE)</f>
        <v>283</v>
      </c>
      <c r="M107" s="419">
        <f>VLOOKUP($A107,Prevs!$C:$I,Ajustes!M$1,FALSE)</f>
        <v>336</v>
      </c>
      <c r="N107" s="419">
        <f>VLOOKUP($A107,Prevs!$C:$I,Ajustes!N$1,FALSE)</f>
        <v>348</v>
      </c>
      <c r="O107" s="419">
        <f>VLOOKUP($A107,Prevs!$C:$I,Ajustes!O$1,FALSE)</f>
        <v>219</v>
      </c>
      <c r="P107" s="419">
        <f>VLOOKUP($A107,Prevs!$C:$I,Ajustes!P$1,FALSE)</f>
        <v>225</v>
      </c>
      <c r="Q107" s="419">
        <f>VLOOKUP($E107,Prevs!$C:$I,Ajustes!K$1,FALSE)</f>
        <v>541</v>
      </c>
      <c r="R107" s="419">
        <f>VLOOKUP($E107,Prevs!$C:$I,Ajustes!L$1,FALSE)</f>
        <v>258</v>
      </c>
      <c r="S107" s="419">
        <f>VLOOKUP($E107,Prevs!$C:$I,Ajustes!M$1,FALSE)</f>
        <v>293</v>
      </c>
      <c r="T107" s="419">
        <f>VLOOKUP($E107,Prevs!$C:$I,Ajustes!N$1,FALSE)</f>
        <v>318</v>
      </c>
      <c r="U107" s="419">
        <f>VLOOKUP($E107,Prevs!$C:$I,Ajustes!O$1,FALSE)</f>
        <v>199</v>
      </c>
      <c r="V107" s="419">
        <f>VLOOKUP($E107,Prevs!$C:$I,Ajustes!P$1,FALSE)</f>
        <v>203</v>
      </c>
      <c r="W107" s="419">
        <f t="shared" ref="W107:W120" si="606">K107-Q107</f>
        <v>48</v>
      </c>
      <c r="X107" s="419">
        <f t="shared" ref="X107:X120" si="607">L107-R107</f>
        <v>25</v>
      </c>
      <c r="Y107" s="419">
        <f t="shared" ref="Y107:Y120" si="608">M107-S107</f>
        <v>43</v>
      </c>
      <c r="Z107" s="419">
        <f t="shared" ref="Z107:Z120" si="609">N107-T107</f>
        <v>30</v>
      </c>
      <c r="AA107" s="419">
        <f t="shared" ref="AA107:AA120" si="610">O107-U107</f>
        <v>20</v>
      </c>
      <c r="AB107" s="419">
        <f t="shared" ref="AB107:AB120" si="611">P107-V107</f>
        <v>22</v>
      </c>
      <c r="AC107" s="417">
        <f>VLOOKUP($J107,Fatores!$G$1:$J$5,2,FALSE)</f>
        <v>0.80162406960829835</v>
      </c>
      <c r="AD107" s="417">
        <f>VLOOKUP($C107,Fatores!$A:$D,2,FALSE)</f>
        <v>1</v>
      </c>
      <c r="AE107" s="420">
        <f t="shared" si="290"/>
        <v>38.477955341198324</v>
      </c>
      <c r="AF107" s="420">
        <f t="shared" si="291"/>
        <v>20.04060174020746</v>
      </c>
      <c r="AG107" s="420">
        <f t="shared" si="292"/>
        <v>34.46983499315683</v>
      </c>
      <c r="AH107" s="420">
        <f t="shared" si="293"/>
        <v>24.048722088248951</v>
      </c>
      <c r="AI107" s="420">
        <f t="shared" si="294"/>
        <v>16.032481392165966</v>
      </c>
      <c r="AJ107" s="420">
        <f t="shared" si="295"/>
        <v>17.635729531382562</v>
      </c>
      <c r="AK107" s="421">
        <f t="shared" ref="AK107:AP107" si="612">AE107+VLOOKUP($E107,$A:$BR,AK$1,FALSE)</f>
        <v>472.15657699928772</v>
      </c>
      <c r="AL107" s="421">
        <f t="shared" si="612"/>
        <v>226.85961169914842</v>
      </c>
      <c r="AM107" s="421">
        <f t="shared" si="612"/>
        <v>269.34568738838823</v>
      </c>
      <c r="AN107" s="421">
        <f t="shared" si="612"/>
        <v>278.96517622368782</v>
      </c>
      <c r="AO107" s="421">
        <f t="shared" si="612"/>
        <v>175.55567124421734</v>
      </c>
      <c r="AP107" s="421">
        <f t="shared" si="612"/>
        <v>180.36541566186713</v>
      </c>
      <c r="AQ107" s="417">
        <f>VLOOKUP($J107,Fatores!$G$1:$J$5,3,FALSE)</f>
        <v>0.80162406960829835</v>
      </c>
      <c r="AR107" s="417">
        <f>VLOOKUP($C107,Fatores!$A:$D,3,FALSE)</f>
        <v>1</v>
      </c>
      <c r="AS107" s="420">
        <f t="shared" si="297"/>
        <v>38.477955341198324</v>
      </c>
      <c r="AT107" s="420">
        <f t="shared" si="298"/>
        <v>20.04060174020746</v>
      </c>
      <c r="AU107" s="420">
        <f t="shared" si="299"/>
        <v>34.46983499315683</v>
      </c>
      <c r="AV107" s="420">
        <f t="shared" si="300"/>
        <v>24.048722088248951</v>
      </c>
      <c r="AW107" s="420">
        <f t="shared" si="301"/>
        <v>16.032481392165966</v>
      </c>
      <c r="AX107" s="420">
        <f t="shared" si="302"/>
        <v>17.635729531382562</v>
      </c>
      <c r="AY107" s="421">
        <f t="shared" ref="AY107:BD107" si="613">AS107+VLOOKUP($E107,$A:$BR,AY$1,FALSE)</f>
        <v>472.15657699928772</v>
      </c>
      <c r="AZ107" s="421">
        <f t="shared" si="613"/>
        <v>226.85961169914842</v>
      </c>
      <c r="BA107" s="421">
        <f t="shared" si="613"/>
        <v>269.34568738838823</v>
      </c>
      <c r="BB107" s="421">
        <f t="shared" si="613"/>
        <v>278.96517622368782</v>
      </c>
      <c r="BC107" s="421">
        <f t="shared" si="613"/>
        <v>175.55567124421734</v>
      </c>
      <c r="BD107" s="421">
        <f t="shared" si="613"/>
        <v>180.36541566186713</v>
      </c>
      <c r="BE107" s="417">
        <f>VLOOKUP($J107,Fatores!$G$1:$J$5,4,FALSE)</f>
        <v>1</v>
      </c>
      <c r="BF107" s="417">
        <f>VLOOKUP($C107,Fatores!$A:$D,4,FALSE)</f>
        <v>1</v>
      </c>
      <c r="BG107" s="420">
        <f t="shared" si="304"/>
        <v>48</v>
      </c>
      <c r="BH107" s="420">
        <f t="shared" si="305"/>
        <v>25</v>
      </c>
      <c r="BI107" s="420">
        <f t="shared" si="306"/>
        <v>43</v>
      </c>
      <c r="BJ107" s="420">
        <f t="shared" si="307"/>
        <v>30</v>
      </c>
      <c r="BK107" s="420">
        <f t="shared" si="308"/>
        <v>20</v>
      </c>
      <c r="BL107" s="420">
        <f t="shared" si="309"/>
        <v>22</v>
      </c>
      <c r="BM107" s="421">
        <f t="shared" ref="BM107:BR107" si="614">BG107+VLOOKUP($E107,$A:$BR,BM$1,FALSE)</f>
        <v>589</v>
      </c>
      <c r="BN107" s="421">
        <f t="shared" si="614"/>
        <v>283</v>
      </c>
      <c r="BO107" s="421">
        <f t="shared" si="614"/>
        <v>336</v>
      </c>
      <c r="BP107" s="421">
        <f t="shared" si="614"/>
        <v>348</v>
      </c>
      <c r="BQ107" s="421">
        <f t="shared" si="614"/>
        <v>219</v>
      </c>
      <c r="BR107" s="421">
        <f t="shared" si="614"/>
        <v>225</v>
      </c>
    </row>
    <row r="108" spans="1:70" x14ac:dyDescent="0.25">
      <c r="A108" s="431">
        <v>217</v>
      </c>
      <c r="B108" s="424"/>
      <c r="C108" s="424" t="s">
        <v>38</v>
      </c>
      <c r="D108" s="437" t="s">
        <v>531</v>
      </c>
      <c r="E108" s="444">
        <v>215</v>
      </c>
      <c r="F108" s="425">
        <v>216</v>
      </c>
      <c r="G108" s="424"/>
      <c r="H108" s="424"/>
      <c r="I108" s="432"/>
      <c r="J108" s="440">
        <v>2</v>
      </c>
      <c r="K108" s="419">
        <f>VLOOKUP($A108,Prevs!$C:$I,Ajustes!K$1,FALSE)</f>
        <v>898</v>
      </c>
      <c r="L108" s="419">
        <f>VLOOKUP($A108,Prevs!$C:$I,Ajustes!L$1,FALSE)</f>
        <v>1564</v>
      </c>
      <c r="M108" s="419">
        <f>VLOOKUP($A108,Prevs!$C:$I,Ajustes!M$1,FALSE)</f>
        <v>543</v>
      </c>
      <c r="N108" s="419">
        <f>VLOOKUP($A108,Prevs!$C:$I,Ajustes!N$1,FALSE)</f>
        <v>972</v>
      </c>
      <c r="O108" s="419">
        <f>VLOOKUP($A108,Prevs!$C:$I,Ajustes!O$1,FALSE)</f>
        <v>382</v>
      </c>
      <c r="P108" s="419">
        <f>VLOOKUP($A108,Prevs!$C:$I,Ajustes!P$1,FALSE)</f>
        <v>449</v>
      </c>
      <c r="Q108" s="419">
        <f>VLOOKUP($E108,Prevs!$C:$I,Ajustes!K$1,FALSE)+VLOOKUP($F108,Prevs!$C:$I,Ajustes!K$1,FALSE)</f>
        <v>836</v>
      </c>
      <c r="R108" s="419">
        <f>VLOOKUP($E108,Prevs!$C:$I,Ajustes!L$1,FALSE)+VLOOKUP($F108,Prevs!$C:$I,Ajustes!L$1,FALSE)</f>
        <v>731</v>
      </c>
      <c r="S108" s="419">
        <f>VLOOKUP($E108,Prevs!$C:$I,Ajustes!M$1,FALSE)+VLOOKUP($F108,Prevs!$C:$I,Ajustes!M$1,FALSE)</f>
        <v>493</v>
      </c>
      <c r="T108" s="419">
        <f>VLOOKUP($E108,Prevs!$C:$I,Ajustes!N$1,FALSE)+VLOOKUP($F108,Prevs!$C:$I,Ajustes!N$1,FALSE)</f>
        <v>669</v>
      </c>
      <c r="U108" s="419">
        <f>VLOOKUP($E108,Prevs!$C:$I,Ajustes!O$1,FALSE)+VLOOKUP($F108,Prevs!$C:$I,Ajustes!O$1,FALSE)</f>
        <v>360</v>
      </c>
      <c r="V108" s="419">
        <f>VLOOKUP($E108,Prevs!$C:$I,Ajustes!P$1,FALSE)+VLOOKUP($F108,Prevs!$C:$I,Ajustes!P$1,FALSE)</f>
        <v>360</v>
      </c>
      <c r="W108" s="419">
        <f t="shared" si="606"/>
        <v>62</v>
      </c>
      <c r="X108" s="419">
        <f t="shared" si="607"/>
        <v>833</v>
      </c>
      <c r="Y108" s="419">
        <f t="shared" si="608"/>
        <v>50</v>
      </c>
      <c r="Z108" s="419">
        <f t="shared" si="609"/>
        <v>303</v>
      </c>
      <c r="AA108" s="419">
        <f t="shared" si="610"/>
        <v>22</v>
      </c>
      <c r="AB108" s="419">
        <f t="shared" si="611"/>
        <v>89</v>
      </c>
      <c r="AC108" s="417">
        <f>VLOOKUP($J108,Fatores!$G$1:$J$5,2,FALSE)</f>
        <v>0.80162406960829835</v>
      </c>
      <c r="AD108" s="417">
        <f>VLOOKUP($C108,Fatores!$A:$D,2,FALSE)</f>
        <v>1</v>
      </c>
      <c r="AE108" s="420">
        <f t="shared" si="290"/>
        <v>49.700692315714498</v>
      </c>
      <c r="AF108" s="420">
        <f t="shared" si="291"/>
        <v>667.75284998371251</v>
      </c>
      <c r="AG108" s="420">
        <f t="shared" si="292"/>
        <v>40.081203480414921</v>
      </c>
      <c r="AH108" s="420">
        <f t="shared" si="293"/>
        <v>242.89209309131439</v>
      </c>
      <c r="AI108" s="420">
        <f t="shared" si="294"/>
        <v>17.635729531382562</v>
      </c>
      <c r="AJ108" s="420">
        <f t="shared" si="295"/>
        <v>71.344542195138558</v>
      </c>
      <c r="AK108" s="421">
        <f t="shared" ref="AK108:AP108" si="615">AE108+VLOOKUP($E108,$A:$BR,AK$1,FALSE)+VLOOKUP($F108,$A:$BR,AK$1,FALSE)</f>
        <v>719.85841450825194</v>
      </c>
      <c r="AL108" s="421">
        <f t="shared" si="615"/>
        <v>1253.7400448673786</v>
      </c>
      <c r="AM108" s="421">
        <f t="shared" si="615"/>
        <v>435.281869797306</v>
      </c>
      <c r="AN108" s="421">
        <f t="shared" si="615"/>
        <v>779.17859565926597</v>
      </c>
      <c r="AO108" s="421">
        <f t="shared" si="615"/>
        <v>306.22039459036995</v>
      </c>
      <c r="AP108" s="421">
        <f t="shared" si="615"/>
        <v>359.92920725412597</v>
      </c>
      <c r="AQ108" s="417">
        <f>VLOOKUP($J108,Fatores!$G$1:$J$5,3,FALSE)</f>
        <v>0.80162406960829835</v>
      </c>
      <c r="AR108" s="417">
        <f>VLOOKUP($C108,Fatores!$A:$D,3,FALSE)</f>
        <v>1</v>
      </c>
      <c r="AS108" s="420">
        <f t="shared" si="297"/>
        <v>49.700692315714498</v>
      </c>
      <c r="AT108" s="420">
        <f t="shared" si="298"/>
        <v>667.75284998371251</v>
      </c>
      <c r="AU108" s="420">
        <f t="shared" si="299"/>
        <v>40.081203480414921</v>
      </c>
      <c r="AV108" s="420">
        <f t="shared" si="300"/>
        <v>242.89209309131439</v>
      </c>
      <c r="AW108" s="420">
        <f t="shared" si="301"/>
        <v>17.635729531382562</v>
      </c>
      <c r="AX108" s="420">
        <f t="shared" si="302"/>
        <v>71.344542195138558</v>
      </c>
      <c r="AY108" s="421">
        <f t="shared" ref="AY108:BD108" si="616">AS108+VLOOKUP($E108,$A:$BR,AY$1,FALSE)+VLOOKUP($F108,$A:$BR,AY$1,FALSE)</f>
        <v>719.85841450825194</v>
      </c>
      <c r="AZ108" s="421">
        <f t="shared" si="616"/>
        <v>1253.7400448673786</v>
      </c>
      <c r="BA108" s="421">
        <f t="shared" si="616"/>
        <v>435.281869797306</v>
      </c>
      <c r="BB108" s="421">
        <f t="shared" si="616"/>
        <v>779.17859565926597</v>
      </c>
      <c r="BC108" s="421">
        <f t="shared" si="616"/>
        <v>306.22039459036995</v>
      </c>
      <c r="BD108" s="421">
        <f t="shared" si="616"/>
        <v>359.92920725412597</v>
      </c>
      <c r="BE108" s="417">
        <f>VLOOKUP($J108,Fatores!$G$1:$J$5,4,FALSE)</f>
        <v>1</v>
      </c>
      <c r="BF108" s="417">
        <f>VLOOKUP($C108,Fatores!$A:$D,4,FALSE)</f>
        <v>1</v>
      </c>
      <c r="BG108" s="420">
        <f t="shared" si="304"/>
        <v>62</v>
      </c>
      <c r="BH108" s="420">
        <f t="shared" si="305"/>
        <v>833</v>
      </c>
      <c r="BI108" s="420">
        <f t="shared" si="306"/>
        <v>50</v>
      </c>
      <c r="BJ108" s="420">
        <f t="shared" si="307"/>
        <v>303</v>
      </c>
      <c r="BK108" s="420">
        <f t="shared" si="308"/>
        <v>22</v>
      </c>
      <c r="BL108" s="420">
        <f t="shared" si="309"/>
        <v>89</v>
      </c>
      <c r="BM108" s="421">
        <f t="shared" ref="BM108:BR108" si="617">BG108+VLOOKUP($E108,$A:$BR,BM$1,FALSE)+VLOOKUP($F108,$A:$BR,BM$1,FALSE)</f>
        <v>898</v>
      </c>
      <c r="BN108" s="421">
        <f t="shared" si="617"/>
        <v>1564</v>
      </c>
      <c r="BO108" s="421">
        <f t="shared" si="617"/>
        <v>543</v>
      </c>
      <c r="BP108" s="421">
        <f t="shared" si="617"/>
        <v>972</v>
      </c>
      <c r="BQ108" s="421">
        <f t="shared" si="617"/>
        <v>382</v>
      </c>
      <c r="BR108" s="421">
        <f t="shared" si="617"/>
        <v>449</v>
      </c>
    </row>
    <row r="109" spans="1:70" x14ac:dyDescent="0.25">
      <c r="A109" s="431">
        <v>220</v>
      </c>
      <c r="B109" s="424"/>
      <c r="C109" s="424" t="s">
        <v>38</v>
      </c>
      <c r="D109" s="437" t="s">
        <v>460</v>
      </c>
      <c r="E109" s="444">
        <v>93</v>
      </c>
      <c r="F109" s="424"/>
      <c r="G109" s="424"/>
      <c r="H109" s="424"/>
      <c r="I109" s="432"/>
      <c r="J109" s="440">
        <v>2</v>
      </c>
      <c r="K109" s="419">
        <f>VLOOKUP($A109,Prevs!$C:$I,Ajustes!K$1,FALSE)</f>
        <v>223</v>
      </c>
      <c r="L109" s="419">
        <f>VLOOKUP($A109,Prevs!$C:$I,Ajustes!L$1,FALSE)</f>
        <v>383</v>
      </c>
      <c r="M109" s="419">
        <f>VLOOKUP($A109,Prevs!$C:$I,Ajustes!M$1,FALSE)</f>
        <v>143</v>
      </c>
      <c r="N109" s="419">
        <f>VLOOKUP($A109,Prevs!$C:$I,Ajustes!N$1,FALSE)</f>
        <v>114</v>
      </c>
      <c r="O109" s="419">
        <f>VLOOKUP($A109,Prevs!$C:$I,Ajustes!O$1,FALSE)</f>
        <v>44</v>
      </c>
      <c r="P109" s="419">
        <f>VLOOKUP($A109,Prevs!$C:$I,Ajustes!P$1,FALSE)</f>
        <v>63</v>
      </c>
      <c r="Q109" s="419">
        <f>VLOOKUP($E109,Prevs!$C:$I,Ajustes!K$1,FALSE)</f>
        <v>168</v>
      </c>
      <c r="R109" s="419">
        <f>VLOOKUP($E109,Prevs!$C:$I,Ajustes!L$1,FALSE)</f>
        <v>49</v>
      </c>
      <c r="S109" s="419">
        <f>VLOOKUP($E109,Prevs!$C:$I,Ajustes!M$1,FALSE)</f>
        <v>35</v>
      </c>
      <c r="T109" s="419">
        <f>VLOOKUP($E109,Prevs!$C:$I,Ajustes!N$1,FALSE)</f>
        <v>49</v>
      </c>
      <c r="U109" s="419">
        <f>VLOOKUP($E109,Prevs!$C:$I,Ajustes!O$1,FALSE)</f>
        <v>29</v>
      </c>
      <c r="V109" s="419">
        <f>VLOOKUP($E109,Prevs!$C:$I,Ajustes!P$1,FALSE)</f>
        <v>29</v>
      </c>
      <c r="W109" s="419">
        <f t="shared" si="606"/>
        <v>55</v>
      </c>
      <c r="X109" s="419">
        <f t="shared" si="607"/>
        <v>334</v>
      </c>
      <c r="Y109" s="419">
        <f t="shared" si="608"/>
        <v>108</v>
      </c>
      <c r="Z109" s="419">
        <f t="shared" si="609"/>
        <v>65</v>
      </c>
      <c r="AA109" s="419">
        <f t="shared" si="610"/>
        <v>15</v>
      </c>
      <c r="AB109" s="419">
        <f t="shared" si="611"/>
        <v>34</v>
      </c>
      <c r="AC109" s="417">
        <f>VLOOKUP($J109,Fatores!$G$1:$J$5,2,FALSE)</f>
        <v>0.80162406960829835</v>
      </c>
      <c r="AD109" s="417">
        <f>VLOOKUP($C109,Fatores!$A:$D,2,FALSE)</f>
        <v>1</v>
      </c>
      <c r="AE109" s="420">
        <f t="shared" si="290"/>
        <v>44.089323828456408</v>
      </c>
      <c r="AF109" s="420">
        <f t="shared" si="291"/>
        <v>267.74243924917164</v>
      </c>
      <c r="AG109" s="420">
        <f t="shared" si="292"/>
        <v>86.575399517696226</v>
      </c>
      <c r="AH109" s="420">
        <f t="shared" si="293"/>
        <v>52.105564524539396</v>
      </c>
      <c r="AI109" s="420">
        <f t="shared" si="294"/>
        <v>12.024361044124475</v>
      </c>
      <c r="AJ109" s="420">
        <f t="shared" si="295"/>
        <v>27.255218366682143</v>
      </c>
      <c r="AK109" s="421">
        <f t="shared" ref="AK109:AK117" si="618">AE109+VLOOKUP($E109,$A:$BR,AK$1,FALSE)</f>
        <v>178.76216752265051</v>
      </c>
      <c r="AL109" s="421">
        <f t="shared" ref="AL109:AL117" si="619">AF109+VLOOKUP($E109,$A:$BR,AL$1,FALSE)</f>
        <v>307.02201865997824</v>
      </c>
      <c r="AM109" s="421">
        <f t="shared" ref="AM109:AM117" si="620">AG109+VLOOKUP($E109,$A:$BR,AM$1,FALSE)</f>
        <v>114.63224195398666</v>
      </c>
      <c r="AN109" s="421">
        <f t="shared" ref="AN109:AN117" si="621">AH109+VLOOKUP($E109,$A:$BR,AN$1,FALSE)</f>
        <v>91.385143935346008</v>
      </c>
      <c r="AO109" s="421">
        <f t="shared" ref="AO109:AO117" si="622">AI109+VLOOKUP($E109,$A:$BR,AO$1,FALSE)</f>
        <v>35.271459062765132</v>
      </c>
      <c r="AP109" s="421">
        <f t="shared" ref="AP109:AP117" si="623">AJ109+VLOOKUP($E109,$A:$BR,AP$1,FALSE)</f>
        <v>50.5023163853228</v>
      </c>
      <c r="AQ109" s="417">
        <f>VLOOKUP($J109,Fatores!$G$1:$J$5,3,FALSE)</f>
        <v>0.80162406960829835</v>
      </c>
      <c r="AR109" s="417">
        <f>VLOOKUP($C109,Fatores!$A:$D,3,FALSE)</f>
        <v>1</v>
      </c>
      <c r="AS109" s="420">
        <f t="shared" si="297"/>
        <v>44.089323828456408</v>
      </c>
      <c r="AT109" s="420">
        <f t="shared" si="298"/>
        <v>267.74243924917164</v>
      </c>
      <c r="AU109" s="420">
        <f t="shared" si="299"/>
        <v>86.575399517696226</v>
      </c>
      <c r="AV109" s="420">
        <f t="shared" si="300"/>
        <v>52.105564524539396</v>
      </c>
      <c r="AW109" s="420">
        <f t="shared" si="301"/>
        <v>12.024361044124475</v>
      </c>
      <c r="AX109" s="420">
        <f t="shared" si="302"/>
        <v>27.255218366682143</v>
      </c>
      <c r="AY109" s="421">
        <f t="shared" ref="AY109:AY117" si="624">AS109+VLOOKUP($E109,$A:$BR,AY$1,FALSE)</f>
        <v>178.76216752265051</v>
      </c>
      <c r="AZ109" s="421">
        <f t="shared" ref="AZ109:AZ117" si="625">AT109+VLOOKUP($E109,$A:$BR,AZ$1,FALSE)</f>
        <v>307.02201865997824</v>
      </c>
      <c r="BA109" s="421">
        <f t="shared" ref="BA109:BA117" si="626">AU109+VLOOKUP($E109,$A:$BR,BA$1,FALSE)</f>
        <v>114.63224195398666</v>
      </c>
      <c r="BB109" s="421">
        <f t="shared" ref="BB109:BB117" si="627">AV109+VLOOKUP($E109,$A:$BR,BB$1,FALSE)</f>
        <v>91.385143935346008</v>
      </c>
      <c r="BC109" s="421">
        <f t="shared" ref="BC109:BC117" si="628">AW109+VLOOKUP($E109,$A:$BR,BC$1,FALSE)</f>
        <v>35.271459062765132</v>
      </c>
      <c r="BD109" s="421">
        <f t="shared" ref="BD109:BD117" si="629">AX109+VLOOKUP($E109,$A:$BR,BD$1,FALSE)</f>
        <v>50.5023163853228</v>
      </c>
      <c r="BE109" s="417">
        <f>VLOOKUP($J109,Fatores!$G$1:$J$5,4,FALSE)</f>
        <v>1</v>
      </c>
      <c r="BF109" s="417">
        <f>VLOOKUP($C109,Fatores!$A:$D,4,FALSE)</f>
        <v>1</v>
      </c>
      <c r="BG109" s="420">
        <f t="shared" si="304"/>
        <v>55</v>
      </c>
      <c r="BH109" s="420">
        <f t="shared" si="305"/>
        <v>334</v>
      </c>
      <c r="BI109" s="420">
        <f t="shared" si="306"/>
        <v>108</v>
      </c>
      <c r="BJ109" s="420">
        <f t="shared" si="307"/>
        <v>65</v>
      </c>
      <c r="BK109" s="420">
        <f t="shared" si="308"/>
        <v>15</v>
      </c>
      <c r="BL109" s="420">
        <f t="shared" si="309"/>
        <v>34</v>
      </c>
      <c r="BM109" s="421">
        <f t="shared" ref="BM109:BM117" si="630">BG109+VLOOKUP($E109,$A:$BR,BM$1,FALSE)</f>
        <v>223</v>
      </c>
      <c r="BN109" s="421">
        <f t="shared" ref="BN109:BN117" si="631">BH109+VLOOKUP($E109,$A:$BR,BN$1,FALSE)</f>
        <v>383</v>
      </c>
      <c r="BO109" s="421">
        <f t="shared" ref="BO109:BO117" si="632">BI109+VLOOKUP($E109,$A:$BR,BO$1,FALSE)</f>
        <v>143</v>
      </c>
      <c r="BP109" s="421">
        <f t="shared" ref="BP109:BP117" si="633">BJ109+VLOOKUP($E109,$A:$BR,BP$1,FALSE)</f>
        <v>114</v>
      </c>
      <c r="BQ109" s="421">
        <f t="shared" ref="BQ109:BQ117" si="634">BK109+VLOOKUP($E109,$A:$BR,BQ$1,FALSE)</f>
        <v>44</v>
      </c>
      <c r="BR109" s="421">
        <f t="shared" ref="BR109:BR117" si="635">BL109+VLOOKUP($E109,$A:$BR,BR$1,FALSE)</f>
        <v>63</v>
      </c>
    </row>
    <row r="110" spans="1:70" x14ac:dyDescent="0.25">
      <c r="A110" s="431">
        <v>222</v>
      </c>
      <c r="B110" s="424"/>
      <c r="C110" s="424" t="s">
        <v>36</v>
      </c>
      <c r="D110" s="437" t="s">
        <v>36</v>
      </c>
      <c r="E110" s="425">
        <v>78</v>
      </c>
      <c r="F110" s="425"/>
      <c r="G110" s="424"/>
      <c r="H110" s="424"/>
      <c r="I110" s="432"/>
      <c r="J110" s="440">
        <v>2</v>
      </c>
      <c r="K110" s="419">
        <f>VLOOKUP($A110,Prevs!$C:$I,Ajustes!K$1,FALSE)</f>
        <v>1976</v>
      </c>
      <c r="L110" s="419">
        <f>VLOOKUP($A110,Prevs!$C:$I,Ajustes!L$1,FALSE)</f>
        <v>3267</v>
      </c>
      <c r="M110" s="419">
        <f>VLOOKUP($A110,Prevs!$C:$I,Ajustes!M$1,FALSE)</f>
        <v>3043</v>
      </c>
      <c r="N110" s="419">
        <f>VLOOKUP($A110,Prevs!$C:$I,Ajustes!N$1,FALSE)</f>
        <v>1584</v>
      </c>
      <c r="O110" s="419">
        <f>VLOOKUP($A110,Prevs!$C:$I,Ajustes!O$1,FALSE)</f>
        <v>937</v>
      </c>
      <c r="P110" s="419">
        <f>VLOOKUP($A110,Prevs!$C:$I,Ajustes!P$1,FALSE)</f>
        <v>1161</v>
      </c>
      <c r="Q110" s="419">
        <f>VLOOKUP($E110,Prevs!$C:$I,Ajustes!K$1,FALSE)</f>
        <v>1565</v>
      </c>
      <c r="R110" s="419">
        <f>VLOOKUP($E110,Prevs!$C:$I,Ajustes!L$1,FALSE)</f>
        <v>2585</v>
      </c>
      <c r="S110" s="419">
        <f>VLOOKUP($E110,Prevs!$C:$I,Ajustes!M$1,FALSE)</f>
        <v>2408</v>
      </c>
      <c r="T110" s="419">
        <f>VLOOKUP($E110,Prevs!$C:$I,Ajustes!N$1,FALSE)</f>
        <v>1249</v>
      </c>
      <c r="U110" s="419">
        <f>VLOOKUP($E110,Prevs!$C:$I,Ajustes!O$1,FALSE)</f>
        <v>736</v>
      </c>
      <c r="V110" s="419">
        <f>VLOOKUP($E110,Prevs!$C:$I,Ajustes!P$1,FALSE)</f>
        <v>898</v>
      </c>
      <c r="W110" s="419">
        <f t="shared" si="606"/>
        <v>411</v>
      </c>
      <c r="X110" s="419">
        <f t="shared" si="607"/>
        <v>682</v>
      </c>
      <c r="Y110" s="419">
        <f t="shared" si="608"/>
        <v>635</v>
      </c>
      <c r="Z110" s="419">
        <f t="shared" si="609"/>
        <v>335</v>
      </c>
      <c r="AA110" s="419">
        <f t="shared" si="610"/>
        <v>201</v>
      </c>
      <c r="AB110" s="419">
        <f t="shared" si="611"/>
        <v>263</v>
      </c>
      <c r="AC110" s="417">
        <f>VLOOKUP($J110,Fatores!$G$1:$J$5,2,FALSE)</f>
        <v>0.80162406960829835</v>
      </c>
      <c r="AD110" s="417">
        <f>VLOOKUP($C110,Fatores!$A:$D,2,FALSE)</f>
        <v>1</v>
      </c>
      <c r="AE110" s="420">
        <f t="shared" si="290"/>
        <v>329.46749260901061</v>
      </c>
      <c r="AF110" s="420">
        <f t="shared" si="291"/>
        <v>546.70761547285952</v>
      </c>
      <c r="AG110" s="420">
        <f t="shared" si="292"/>
        <v>509.03128420126944</v>
      </c>
      <c r="AH110" s="420">
        <f t="shared" si="293"/>
        <v>268.54406331877993</v>
      </c>
      <c r="AI110" s="420">
        <f t="shared" si="294"/>
        <v>161.12643799126798</v>
      </c>
      <c r="AJ110" s="420">
        <f t="shared" si="295"/>
        <v>210.82713030698247</v>
      </c>
      <c r="AK110" s="421">
        <f t="shared" si="618"/>
        <v>1584.0091615459976</v>
      </c>
      <c r="AL110" s="421">
        <f t="shared" si="619"/>
        <v>2618.9058354103108</v>
      </c>
      <c r="AM110" s="421">
        <f t="shared" si="620"/>
        <v>2439.3420438180519</v>
      </c>
      <c r="AN110" s="421">
        <f t="shared" si="621"/>
        <v>1269.7725262595445</v>
      </c>
      <c r="AO110" s="421">
        <f t="shared" si="622"/>
        <v>751.1217532229756</v>
      </c>
      <c r="AP110" s="421">
        <f t="shared" si="623"/>
        <v>930.68554481523438</v>
      </c>
      <c r="AQ110" s="417">
        <f>VLOOKUP($J110,Fatores!$G$1:$J$5,3,FALSE)</f>
        <v>0.80162406960829835</v>
      </c>
      <c r="AR110" s="417">
        <f>VLOOKUP($C110,Fatores!$A:$D,3,FALSE)</f>
        <v>1</v>
      </c>
      <c r="AS110" s="420">
        <f t="shared" si="297"/>
        <v>329.46749260901061</v>
      </c>
      <c r="AT110" s="420">
        <f t="shared" si="298"/>
        <v>546.70761547285952</v>
      </c>
      <c r="AU110" s="420">
        <f t="shared" si="299"/>
        <v>509.03128420126944</v>
      </c>
      <c r="AV110" s="420">
        <f t="shared" si="300"/>
        <v>268.54406331877993</v>
      </c>
      <c r="AW110" s="420">
        <f t="shared" si="301"/>
        <v>161.12643799126798</v>
      </c>
      <c r="AX110" s="420">
        <f t="shared" si="302"/>
        <v>210.82713030698247</v>
      </c>
      <c r="AY110" s="421">
        <f t="shared" si="624"/>
        <v>1584.0091615459976</v>
      </c>
      <c r="AZ110" s="421">
        <f t="shared" si="625"/>
        <v>2618.9058354103108</v>
      </c>
      <c r="BA110" s="421">
        <f t="shared" si="626"/>
        <v>2439.3420438180519</v>
      </c>
      <c r="BB110" s="421">
        <f t="shared" si="627"/>
        <v>1269.7725262595445</v>
      </c>
      <c r="BC110" s="421">
        <f t="shared" si="628"/>
        <v>751.1217532229756</v>
      </c>
      <c r="BD110" s="421">
        <f t="shared" si="629"/>
        <v>930.68554481523438</v>
      </c>
      <c r="BE110" s="417">
        <f>VLOOKUP($J110,Fatores!$G$1:$J$5,4,FALSE)</f>
        <v>1</v>
      </c>
      <c r="BF110" s="417">
        <f>VLOOKUP($C110,Fatores!$A:$D,4,FALSE)</f>
        <v>1</v>
      </c>
      <c r="BG110" s="420">
        <f t="shared" si="304"/>
        <v>411</v>
      </c>
      <c r="BH110" s="420">
        <f t="shared" si="305"/>
        <v>682</v>
      </c>
      <c r="BI110" s="420">
        <f t="shared" si="306"/>
        <v>635</v>
      </c>
      <c r="BJ110" s="420">
        <f t="shared" si="307"/>
        <v>335</v>
      </c>
      <c r="BK110" s="420">
        <f t="shared" si="308"/>
        <v>201</v>
      </c>
      <c r="BL110" s="420">
        <f t="shared" si="309"/>
        <v>263</v>
      </c>
      <c r="BM110" s="421">
        <f t="shared" si="630"/>
        <v>1976</v>
      </c>
      <c r="BN110" s="421">
        <f t="shared" si="631"/>
        <v>3267</v>
      </c>
      <c r="BO110" s="421">
        <f t="shared" si="632"/>
        <v>3043</v>
      </c>
      <c r="BP110" s="421">
        <f t="shared" si="633"/>
        <v>1584</v>
      </c>
      <c r="BQ110" s="421">
        <f t="shared" si="634"/>
        <v>937</v>
      </c>
      <c r="BR110" s="421">
        <f t="shared" si="635"/>
        <v>1161</v>
      </c>
    </row>
    <row r="111" spans="1:70" x14ac:dyDescent="0.25">
      <c r="A111" s="431">
        <v>237</v>
      </c>
      <c r="B111" s="424"/>
      <c r="C111" s="424" t="s">
        <v>24</v>
      </c>
      <c r="D111" s="437" t="s">
        <v>24</v>
      </c>
      <c r="E111" s="444">
        <v>161</v>
      </c>
      <c r="F111" s="424"/>
      <c r="G111" s="424"/>
      <c r="H111" s="424"/>
      <c r="I111" s="432"/>
      <c r="J111" s="440">
        <v>1</v>
      </c>
      <c r="K111" s="419">
        <f>VLOOKUP($A111,Prevs!$C:$I,Ajustes!K$1,FALSE)</f>
        <v>163</v>
      </c>
      <c r="L111" s="419">
        <f>VLOOKUP($A111,Prevs!$C:$I,Ajustes!L$1,FALSE)</f>
        <v>179</v>
      </c>
      <c r="M111" s="419">
        <f>VLOOKUP($A111,Prevs!$C:$I,Ajustes!M$1,FALSE)</f>
        <v>157</v>
      </c>
      <c r="N111" s="419">
        <f>VLOOKUP($A111,Prevs!$C:$I,Ajustes!N$1,FALSE)</f>
        <v>161</v>
      </c>
      <c r="O111" s="419">
        <f>VLOOKUP($A111,Prevs!$C:$I,Ajustes!O$1,FALSE)</f>
        <v>187</v>
      </c>
      <c r="P111" s="419">
        <f>VLOOKUP($A111,Prevs!$C:$I,Ajustes!P$1,FALSE)</f>
        <v>155</v>
      </c>
      <c r="Q111" s="419">
        <f>VLOOKUP($E111,Prevs!$C:$I,Ajustes!K$1,FALSE)</f>
        <v>52</v>
      </c>
      <c r="R111" s="419">
        <f>VLOOKUP($E111,Prevs!$C:$I,Ajustes!L$1,FALSE)</f>
        <v>44</v>
      </c>
      <c r="S111" s="419">
        <f>VLOOKUP($E111,Prevs!$C:$I,Ajustes!M$1,FALSE)</f>
        <v>43</v>
      </c>
      <c r="T111" s="419">
        <f>VLOOKUP($E111,Prevs!$C:$I,Ajustes!N$1,FALSE)</f>
        <v>41</v>
      </c>
      <c r="U111" s="419">
        <f>VLOOKUP($E111,Prevs!$C:$I,Ajustes!O$1,FALSE)</f>
        <v>40</v>
      </c>
      <c r="V111" s="419">
        <f>VLOOKUP($E111,Prevs!$C:$I,Ajustes!P$1,FALSE)</f>
        <v>39</v>
      </c>
      <c r="W111" s="419">
        <f t="shared" si="606"/>
        <v>111</v>
      </c>
      <c r="X111" s="419">
        <f t="shared" si="607"/>
        <v>135</v>
      </c>
      <c r="Y111" s="419">
        <f t="shared" si="608"/>
        <v>114</v>
      </c>
      <c r="Z111" s="419">
        <f t="shared" si="609"/>
        <v>120</v>
      </c>
      <c r="AA111" s="419">
        <f t="shared" si="610"/>
        <v>147</v>
      </c>
      <c r="AB111" s="419">
        <f t="shared" si="611"/>
        <v>116</v>
      </c>
      <c r="AC111" s="417">
        <f>VLOOKUP($J111,Fatores!$G$1:$J$5,2,FALSE)</f>
        <v>1.5531612828314754</v>
      </c>
      <c r="AD111" s="417">
        <f>VLOOKUP($C111,Fatores!$A:$D,2,FALSE)</f>
        <v>1</v>
      </c>
      <c r="AE111" s="420">
        <f t="shared" si="290"/>
        <v>172.40090239429375</v>
      </c>
      <c r="AF111" s="420">
        <f t="shared" si="291"/>
        <v>209.67677318224918</v>
      </c>
      <c r="AG111" s="420">
        <f t="shared" si="292"/>
        <v>177.06038624278818</v>
      </c>
      <c r="AH111" s="420">
        <f t="shared" si="293"/>
        <v>186.37935393977705</v>
      </c>
      <c r="AI111" s="420">
        <f t="shared" si="294"/>
        <v>228.31470857622688</v>
      </c>
      <c r="AJ111" s="420">
        <f t="shared" si="295"/>
        <v>180.16670880845115</v>
      </c>
      <c r="AK111" s="421">
        <f t="shared" si="618"/>
        <v>253.16528910153048</v>
      </c>
      <c r="AL111" s="421">
        <f t="shared" si="619"/>
        <v>278.0158696268341</v>
      </c>
      <c r="AM111" s="421">
        <f t="shared" si="620"/>
        <v>243.84632140454164</v>
      </c>
      <c r="AN111" s="421">
        <f t="shared" si="621"/>
        <v>250.05896653586754</v>
      </c>
      <c r="AO111" s="421">
        <f t="shared" si="622"/>
        <v>290.4411598894859</v>
      </c>
      <c r="AP111" s="421">
        <f t="shared" si="623"/>
        <v>240.73999883887868</v>
      </c>
      <c r="AQ111" s="417">
        <f>VLOOKUP($J111,Fatores!$G$1:$J$5,3,FALSE)</f>
        <v>1.3186317794730578</v>
      </c>
      <c r="AR111" s="417">
        <f>VLOOKUP($C111,Fatores!$A:$D,3,FALSE)</f>
        <v>1</v>
      </c>
      <c r="AS111" s="420">
        <f t="shared" si="297"/>
        <v>146.36812752150942</v>
      </c>
      <c r="AT111" s="420">
        <f t="shared" si="298"/>
        <v>178.0152902288628</v>
      </c>
      <c r="AU111" s="420">
        <f t="shared" si="299"/>
        <v>150.32402285992859</v>
      </c>
      <c r="AV111" s="420">
        <f t="shared" si="300"/>
        <v>158.23581353676693</v>
      </c>
      <c r="AW111" s="420">
        <f t="shared" si="301"/>
        <v>193.8388715825395</v>
      </c>
      <c r="AX111" s="420">
        <f t="shared" si="302"/>
        <v>152.96128641887469</v>
      </c>
      <c r="AY111" s="421">
        <f t="shared" si="624"/>
        <v>214.93698005410843</v>
      </c>
      <c r="AZ111" s="421">
        <f t="shared" si="625"/>
        <v>236.03508852567734</v>
      </c>
      <c r="BA111" s="421">
        <f t="shared" si="626"/>
        <v>207.02518937727007</v>
      </c>
      <c r="BB111" s="421">
        <f t="shared" si="627"/>
        <v>212.2997164951623</v>
      </c>
      <c r="BC111" s="421">
        <f t="shared" si="628"/>
        <v>246.58414276146181</v>
      </c>
      <c r="BD111" s="421">
        <f t="shared" si="629"/>
        <v>204.38792581832394</v>
      </c>
      <c r="BE111" s="417">
        <f>VLOOKUP($J111,Fatores!$G$1:$J$5,4,FALSE)</f>
        <v>1</v>
      </c>
      <c r="BF111" s="417">
        <f>VLOOKUP($C111,Fatores!$A:$D,4,FALSE)</f>
        <v>1</v>
      </c>
      <c r="BG111" s="420">
        <f t="shared" si="304"/>
        <v>111</v>
      </c>
      <c r="BH111" s="420">
        <f t="shared" si="305"/>
        <v>135</v>
      </c>
      <c r="BI111" s="420">
        <f t="shared" si="306"/>
        <v>114</v>
      </c>
      <c r="BJ111" s="420">
        <f t="shared" si="307"/>
        <v>120</v>
      </c>
      <c r="BK111" s="420">
        <f t="shared" si="308"/>
        <v>147</v>
      </c>
      <c r="BL111" s="420">
        <f t="shared" si="309"/>
        <v>116</v>
      </c>
      <c r="BM111" s="421">
        <f t="shared" si="630"/>
        <v>163</v>
      </c>
      <c r="BN111" s="421">
        <f t="shared" si="631"/>
        <v>179</v>
      </c>
      <c r="BO111" s="421">
        <f t="shared" si="632"/>
        <v>157</v>
      </c>
      <c r="BP111" s="421">
        <f t="shared" si="633"/>
        <v>161</v>
      </c>
      <c r="BQ111" s="421">
        <f t="shared" si="634"/>
        <v>187</v>
      </c>
      <c r="BR111" s="421">
        <f t="shared" si="635"/>
        <v>155</v>
      </c>
    </row>
    <row r="112" spans="1:70" x14ac:dyDescent="0.25">
      <c r="A112" s="431">
        <v>238</v>
      </c>
      <c r="B112" s="424"/>
      <c r="C112" s="424" t="s">
        <v>24</v>
      </c>
      <c r="D112" s="437" t="s">
        <v>24</v>
      </c>
      <c r="E112" s="444">
        <v>237</v>
      </c>
      <c r="F112" s="424"/>
      <c r="G112" s="424"/>
      <c r="H112" s="424"/>
      <c r="I112" s="432"/>
      <c r="J112" s="440">
        <v>1</v>
      </c>
      <c r="K112" s="419">
        <f>VLOOKUP($A112,Prevs!$C:$I,Ajustes!K$1,FALSE)</f>
        <v>190</v>
      </c>
      <c r="L112" s="419">
        <f>VLOOKUP($A112,Prevs!$C:$I,Ajustes!L$1,FALSE)</f>
        <v>206</v>
      </c>
      <c r="M112" s="419">
        <f>VLOOKUP($A112,Prevs!$C:$I,Ajustes!M$1,FALSE)</f>
        <v>183</v>
      </c>
      <c r="N112" s="419">
        <f>VLOOKUP($A112,Prevs!$C:$I,Ajustes!N$1,FALSE)</f>
        <v>187</v>
      </c>
      <c r="O112" s="419">
        <f>VLOOKUP($A112,Prevs!$C:$I,Ajustes!O$1,FALSE)</f>
        <v>215</v>
      </c>
      <c r="P112" s="419">
        <f>VLOOKUP($A112,Prevs!$C:$I,Ajustes!P$1,FALSE)</f>
        <v>180</v>
      </c>
      <c r="Q112" s="419">
        <f>VLOOKUP($E112,Prevs!$C:$I,Ajustes!K$1,FALSE)</f>
        <v>163</v>
      </c>
      <c r="R112" s="419">
        <f>VLOOKUP($E112,Prevs!$C:$I,Ajustes!L$1,FALSE)</f>
        <v>179</v>
      </c>
      <c r="S112" s="419">
        <f>VLOOKUP($E112,Prevs!$C:$I,Ajustes!M$1,FALSE)</f>
        <v>157</v>
      </c>
      <c r="T112" s="419">
        <f>VLOOKUP($E112,Prevs!$C:$I,Ajustes!N$1,FALSE)</f>
        <v>161</v>
      </c>
      <c r="U112" s="419">
        <f>VLOOKUP($E112,Prevs!$C:$I,Ajustes!O$1,FALSE)</f>
        <v>187</v>
      </c>
      <c r="V112" s="419">
        <f>VLOOKUP($E112,Prevs!$C:$I,Ajustes!P$1,FALSE)</f>
        <v>155</v>
      </c>
      <c r="W112" s="419">
        <f t="shared" si="606"/>
        <v>27</v>
      </c>
      <c r="X112" s="419">
        <f t="shared" si="607"/>
        <v>27</v>
      </c>
      <c r="Y112" s="419">
        <f t="shared" si="608"/>
        <v>26</v>
      </c>
      <c r="Z112" s="419">
        <f t="shared" si="609"/>
        <v>26</v>
      </c>
      <c r="AA112" s="419">
        <f t="shared" si="610"/>
        <v>28</v>
      </c>
      <c r="AB112" s="419">
        <f t="shared" si="611"/>
        <v>25</v>
      </c>
      <c r="AC112" s="417">
        <f>VLOOKUP($J112,Fatores!$G$1:$J$5,2,FALSE)</f>
        <v>1.5531612828314754</v>
      </c>
      <c r="AD112" s="417">
        <f>VLOOKUP($C112,Fatores!$A:$D,2,FALSE)</f>
        <v>1</v>
      </c>
      <c r="AE112" s="420">
        <f t="shared" si="290"/>
        <v>41.935354636449837</v>
      </c>
      <c r="AF112" s="420">
        <f t="shared" si="291"/>
        <v>41.935354636449837</v>
      </c>
      <c r="AG112" s="420">
        <f t="shared" si="292"/>
        <v>40.382193353618362</v>
      </c>
      <c r="AH112" s="420">
        <f t="shared" si="293"/>
        <v>40.382193353618362</v>
      </c>
      <c r="AI112" s="420">
        <f t="shared" si="294"/>
        <v>43.488515919281312</v>
      </c>
      <c r="AJ112" s="420">
        <f t="shared" si="295"/>
        <v>38.829032070786887</v>
      </c>
      <c r="AK112" s="421">
        <f t="shared" si="618"/>
        <v>295.10064373798031</v>
      </c>
      <c r="AL112" s="421">
        <f t="shared" si="619"/>
        <v>319.95122426328396</v>
      </c>
      <c r="AM112" s="421">
        <f t="shared" si="620"/>
        <v>284.22851475816003</v>
      </c>
      <c r="AN112" s="421">
        <f t="shared" si="621"/>
        <v>290.4411598894859</v>
      </c>
      <c r="AO112" s="421">
        <f t="shared" si="622"/>
        <v>333.92967580876723</v>
      </c>
      <c r="AP112" s="421">
        <f t="shared" si="623"/>
        <v>279.56903090966557</v>
      </c>
      <c r="AQ112" s="417">
        <f>VLOOKUP($J112,Fatores!$G$1:$J$5,3,FALSE)</f>
        <v>1.3186317794730578</v>
      </c>
      <c r="AR112" s="417">
        <f>VLOOKUP($C112,Fatores!$A:$D,3,FALSE)</f>
        <v>1</v>
      </c>
      <c r="AS112" s="420">
        <f t="shared" si="297"/>
        <v>35.603058045772556</v>
      </c>
      <c r="AT112" s="420">
        <f t="shared" si="298"/>
        <v>35.603058045772556</v>
      </c>
      <c r="AU112" s="420">
        <f t="shared" si="299"/>
        <v>34.284426266299505</v>
      </c>
      <c r="AV112" s="420">
        <f t="shared" si="300"/>
        <v>34.284426266299505</v>
      </c>
      <c r="AW112" s="420">
        <f t="shared" si="301"/>
        <v>36.921689825245615</v>
      </c>
      <c r="AX112" s="420">
        <f t="shared" si="302"/>
        <v>32.965794486826447</v>
      </c>
      <c r="AY112" s="421">
        <f t="shared" si="624"/>
        <v>250.54003809988097</v>
      </c>
      <c r="AZ112" s="421">
        <f t="shared" si="625"/>
        <v>271.63814657144991</v>
      </c>
      <c r="BA112" s="421">
        <f t="shared" si="626"/>
        <v>241.30961564356957</v>
      </c>
      <c r="BB112" s="421">
        <f t="shared" si="627"/>
        <v>246.58414276146181</v>
      </c>
      <c r="BC112" s="421">
        <f t="shared" si="628"/>
        <v>283.50583258670741</v>
      </c>
      <c r="BD112" s="421">
        <f t="shared" si="629"/>
        <v>237.35372030515038</v>
      </c>
      <c r="BE112" s="417">
        <f>VLOOKUP($J112,Fatores!$G$1:$J$5,4,FALSE)</f>
        <v>1</v>
      </c>
      <c r="BF112" s="417">
        <f>VLOOKUP($C112,Fatores!$A:$D,4,FALSE)</f>
        <v>1</v>
      </c>
      <c r="BG112" s="420">
        <f t="shared" si="304"/>
        <v>27</v>
      </c>
      <c r="BH112" s="420">
        <f t="shared" si="305"/>
        <v>27</v>
      </c>
      <c r="BI112" s="420">
        <f t="shared" si="306"/>
        <v>26</v>
      </c>
      <c r="BJ112" s="420">
        <f t="shared" si="307"/>
        <v>26</v>
      </c>
      <c r="BK112" s="420">
        <f t="shared" si="308"/>
        <v>28</v>
      </c>
      <c r="BL112" s="420">
        <f t="shared" si="309"/>
        <v>25</v>
      </c>
      <c r="BM112" s="421">
        <f t="shared" si="630"/>
        <v>190</v>
      </c>
      <c r="BN112" s="421">
        <f t="shared" si="631"/>
        <v>206</v>
      </c>
      <c r="BO112" s="421">
        <f t="shared" si="632"/>
        <v>183</v>
      </c>
      <c r="BP112" s="421">
        <f t="shared" si="633"/>
        <v>187</v>
      </c>
      <c r="BQ112" s="421">
        <f t="shared" si="634"/>
        <v>215</v>
      </c>
      <c r="BR112" s="421">
        <f t="shared" si="635"/>
        <v>180</v>
      </c>
    </row>
    <row r="113" spans="1:70" x14ac:dyDescent="0.25">
      <c r="A113" s="431">
        <v>239</v>
      </c>
      <c r="B113" s="424"/>
      <c r="C113" s="424" t="s">
        <v>24</v>
      </c>
      <c r="D113" s="437" t="s">
        <v>24</v>
      </c>
      <c r="E113" s="444">
        <v>238</v>
      </c>
      <c r="F113" s="424"/>
      <c r="G113" s="424"/>
      <c r="H113" s="424"/>
      <c r="I113" s="432"/>
      <c r="J113" s="440">
        <v>1</v>
      </c>
      <c r="K113" s="419">
        <f>VLOOKUP($A113,Prevs!$C:$I,Ajustes!K$1,FALSE)</f>
        <v>245</v>
      </c>
      <c r="L113" s="419">
        <f>VLOOKUP($A113,Prevs!$C:$I,Ajustes!L$1,FALSE)</f>
        <v>264</v>
      </c>
      <c r="M113" s="419">
        <f>VLOOKUP($A113,Prevs!$C:$I,Ajustes!M$1,FALSE)</f>
        <v>239</v>
      </c>
      <c r="N113" s="419">
        <f>VLOOKUP($A113,Prevs!$C:$I,Ajustes!N$1,FALSE)</f>
        <v>243</v>
      </c>
      <c r="O113" s="419">
        <f>VLOOKUP($A113,Prevs!$C:$I,Ajustes!O$1,FALSE)</f>
        <v>275</v>
      </c>
      <c r="P113" s="419">
        <f>VLOOKUP($A113,Prevs!$C:$I,Ajustes!P$1,FALSE)</f>
        <v>234</v>
      </c>
      <c r="Q113" s="419">
        <f>VLOOKUP($E113,Prevs!$C:$I,Ajustes!K$1,FALSE)</f>
        <v>190</v>
      </c>
      <c r="R113" s="419">
        <f>VLOOKUP($E113,Prevs!$C:$I,Ajustes!L$1,FALSE)</f>
        <v>206</v>
      </c>
      <c r="S113" s="419">
        <f>VLOOKUP($E113,Prevs!$C:$I,Ajustes!M$1,FALSE)</f>
        <v>183</v>
      </c>
      <c r="T113" s="419">
        <f>VLOOKUP($E113,Prevs!$C:$I,Ajustes!N$1,FALSE)</f>
        <v>187</v>
      </c>
      <c r="U113" s="419">
        <f>VLOOKUP($E113,Prevs!$C:$I,Ajustes!O$1,FALSE)</f>
        <v>215</v>
      </c>
      <c r="V113" s="419">
        <f>VLOOKUP($E113,Prevs!$C:$I,Ajustes!P$1,FALSE)</f>
        <v>180</v>
      </c>
      <c r="W113" s="419">
        <f t="shared" si="606"/>
        <v>55</v>
      </c>
      <c r="X113" s="419">
        <f t="shared" si="607"/>
        <v>58</v>
      </c>
      <c r="Y113" s="419">
        <f t="shared" si="608"/>
        <v>56</v>
      </c>
      <c r="Z113" s="419">
        <f t="shared" si="609"/>
        <v>56</v>
      </c>
      <c r="AA113" s="419">
        <f t="shared" si="610"/>
        <v>60</v>
      </c>
      <c r="AB113" s="419">
        <f t="shared" si="611"/>
        <v>54</v>
      </c>
      <c r="AC113" s="417">
        <f>VLOOKUP($J113,Fatores!$G$1:$J$5,2,FALSE)</f>
        <v>1.5531612828314754</v>
      </c>
      <c r="AD113" s="417">
        <f>VLOOKUP($C113,Fatores!$A:$D,2,FALSE)</f>
        <v>1</v>
      </c>
      <c r="AE113" s="420">
        <f t="shared" si="290"/>
        <v>85.423870555731142</v>
      </c>
      <c r="AF113" s="420">
        <f t="shared" si="291"/>
        <v>90.083354404225574</v>
      </c>
      <c r="AG113" s="420">
        <f t="shared" si="292"/>
        <v>86.977031838562624</v>
      </c>
      <c r="AH113" s="420">
        <f t="shared" si="293"/>
        <v>86.977031838562624</v>
      </c>
      <c r="AI113" s="420">
        <f t="shared" si="294"/>
        <v>93.189676969888524</v>
      </c>
      <c r="AJ113" s="420">
        <f t="shared" si="295"/>
        <v>83.870709272899674</v>
      </c>
      <c r="AK113" s="421">
        <f t="shared" si="618"/>
        <v>380.52451429371143</v>
      </c>
      <c r="AL113" s="421">
        <f t="shared" si="619"/>
        <v>410.03457866750955</v>
      </c>
      <c r="AM113" s="421">
        <f t="shared" si="620"/>
        <v>371.20554659672268</v>
      </c>
      <c r="AN113" s="421">
        <f t="shared" si="621"/>
        <v>377.41819172804855</v>
      </c>
      <c r="AO113" s="421">
        <f t="shared" si="622"/>
        <v>427.11935277865575</v>
      </c>
      <c r="AP113" s="421">
        <f t="shared" si="623"/>
        <v>363.43974018256523</v>
      </c>
      <c r="AQ113" s="417">
        <f>VLOOKUP($J113,Fatores!$G$1:$J$5,3,FALSE)</f>
        <v>1.3186317794730578</v>
      </c>
      <c r="AR113" s="417">
        <f>VLOOKUP($C113,Fatores!$A:$D,3,FALSE)</f>
        <v>1</v>
      </c>
      <c r="AS113" s="420">
        <f t="shared" si="297"/>
        <v>72.524747871018178</v>
      </c>
      <c r="AT113" s="420">
        <f t="shared" si="298"/>
        <v>76.480643209437346</v>
      </c>
      <c r="AU113" s="420">
        <f t="shared" si="299"/>
        <v>73.843379650491229</v>
      </c>
      <c r="AV113" s="420">
        <f t="shared" si="300"/>
        <v>73.843379650491229</v>
      </c>
      <c r="AW113" s="420">
        <f t="shared" si="301"/>
        <v>79.117906768383463</v>
      </c>
      <c r="AX113" s="420">
        <f t="shared" si="302"/>
        <v>71.206116091545113</v>
      </c>
      <c r="AY113" s="421">
        <f t="shared" si="624"/>
        <v>323.06478597089915</v>
      </c>
      <c r="AZ113" s="421">
        <f t="shared" si="625"/>
        <v>348.11878978088725</v>
      </c>
      <c r="BA113" s="421">
        <f t="shared" si="626"/>
        <v>315.15299529406082</v>
      </c>
      <c r="BB113" s="421">
        <f t="shared" si="627"/>
        <v>320.42752241195302</v>
      </c>
      <c r="BC113" s="421">
        <f t="shared" si="628"/>
        <v>362.62373935509089</v>
      </c>
      <c r="BD113" s="421">
        <f t="shared" si="629"/>
        <v>308.55983639669546</v>
      </c>
      <c r="BE113" s="417">
        <f>VLOOKUP($J113,Fatores!$G$1:$J$5,4,FALSE)</f>
        <v>1</v>
      </c>
      <c r="BF113" s="417">
        <f>VLOOKUP($C113,Fatores!$A:$D,4,FALSE)</f>
        <v>1</v>
      </c>
      <c r="BG113" s="420">
        <f t="shared" si="304"/>
        <v>55</v>
      </c>
      <c r="BH113" s="420">
        <f t="shared" si="305"/>
        <v>58</v>
      </c>
      <c r="BI113" s="420">
        <f t="shared" si="306"/>
        <v>56</v>
      </c>
      <c r="BJ113" s="420">
        <f t="shared" si="307"/>
        <v>56</v>
      </c>
      <c r="BK113" s="420">
        <f t="shared" si="308"/>
        <v>60</v>
      </c>
      <c r="BL113" s="420">
        <f t="shared" si="309"/>
        <v>54</v>
      </c>
      <c r="BM113" s="421">
        <f t="shared" si="630"/>
        <v>245</v>
      </c>
      <c r="BN113" s="421">
        <f t="shared" si="631"/>
        <v>264</v>
      </c>
      <c r="BO113" s="421">
        <f t="shared" si="632"/>
        <v>239</v>
      </c>
      <c r="BP113" s="421">
        <f t="shared" si="633"/>
        <v>243</v>
      </c>
      <c r="BQ113" s="421">
        <f t="shared" si="634"/>
        <v>275</v>
      </c>
      <c r="BR113" s="421">
        <f t="shared" si="635"/>
        <v>234</v>
      </c>
    </row>
    <row r="114" spans="1:70" x14ac:dyDescent="0.25">
      <c r="A114" s="431">
        <v>240</v>
      </c>
      <c r="B114" s="424"/>
      <c r="C114" s="424" t="s">
        <v>24</v>
      </c>
      <c r="D114" s="437" t="s">
        <v>24</v>
      </c>
      <c r="E114" s="444">
        <v>239</v>
      </c>
      <c r="F114" s="424"/>
      <c r="G114" s="424"/>
      <c r="H114" s="424"/>
      <c r="I114" s="432"/>
      <c r="J114" s="440">
        <v>1</v>
      </c>
      <c r="K114" s="419">
        <f>VLOOKUP($A114,Prevs!$C:$I,Ajustes!K$1,FALSE)</f>
        <v>303</v>
      </c>
      <c r="L114" s="419">
        <f>VLOOKUP($A114,Prevs!$C:$I,Ajustes!L$1,FALSE)</f>
        <v>340</v>
      </c>
      <c r="M114" s="419">
        <f>VLOOKUP($A114,Prevs!$C:$I,Ajustes!M$1,FALSE)</f>
        <v>324</v>
      </c>
      <c r="N114" s="419">
        <f>VLOOKUP($A114,Prevs!$C:$I,Ajustes!N$1,FALSE)</f>
        <v>315</v>
      </c>
      <c r="O114" s="419">
        <f>VLOOKUP($A114,Prevs!$C:$I,Ajustes!O$1,FALSE)</f>
        <v>313</v>
      </c>
      <c r="P114" s="419">
        <f>VLOOKUP($A114,Prevs!$C:$I,Ajustes!P$1,FALSE)</f>
        <v>382</v>
      </c>
      <c r="Q114" s="419">
        <f>VLOOKUP($E114,Prevs!$C:$I,Ajustes!K$1,FALSE)</f>
        <v>245</v>
      </c>
      <c r="R114" s="419">
        <f>VLOOKUP($E114,Prevs!$C:$I,Ajustes!L$1,FALSE)</f>
        <v>264</v>
      </c>
      <c r="S114" s="419">
        <f>VLOOKUP($E114,Prevs!$C:$I,Ajustes!M$1,FALSE)</f>
        <v>239</v>
      </c>
      <c r="T114" s="419">
        <f>VLOOKUP($E114,Prevs!$C:$I,Ajustes!N$1,FALSE)</f>
        <v>243</v>
      </c>
      <c r="U114" s="419">
        <f>VLOOKUP($E114,Prevs!$C:$I,Ajustes!O$1,FALSE)</f>
        <v>275</v>
      </c>
      <c r="V114" s="419">
        <f>VLOOKUP($E114,Prevs!$C:$I,Ajustes!P$1,FALSE)</f>
        <v>234</v>
      </c>
      <c r="W114" s="419">
        <f t="shared" si="606"/>
        <v>58</v>
      </c>
      <c r="X114" s="419">
        <f t="shared" si="607"/>
        <v>76</v>
      </c>
      <c r="Y114" s="419">
        <f t="shared" si="608"/>
        <v>85</v>
      </c>
      <c r="Z114" s="419">
        <f t="shared" si="609"/>
        <v>72</v>
      </c>
      <c r="AA114" s="419">
        <f t="shared" si="610"/>
        <v>38</v>
      </c>
      <c r="AB114" s="419">
        <f t="shared" si="611"/>
        <v>148</v>
      </c>
      <c r="AC114" s="417">
        <f>VLOOKUP($J114,Fatores!$G$1:$J$5,2,FALSE)</f>
        <v>1.5531612828314754</v>
      </c>
      <c r="AD114" s="417">
        <f>VLOOKUP($C114,Fatores!$A:$D,2,FALSE)</f>
        <v>1</v>
      </c>
      <c r="AE114" s="420">
        <f t="shared" si="290"/>
        <v>90.083354404225574</v>
      </c>
      <c r="AF114" s="420">
        <f t="shared" si="291"/>
        <v>118.04025749519212</v>
      </c>
      <c r="AG114" s="420">
        <f t="shared" si="292"/>
        <v>132.01870904067542</v>
      </c>
      <c r="AH114" s="420">
        <f t="shared" si="293"/>
        <v>111.82761236386622</v>
      </c>
      <c r="AI114" s="420">
        <f t="shared" si="294"/>
        <v>59.020128747596061</v>
      </c>
      <c r="AJ114" s="420">
        <f t="shared" si="295"/>
        <v>229.86786985905835</v>
      </c>
      <c r="AK114" s="421">
        <f t="shared" si="618"/>
        <v>470.60786869793702</v>
      </c>
      <c r="AL114" s="421">
        <f t="shared" si="619"/>
        <v>528.07483616270167</v>
      </c>
      <c r="AM114" s="421">
        <f t="shared" si="620"/>
        <v>503.22425563739807</v>
      </c>
      <c r="AN114" s="421">
        <f t="shared" si="621"/>
        <v>489.24580409191481</v>
      </c>
      <c r="AO114" s="421">
        <f t="shared" si="622"/>
        <v>486.13948152625181</v>
      </c>
      <c r="AP114" s="421">
        <f t="shared" si="623"/>
        <v>593.30761004162355</v>
      </c>
      <c r="AQ114" s="417">
        <f>VLOOKUP($J114,Fatores!$G$1:$J$5,3,FALSE)</f>
        <v>1.3186317794730578</v>
      </c>
      <c r="AR114" s="417">
        <f>VLOOKUP($C114,Fatores!$A:$D,3,FALSE)</f>
        <v>1</v>
      </c>
      <c r="AS114" s="420">
        <f t="shared" si="297"/>
        <v>76.480643209437346</v>
      </c>
      <c r="AT114" s="420">
        <f t="shared" si="298"/>
        <v>100.21601523995238</v>
      </c>
      <c r="AU114" s="420">
        <f t="shared" si="299"/>
        <v>112.08370125520992</v>
      </c>
      <c r="AV114" s="420">
        <f t="shared" si="300"/>
        <v>94.941488122060164</v>
      </c>
      <c r="AW114" s="420">
        <f t="shared" si="301"/>
        <v>50.108007619976192</v>
      </c>
      <c r="AX114" s="420">
        <f t="shared" si="302"/>
        <v>195.15750336201256</v>
      </c>
      <c r="AY114" s="421">
        <f t="shared" si="624"/>
        <v>399.5454291803365</v>
      </c>
      <c r="AZ114" s="421">
        <f t="shared" si="625"/>
        <v>448.33480502083967</v>
      </c>
      <c r="BA114" s="421">
        <f t="shared" si="626"/>
        <v>427.23669654927073</v>
      </c>
      <c r="BB114" s="421">
        <f t="shared" si="627"/>
        <v>415.36901053401317</v>
      </c>
      <c r="BC114" s="421">
        <f t="shared" si="628"/>
        <v>412.7317469750671</v>
      </c>
      <c r="BD114" s="421">
        <f t="shared" si="629"/>
        <v>503.71733975870802</v>
      </c>
      <c r="BE114" s="417">
        <f>VLOOKUP($J114,Fatores!$G$1:$J$5,4,FALSE)</f>
        <v>1</v>
      </c>
      <c r="BF114" s="417">
        <f>VLOOKUP($C114,Fatores!$A:$D,4,FALSE)</f>
        <v>1</v>
      </c>
      <c r="BG114" s="420">
        <f t="shared" si="304"/>
        <v>58</v>
      </c>
      <c r="BH114" s="420">
        <f t="shared" si="305"/>
        <v>76</v>
      </c>
      <c r="BI114" s="420">
        <f t="shared" si="306"/>
        <v>85</v>
      </c>
      <c r="BJ114" s="420">
        <f t="shared" si="307"/>
        <v>72</v>
      </c>
      <c r="BK114" s="420">
        <f t="shared" si="308"/>
        <v>38</v>
      </c>
      <c r="BL114" s="420">
        <f t="shared" si="309"/>
        <v>148</v>
      </c>
      <c r="BM114" s="421">
        <f t="shared" si="630"/>
        <v>303</v>
      </c>
      <c r="BN114" s="421">
        <f t="shared" si="631"/>
        <v>340</v>
      </c>
      <c r="BO114" s="421">
        <f t="shared" si="632"/>
        <v>324</v>
      </c>
      <c r="BP114" s="421">
        <f t="shared" si="633"/>
        <v>315</v>
      </c>
      <c r="BQ114" s="421">
        <f t="shared" si="634"/>
        <v>313</v>
      </c>
      <c r="BR114" s="421">
        <f t="shared" si="635"/>
        <v>382</v>
      </c>
    </row>
    <row r="115" spans="1:70" x14ac:dyDescent="0.25">
      <c r="A115" s="431">
        <v>241</v>
      </c>
      <c r="B115" s="424"/>
      <c r="C115" s="424" t="s">
        <v>23</v>
      </c>
      <c r="D115" s="437" t="s">
        <v>540</v>
      </c>
      <c r="E115" s="444">
        <v>294</v>
      </c>
      <c r="F115" s="424"/>
      <c r="G115" s="424"/>
      <c r="H115" s="424"/>
      <c r="I115" s="432"/>
      <c r="J115" s="440">
        <v>1</v>
      </c>
      <c r="K115" s="419">
        <f>VLOOKUP($A115,Prevs!$C:$I,Ajustes!K$1,FALSE)</f>
        <v>134</v>
      </c>
      <c r="L115" s="419">
        <f>VLOOKUP($A115,Prevs!$C:$I,Ajustes!L$1,FALSE)</f>
        <v>136</v>
      </c>
      <c r="M115" s="419">
        <f>VLOOKUP($A115,Prevs!$C:$I,Ajustes!M$1,FALSE)</f>
        <v>134</v>
      </c>
      <c r="N115" s="419">
        <f>VLOOKUP($A115,Prevs!$C:$I,Ajustes!N$1,FALSE)</f>
        <v>127</v>
      </c>
      <c r="O115" s="419">
        <f>VLOOKUP($A115,Prevs!$C:$I,Ajustes!O$1,FALSE)</f>
        <v>127</v>
      </c>
      <c r="P115" s="419">
        <f>VLOOKUP($A115,Prevs!$C:$I,Ajustes!P$1,FALSE)</f>
        <v>121</v>
      </c>
      <c r="Q115" s="419">
        <f>VLOOKUP($E115,Prevs!$C:$I,Ajustes!K$1,FALSE)</f>
        <v>123</v>
      </c>
      <c r="R115" s="419">
        <f>VLOOKUP($E115,Prevs!$C:$I,Ajustes!L$1,FALSE)</f>
        <v>125</v>
      </c>
      <c r="S115" s="419">
        <f>VLOOKUP($E115,Prevs!$C:$I,Ajustes!M$1,FALSE)</f>
        <v>123</v>
      </c>
      <c r="T115" s="419">
        <f>VLOOKUP($E115,Prevs!$C:$I,Ajustes!N$1,FALSE)</f>
        <v>117</v>
      </c>
      <c r="U115" s="419">
        <f>VLOOKUP($E115,Prevs!$C:$I,Ajustes!O$1,FALSE)</f>
        <v>118</v>
      </c>
      <c r="V115" s="419">
        <f>VLOOKUP($E115,Prevs!$C:$I,Ajustes!P$1,FALSE)</f>
        <v>111</v>
      </c>
      <c r="W115" s="419">
        <f t="shared" si="606"/>
        <v>11</v>
      </c>
      <c r="X115" s="419">
        <f t="shared" si="607"/>
        <v>11</v>
      </c>
      <c r="Y115" s="419">
        <f t="shared" si="608"/>
        <v>11</v>
      </c>
      <c r="Z115" s="419">
        <f t="shared" si="609"/>
        <v>10</v>
      </c>
      <c r="AA115" s="419">
        <f t="shared" si="610"/>
        <v>9</v>
      </c>
      <c r="AB115" s="419">
        <f t="shared" si="611"/>
        <v>10</v>
      </c>
      <c r="AC115" s="417">
        <f>VLOOKUP($J115,Fatores!$G$1:$J$5,2,FALSE)</f>
        <v>1.5531612828314754</v>
      </c>
      <c r="AD115" s="417">
        <f>VLOOKUP($C115,Fatores!$A:$D,2,FALSE)</f>
        <v>1</v>
      </c>
      <c r="AE115" s="420">
        <f t="shared" si="290"/>
        <v>17.084774111146228</v>
      </c>
      <c r="AF115" s="420">
        <f t="shared" si="291"/>
        <v>17.084774111146228</v>
      </c>
      <c r="AG115" s="420">
        <f t="shared" si="292"/>
        <v>17.084774111146228</v>
      </c>
      <c r="AH115" s="420">
        <f t="shared" si="293"/>
        <v>15.531612828314753</v>
      </c>
      <c r="AI115" s="420">
        <f t="shared" si="294"/>
        <v>13.978451545483278</v>
      </c>
      <c r="AJ115" s="420">
        <f t="shared" si="295"/>
        <v>15.531612828314753</v>
      </c>
      <c r="AK115" s="421">
        <f t="shared" si="618"/>
        <v>208.12361189941771</v>
      </c>
      <c r="AL115" s="421">
        <f t="shared" si="619"/>
        <v>211.22993446508065</v>
      </c>
      <c r="AM115" s="421">
        <f t="shared" si="620"/>
        <v>208.12361189941771</v>
      </c>
      <c r="AN115" s="421">
        <f t="shared" si="621"/>
        <v>197.25148291959738</v>
      </c>
      <c r="AO115" s="421">
        <f t="shared" si="622"/>
        <v>197.25148291959735</v>
      </c>
      <c r="AP115" s="421">
        <f t="shared" si="623"/>
        <v>187.93251522260852</v>
      </c>
      <c r="AQ115" s="417">
        <f>VLOOKUP($J115,Fatores!$G$1:$J$5,3,FALSE)</f>
        <v>1.3186317794730578</v>
      </c>
      <c r="AR115" s="417">
        <f>VLOOKUP($C115,Fatores!$A:$D,3,FALSE)</f>
        <v>1</v>
      </c>
      <c r="AS115" s="420">
        <f t="shared" si="297"/>
        <v>14.504949574203636</v>
      </c>
      <c r="AT115" s="420">
        <f t="shared" si="298"/>
        <v>14.504949574203636</v>
      </c>
      <c r="AU115" s="420">
        <f t="shared" si="299"/>
        <v>14.504949574203636</v>
      </c>
      <c r="AV115" s="420">
        <f t="shared" si="300"/>
        <v>13.186317794730577</v>
      </c>
      <c r="AW115" s="420">
        <f t="shared" si="301"/>
        <v>11.867686015257521</v>
      </c>
      <c r="AX115" s="420">
        <f t="shared" si="302"/>
        <v>13.186317794730577</v>
      </c>
      <c r="AY115" s="421">
        <f t="shared" si="624"/>
        <v>176.69665844938973</v>
      </c>
      <c r="AZ115" s="421">
        <f t="shared" si="625"/>
        <v>179.33392200833586</v>
      </c>
      <c r="BA115" s="421">
        <f t="shared" si="626"/>
        <v>176.69665844938973</v>
      </c>
      <c r="BB115" s="421">
        <f t="shared" si="627"/>
        <v>167.46623599307833</v>
      </c>
      <c r="BC115" s="421">
        <f t="shared" si="628"/>
        <v>167.46623599307836</v>
      </c>
      <c r="BD115" s="421">
        <f t="shared" si="629"/>
        <v>159.55444531623999</v>
      </c>
      <c r="BE115" s="417">
        <f>VLOOKUP($J115,Fatores!$G$1:$J$5,4,FALSE)</f>
        <v>1</v>
      </c>
      <c r="BF115" s="417">
        <f>VLOOKUP($C115,Fatores!$A:$D,4,FALSE)</f>
        <v>1</v>
      </c>
      <c r="BG115" s="420">
        <f t="shared" si="304"/>
        <v>11</v>
      </c>
      <c r="BH115" s="420">
        <f t="shared" si="305"/>
        <v>11</v>
      </c>
      <c r="BI115" s="420">
        <f t="shared" si="306"/>
        <v>11</v>
      </c>
      <c r="BJ115" s="420">
        <f t="shared" si="307"/>
        <v>10</v>
      </c>
      <c r="BK115" s="420">
        <f t="shared" si="308"/>
        <v>9</v>
      </c>
      <c r="BL115" s="420">
        <f t="shared" si="309"/>
        <v>10</v>
      </c>
      <c r="BM115" s="421">
        <f t="shared" si="630"/>
        <v>134</v>
      </c>
      <c r="BN115" s="421">
        <f t="shared" si="631"/>
        <v>136</v>
      </c>
      <c r="BO115" s="421">
        <f t="shared" si="632"/>
        <v>134</v>
      </c>
      <c r="BP115" s="421">
        <f t="shared" si="633"/>
        <v>127</v>
      </c>
      <c r="BQ115" s="421">
        <f t="shared" si="634"/>
        <v>127</v>
      </c>
      <c r="BR115" s="421">
        <f t="shared" si="635"/>
        <v>121</v>
      </c>
    </row>
    <row r="116" spans="1:70" x14ac:dyDescent="0.25">
      <c r="A116" s="431">
        <v>242</v>
      </c>
      <c r="B116" s="424"/>
      <c r="C116" s="424" t="s">
        <v>24</v>
      </c>
      <c r="D116" s="437" t="s">
        <v>24</v>
      </c>
      <c r="E116" s="444">
        <v>240</v>
      </c>
      <c r="F116" s="424"/>
      <c r="G116" s="424"/>
      <c r="H116" s="424"/>
      <c r="I116" s="432"/>
      <c r="J116" s="440">
        <v>1</v>
      </c>
      <c r="K116" s="419">
        <f>VLOOKUP($A116,Prevs!$C:$I,Ajustes!K$1,FALSE)</f>
        <v>319</v>
      </c>
      <c r="L116" s="419">
        <f>VLOOKUP($A116,Prevs!$C:$I,Ajustes!L$1,FALSE)</f>
        <v>360</v>
      </c>
      <c r="M116" s="419">
        <f>VLOOKUP($A116,Prevs!$C:$I,Ajustes!M$1,FALSE)</f>
        <v>333</v>
      </c>
      <c r="N116" s="419">
        <f>VLOOKUP($A116,Prevs!$C:$I,Ajustes!N$1,FALSE)</f>
        <v>324</v>
      </c>
      <c r="O116" s="419">
        <f>VLOOKUP($A116,Prevs!$C:$I,Ajustes!O$1,FALSE)</f>
        <v>320</v>
      </c>
      <c r="P116" s="419">
        <f>VLOOKUP($A116,Prevs!$C:$I,Ajustes!P$1,FALSE)</f>
        <v>405</v>
      </c>
      <c r="Q116" s="419">
        <f>VLOOKUP($E116,Prevs!$C:$I,Ajustes!K$1,FALSE)</f>
        <v>303</v>
      </c>
      <c r="R116" s="419">
        <f>VLOOKUP($E116,Prevs!$C:$I,Ajustes!L$1,FALSE)</f>
        <v>340</v>
      </c>
      <c r="S116" s="419">
        <f>VLOOKUP($E116,Prevs!$C:$I,Ajustes!M$1,FALSE)</f>
        <v>324</v>
      </c>
      <c r="T116" s="419">
        <f>VLOOKUP($E116,Prevs!$C:$I,Ajustes!N$1,FALSE)</f>
        <v>315</v>
      </c>
      <c r="U116" s="419">
        <f>VLOOKUP($E116,Prevs!$C:$I,Ajustes!O$1,FALSE)</f>
        <v>313</v>
      </c>
      <c r="V116" s="419">
        <f>VLOOKUP($E116,Prevs!$C:$I,Ajustes!P$1,FALSE)</f>
        <v>382</v>
      </c>
      <c r="W116" s="419">
        <f t="shared" si="606"/>
        <v>16</v>
      </c>
      <c r="X116" s="419">
        <f t="shared" si="607"/>
        <v>20</v>
      </c>
      <c r="Y116" s="419">
        <f t="shared" si="608"/>
        <v>9</v>
      </c>
      <c r="Z116" s="419">
        <f t="shared" si="609"/>
        <v>9</v>
      </c>
      <c r="AA116" s="419">
        <f t="shared" si="610"/>
        <v>7</v>
      </c>
      <c r="AB116" s="419">
        <f t="shared" si="611"/>
        <v>23</v>
      </c>
      <c r="AC116" s="417">
        <f>VLOOKUP($J116,Fatores!$G$1:$J$5,2,FALSE)</f>
        <v>1.5531612828314754</v>
      </c>
      <c r="AD116" s="417">
        <f>VLOOKUP($C116,Fatores!$A:$D,2,FALSE)</f>
        <v>1</v>
      </c>
      <c r="AE116" s="420">
        <f t="shared" si="290"/>
        <v>24.850580525303606</v>
      </c>
      <c r="AF116" s="420">
        <f t="shared" si="291"/>
        <v>31.063225656629506</v>
      </c>
      <c r="AG116" s="420">
        <f t="shared" si="292"/>
        <v>13.978451545483278</v>
      </c>
      <c r="AH116" s="420">
        <f t="shared" si="293"/>
        <v>13.978451545483278</v>
      </c>
      <c r="AI116" s="420">
        <f t="shared" si="294"/>
        <v>10.872128979820328</v>
      </c>
      <c r="AJ116" s="420">
        <f t="shared" si="295"/>
        <v>35.72270950512393</v>
      </c>
      <c r="AK116" s="421">
        <f t="shared" si="618"/>
        <v>495.45844922324062</v>
      </c>
      <c r="AL116" s="421">
        <f t="shared" si="619"/>
        <v>559.13806181933114</v>
      </c>
      <c r="AM116" s="421">
        <f t="shared" si="620"/>
        <v>517.20270718288134</v>
      </c>
      <c r="AN116" s="421">
        <f t="shared" si="621"/>
        <v>503.22425563739807</v>
      </c>
      <c r="AO116" s="421">
        <f t="shared" si="622"/>
        <v>497.01161050607215</v>
      </c>
      <c r="AP116" s="421">
        <f t="shared" si="623"/>
        <v>629.03031954674748</v>
      </c>
      <c r="AQ116" s="417">
        <f>VLOOKUP($J116,Fatores!$G$1:$J$5,3,FALSE)</f>
        <v>1.3186317794730578</v>
      </c>
      <c r="AR116" s="417">
        <f>VLOOKUP($C116,Fatores!$A:$D,3,FALSE)</f>
        <v>1</v>
      </c>
      <c r="AS116" s="420">
        <f t="shared" si="297"/>
        <v>21.098108471568924</v>
      </c>
      <c r="AT116" s="420">
        <f t="shared" si="298"/>
        <v>26.372635589461154</v>
      </c>
      <c r="AU116" s="420">
        <f t="shared" si="299"/>
        <v>11.867686015257521</v>
      </c>
      <c r="AV116" s="420">
        <f t="shared" si="300"/>
        <v>11.867686015257521</v>
      </c>
      <c r="AW116" s="420">
        <f t="shared" si="301"/>
        <v>9.2304224563114037</v>
      </c>
      <c r="AX116" s="420">
        <f t="shared" si="302"/>
        <v>30.32853092788033</v>
      </c>
      <c r="AY116" s="421">
        <f t="shared" si="624"/>
        <v>420.64353765190543</v>
      </c>
      <c r="AZ116" s="421">
        <f t="shared" si="625"/>
        <v>474.70744061030081</v>
      </c>
      <c r="BA116" s="421">
        <f t="shared" si="626"/>
        <v>439.10438256452824</v>
      </c>
      <c r="BB116" s="421">
        <f t="shared" si="627"/>
        <v>427.23669654927068</v>
      </c>
      <c r="BC116" s="421">
        <f t="shared" si="628"/>
        <v>421.96216943137853</v>
      </c>
      <c r="BD116" s="421">
        <f t="shared" si="629"/>
        <v>534.04587068658839</v>
      </c>
      <c r="BE116" s="417">
        <f>VLOOKUP($J116,Fatores!$G$1:$J$5,4,FALSE)</f>
        <v>1</v>
      </c>
      <c r="BF116" s="417">
        <f>VLOOKUP($C116,Fatores!$A:$D,4,FALSE)</f>
        <v>1</v>
      </c>
      <c r="BG116" s="420">
        <f t="shared" si="304"/>
        <v>16</v>
      </c>
      <c r="BH116" s="420">
        <f t="shared" si="305"/>
        <v>20</v>
      </c>
      <c r="BI116" s="420">
        <f t="shared" si="306"/>
        <v>9</v>
      </c>
      <c r="BJ116" s="420">
        <f t="shared" si="307"/>
        <v>9</v>
      </c>
      <c r="BK116" s="420">
        <f t="shared" si="308"/>
        <v>7</v>
      </c>
      <c r="BL116" s="420">
        <f t="shared" si="309"/>
        <v>23</v>
      </c>
      <c r="BM116" s="421">
        <f t="shared" si="630"/>
        <v>319</v>
      </c>
      <c r="BN116" s="421">
        <f t="shared" si="631"/>
        <v>360</v>
      </c>
      <c r="BO116" s="421">
        <f t="shared" si="632"/>
        <v>333</v>
      </c>
      <c r="BP116" s="421">
        <f t="shared" si="633"/>
        <v>324</v>
      </c>
      <c r="BQ116" s="421">
        <f t="shared" si="634"/>
        <v>320</v>
      </c>
      <c r="BR116" s="421">
        <f t="shared" si="635"/>
        <v>405</v>
      </c>
    </row>
    <row r="117" spans="1:70" x14ac:dyDescent="0.25">
      <c r="A117" s="431">
        <v>243</v>
      </c>
      <c r="B117" s="424"/>
      <c r="C117" s="424" t="s">
        <v>24</v>
      </c>
      <c r="D117" s="437" t="s">
        <v>24</v>
      </c>
      <c r="E117" s="444">
        <v>242</v>
      </c>
      <c r="F117" s="424"/>
      <c r="G117" s="424"/>
      <c r="H117" s="424"/>
      <c r="I117" s="432"/>
      <c r="J117" s="440">
        <v>1</v>
      </c>
      <c r="K117" s="419">
        <f>VLOOKUP($A117,Prevs!$C:$I,Ajustes!K$1,FALSE)</f>
        <v>343</v>
      </c>
      <c r="L117" s="419">
        <f>VLOOKUP($A117,Prevs!$C:$I,Ajustes!L$1,FALSE)</f>
        <v>396</v>
      </c>
      <c r="M117" s="419">
        <f>VLOOKUP($A117,Prevs!$C:$I,Ajustes!M$1,FALSE)</f>
        <v>344</v>
      </c>
      <c r="N117" s="419">
        <f>VLOOKUP($A117,Prevs!$C:$I,Ajustes!N$1,FALSE)</f>
        <v>330</v>
      </c>
      <c r="O117" s="419">
        <f>VLOOKUP($A117,Prevs!$C:$I,Ajustes!O$1,FALSE)</f>
        <v>329</v>
      </c>
      <c r="P117" s="419">
        <f>VLOOKUP($A117,Prevs!$C:$I,Ajustes!P$1,FALSE)</f>
        <v>422</v>
      </c>
      <c r="Q117" s="419">
        <f>VLOOKUP($E117,Prevs!$C:$I,Ajustes!K$1,FALSE)</f>
        <v>319</v>
      </c>
      <c r="R117" s="419">
        <f>VLOOKUP($E117,Prevs!$C:$I,Ajustes!L$1,FALSE)</f>
        <v>360</v>
      </c>
      <c r="S117" s="419">
        <f>VLOOKUP($E117,Prevs!$C:$I,Ajustes!M$1,FALSE)</f>
        <v>333</v>
      </c>
      <c r="T117" s="419">
        <f>VLOOKUP($E117,Prevs!$C:$I,Ajustes!N$1,FALSE)</f>
        <v>324</v>
      </c>
      <c r="U117" s="419">
        <f>VLOOKUP($E117,Prevs!$C:$I,Ajustes!O$1,FALSE)</f>
        <v>320</v>
      </c>
      <c r="V117" s="419">
        <f>VLOOKUP($E117,Prevs!$C:$I,Ajustes!P$1,FALSE)</f>
        <v>405</v>
      </c>
      <c r="W117" s="419">
        <f t="shared" si="606"/>
        <v>24</v>
      </c>
      <c r="X117" s="419">
        <f t="shared" si="607"/>
        <v>36</v>
      </c>
      <c r="Y117" s="419">
        <f t="shared" si="608"/>
        <v>11</v>
      </c>
      <c r="Z117" s="419">
        <f t="shared" si="609"/>
        <v>6</v>
      </c>
      <c r="AA117" s="419">
        <f t="shared" si="610"/>
        <v>9</v>
      </c>
      <c r="AB117" s="419">
        <f t="shared" si="611"/>
        <v>17</v>
      </c>
      <c r="AC117" s="417">
        <f>VLOOKUP($J117,Fatores!$G$1:$J$5,2,FALSE)</f>
        <v>1.5531612828314754</v>
      </c>
      <c r="AD117" s="417">
        <f>VLOOKUP($C117,Fatores!$A:$D,2,FALSE)</f>
        <v>1</v>
      </c>
      <c r="AE117" s="420">
        <f t="shared" si="290"/>
        <v>37.275870787955412</v>
      </c>
      <c r="AF117" s="420">
        <f t="shared" si="291"/>
        <v>55.913806181933111</v>
      </c>
      <c r="AG117" s="420">
        <f t="shared" si="292"/>
        <v>17.084774111146228</v>
      </c>
      <c r="AH117" s="420">
        <f t="shared" si="293"/>
        <v>9.3189676969888531</v>
      </c>
      <c r="AI117" s="420">
        <f t="shared" si="294"/>
        <v>13.978451545483278</v>
      </c>
      <c r="AJ117" s="420">
        <f t="shared" si="295"/>
        <v>26.403741808135081</v>
      </c>
      <c r="AK117" s="421">
        <f t="shared" si="618"/>
        <v>532.73432001119602</v>
      </c>
      <c r="AL117" s="421">
        <f t="shared" si="619"/>
        <v>615.05186800126421</v>
      </c>
      <c r="AM117" s="421">
        <f t="shared" si="620"/>
        <v>534.28748129402754</v>
      </c>
      <c r="AN117" s="421">
        <f t="shared" si="621"/>
        <v>512.54322333438688</v>
      </c>
      <c r="AO117" s="421">
        <f t="shared" si="622"/>
        <v>510.99006205155541</v>
      </c>
      <c r="AP117" s="421">
        <f t="shared" si="623"/>
        <v>655.4340613548826</v>
      </c>
      <c r="AQ117" s="417">
        <f>VLOOKUP($J117,Fatores!$G$1:$J$5,3,FALSE)</f>
        <v>1.3186317794730578</v>
      </c>
      <c r="AR117" s="417">
        <f>VLOOKUP($C117,Fatores!$A:$D,3,FALSE)</f>
        <v>1</v>
      </c>
      <c r="AS117" s="420">
        <f t="shared" si="297"/>
        <v>31.647162707353388</v>
      </c>
      <c r="AT117" s="420">
        <f t="shared" si="298"/>
        <v>47.470744061030082</v>
      </c>
      <c r="AU117" s="420">
        <f t="shared" si="299"/>
        <v>14.504949574203636</v>
      </c>
      <c r="AV117" s="420">
        <f t="shared" si="300"/>
        <v>7.911790676838347</v>
      </c>
      <c r="AW117" s="420">
        <f t="shared" si="301"/>
        <v>11.867686015257521</v>
      </c>
      <c r="AX117" s="420">
        <f t="shared" si="302"/>
        <v>22.416740251041983</v>
      </c>
      <c r="AY117" s="421">
        <f t="shared" si="624"/>
        <v>452.29070035925884</v>
      </c>
      <c r="AZ117" s="421">
        <f t="shared" si="625"/>
        <v>522.17818467133088</v>
      </c>
      <c r="BA117" s="421">
        <f t="shared" si="626"/>
        <v>453.60933213873187</v>
      </c>
      <c r="BB117" s="421">
        <f t="shared" si="627"/>
        <v>435.14848722610901</v>
      </c>
      <c r="BC117" s="421">
        <f t="shared" si="628"/>
        <v>433.82985544663603</v>
      </c>
      <c r="BD117" s="421">
        <f t="shared" si="629"/>
        <v>556.46261093763042</v>
      </c>
      <c r="BE117" s="417">
        <f>VLOOKUP($J117,Fatores!$G$1:$J$5,4,FALSE)</f>
        <v>1</v>
      </c>
      <c r="BF117" s="417">
        <f>VLOOKUP($C117,Fatores!$A:$D,4,FALSE)</f>
        <v>1</v>
      </c>
      <c r="BG117" s="420">
        <f t="shared" si="304"/>
        <v>24</v>
      </c>
      <c r="BH117" s="420">
        <f t="shared" si="305"/>
        <v>36</v>
      </c>
      <c r="BI117" s="420">
        <f t="shared" si="306"/>
        <v>11</v>
      </c>
      <c r="BJ117" s="420">
        <f t="shared" si="307"/>
        <v>6</v>
      </c>
      <c r="BK117" s="420">
        <f t="shared" si="308"/>
        <v>9</v>
      </c>
      <c r="BL117" s="420">
        <f t="shared" si="309"/>
        <v>17</v>
      </c>
      <c r="BM117" s="421">
        <f t="shared" si="630"/>
        <v>343</v>
      </c>
      <c r="BN117" s="421">
        <f t="shared" si="631"/>
        <v>396</v>
      </c>
      <c r="BO117" s="421">
        <f t="shared" si="632"/>
        <v>344</v>
      </c>
      <c r="BP117" s="421">
        <f t="shared" si="633"/>
        <v>330</v>
      </c>
      <c r="BQ117" s="421">
        <f t="shared" si="634"/>
        <v>329</v>
      </c>
      <c r="BR117" s="421">
        <f t="shared" si="635"/>
        <v>422</v>
      </c>
    </row>
    <row r="118" spans="1:70" x14ac:dyDescent="0.25">
      <c r="A118" s="431">
        <v>244</v>
      </c>
      <c r="B118" s="424" t="s">
        <v>631</v>
      </c>
      <c r="C118" s="424" t="s">
        <v>28</v>
      </c>
      <c r="D118" s="437" t="s">
        <v>437</v>
      </c>
      <c r="E118" s="425">
        <v>34</v>
      </c>
      <c r="F118" s="425">
        <v>243</v>
      </c>
      <c r="G118" s="425"/>
      <c r="H118" s="425"/>
      <c r="I118" s="432"/>
      <c r="J118" s="440">
        <v>1</v>
      </c>
      <c r="K118" s="419">
        <f>VLOOKUP($A118,Prevs!$C:$I,Ajustes!K$1,FALSE)</f>
        <v>2478</v>
      </c>
      <c r="L118" s="419">
        <f>VLOOKUP($A118,Prevs!$C:$I,Ajustes!L$1,FALSE)</f>
        <v>2493</v>
      </c>
      <c r="M118" s="419">
        <f>VLOOKUP($A118,Prevs!$C:$I,Ajustes!M$1,FALSE)</f>
        <v>2402</v>
      </c>
      <c r="N118" s="419">
        <f>VLOOKUP($A118,Prevs!$C:$I,Ajustes!N$1,FALSE)</f>
        <v>2348</v>
      </c>
      <c r="O118" s="419">
        <f>VLOOKUP($A118,Prevs!$C:$I,Ajustes!O$1,FALSE)</f>
        <v>2360</v>
      </c>
      <c r="P118" s="419">
        <f>VLOOKUP($A118,Prevs!$C:$I,Ajustes!P$1,FALSE)</f>
        <v>2342</v>
      </c>
      <c r="Q118" s="419">
        <f>VLOOKUP($E118,Prevs!$C:$I,Ajustes!K$1,FALSE)+VLOOKUP($F118,Prevs!$C:$I,Ajustes!K$1,FALSE)</f>
        <v>2478</v>
      </c>
      <c r="R118" s="419">
        <f>VLOOKUP($E118,Prevs!$C:$I,Ajustes!L$1,FALSE)+VLOOKUP($F118,Prevs!$C:$I,Ajustes!L$1,FALSE)</f>
        <v>2492</v>
      </c>
      <c r="S118" s="419">
        <f>VLOOKUP($E118,Prevs!$C:$I,Ajustes!M$1,FALSE)+VLOOKUP($F118,Prevs!$C:$I,Ajustes!M$1,FALSE)</f>
        <v>2402</v>
      </c>
      <c r="T118" s="419">
        <f>VLOOKUP($E118,Prevs!$C:$I,Ajustes!N$1,FALSE)+VLOOKUP($F118,Prevs!$C:$I,Ajustes!N$1,FALSE)</f>
        <v>2348</v>
      </c>
      <c r="U118" s="419">
        <f>VLOOKUP($E118,Prevs!$C:$I,Ajustes!O$1,FALSE)+VLOOKUP($F118,Prevs!$C:$I,Ajustes!O$1,FALSE)</f>
        <v>2360</v>
      </c>
      <c r="V118" s="419">
        <f>VLOOKUP($E118,Prevs!$C:$I,Ajustes!P$1,FALSE)+VLOOKUP($F118,Prevs!$C:$I,Ajustes!P$1,FALSE)</f>
        <v>2342</v>
      </c>
      <c r="W118" s="419">
        <f t="shared" si="606"/>
        <v>0</v>
      </c>
      <c r="X118" s="419">
        <f t="shared" si="607"/>
        <v>1</v>
      </c>
      <c r="Y118" s="419">
        <f t="shared" si="608"/>
        <v>0</v>
      </c>
      <c r="Z118" s="419">
        <f t="shared" si="609"/>
        <v>0</v>
      </c>
      <c r="AA118" s="419">
        <f t="shared" si="610"/>
        <v>0</v>
      </c>
      <c r="AB118" s="419">
        <f t="shared" si="611"/>
        <v>0</v>
      </c>
      <c r="AC118" s="417">
        <f>VLOOKUP($J118,Fatores!$G$1:$J$5,2,FALSE)</f>
        <v>1.5531612828314754</v>
      </c>
      <c r="AD118" s="417">
        <f>VLOOKUP($C118,Fatores!$A:$D,2,FALSE)</f>
        <v>1</v>
      </c>
      <c r="AE118" s="420">
        <f t="shared" si="290"/>
        <v>0</v>
      </c>
      <c r="AF118" s="420">
        <f t="shared" si="291"/>
        <v>1.5531612828314754</v>
      </c>
      <c r="AG118" s="420">
        <f t="shared" si="292"/>
        <v>0</v>
      </c>
      <c r="AH118" s="420">
        <f t="shared" si="293"/>
        <v>0</v>
      </c>
      <c r="AI118" s="420">
        <f t="shared" si="294"/>
        <v>0</v>
      </c>
      <c r="AJ118" s="420">
        <f t="shared" si="295"/>
        <v>0</v>
      </c>
      <c r="AK118" s="421">
        <f t="shared" ref="AK118:AP119" si="636">AE118+VLOOKUP($E118,$A:$BR,AK$1,FALSE)+VLOOKUP($F118,$A:$BR,AK$1,FALSE)</f>
        <v>3848.7336588563958</v>
      </c>
      <c r="AL118" s="421">
        <f t="shared" si="636"/>
        <v>3872.031078098868</v>
      </c>
      <c r="AM118" s="421">
        <f t="shared" si="636"/>
        <v>3730.693401361204</v>
      </c>
      <c r="AN118" s="421">
        <f t="shared" si="636"/>
        <v>3646.8226920883039</v>
      </c>
      <c r="AO118" s="421">
        <f t="shared" si="636"/>
        <v>3665.4606274822818</v>
      </c>
      <c r="AP118" s="421">
        <f t="shared" si="636"/>
        <v>3637.5037243913152</v>
      </c>
      <c r="AQ118" s="417">
        <f>VLOOKUP($J118,Fatores!$G$1:$J$5,3,FALSE)</f>
        <v>1.3186317794730578</v>
      </c>
      <c r="AR118" s="417">
        <f>VLOOKUP($C118,Fatores!$A:$D,3,FALSE)</f>
        <v>1</v>
      </c>
      <c r="AS118" s="420">
        <f t="shared" si="297"/>
        <v>0</v>
      </c>
      <c r="AT118" s="420">
        <f t="shared" si="298"/>
        <v>1.3186317794730578</v>
      </c>
      <c r="AU118" s="420">
        <f t="shared" si="299"/>
        <v>0</v>
      </c>
      <c r="AV118" s="420">
        <f t="shared" si="300"/>
        <v>0</v>
      </c>
      <c r="AW118" s="420">
        <f t="shared" si="301"/>
        <v>0</v>
      </c>
      <c r="AX118" s="420">
        <f t="shared" si="302"/>
        <v>0</v>
      </c>
      <c r="AY118" s="421">
        <f t="shared" ref="AY118:BD119" si="637">AS118+VLOOKUP($E118,$A:$BR,AY$1,FALSE)+VLOOKUP($F118,$A:$BR,AY$1,FALSE)</f>
        <v>3267.569549534237</v>
      </c>
      <c r="AZ118" s="421">
        <f t="shared" si="637"/>
        <v>3287.3490262263331</v>
      </c>
      <c r="BA118" s="421">
        <f t="shared" si="637"/>
        <v>3167.3535342942851</v>
      </c>
      <c r="BB118" s="421">
        <f t="shared" si="637"/>
        <v>3096.1474182027396</v>
      </c>
      <c r="BC118" s="421">
        <f t="shared" si="637"/>
        <v>3111.9709995564162</v>
      </c>
      <c r="BD118" s="421">
        <f t="shared" si="637"/>
        <v>3088.2356275259012</v>
      </c>
      <c r="BE118" s="417">
        <f>VLOOKUP($J118,Fatores!$G$1:$J$5,4,FALSE)</f>
        <v>1</v>
      </c>
      <c r="BF118" s="417">
        <f>VLOOKUP($C118,Fatores!$A:$D,4,FALSE)</f>
        <v>1</v>
      </c>
      <c r="BG118" s="420">
        <f t="shared" si="304"/>
        <v>0</v>
      </c>
      <c r="BH118" s="420">
        <f t="shared" si="305"/>
        <v>1</v>
      </c>
      <c r="BI118" s="420">
        <f t="shared" si="306"/>
        <v>0</v>
      </c>
      <c r="BJ118" s="420">
        <f t="shared" si="307"/>
        <v>0</v>
      </c>
      <c r="BK118" s="420">
        <f t="shared" si="308"/>
        <v>0</v>
      </c>
      <c r="BL118" s="420">
        <f t="shared" si="309"/>
        <v>0</v>
      </c>
      <c r="BM118" s="421">
        <f t="shared" ref="BM118:BR119" si="638">BG118+VLOOKUP($E118,$A:$BR,BM$1,FALSE)+VLOOKUP($F118,$A:$BR,BM$1,FALSE)</f>
        <v>2478</v>
      </c>
      <c r="BN118" s="421">
        <f t="shared" si="638"/>
        <v>2493</v>
      </c>
      <c r="BO118" s="421">
        <f t="shared" si="638"/>
        <v>2402</v>
      </c>
      <c r="BP118" s="421">
        <f t="shared" si="638"/>
        <v>2348</v>
      </c>
      <c r="BQ118" s="421">
        <f t="shared" si="638"/>
        <v>2360</v>
      </c>
      <c r="BR118" s="421">
        <f t="shared" si="638"/>
        <v>2342</v>
      </c>
    </row>
    <row r="119" spans="1:70" x14ac:dyDescent="0.25">
      <c r="A119" s="431">
        <v>245</v>
      </c>
      <c r="B119" s="424"/>
      <c r="C119" s="424" t="s">
        <v>28</v>
      </c>
      <c r="D119" s="437" t="s">
        <v>426</v>
      </c>
      <c r="E119" s="444">
        <v>244</v>
      </c>
      <c r="F119" s="425">
        <v>241</v>
      </c>
      <c r="G119" s="425"/>
      <c r="H119" s="424"/>
      <c r="I119" s="425">
        <v>9243</v>
      </c>
      <c r="J119" s="440">
        <v>1</v>
      </c>
      <c r="K119" s="419">
        <f>VLOOKUP($A119,Prevs!$C:$I,Ajustes!K$1,FALSE)</f>
        <v>2986</v>
      </c>
      <c r="L119" s="419">
        <f>VLOOKUP($A119,Prevs!$C:$I,Ajustes!L$1,FALSE)</f>
        <v>2955</v>
      </c>
      <c r="M119" s="419">
        <f>VLOOKUP($A119,Prevs!$C:$I,Ajustes!M$1,FALSE)</f>
        <v>2904</v>
      </c>
      <c r="N119" s="419">
        <f>VLOOKUP($A119,Prevs!$C:$I,Ajustes!N$1,FALSE)</f>
        <v>2842</v>
      </c>
      <c r="O119" s="419">
        <f>VLOOKUP($A119,Prevs!$C:$I,Ajustes!O$1,FALSE)</f>
        <v>2789</v>
      </c>
      <c r="P119" s="419">
        <f>VLOOKUP($A119,Prevs!$C:$I,Ajustes!P$1,FALSE)</f>
        <v>2713</v>
      </c>
      <c r="Q119" s="419">
        <f>VLOOKUP($E119,Prevs!$C:$I,Ajustes!K$1,FALSE)+VLOOKUP($F119,Prevs!$C:$I,Ajustes!K$1,FALSE)</f>
        <v>2612</v>
      </c>
      <c r="R119" s="419">
        <f>VLOOKUP($E119,Prevs!$C:$I,Ajustes!L$1,FALSE)+VLOOKUP($F119,Prevs!$C:$I,Ajustes!L$1,FALSE)</f>
        <v>2629</v>
      </c>
      <c r="S119" s="419">
        <f>VLOOKUP($E119,Prevs!$C:$I,Ajustes!M$1,FALSE)+VLOOKUP($F119,Prevs!$C:$I,Ajustes!M$1,FALSE)</f>
        <v>2536</v>
      </c>
      <c r="T119" s="419">
        <f>VLOOKUP($E119,Prevs!$C:$I,Ajustes!N$1,FALSE)+VLOOKUP($F119,Prevs!$C:$I,Ajustes!N$1,FALSE)</f>
        <v>2475</v>
      </c>
      <c r="U119" s="419">
        <f>VLOOKUP($E119,Prevs!$C:$I,Ajustes!O$1,FALSE)+VLOOKUP($F119,Prevs!$C:$I,Ajustes!O$1,FALSE)</f>
        <v>2487</v>
      </c>
      <c r="V119" s="419">
        <f>VLOOKUP($E119,Prevs!$C:$I,Ajustes!P$1,FALSE)+VLOOKUP($F119,Prevs!$C:$I,Ajustes!P$1,FALSE)</f>
        <v>2463</v>
      </c>
      <c r="W119" s="419">
        <f t="shared" si="606"/>
        <v>374</v>
      </c>
      <c r="X119" s="419">
        <f t="shared" si="607"/>
        <v>326</v>
      </c>
      <c r="Y119" s="419">
        <f t="shared" si="608"/>
        <v>368</v>
      </c>
      <c r="Z119" s="419">
        <f t="shared" si="609"/>
        <v>367</v>
      </c>
      <c r="AA119" s="419">
        <f t="shared" si="610"/>
        <v>302</v>
      </c>
      <c r="AB119" s="419">
        <f t="shared" si="611"/>
        <v>250</v>
      </c>
      <c r="AC119" s="417">
        <f>VLOOKUP($J119,Fatores!$G$1:$J$5,2,FALSE)</f>
        <v>1.5531612828314754</v>
      </c>
      <c r="AD119" s="417">
        <f>VLOOKUP($C119,Fatores!$A:$D,2,FALSE)</f>
        <v>1</v>
      </c>
      <c r="AE119" s="420">
        <f t="shared" si="290"/>
        <v>580.88231977897181</v>
      </c>
      <c r="AF119" s="420">
        <f t="shared" si="291"/>
        <v>506.33057820306095</v>
      </c>
      <c r="AG119" s="420">
        <f t="shared" si="292"/>
        <v>571.56335208198288</v>
      </c>
      <c r="AH119" s="420">
        <f t="shared" si="293"/>
        <v>570.01019079915147</v>
      </c>
      <c r="AI119" s="420">
        <f t="shared" si="294"/>
        <v>469.05470741510555</v>
      </c>
      <c r="AJ119" s="420">
        <f t="shared" si="295"/>
        <v>388.29032070786883</v>
      </c>
      <c r="AK119" s="421">
        <f t="shared" si="636"/>
        <v>4637.7395905347848</v>
      </c>
      <c r="AL119" s="421">
        <f t="shared" si="636"/>
        <v>4589.5915907670096</v>
      </c>
      <c r="AM119" s="421">
        <f t="shared" si="636"/>
        <v>4510.3803653426048</v>
      </c>
      <c r="AN119" s="421">
        <f t="shared" si="636"/>
        <v>4414.0843658070526</v>
      </c>
      <c r="AO119" s="421">
        <f t="shared" si="636"/>
        <v>4331.7668178169843</v>
      </c>
      <c r="AP119" s="421">
        <f t="shared" si="636"/>
        <v>4213.7265603217929</v>
      </c>
      <c r="AQ119" s="417">
        <f>VLOOKUP($J119,Fatores!$G$1:$J$5,3,FALSE)</f>
        <v>1.3186317794730578</v>
      </c>
      <c r="AR119" s="417">
        <f>VLOOKUP($C119,Fatores!$A:$D,3,FALSE)</f>
        <v>1</v>
      </c>
      <c r="AS119" s="420">
        <f t="shared" si="297"/>
        <v>493.16828552292361</v>
      </c>
      <c r="AT119" s="420">
        <f t="shared" si="298"/>
        <v>429.87396010821681</v>
      </c>
      <c r="AU119" s="420">
        <f t="shared" si="299"/>
        <v>485.25649484608527</v>
      </c>
      <c r="AV119" s="420">
        <f t="shared" si="300"/>
        <v>483.93786306661218</v>
      </c>
      <c r="AW119" s="420">
        <f t="shared" si="301"/>
        <v>398.22679740086346</v>
      </c>
      <c r="AX119" s="420">
        <f t="shared" si="302"/>
        <v>329.65794486826445</v>
      </c>
      <c r="AY119" s="421">
        <f t="shared" si="637"/>
        <v>3937.4344935065506</v>
      </c>
      <c r="AZ119" s="421">
        <f t="shared" si="637"/>
        <v>3896.5569083428859</v>
      </c>
      <c r="BA119" s="421">
        <f t="shared" si="637"/>
        <v>3829.3066875897603</v>
      </c>
      <c r="BB119" s="421">
        <f t="shared" si="637"/>
        <v>3747.5515172624305</v>
      </c>
      <c r="BC119" s="421">
        <f t="shared" si="637"/>
        <v>3677.6640329503584</v>
      </c>
      <c r="BD119" s="421">
        <f t="shared" si="637"/>
        <v>3577.448017710406</v>
      </c>
      <c r="BE119" s="417">
        <f>VLOOKUP($J119,Fatores!$G$1:$J$5,4,FALSE)</f>
        <v>1</v>
      </c>
      <c r="BF119" s="417">
        <f>VLOOKUP($C119,Fatores!$A:$D,4,FALSE)</f>
        <v>1</v>
      </c>
      <c r="BG119" s="420">
        <f t="shared" si="304"/>
        <v>374</v>
      </c>
      <c r="BH119" s="420">
        <f t="shared" si="305"/>
        <v>326</v>
      </c>
      <c r="BI119" s="420">
        <f t="shared" si="306"/>
        <v>368</v>
      </c>
      <c r="BJ119" s="420">
        <f t="shared" si="307"/>
        <v>367</v>
      </c>
      <c r="BK119" s="420">
        <f t="shared" si="308"/>
        <v>302</v>
      </c>
      <c r="BL119" s="420">
        <f t="shared" si="309"/>
        <v>250</v>
      </c>
      <c r="BM119" s="421">
        <f t="shared" si="638"/>
        <v>2986</v>
      </c>
      <c r="BN119" s="421">
        <f t="shared" si="638"/>
        <v>2955</v>
      </c>
      <c r="BO119" s="421">
        <f t="shared" si="638"/>
        <v>2904</v>
      </c>
      <c r="BP119" s="421">
        <f t="shared" si="638"/>
        <v>2842</v>
      </c>
      <c r="BQ119" s="421">
        <f t="shared" si="638"/>
        <v>2789</v>
      </c>
      <c r="BR119" s="421">
        <f t="shared" si="638"/>
        <v>2713</v>
      </c>
    </row>
    <row r="120" spans="1:70" x14ac:dyDescent="0.25">
      <c r="A120" s="431">
        <v>246</v>
      </c>
      <c r="B120" s="424"/>
      <c r="C120" s="424" t="s">
        <v>29</v>
      </c>
      <c r="D120" s="437" t="s">
        <v>426</v>
      </c>
      <c r="E120" s="444">
        <v>245</v>
      </c>
      <c r="F120" s="424"/>
      <c r="G120" s="424"/>
      <c r="H120" s="424"/>
      <c r="I120" s="432"/>
      <c r="J120" s="440">
        <v>1</v>
      </c>
      <c r="K120" s="419">
        <f>VLOOKUP($A120,Prevs!$C:$I,Ajustes!K$1,FALSE)</f>
        <v>3764</v>
      </c>
      <c r="L120" s="419">
        <f>VLOOKUP($A120,Prevs!$C:$I,Ajustes!L$1,FALSE)</f>
        <v>3742</v>
      </c>
      <c r="M120" s="419">
        <f>VLOOKUP($A120,Prevs!$C:$I,Ajustes!M$1,FALSE)</f>
        <v>3719</v>
      </c>
      <c r="N120" s="419">
        <f>VLOOKUP($A120,Prevs!$C:$I,Ajustes!N$1,FALSE)</f>
        <v>3577</v>
      </c>
      <c r="O120" s="419">
        <f>VLOOKUP($A120,Prevs!$C:$I,Ajustes!O$1,FALSE)</f>
        <v>3493</v>
      </c>
      <c r="P120" s="419">
        <f>VLOOKUP($A120,Prevs!$C:$I,Ajustes!P$1,FALSE)</f>
        <v>3456</v>
      </c>
      <c r="Q120" s="419">
        <f>VLOOKUP($E120,Prevs!$C:$I,Ajustes!K$1,FALSE)</f>
        <v>2986</v>
      </c>
      <c r="R120" s="419">
        <f>VLOOKUP($E120,Prevs!$C:$I,Ajustes!L$1,FALSE)</f>
        <v>2955</v>
      </c>
      <c r="S120" s="419">
        <f>VLOOKUP($E120,Prevs!$C:$I,Ajustes!M$1,FALSE)</f>
        <v>2904</v>
      </c>
      <c r="T120" s="419">
        <f>VLOOKUP($E120,Prevs!$C:$I,Ajustes!N$1,FALSE)</f>
        <v>2842</v>
      </c>
      <c r="U120" s="419">
        <f>VLOOKUP($E120,Prevs!$C:$I,Ajustes!O$1,FALSE)</f>
        <v>2789</v>
      </c>
      <c r="V120" s="419">
        <f>VLOOKUP($E120,Prevs!$C:$I,Ajustes!P$1,FALSE)</f>
        <v>2713</v>
      </c>
      <c r="W120" s="419">
        <f t="shared" si="606"/>
        <v>778</v>
      </c>
      <c r="X120" s="419">
        <f t="shared" si="607"/>
        <v>787</v>
      </c>
      <c r="Y120" s="419">
        <f t="shared" si="608"/>
        <v>815</v>
      </c>
      <c r="Z120" s="419">
        <f t="shared" si="609"/>
        <v>735</v>
      </c>
      <c r="AA120" s="419">
        <f t="shared" si="610"/>
        <v>704</v>
      </c>
      <c r="AB120" s="419">
        <f t="shared" si="611"/>
        <v>743</v>
      </c>
      <c r="AC120" s="417">
        <f>VLOOKUP($J120,Fatores!$G$1:$J$5,2,FALSE)</f>
        <v>1.5531612828314754</v>
      </c>
      <c r="AD120" s="417">
        <f>VLOOKUP($C120,Fatores!$A:$D,2,FALSE)</f>
        <v>1</v>
      </c>
      <c r="AE120" s="420">
        <f t="shared" si="290"/>
        <v>1208.3594780428878</v>
      </c>
      <c r="AF120" s="420">
        <f t="shared" si="291"/>
        <v>1222.337929588371</v>
      </c>
      <c r="AG120" s="420">
        <f t="shared" si="292"/>
        <v>1265.8264455076524</v>
      </c>
      <c r="AH120" s="420">
        <f t="shared" si="293"/>
        <v>1141.5735428811345</v>
      </c>
      <c r="AI120" s="420">
        <f t="shared" si="294"/>
        <v>1093.4255431133586</v>
      </c>
      <c r="AJ120" s="420">
        <f t="shared" si="295"/>
        <v>1153.9988331437862</v>
      </c>
      <c r="AK120" s="421">
        <f t="shared" ref="AK120:AP120" si="639">AE120+VLOOKUP($E120,$A:$BR,AK$1,FALSE)</f>
        <v>5846.0990685776724</v>
      </c>
      <c r="AL120" s="421">
        <f t="shared" si="639"/>
        <v>5811.9295203553811</v>
      </c>
      <c r="AM120" s="421">
        <f t="shared" si="639"/>
        <v>5776.2068108502572</v>
      </c>
      <c r="AN120" s="421">
        <f t="shared" si="639"/>
        <v>5555.6579086881866</v>
      </c>
      <c r="AO120" s="421">
        <f t="shared" si="639"/>
        <v>5425.1923609303431</v>
      </c>
      <c r="AP120" s="421">
        <f t="shared" si="639"/>
        <v>5367.7253934655791</v>
      </c>
      <c r="AQ120" s="417">
        <f>VLOOKUP($J120,Fatores!$G$1:$J$5,3,FALSE)</f>
        <v>1.3186317794730578</v>
      </c>
      <c r="AR120" s="417">
        <f>VLOOKUP($C120,Fatores!$A:$D,3,FALSE)</f>
        <v>1</v>
      </c>
      <c r="AS120" s="420">
        <f t="shared" si="297"/>
        <v>1025.8955244300389</v>
      </c>
      <c r="AT120" s="420">
        <f t="shared" si="298"/>
        <v>1037.7632104452964</v>
      </c>
      <c r="AU120" s="420">
        <f t="shared" si="299"/>
        <v>1074.6849002705421</v>
      </c>
      <c r="AV120" s="420">
        <f t="shared" si="300"/>
        <v>969.19435791269746</v>
      </c>
      <c r="AW120" s="420">
        <f t="shared" si="301"/>
        <v>928.31677274903268</v>
      </c>
      <c r="AX120" s="420">
        <f t="shared" si="302"/>
        <v>979.74341214848187</v>
      </c>
      <c r="AY120" s="421">
        <f t="shared" ref="AY120:BD120" si="640">AS120+VLOOKUP($E120,$A:$BR,AY$1,FALSE)</f>
        <v>4963.3300179365897</v>
      </c>
      <c r="AZ120" s="421">
        <f t="shared" si="640"/>
        <v>4934.3201187881823</v>
      </c>
      <c r="BA120" s="421">
        <f t="shared" si="640"/>
        <v>4903.9915878603024</v>
      </c>
      <c r="BB120" s="421">
        <f t="shared" si="640"/>
        <v>4716.7458751751283</v>
      </c>
      <c r="BC120" s="421">
        <f t="shared" si="640"/>
        <v>4605.9808056993916</v>
      </c>
      <c r="BD120" s="421">
        <f t="shared" si="640"/>
        <v>4557.1914298588881</v>
      </c>
      <c r="BE120" s="417">
        <f>VLOOKUP($J120,Fatores!$G$1:$J$5,4,FALSE)</f>
        <v>1</v>
      </c>
      <c r="BF120" s="417">
        <f>VLOOKUP($C120,Fatores!$A:$D,4,FALSE)</f>
        <v>1</v>
      </c>
      <c r="BG120" s="420">
        <f t="shared" si="304"/>
        <v>778</v>
      </c>
      <c r="BH120" s="420">
        <f t="shared" si="305"/>
        <v>787</v>
      </c>
      <c r="BI120" s="420">
        <f t="shared" si="306"/>
        <v>815</v>
      </c>
      <c r="BJ120" s="420">
        <f t="shared" si="307"/>
        <v>735</v>
      </c>
      <c r="BK120" s="420">
        <f t="shared" si="308"/>
        <v>704</v>
      </c>
      <c r="BL120" s="420">
        <f t="shared" si="309"/>
        <v>743</v>
      </c>
      <c r="BM120" s="421">
        <f t="shared" ref="BM120:BR120" si="641">BG120+VLOOKUP($E120,$A:$BR,BM$1,FALSE)</f>
        <v>3764</v>
      </c>
      <c r="BN120" s="421">
        <f t="shared" si="641"/>
        <v>3742</v>
      </c>
      <c r="BO120" s="421">
        <f t="shared" si="641"/>
        <v>3719</v>
      </c>
      <c r="BP120" s="421">
        <f t="shared" si="641"/>
        <v>3577</v>
      </c>
      <c r="BQ120" s="421">
        <f t="shared" si="641"/>
        <v>3493</v>
      </c>
      <c r="BR120" s="421">
        <f t="shared" si="641"/>
        <v>3456</v>
      </c>
    </row>
    <row r="121" spans="1:70" x14ac:dyDescent="0.25">
      <c r="A121" s="431">
        <v>247</v>
      </c>
      <c r="B121" s="424"/>
      <c r="C121" s="424" t="s">
        <v>23</v>
      </c>
      <c r="D121" s="437" t="s">
        <v>543</v>
      </c>
      <c r="E121" s="431"/>
      <c r="F121" s="424"/>
      <c r="G121" s="424"/>
      <c r="H121" s="424"/>
      <c r="I121" s="432"/>
      <c r="J121" s="440">
        <v>1</v>
      </c>
      <c r="K121" s="419">
        <f>VLOOKUP($A121,Prevs!$C:$I,Ajustes!K$1,FALSE)</f>
        <v>111</v>
      </c>
      <c r="L121" s="419">
        <f>VLOOKUP($A121,Prevs!$C:$I,Ajustes!L$1,FALSE)</f>
        <v>108</v>
      </c>
      <c r="M121" s="419">
        <f>VLOOKUP($A121,Prevs!$C:$I,Ajustes!M$1,FALSE)</f>
        <v>108</v>
      </c>
      <c r="N121" s="419">
        <f>VLOOKUP($A121,Prevs!$C:$I,Ajustes!N$1,FALSE)</f>
        <v>104</v>
      </c>
      <c r="O121" s="419">
        <f>VLOOKUP($A121,Prevs!$C:$I,Ajustes!O$1,FALSE)</f>
        <v>102</v>
      </c>
      <c r="P121" s="419">
        <f>VLOOKUP($A121,Prevs!$C:$I,Ajustes!P$1,FALSE)</f>
        <v>96</v>
      </c>
      <c r="Q121" s="419">
        <v>0</v>
      </c>
      <c r="R121" s="419">
        <v>0</v>
      </c>
      <c r="S121" s="419">
        <v>0</v>
      </c>
      <c r="T121" s="419">
        <v>0</v>
      </c>
      <c r="U121" s="419">
        <v>0</v>
      </c>
      <c r="V121" s="419">
        <v>0</v>
      </c>
      <c r="W121" s="419">
        <f t="shared" ref="W121:AB121" si="642">K121-Q121</f>
        <v>111</v>
      </c>
      <c r="X121" s="419">
        <f t="shared" si="642"/>
        <v>108</v>
      </c>
      <c r="Y121" s="419">
        <f t="shared" si="642"/>
        <v>108</v>
      </c>
      <c r="Z121" s="419">
        <f t="shared" si="642"/>
        <v>104</v>
      </c>
      <c r="AA121" s="419">
        <f t="shared" si="642"/>
        <v>102</v>
      </c>
      <c r="AB121" s="419">
        <f t="shared" si="642"/>
        <v>96</v>
      </c>
      <c r="AC121" s="417">
        <f>VLOOKUP($J121,Fatores!$G$1:$J$5,2,FALSE)</f>
        <v>1.5531612828314754</v>
      </c>
      <c r="AD121" s="417">
        <f>VLOOKUP($C121,Fatores!$A:$D,2,FALSE)</f>
        <v>1</v>
      </c>
      <c r="AE121" s="420">
        <f t="shared" si="290"/>
        <v>172.40090239429375</v>
      </c>
      <c r="AF121" s="420">
        <f t="shared" si="291"/>
        <v>167.74141854579935</v>
      </c>
      <c r="AG121" s="420">
        <f t="shared" si="292"/>
        <v>167.74141854579935</v>
      </c>
      <c r="AH121" s="420">
        <f t="shared" si="293"/>
        <v>161.52877341447345</v>
      </c>
      <c r="AI121" s="420">
        <f t="shared" si="294"/>
        <v>158.42245084881048</v>
      </c>
      <c r="AJ121" s="420">
        <f t="shared" si="295"/>
        <v>149.10348315182165</v>
      </c>
      <c r="AK121" s="421">
        <f t="shared" ref="AK121:AP121" si="643">AE121</f>
        <v>172.40090239429375</v>
      </c>
      <c r="AL121" s="421">
        <f t="shared" si="643"/>
        <v>167.74141854579935</v>
      </c>
      <c r="AM121" s="421">
        <f t="shared" si="643"/>
        <v>167.74141854579935</v>
      </c>
      <c r="AN121" s="421">
        <f t="shared" si="643"/>
        <v>161.52877341447345</v>
      </c>
      <c r="AO121" s="421">
        <f t="shared" si="643"/>
        <v>158.42245084881048</v>
      </c>
      <c r="AP121" s="421">
        <f t="shared" si="643"/>
        <v>149.10348315182165</v>
      </c>
      <c r="AQ121" s="417">
        <f>VLOOKUP($J121,Fatores!$G$1:$J$5,3,FALSE)</f>
        <v>1.3186317794730578</v>
      </c>
      <c r="AR121" s="417">
        <f>VLOOKUP($C121,Fatores!$A:$D,3,FALSE)</f>
        <v>1</v>
      </c>
      <c r="AS121" s="420">
        <f t="shared" si="297"/>
        <v>146.36812752150942</v>
      </c>
      <c r="AT121" s="420">
        <f t="shared" si="298"/>
        <v>142.41223218309023</v>
      </c>
      <c r="AU121" s="420">
        <f t="shared" si="299"/>
        <v>142.41223218309023</v>
      </c>
      <c r="AV121" s="420">
        <f t="shared" si="300"/>
        <v>137.13770506519802</v>
      </c>
      <c r="AW121" s="420">
        <f t="shared" si="301"/>
        <v>134.50044150625189</v>
      </c>
      <c r="AX121" s="420">
        <f t="shared" si="302"/>
        <v>126.58865082941355</v>
      </c>
      <c r="AY121" s="421">
        <f t="shared" ref="AY121" si="644">AS121</f>
        <v>146.36812752150942</v>
      </c>
      <c r="AZ121" s="421">
        <f t="shared" ref="AZ121" si="645">AT121</f>
        <v>142.41223218309023</v>
      </c>
      <c r="BA121" s="421">
        <f t="shared" ref="BA121" si="646">AU121</f>
        <v>142.41223218309023</v>
      </c>
      <c r="BB121" s="421">
        <f t="shared" ref="BB121" si="647">AV121</f>
        <v>137.13770506519802</v>
      </c>
      <c r="BC121" s="421">
        <f t="shared" ref="BC121" si="648">AW121</f>
        <v>134.50044150625189</v>
      </c>
      <c r="BD121" s="421">
        <f t="shared" ref="BD121" si="649">AX121</f>
        <v>126.58865082941355</v>
      </c>
      <c r="BE121" s="417">
        <f>VLOOKUP($J121,Fatores!$G$1:$J$5,4,FALSE)</f>
        <v>1</v>
      </c>
      <c r="BF121" s="417">
        <f>VLOOKUP($C121,Fatores!$A:$D,4,FALSE)</f>
        <v>1</v>
      </c>
      <c r="BG121" s="420">
        <f t="shared" si="304"/>
        <v>111</v>
      </c>
      <c r="BH121" s="420">
        <f t="shared" si="305"/>
        <v>108</v>
      </c>
      <c r="BI121" s="420">
        <f t="shared" si="306"/>
        <v>108</v>
      </c>
      <c r="BJ121" s="420">
        <f t="shared" si="307"/>
        <v>104</v>
      </c>
      <c r="BK121" s="420">
        <f t="shared" si="308"/>
        <v>102</v>
      </c>
      <c r="BL121" s="420">
        <f t="shared" si="309"/>
        <v>96</v>
      </c>
      <c r="BM121" s="421">
        <f t="shared" ref="BM121" si="650">BG121</f>
        <v>111</v>
      </c>
      <c r="BN121" s="421">
        <f t="shared" ref="BN121" si="651">BH121</f>
        <v>108</v>
      </c>
      <c r="BO121" s="421">
        <f t="shared" ref="BO121" si="652">BI121</f>
        <v>108</v>
      </c>
      <c r="BP121" s="421">
        <f t="shared" ref="BP121" si="653">BJ121</f>
        <v>104</v>
      </c>
      <c r="BQ121" s="421">
        <f t="shared" ref="BQ121" si="654">BK121</f>
        <v>102</v>
      </c>
      <c r="BR121" s="421">
        <f t="shared" ref="BR121" si="655">BL121</f>
        <v>96</v>
      </c>
    </row>
    <row r="122" spans="1:70" x14ac:dyDescent="0.25">
      <c r="A122" s="431">
        <v>248</v>
      </c>
      <c r="B122" s="424"/>
      <c r="C122" s="424" t="s">
        <v>23</v>
      </c>
      <c r="D122" s="437" t="s">
        <v>543</v>
      </c>
      <c r="E122" s="444">
        <v>247</v>
      </c>
      <c r="F122" s="424"/>
      <c r="G122" s="424"/>
      <c r="H122" s="424"/>
      <c r="I122" s="432"/>
      <c r="J122" s="440">
        <v>1</v>
      </c>
      <c r="K122" s="419">
        <f>VLOOKUP($A122,Prevs!$C:$I,Ajustes!K$1,FALSE)</f>
        <v>117</v>
      </c>
      <c r="L122" s="419">
        <f>VLOOKUP($A122,Prevs!$C:$I,Ajustes!L$1,FALSE)</f>
        <v>113</v>
      </c>
      <c r="M122" s="419">
        <f>VLOOKUP($A122,Prevs!$C:$I,Ajustes!M$1,FALSE)</f>
        <v>112</v>
      </c>
      <c r="N122" s="419">
        <f>VLOOKUP($A122,Prevs!$C:$I,Ajustes!N$1,FALSE)</f>
        <v>108</v>
      </c>
      <c r="O122" s="419">
        <f>VLOOKUP($A122,Prevs!$C:$I,Ajustes!O$1,FALSE)</f>
        <v>106</v>
      </c>
      <c r="P122" s="419">
        <f>VLOOKUP($A122,Prevs!$C:$I,Ajustes!P$1,FALSE)</f>
        <v>100</v>
      </c>
      <c r="Q122" s="419">
        <f>VLOOKUP($E122,Prevs!$C:$I,Ajustes!K$1,FALSE)</f>
        <v>111</v>
      </c>
      <c r="R122" s="419">
        <f>VLOOKUP($E122,Prevs!$C:$I,Ajustes!L$1,FALSE)</f>
        <v>108</v>
      </c>
      <c r="S122" s="419">
        <f>VLOOKUP($E122,Prevs!$C:$I,Ajustes!M$1,FALSE)</f>
        <v>108</v>
      </c>
      <c r="T122" s="419">
        <f>VLOOKUP($E122,Prevs!$C:$I,Ajustes!N$1,FALSE)</f>
        <v>104</v>
      </c>
      <c r="U122" s="419">
        <f>VLOOKUP($E122,Prevs!$C:$I,Ajustes!O$1,FALSE)</f>
        <v>102</v>
      </c>
      <c r="V122" s="419">
        <f>VLOOKUP($E122,Prevs!$C:$I,Ajustes!P$1,FALSE)</f>
        <v>96</v>
      </c>
      <c r="W122" s="419">
        <f t="shared" ref="W122:W126" si="656">K122-Q122</f>
        <v>6</v>
      </c>
      <c r="X122" s="419">
        <f t="shared" ref="X122:X126" si="657">L122-R122</f>
        <v>5</v>
      </c>
      <c r="Y122" s="419">
        <f t="shared" ref="Y122:Y126" si="658">M122-S122</f>
        <v>4</v>
      </c>
      <c r="Z122" s="419">
        <f t="shared" ref="Z122:Z126" si="659">N122-T122</f>
        <v>4</v>
      </c>
      <c r="AA122" s="419">
        <f t="shared" ref="AA122:AA126" si="660">O122-U122</f>
        <v>4</v>
      </c>
      <c r="AB122" s="419">
        <f t="shared" ref="AB122:AB126" si="661">P122-V122</f>
        <v>4</v>
      </c>
      <c r="AC122" s="417">
        <f>VLOOKUP($J122,Fatores!$G$1:$J$5,2,FALSE)</f>
        <v>1.5531612828314754</v>
      </c>
      <c r="AD122" s="417">
        <f>VLOOKUP($C122,Fatores!$A:$D,2,FALSE)</f>
        <v>1</v>
      </c>
      <c r="AE122" s="420">
        <f t="shared" si="290"/>
        <v>9.3189676969888531</v>
      </c>
      <c r="AF122" s="420">
        <f t="shared" si="291"/>
        <v>7.7658064141573764</v>
      </c>
      <c r="AG122" s="420">
        <f t="shared" si="292"/>
        <v>6.2126451313259015</v>
      </c>
      <c r="AH122" s="420">
        <f t="shared" si="293"/>
        <v>6.2126451313259015</v>
      </c>
      <c r="AI122" s="420">
        <f t="shared" si="294"/>
        <v>6.2126451313259015</v>
      </c>
      <c r="AJ122" s="420">
        <f t="shared" si="295"/>
        <v>6.2126451313259015</v>
      </c>
      <c r="AK122" s="421">
        <f t="shared" ref="AK122:AP126" si="662">AE122+VLOOKUP($E122,$A:$BR,AK$1,FALSE)</f>
        <v>181.71987009128262</v>
      </c>
      <c r="AL122" s="421">
        <f t="shared" si="662"/>
        <v>175.50722495995672</v>
      </c>
      <c r="AM122" s="421">
        <f t="shared" si="662"/>
        <v>173.95406367712525</v>
      </c>
      <c r="AN122" s="421">
        <f t="shared" si="662"/>
        <v>167.74141854579935</v>
      </c>
      <c r="AO122" s="421">
        <f t="shared" si="662"/>
        <v>164.63509598013638</v>
      </c>
      <c r="AP122" s="421">
        <f t="shared" si="662"/>
        <v>155.31612828314755</v>
      </c>
      <c r="AQ122" s="417">
        <f>VLOOKUP($J122,Fatores!$G$1:$J$5,3,FALSE)</f>
        <v>1.3186317794730578</v>
      </c>
      <c r="AR122" s="417">
        <f>VLOOKUP($C122,Fatores!$A:$D,3,FALSE)</f>
        <v>1</v>
      </c>
      <c r="AS122" s="420">
        <f t="shared" si="297"/>
        <v>7.911790676838347</v>
      </c>
      <c r="AT122" s="420">
        <f t="shared" si="298"/>
        <v>6.5931588973652886</v>
      </c>
      <c r="AU122" s="420">
        <f t="shared" si="299"/>
        <v>5.2745271178922311</v>
      </c>
      <c r="AV122" s="420">
        <f t="shared" si="300"/>
        <v>5.2745271178922311</v>
      </c>
      <c r="AW122" s="420">
        <f t="shared" si="301"/>
        <v>5.2745271178922311</v>
      </c>
      <c r="AX122" s="420">
        <f t="shared" si="302"/>
        <v>5.2745271178922311</v>
      </c>
      <c r="AY122" s="421">
        <f t="shared" ref="AY122:BD126" si="663">AS122+VLOOKUP($E122,$A:$BR,AY$1,FALSE)</f>
        <v>154.27991819834776</v>
      </c>
      <c r="AZ122" s="421">
        <f t="shared" si="663"/>
        <v>149.00539108045552</v>
      </c>
      <c r="BA122" s="421">
        <f t="shared" si="663"/>
        <v>147.68675930098246</v>
      </c>
      <c r="BB122" s="421">
        <f t="shared" si="663"/>
        <v>142.41223218309025</v>
      </c>
      <c r="BC122" s="421">
        <f t="shared" si="663"/>
        <v>139.77496862414412</v>
      </c>
      <c r="BD122" s="421">
        <f t="shared" si="663"/>
        <v>131.86317794730579</v>
      </c>
      <c r="BE122" s="417">
        <f>VLOOKUP($J122,Fatores!$G$1:$J$5,4,FALSE)</f>
        <v>1</v>
      </c>
      <c r="BF122" s="417">
        <f>VLOOKUP($C122,Fatores!$A:$D,4,FALSE)</f>
        <v>1</v>
      </c>
      <c r="BG122" s="420">
        <f t="shared" si="304"/>
        <v>6</v>
      </c>
      <c r="BH122" s="420">
        <f t="shared" si="305"/>
        <v>5</v>
      </c>
      <c r="BI122" s="420">
        <f t="shared" si="306"/>
        <v>4</v>
      </c>
      <c r="BJ122" s="420">
        <f t="shared" si="307"/>
        <v>4</v>
      </c>
      <c r="BK122" s="420">
        <f t="shared" si="308"/>
        <v>4</v>
      </c>
      <c r="BL122" s="420">
        <f t="shared" si="309"/>
        <v>4</v>
      </c>
      <c r="BM122" s="421">
        <f t="shared" ref="BM122:BR126" si="664">BG122+VLOOKUP($E122,$A:$BR,BM$1,FALSE)</f>
        <v>117</v>
      </c>
      <c r="BN122" s="421">
        <f t="shared" si="664"/>
        <v>113</v>
      </c>
      <c r="BO122" s="421">
        <f t="shared" si="664"/>
        <v>112</v>
      </c>
      <c r="BP122" s="421">
        <f t="shared" si="664"/>
        <v>108</v>
      </c>
      <c r="BQ122" s="421">
        <f t="shared" si="664"/>
        <v>106</v>
      </c>
      <c r="BR122" s="421">
        <f t="shared" si="664"/>
        <v>100</v>
      </c>
    </row>
    <row r="123" spans="1:70" x14ac:dyDescent="0.25">
      <c r="A123" s="431">
        <v>249</v>
      </c>
      <c r="B123" s="424"/>
      <c r="C123" s="424" t="s">
        <v>25</v>
      </c>
      <c r="D123" s="437" t="s">
        <v>442</v>
      </c>
      <c r="E123" s="444">
        <v>49</v>
      </c>
      <c r="F123" s="424"/>
      <c r="G123" s="424"/>
      <c r="H123" s="424"/>
      <c r="I123" s="432"/>
      <c r="J123" s="440">
        <v>1</v>
      </c>
      <c r="K123" s="419">
        <f>VLOOKUP($A123,Prevs!$C:$I,Ajustes!K$1,FALSE)</f>
        <v>256</v>
      </c>
      <c r="L123" s="419">
        <f>VLOOKUP($A123,Prevs!$C:$I,Ajustes!L$1,FALSE)</f>
        <v>275</v>
      </c>
      <c r="M123" s="419">
        <f>VLOOKUP($A123,Prevs!$C:$I,Ajustes!M$1,FALSE)</f>
        <v>266</v>
      </c>
      <c r="N123" s="419">
        <f>VLOOKUP($A123,Prevs!$C:$I,Ajustes!N$1,FALSE)</f>
        <v>261</v>
      </c>
      <c r="O123" s="419">
        <f>VLOOKUP($A123,Prevs!$C:$I,Ajustes!O$1,FALSE)</f>
        <v>256</v>
      </c>
      <c r="P123" s="419">
        <f>VLOOKUP($A123,Prevs!$C:$I,Ajustes!P$1,FALSE)</f>
        <v>238</v>
      </c>
      <c r="Q123" s="419">
        <f>VLOOKUP($E123,Prevs!$C:$I,Ajustes!K$1,FALSE)</f>
        <v>253</v>
      </c>
      <c r="R123" s="419">
        <f>VLOOKUP($E123,Prevs!$C:$I,Ajustes!L$1,FALSE)</f>
        <v>271</v>
      </c>
      <c r="S123" s="419">
        <f>VLOOKUP($E123,Prevs!$C:$I,Ajustes!M$1,FALSE)</f>
        <v>262</v>
      </c>
      <c r="T123" s="419">
        <f>VLOOKUP($E123,Prevs!$C:$I,Ajustes!N$1,FALSE)</f>
        <v>258</v>
      </c>
      <c r="U123" s="419">
        <f>VLOOKUP($E123,Prevs!$C:$I,Ajustes!O$1,FALSE)</f>
        <v>253</v>
      </c>
      <c r="V123" s="419">
        <f>VLOOKUP($E123,Prevs!$C:$I,Ajustes!P$1,FALSE)</f>
        <v>234</v>
      </c>
      <c r="W123" s="419">
        <f t="shared" si="656"/>
        <v>3</v>
      </c>
      <c r="X123" s="419">
        <f t="shared" si="657"/>
        <v>4</v>
      </c>
      <c r="Y123" s="419">
        <f t="shared" si="658"/>
        <v>4</v>
      </c>
      <c r="Z123" s="419">
        <f t="shared" si="659"/>
        <v>3</v>
      </c>
      <c r="AA123" s="419">
        <f t="shared" si="660"/>
        <v>3</v>
      </c>
      <c r="AB123" s="419">
        <f t="shared" si="661"/>
        <v>4</v>
      </c>
      <c r="AC123" s="417">
        <f>VLOOKUP($J123,Fatores!$G$1:$J$5,2,FALSE)</f>
        <v>1.5531612828314754</v>
      </c>
      <c r="AD123" s="417">
        <f>VLOOKUP($C123,Fatores!$A:$D,2,FALSE)</f>
        <v>1</v>
      </c>
      <c r="AE123" s="420">
        <f t="shared" si="290"/>
        <v>4.6594838484944265</v>
      </c>
      <c r="AF123" s="420">
        <f t="shared" si="291"/>
        <v>6.2126451313259015</v>
      </c>
      <c r="AG123" s="420">
        <f t="shared" si="292"/>
        <v>6.2126451313259015</v>
      </c>
      <c r="AH123" s="420">
        <f t="shared" si="293"/>
        <v>4.6594838484944265</v>
      </c>
      <c r="AI123" s="420">
        <f t="shared" si="294"/>
        <v>4.6594838484944265</v>
      </c>
      <c r="AJ123" s="420">
        <f t="shared" si="295"/>
        <v>6.2126451313259015</v>
      </c>
      <c r="AK123" s="421">
        <f t="shared" si="662"/>
        <v>397.60928840485764</v>
      </c>
      <c r="AL123" s="421">
        <f t="shared" si="662"/>
        <v>427.11935277865581</v>
      </c>
      <c r="AM123" s="421">
        <f t="shared" si="662"/>
        <v>413.14090123317249</v>
      </c>
      <c r="AN123" s="421">
        <f t="shared" si="662"/>
        <v>405.37509481901509</v>
      </c>
      <c r="AO123" s="421">
        <f t="shared" si="662"/>
        <v>397.60928840485764</v>
      </c>
      <c r="AP123" s="421">
        <f t="shared" si="662"/>
        <v>369.65238531389116</v>
      </c>
      <c r="AQ123" s="417">
        <f>VLOOKUP($J123,Fatores!$G$1:$J$5,3,FALSE)</f>
        <v>1.3186317794730578</v>
      </c>
      <c r="AR123" s="417">
        <f>VLOOKUP($C123,Fatores!$A:$D,3,FALSE)</f>
        <v>1</v>
      </c>
      <c r="AS123" s="420">
        <f t="shared" si="297"/>
        <v>3.9558953384191735</v>
      </c>
      <c r="AT123" s="420">
        <f t="shared" si="298"/>
        <v>5.2745271178922311</v>
      </c>
      <c r="AU123" s="420">
        <f t="shared" si="299"/>
        <v>5.2745271178922311</v>
      </c>
      <c r="AV123" s="420">
        <f t="shared" si="300"/>
        <v>3.9558953384191735</v>
      </c>
      <c r="AW123" s="420">
        <f t="shared" si="301"/>
        <v>3.9558953384191735</v>
      </c>
      <c r="AX123" s="420">
        <f t="shared" si="302"/>
        <v>5.2745271178922311</v>
      </c>
      <c r="AY123" s="421">
        <f t="shared" si="663"/>
        <v>337.56973554510279</v>
      </c>
      <c r="AZ123" s="421">
        <f t="shared" si="663"/>
        <v>362.62373935509089</v>
      </c>
      <c r="BA123" s="421">
        <f t="shared" si="663"/>
        <v>350.75605333983333</v>
      </c>
      <c r="BB123" s="421">
        <f t="shared" si="663"/>
        <v>344.16289444246809</v>
      </c>
      <c r="BC123" s="421">
        <f t="shared" si="663"/>
        <v>337.56973554510279</v>
      </c>
      <c r="BD123" s="421">
        <f t="shared" si="663"/>
        <v>313.83436351458772</v>
      </c>
      <c r="BE123" s="417">
        <f>VLOOKUP($J123,Fatores!$G$1:$J$5,4,FALSE)</f>
        <v>1</v>
      </c>
      <c r="BF123" s="417">
        <f>VLOOKUP($C123,Fatores!$A:$D,4,FALSE)</f>
        <v>1</v>
      </c>
      <c r="BG123" s="420">
        <f t="shared" si="304"/>
        <v>3</v>
      </c>
      <c r="BH123" s="420">
        <f t="shared" si="305"/>
        <v>4</v>
      </c>
      <c r="BI123" s="420">
        <f t="shared" si="306"/>
        <v>4</v>
      </c>
      <c r="BJ123" s="420">
        <f t="shared" si="307"/>
        <v>3</v>
      </c>
      <c r="BK123" s="420">
        <f t="shared" si="308"/>
        <v>3</v>
      </c>
      <c r="BL123" s="420">
        <f t="shared" si="309"/>
        <v>4</v>
      </c>
      <c r="BM123" s="421">
        <f t="shared" si="664"/>
        <v>256</v>
      </c>
      <c r="BN123" s="421">
        <f t="shared" si="664"/>
        <v>275</v>
      </c>
      <c r="BO123" s="421">
        <f t="shared" si="664"/>
        <v>266</v>
      </c>
      <c r="BP123" s="421">
        <f t="shared" si="664"/>
        <v>261</v>
      </c>
      <c r="BQ123" s="421">
        <f t="shared" si="664"/>
        <v>256</v>
      </c>
      <c r="BR123" s="421">
        <f t="shared" si="664"/>
        <v>238</v>
      </c>
    </row>
    <row r="124" spans="1:70" x14ac:dyDescent="0.25">
      <c r="A124" s="431">
        <v>251</v>
      </c>
      <c r="B124" s="424"/>
      <c r="C124" s="424" t="s">
        <v>23</v>
      </c>
      <c r="D124" s="437" t="s">
        <v>422</v>
      </c>
      <c r="E124" s="444">
        <v>22</v>
      </c>
      <c r="F124" s="424"/>
      <c r="G124" s="424"/>
      <c r="H124" s="424"/>
      <c r="I124" s="432"/>
      <c r="J124" s="440">
        <v>1</v>
      </c>
      <c r="K124" s="419">
        <f>VLOOKUP($A124,Prevs!$C:$I,Ajustes!K$1,FALSE)</f>
        <v>79</v>
      </c>
      <c r="L124" s="419">
        <f>VLOOKUP($A124,Prevs!$C:$I,Ajustes!L$1,FALSE)</f>
        <v>61</v>
      </c>
      <c r="M124" s="419">
        <f>VLOOKUP($A124,Prevs!$C:$I,Ajustes!M$1,FALSE)</f>
        <v>58</v>
      </c>
      <c r="N124" s="419">
        <f>VLOOKUP($A124,Prevs!$C:$I,Ajustes!N$1,FALSE)</f>
        <v>56</v>
      </c>
      <c r="O124" s="419">
        <f>VLOOKUP($A124,Prevs!$C:$I,Ajustes!O$1,FALSE)</f>
        <v>56</v>
      </c>
      <c r="P124" s="419">
        <f>VLOOKUP($A124,Prevs!$C:$I,Ajustes!P$1,FALSE)</f>
        <v>51</v>
      </c>
      <c r="Q124" s="419">
        <f>VLOOKUP($E124,Prevs!$C:$I,Ajustes!K$1,FALSE)</f>
        <v>40</v>
      </c>
      <c r="R124" s="419">
        <f>VLOOKUP($E124,Prevs!$C:$I,Ajustes!L$1,FALSE)</f>
        <v>39</v>
      </c>
      <c r="S124" s="419">
        <f>VLOOKUP($E124,Prevs!$C:$I,Ajustes!M$1,FALSE)</f>
        <v>36</v>
      </c>
      <c r="T124" s="419">
        <f>VLOOKUP($E124,Prevs!$C:$I,Ajustes!N$1,FALSE)</f>
        <v>35</v>
      </c>
      <c r="U124" s="419">
        <f>VLOOKUP($E124,Prevs!$C:$I,Ajustes!O$1,FALSE)</f>
        <v>35</v>
      </c>
      <c r="V124" s="419">
        <f>VLOOKUP($E124,Prevs!$C:$I,Ajustes!P$1,FALSE)</f>
        <v>32</v>
      </c>
      <c r="W124" s="419">
        <f t="shared" si="656"/>
        <v>39</v>
      </c>
      <c r="X124" s="419">
        <f t="shared" si="657"/>
        <v>22</v>
      </c>
      <c r="Y124" s="419">
        <f t="shared" si="658"/>
        <v>22</v>
      </c>
      <c r="Z124" s="419">
        <f t="shared" si="659"/>
        <v>21</v>
      </c>
      <c r="AA124" s="419">
        <f t="shared" si="660"/>
        <v>21</v>
      </c>
      <c r="AB124" s="419">
        <f t="shared" si="661"/>
        <v>19</v>
      </c>
      <c r="AC124" s="417">
        <f>VLOOKUP($J124,Fatores!$G$1:$J$5,2,FALSE)</f>
        <v>1.5531612828314754</v>
      </c>
      <c r="AD124" s="417">
        <f>VLOOKUP($C124,Fatores!$A:$D,2,FALSE)</f>
        <v>1</v>
      </c>
      <c r="AE124" s="420">
        <f t="shared" si="290"/>
        <v>60.573290030427536</v>
      </c>
      <c r="AF124" s="420">
        <f t="shared" si="291"/>
        <v>34.169548222292455</v>
      </c>
      <c r="AG124" s="420">
        <f t="shared" si="292"/>
        <v>34.169548222292455</v>
      </c>
      <c r="AH124" s="420">
        <f t="shared" si="293"/>
        <v>32.61638693946098</v>
      </c>
      <c r="AI124" s="420">
        <f t="shared" si="294"/>
        <v>32.61638693946098</v>
      </c>
      <c r="AJ124" s="420">
        <f t="shared" si="295"/>
        <v>29.510064373798031</v>
      </c>
      <c r="AK124" s="421">
        <f t="shared" si="662"/>
        <v>122.69974134368655</v>
      </c>
      <c r="AL124" s="421">
        <f t="shared" si="662"/>
        <v>94.742838252719991</v>
      </c>
      <c r="AM124" s="421">
        <f t="shared" si="662"/>
        <v>90.08335440422556</v>
      </c>
      <c r="AN124" s="421">
        <f t="shared" si="662"/>
        <v>86.977031838562624</v>
      </c>
      <c r="AO124" s="421">
        <f t="shared" si="662"/>
        <v>86.977031838562624</v>
      </c>
      <c r="AP124" s="421">
        <f t="shared" si="662"/>
        <v>79.211225424405242</v>
      </c>
      <c r="AQ124" s="417">
        <f>VLOOKUP($J124,Fatores!$G$1:$J$5,3,FALSE)</f>
        <v>1.3186317794730578</v>
      </c>
      <c r="AR124" s="417">
        <f>VLOOKUP($C124,Fatores!$A:$D,3,FALSE)</f>
        <v>1</v>
      </c>
      <c r="AS124" s="420">
        <f t="shared" si="297"/>
        <v>51.42663939944925</v>
      </c>
      <c r="AT124" s="420">
        <f t="shared" si="298"/>
        <v>29.009899148407271</v>
      </c>
      <c r="AU124" s="420">
        <f t="shared" si="299"/>
        <v>29.009899148407271</v>
      </c>
      <c r="AV124" s="420">
        <f t="shared" si="300"/>
        <v>27.691267368934213</v>
      </c>
      <c r="AW124" s="420">
        <f t="shared" si="301"/>
        <v>27.691267368934213</v>
      </c>
      <c r="AX124" s="420">
        <f t="shared" si="302"/>
        <v>25.054003809988096</v>
      </c>
      <c r="AY124" s="421">
        <f t="shared" si="663"/>
        <v>104.17191057837155</v>
      </c>
      <c r="AZ124" s="421">
        <f t="shared" si="663"/>
        <v>80.436538547856514</v>
      </c>
      <c r="BA124" s="421">
        <f t="shared" si="663"/>
        <v>76.480643209437346</v>
      </c>
      <c r="BB124" s="421">
        <f t="shared" si="663"/>
        <v>73.843379650491244</v>
      </c>
      <c r="BC124" s="421">
        <f t="shared" si="663"/>
        <v>73.843379650491244</v>
      </c>
      <c r="BD124" s="421">
        <f t="shared" si="663"/>
        <v>67.250220753125944</v>
      </c>
      <c r="BE124" s="417">
        <f>VLOOKUP($J124,Fatores!$G$1:$J$5,4,FALSE)</f>
        <v>1</v>
      </c>
      <c r="BF124" s="417">
        <f>VLOOKUP($C124,Fatores!$A:$D,4,FALSE)</f>
        <v>1</v>
      </c>
      <c r="BG124" s="420">
        <f t="shared" si="304"/>
        <v>39</v>
      </c>
      <c r="BH124" s="420">
        <f t="shared" si="305"/>
        <v>22</v>
      </c>
      <c r="BI124" s="420">
        <f t="shared" si="306"/>
        <v>22</v>
      </c>
      <c r="BJ124" s="420">
        <f t="shared" si="307"/>
        <v>21</v>
      </c>
      <c r="BK124" s="420">
        <f t="shared" si="308"/>
        <v>21</v>
      </c>
      <c r="BL124" s="420">
        <f t="shared" si="309"/>
        <v>19</v>
      </c>
      <c r="BM124" s="421">
        <f t="shared" si="664"/>
        <v>79</v>
      </c>
      <c r="BN124" s="421">
        <f t="shared" si="664"/>
        <v>61</v>
      </c>
      <c r="BO124" s="421">
        <f t="shared" si="664"/>
        <v>58</v>
      </c>
      <c r="BP124" s="421">
        <f t="shared" si="664"/>
        <v>56</v>
      </c>
      <c r="BQ124" s="421">
        <f t="shared" si="664"/>
        <v>56</v>
      </c>
      <c r="BR124" s="421">
        <f t="shared" si="664"/>
        <v>51</v>
      </c>
    </row>
    <row r="125" spans="1:70" x14ac:dyDescent="0.25">
      <c r="A125" s="431">
        <v>252</v>
      </c>
      <c r="B125" s="424"/>
      <c r="C125" s="424" t="s">
        <v>35</v>
      </c>
      <c r="D125" s="437" t="s">
        <v>548</v>
      </c>
      <c r="E125" s="444">
        <v>259</v>
      </c>
      <c r="F125" s="424"/>
      <c r="G125" s="424"/>
      <c r="H125" s="424"/>
      <c r="I125" s="432"/>
      <c r="J125" s="440">
        <v>1</v>
      </c>
      <c r="K125" s="419">
        <f>VLOOKUP($A125,Prevs!$C:$I,Ajustes!K$1,FALSE)</f>
        <v>70</v>
      </c>
      <c r="L125" s="419">
        <f>VLOOKUP($A125,Prevs!$C:$I,Ajustes!L$1,FALSE)</f>
        <v>65</v>
      </c>
      <c r="M125" s="419">
        <f>VLOOKUP($A125,Prevs!$C:$I,Ajustes!M$1,FALSE)</f>
        <v>63</v>
      </c>
      <c r="N125" s="419">
        <f>VLOOKUP($A125,Prevs!$C:$I,Ajustes!N$1,FALSE)</f>
        <v>61</v>
      </c>
      <c r="O125" s="419">
        <f>VLOOKUP($A125,Prevs!$C:$I,Ajustes!O$1,FALSE)</f>
        <v>61</v>
      </c>
      <c r="P125" s="419">
        <f>VLOOKUP($A125,Prevs!$C:$I,Ajustes!P$1,FALSE)</f>
        <v>59</v>
      </c>
      <c r="Q125" s="419">
        <f>VLOOKUP($E125,Prevs!$C:$I,Ajustes!K$1,FALSE)</f>
        <v>70</v>
      </c>
      <c r="R125" s="419">
        <f>VLOOKUP($E125,Prevs!$C:$I,Ajustes!L$1,FALSE)</f>
        <v>65</v>
      </c>
      <c r="S125" s="419">
        <f>VLOOKUP($E125,Prevs!$C:$I,Ajustes!M$1,FALSE)</f>
        <v>63</v>
      </c>
      <c r="T125" s="419">
        <f>VLOOKUP($E125,Prevs!$C:$I,Ajustes!N$1,FALSE)</f>
        <v>61</v>
      </c>
      <c r="U125" s="419">
        <f>VLOOKUP($E125,Prevs!$C:$I,Ajustes!O$1,FALSE)</f>
        <v>61</v>
      </c>
      <c r="V125" s="419">
        <f>VLOOKUP($E125,Prevs!$C:$I,Ajustes!P$1,FALSE)</f>
        <v>59</v>
      </c>
      <c r="W125" s="419">
        <f t="shared" si="656"/>
        <v>0</v>
      </c>
      <c r="X125" s="419">
        <f t="shared" si="657"/>
        <v>0</v>
      </c>
      <c r="Y125" s="419">
        <f t="shared" si="658"/>
        <v>0</v>
      </c>
      <c r="Z125" s="419">
        <f t="shared" si="659"/>
        <v>0</v>
      </c>
      <c r="AA125" s="419">
        <f t="shared" si="660"/>
        <v>0</v>
      </c>
      <c r="AB125" s="419">
        <f t="shared" si="661"/>
        <v>0</v>
      </c>
      <c r="AC125" s="417">
        <f>VLOOKUP($J125,Fatores!$G$1:$J$5,2,FALSE)</f>
        <v>1.5531612828314754</v>
      </c>
      <c r="AD125" s="417">
        <f>VLOOKUP($C125,Fatores!$A:$D,2,FALSE)</f>
        <v>1</v>
      </c>
      <c r="AE125" s="420">
        <f t="shared" si="290"/>
        <v>0</v>
      </c>
      <c r="AF125" s="420">
        <f t="shared" si="291"/>
        <v>0</v>
      </c>
      <c r="AG125" s="420">
        <f t="shared" si="292"/>
        <v>0</v>
      </c>
      <c r="AH125" s="420">
        <f t="shared" si="293"/>
        <v>0</v>
      </c>
      <c r="AI125" s="420">
        <f t="shared" si="294"/>
        <v>0</v>
      </c>
      <c r="AJ125" s="420">
        <f t="shared" si="295"/>
        <v>0</v>
      </c>
      <c r="AK125" s="421">
        <f t="shared" si="662"/>
        <v>108.72128979820327</v>
      </c>
      <c r="AL125" s="421">
        <f t="shared" si="662"/>
        <v>100.95548338404591</v>
      </c>
      <c r="AM125" s="421">
        <f t="shared" si="662"/>
        <v>97.849160818382941</v>
      </c>
      <c r="AN125" s="421">
        <f t="shared" si="662"/>
        <v>94.742838252719991</v>
      </c>
      <c r="AO125" s="421">
        <f t="shared" si="662"/>
        <v>94.742838252719991</v>
      </c>
      <c r="AP125" s="421">
        <f t="shared" si="662"/>
        <v>91.636515687057042</v>
      </c>
      <c r="AQ125" s="417">
        <f>VLOOKUP($J125,Fatores!$G$1:$J$5,3,FALSE)</f>
        <v>1.3186317794730578</v>
      </c>
      <c r="AR125" s="417">
        <f>VLOOKUP($C125,Fatores!$A:$D,3,FALSE)</f>
        <v>1</v>
      </c>
      <c r="AS125" s="420">
        <f t="shared" si="297"/>
        <v>0</v>
      </c>
      <c r="AT125" s="420">
        <f t="shared" si="298"/>
        <v>0</v>
      </c>
      <c r="AU125" s="420">
        <f t="shared" si="299"/>
        <v>0</v>
      </c>
      <c r="AV125" s="420">
        <f t="shared" si="300"/>
        <v>0</v>
      </c>
      <c r="AW125" s="420">
        <f t="shared" si="301"/>
        <v>0</v>
      </c>
      <c r="AX125" s="420">
        <f t="shared" si="302"/>
        <v>0</v>
      </c>
      <c r="AY125" s="421">
        <f t="shared" si="663"/>
        <v>92.304224563114047</v>
      </c>
      <c r="AZ125" s="421">
        <f t="shared" si="663"/>
        <v>85.711065665748748</v>
      </c>
      <c r="BA125" s="421">
        <f t="shared" si="663"/>
        <v>83.073802106802646</v>
      </c>
      <c r="BB125" s="421">
        <f t="shared" si="663"/>
        <v>80.436538547856529</v>
      </c>
      <c r="BC125" s="421">
        <f t="shared" si="663"/>
        <v>80.436538547856529</v>
      </c>
      <c r="BD125" s="421">
        <f t="shared" si="663"/>
        <v>77.799274988910412</v>
      </c>
      <c r="BE125" s="417">
        <f>VLOOKUP($J125,Fatores!$G$1:$J$5,4,FALSE)</f>
        <v>1</v>
      </c>
      <c r="BF125" s="417">
        <f>VLOOKUP($C125,Fatores!$A:$D,4,FALSE)</f>
        <v>1</v>
      </c>
      <c r="BG125" s="420">
        <f t="shared" si="304"/>
        <v>0</v>
      </c>
      <c r="BH125" s="420">
        <f t="shared" si="305"/>
        <v>0</v>
      </c>
      <c r="BI125" s="420">
        <f t="shared" si="306"/>
        <v>0</v>
      </c>
      <c r="BJ125" s="420">
        <f t="shared" si="307"/>
        <v>0</v>
      </c>
      <c r="BK125" s="420">
        <f t="shared" si="308"/>
        <v>0</v>
      </c>
      <c r="BL125" s="420">
        <f t="shared" si="309"/>
        <v>0</v>
      </c>
      <c r="BM125" s="421">
        <f t="shared" si="664"/>
        <v>70</v>
      </c>
      <c r="BN125" s="421">
        <f t="shared" si="664"/>
        <v>65</v>
      </c>
      <c r="BO125" s="421">
        <f t="shared" si="664"/>
        <v>63</v>
      </c>
      <c r="BP125" s="421">
        <f t="shared" si="664"/>
        <v>61</v>
      </c>
      <c r="BQ125" s="421">
        <f t="shared" si="664"/>
        <v>61</v>
      </c>
      <c r="BR125" s="421">
        <f t="shared" si="664"/>
        <v>59</v>
      </c>
    </row>
    <row r="126" spans="1:70" x14ac:dyDescent="0.25">
      <c r="A126" s="431">
        <v>253</v>
      </c>
      <c r="B126" s="424"/>
      <c r="C126" s="424" t="s">
        <v>49</v>
      </c>
      <c r="D126" s="437" t="s">
        <v>522</v>
      </c>
      <c r="E126" s="444">
        <v>191</v>
      </c>
      <c r="F126" s="424"/>
      <c r="G126" s="424"/>
      <c r="H126" s="424"/>
      <c r="I126" s="432"/>
      <c r="J126" s="440">
        <v>1</v>
      </c>
      <c r="K126" s="419">
        <f>VLOOKUP($A126,Prevs!$C:$I,Ajustes!K$1,FALSE)</f>
        <v>357</v>
      </c>
      <c r="L126" s="419">
        <f>VLOOKUP($A126,Prevs!$C:$I,Ajustes!L$1,FALSE)</f>
        <v>337</v>
      </c>
      <c r="M126" s="419">
        <f>VLOOKUP($A126,Prevs!$C:$I,Ajustes!M$1,FALSE)</f>
        <v>292</v>
      </c>
      <c r="N126" s="419">
        <f>VLOOKUP($A126,Prevs!$C:$I,Ajustes!N$1,FALSE)</f>
        <v>284</v>
      </c>
      <c r="O126" s="419">
        <f>VLOOKUP($A126,Prevs!$C:$I,Ajustes!O$1,FALSE)</f>
        <v>266</v>
      </c>
      <c r="P126" s="419">
        <f>VLOOKUP($A126,Prevs!$C:$I,Ajustes!P$1,FALSE)</f>
        <v>266</v>
      </c>
      <c r="Q126" s="419">
        <f>VLOOKUP($E126,Prevs!$C:$I,Ajustes!K$1,FALSE)</f>
        <v>324</v>
      </c>
      <c r="R126" s="419">
        <f>VLOOKUP($E126,Prevs!$C:$I,Ajustes!L$1,FALSE)</f>
        <v>306</v>
      </c>
      <c r="S126" s="419">
        <f>VLOOKUP($E126,Prevs!$C:$I,Ajustes!M$1,FALSE)</f>
        <v>264</v>
      </c>
      <c r="T126" s="419">
        <f>VLOOKUP($E126,Prevs!$C:$I,Ajustes!N$1,FALSE)</f>
        <v>256</v>
      </c>
      <c r="U126" s="419">
        <f>VLOOKUP($E126,Prevs!$C:$I,Ajustes!O$1,FALSE)</f>
        <v>240</v>
      </c>
      <c r="V126" s="419">
        <f>VLOOKUP($E126,Prevs!$C:$I,Ajustes!P$1,FALSE)</f>
        <v>241</v>
      </c>
      <c r="W126" s="419">
        <f t="shared" si="656"/>
        <v>33</v>
      </c>
      <c r="X126" s="419">
        <f t="shared" si="657"/>
        <v>31</v>
      </c>
      <c r="Y126" s="419">
        <f t="shared" si="658"/>
        <v>28</v>
      </c>
      <c r="Z126" s="419">
        <f t="shared" si="659"/>
        <v>28</v>
      </c>
      <c r="AA126" s="419">
        <f t="shared" si="660"/>
        <v>26</v>
      </c>
      <c r="AB126" s="419">
        <f t="shared" si="661"/>
        <v>25</v>
      </c>
      <c r="AC126" s="417">
        <f>VLOOKUP($J126,Fatores!$G$1:$J$5,2,FALSE)</f>
        <v>1.5531612828314754</v>
      </c>
      <c r="AD126" s="417">
        <f>VLOOKUP($C126,Fatores!$A:$D,2,FALSE)</f>
        <v>1</v>
      </c>
      <c r="AE126" s="420">
        <f t="shared" si="290"/>
        <v>51.254322333438687</v>
      </c>
      <c r="AF126" s="420">
        <f t="shared" si="291"/>
        <v>48.147999767775737</v>
      </c>
      <c r="AG126" s="420">
        <f t="shared" si="292"/>
        <v>43.488515919281312</v>
      </c>
      <c r="AH126" s="420">
        <f t="shared" si="293"/>
        <v>43.488515919281312</v>
      </c>
      <c r="AI126" s="420">
        <f t="shared" si="294"/>
        <v>40.382193353618362</v>
      </c>
      <c r="AJ126" s="420">
        <f t="shared" si="295"/>
        <v>38.829032070786887</v>
      </c>
      <c r="AK126" s="421">
        <f t="shared" si="662"/>
        <v>554.47857797083668</v>
      </c>
      <c r="AL126" s="421">
        <f t="shared" si="662"/>
        <v>523.41535231420721</v>
      </c>
      <c r="AM126" s="421">
        <f t="shared" si="662"/>
        <v>453.52309458679082</v>
      </c>
      <c r="AN126" s="421">
        <f t="shared" si="662"/>
        <v>441.09780432413902</v>
      </c>
      <c r="AO126" s="421">
        <f t="shared" si="662"/>
        <v>413.14090123317249</v>
      </c>
      <c r="AP126" s="421">
        <f t="shared" si="662"/>
        <v>413.14090123317243</v>
      </c>
      <c r="AQ126" s="417">
        <f>VLOOKUP($J126,Fatores!$G$1:$J$5,3,FALSE)</f>
        <v>1.3186317794730578</v>
      </c>
      <c r="AR126" s="417">
        <f>VLOOKUP($C126,Fatores!$A:$D,3,FALSE)</f>
        <v>1</v>
      </c>
      <c r="AS126" s="420">
        <f t="shared" si="297"/>
        <v>43.514848722610907</v>
      </c>
      <c r="AT126" s="420">
        <f t="shared" si="298"/>
        <v>40.87758516366479</v>
      </c>
      <c r="AU126" s="420">
        <f t="shared" si="299"/>
        <v>36.921689825245615</v>
      </c>
      <c r="AV126" s="420">
        <f t="shared" si="300"/>
        <v>36.921689825245615</v>
      </c>
      <c r="AW126" s="420">
        <f t="shared" si="301"/>
        <v>34.284426266299505</v>
      </c>
      <c r="AX126" s="420">
        <f t="shared" si="302"/>
        <v>32.965794486826447</v>
      </c>
      <c r="AY126" s="421">
        <f t="shared" si="663"/>
        <v>470.75154527188164</v>
      </c>
      <c r="AZ126" s="421">
        <f t="shared" si="663"/>
        <v>444.37890968242044</v>
      </c>
      <c r="BA126" s="421">
        <f t="shared" si="663"/>
        <v>385.04047960613286</v>
      </c>
      <c r="BB126" s="421">
        <f t="shared" si="663"/>
        <v>374.4914253703484</v>
      </c>
      <c r="BC126" s="421">
        <f t="shared" si="663"/>
        <v>350.75605333983344</v>
      </c>
      <c r="BD126" s="421">
        <f t="shared" si="663"/>
        <v>350.75605333983339</v>
      </c>
      <c r="BE126" s="417">
        <f>VLOOKUP($J126,Fatores!$G$1:$J$5,4,FALSE)</f>
        <v>1</v>
      </c>
      <c r="BF126" s="417">
        <f>VLOOKUP($C126,Fatores!$A:$D,4,FALSE)</f>
        <v>1</v>
      </c>
      <c r="BG126" s="420">
        <f t="shared" si="304"/>
        <v>33</v>
      </c>
      <c r="BH126" s="420">
        <f t="shared" si="305"/>
        <v>31</v>
      </c>
      <c r="BI126" s="420">
        <f t="shared" si="306"/>
        <v>28</v>
      </c>
      <c r="BJ126" s="420">
        <f t="shared" si="307"/>
        <v>28</v>
      </c>
      <c r="BK126" s="420">
        <f t="shared" si="308"/>
        <v>26</v>
      </c>
      <c r="BL126" s="420">
        <f t="shared" si="309"/>
        <v>25</v>
      </c>
      <c r="BM126" s="421">
        <f t="shared" si="664"/>
        <v>357</v>
      </c>
      <c r="BN126" s="421">
        <f t="shared" si="664"/>
        <v>337</v>
      </c>
      <c r="BO126" s="421">
        <f t="shared" si="664"/>
        <v>292</v>
      </c>
      <c r="BP126" s="421">
        <f t="shared" si="664"/>
        <v>284</v>
      </c>
      <c r="BQ126" s="421">
        <f t="shared" si="664"/>
        <v>266</v>
      </c>
      <c r="BR126" s="421">
        <f t="shared" si="664"/>
        <v>266</v>
      </c>
    </row>
    <row r="127" spans="1:70" x14ac:dyDescent="0.25">
      <c r="A127" s="431">
        <v>254</v>
      </c>
      <c r="B127" s="424"/>
      <c r="C127" s="424" t="s">
        <v>45</v>
      </c>
      <c r="D127" s="437" t="s">
        <v>45</v>
      </c>
      <c r="E127" s="431"/>
      <c r="F127" s="424"/>
      <c r="G127" s="424"/>
      <c r="H127" s="424"/>
      <c r="I127" s="432"/>
      <c r="J127" s="440">
        <v>3</v>
      </c>
      <c r="K127" s="419">
        <f>VLOOKUP($A127,Prevs!$C:$I,Ajustes!K$1,FALSE)</f>
        <v>31</v>
      </c>
      <c r="L127" s="419">
        <f>VLOOKUP($A127,Prevs!$C:$I,Ajustes!L$1,FALSE)</f>
        <v>31</v>
      </c>
      <c r="M127" s="419">
        <f>VLOOKUP($A127,Prevs!$C:$I,Ajustes!M$1,FALSE)</f>
        <v>34</v>
      </c>
      <c r="N127" s="419">
        <f>VLOOKUP($A127,Prevs!$C:$I,Ajustes!N$1,FALSE)</f>
        <v>35</v>
      </c>
      <c r="O127" s="419">
        <f>VLOOKUP($A127,Prevs!$C:$I,Ajustes!O$1,FALSE)</f>
        <v>34</v>
      </c>
      <c r="P127" s="419">
        <f>VLOOKUP($A127,Prevs!$C:$I,Ajustes!P$1,FALSE)</f>
        <v>34</v>
      </c>
      <c r="Q127" s="419">
        <v>0</v>
      </c>
      <c r="R127" s="419">
        <v>0</v>
      </c>
      <c r="S127" s="419">
        <v>0</v>
      </c>
      <c r="T127" s="419">
        <v>0</v>
      </c>
      <c r="U127" s="419">
        <v>0</v>
      </c>
      <c r="V127" s="419">
        <v>0</v>
      </c>
      <c r="W127" s="419">
        <f t="shared" ref="W127:W128" si="665">K127-Q127</f>
        <v>31</v>
      </c>
      <c r="X127" s="419">
        <f t="shared" ref="X127:X128" si="666">L127-R127</f>
        <v>31</v>
      </c>
      <c r="Y127" s="419">
        <f t="shared" ref="Y127:Y128" si="667">M127-S127</f>
        <v>34</v>
      </c>
      <c r="Z127" s="419">
        <f t="shared" ref="Z127:Z128" si="668">N127-T127</f>
        <v>35</v>
      </c>
      <c r="AA127" s="419">
        <f t="shared" ref="AA127:AA128" si="669">O127-U127</f>
        <v>34</v>
      </c>
      <c r="AB127" s="419">
        <f t="shared" ref="AB127:AB128" si="670">P127-V127</f>
        <v>34</v>
      </c>
      <c r="AC127" s="417">
        <f>VLOOKUP($J127,Fatores!$G$1:$J$5,2,FALSE)</f>
        <v>1.864607586789548</v>
      </c>
      <c r="AD127" s="417">
        <f>VLOOKUP($C127,Fatores!$A:$D,2,FALSE)</f>
        <v>1</v>
      </c>
      <c r="AE127" s="420">
        <f t="shared" si="290"/>
        <v>57.802835190475989</v>
      </c>
      <c r="AF127" s="420">
        <f t="shared" si="291"/>
        <v>57.802835190475989</v>
      </c>
      <c r="AG127" s="420">
        <f t="shared" si="292"/>
        <v>63.396657950844627</v>
      </c>
      <c r="AH127" s="420">
        <f t="shared" si="293"/>
        <v>65.261265537634173</v>
      </c>
      <c r="AI127" s="420">
        <f t="shared" si="294"/>
        <v>63.396657950844627</v>
      </c>
      <c r="AJ127" s="420">
        <f t="shared" si="295"/>
        <v>63.396657950844627</v>
      </c>
      <c r="AK127" s="421">
        <f t="shared" ref="AK127:AK128" si="671">AE127</f>
        <v>57.802835190475989</v>
      </c>
      <c r="AL127" s="421">
        <f t="shared" ref="AL127:AL128" si="672">AF127</f>
        <v>57.802835190475989</v>
      </c>
      <c r="AM127" s="421">
        <f t="shared" ref="AM127:AM128" si="673">AG127</f>
        <v>63.396657950844627</v>
      </c>
      <c r="AN127" s="421">
        <f t="shared" ref="AN127:AN128" si="674">AH127</f>
        <v>65.261265537634173</v>
      </c>
      <c r="AO127" s="421">
        <f t="shared" ref="AO127:AO128" si="675">AI127</f>
        <v>63.396657950844627</v>
      </c>
      <c r="AP127" s="421">
        <f t="shared" ref="AP127:AP128" si="676">AJ127</f>
        <v>63.396657950844627</v>
      </c>
      <c r="AQ127" s="417">
        <f>VLOOKUP($J127,Fatores!$G$1:$J$5,3,FALSE)</f>
        <v>1.8891301835110699</v>
      </c>
      <c r="AR127" s="417">
        <f>VLOOKUP($C127,Fatores!$A:$D,3,FALSE)</f>
        <v>1</v>
      </c>
      <c r="AS127" s="420">
        <f t="shared" si="297"/>
        <v>58.563035688843165</v>
      </c>
      <c r="AT127" s="420">
        <f t="shared" si="298"/>
        <v>58.563035688843165</v>
      </c>
      <c r="AU127" s="420">
        <f t="shared" si="299"/>
        <v>64.230426239376371</v>
      </c>
      <c r="AV127" s="420">
        <f t="shared" si="300"/>
        <v>66.119556422887442</v>
      </c>
      <c r="AW127" s="420">
        <f t="shared" si="301"/>
        <v>64.230426239376371</v>
      </c>
      <c r="AX127" s="420">
        <f t="shared" si="302"/>
        <v>64.230426239376371</v>
      </c>
      <c r="AY127" s="421">
        <f t="shared" ref="AY127:AY128" si="677">AS127</f>
        <v>58.563035688843165</v>
      </c>
      <c r="AZ127" s="421">
        <f t="shared" ref="AZ127:AZ128" si="678">AT127</f>
        <v>58.563035688843165</v>
      </c>
      <c r="BA127" s="421">
        <f t="shared" ref="BA127:BA128" si="679">AU127</f>
        <v>64.230426239376371</v>
      </c>
      <c r="BB127" s="421">
        <f t="shared" ref="BB127:BB128" si="680">AV127</f>
        <v>66.119556422887442</v>
      </c>
      <c r="BC127" s="421">
        <f t="shared" ref="BC127:BC128" si="681">AW127</f>
        <v>64.230426239376371</v>
      </c>
      <c r="BD127" s="421">
        <f t="shared" ref="BD127:BD128" si="682">AX127</f>
        <v>64.230426239376371</v>
      </c>
      <c r="BE127" s="417">
        <f>VLOOKUP($J127,Fatores!$G$1:$J$5,4,FALSE)</f>
        <v>1</v>
      </c>
      <c r="BF127" s="417">
        <f>VLOOKUP($C127,Fatores!$A:$D,4,FALSE)</f>
        <v>1</v>
      </c>
      <c r="BG127" s="420">
        <f t="shared" si="304"/>
        <v>31</v>
      </c>
      <c r="BH127" s="420">
        <f t="shared" si="305"/>
        <v>31</v>
      </c>
      <c r="BI127" s="420">
        <f t="shared" si="306"/>
        <v>34</v>
      </c>
      <c r="BJ127" s="420">
        <f t="shared" si="307"/>
        <v>35</v>
      </c>
      <c r="BK127" s="420">
        <f t="shared" si="308"/>
        <v>34</v>
      </c>
      <c r="BL127" s="420">
        <f t="shared" si="309"/>
        <v>34</v>
      </c>
      <c r="BM127" s="421">
        <f t="shared" ref="BM127:BM128" si="683">BG127</f>
        <v>31</v>
      </c>
      <c r="BN127" s="421">
        <f t="shared" ref="BN127:BN128" si="684">BH127</f>
        <v>31</v>
      </c>
      <c r="BO127" s="421">
        <f t="shared" ref="BO127:BO128" si="685">BI127</f>
        <v>34</v>
      </c>
      <c r="BP127" s="421">
        <f t="shared" ref="BP127:BP128" si="686">BJ127</f>
        <v>35</v>
      </c>
      <c r="BQ127" s="421">
        <f t="shared" ref="BQ127:BQ128" si="687">BK127</f>
        <v>34</v>
      </c>
      <c r="BR127" s="421">
        <f t="shared" ref="BR127:BR128" si="688">BL127</f>
        <v>34</v>
      </c>
    </row>
    <row r="128" spans="1:70" x14ac:dyDescent="0.25">
      <c r="A128" s="431">
        <v>255</v>
      </c>
      <c r="B128" s="424"/>
      <c r="C128" s="424" t="s">
        <v>46</v>
      </c>
      <c r="D128" s="437" t="s">
        <v>520</v>
      </c>
      <c r="E128" s="431"/>
      <c r="F128" s="424"/>
      <c r="G128" s="424"/>
      <c r="H128" s="424"/>
      <c r="I128" s="432"/>
      <c r="J128" s="440">
        <v>1</v>
      </c>
      <c r="K128" s="419">
        <f>VLOOKUP($A128,Prevs!$C:$I,Ajustes!K$1,FALSE)</f>
        <v>33</v>
      </c>
      <c r="L128" s="419">
        <f>VLOOKUP($A128,Prevs!$C:$I,Ajustes!L$1,FALSE)</f>
        <v>31</v>
      </c>
      <c r="M128" s="419">
        <f>VLOOKUP($A128,Prevs!$C:$I,Ajustes!M$1,FALSE)</f>
        <v>30</v>
      </c>
      <c r="N128" s="419">
        <f>VLOOKUP($A128,Prevs!$C:$I,Ajustes!N$1,FALSE)</f>
        <v>30</v>
      </c>
      <c r="O128" s="419">
        <f>VLOOKUP($A128,Prevs!$C:$I,Ajustes!O$1,FALSE)</f>
        <v>28</v>
      </c>
      <c r="P128" s="419">
        <f>VLOOKUP($A128,Prevs!$C:$I,Ajustes!P$1,FALSE)</f>
        <v>27</v>
      </c>
      <c r="Q128" s="419">
        <v>0</v>
      </c>
      <c r="R128" s="419">
        <v>0</v>
      </c>
      <c r="S128" s="419">
        <v>0</v>
      </c>
      <c r="T128" s="419">
        <v>0</v>
      </c>
      <c r="U128" s="419">
        <v>0</v>
      </c>
      <c r="V128" s="419">
        <v>0</v>
      </c>
      <c r="W128" s="419">
        <f t="shared" si="665"/>
        <v>33</v>
      </c>
      <c r="X128" s="419">
        <f t="shared" si="666"/>
        <v>31</v>
      </c>
      <c r="Y128" s="419">
        <f t="shared" si="667"/>
        <v>30</v>
      </c>
      <c r="Z128" s="419">
        <f t="shared" si="668"/>
        <v>30</v>
      </c>
      <c r="AA128" s="419">
        <f t="shared" si="669"/>
        <v>28</v>
      </c>
      <c r="AB128" s="419">
        <f t="shared" si="670"/>
        <v>27</v>
      </c>
      <c r="AC128" s="417">
        <f>VLOOKUP($J128,Fatores!$G$1:$J$5,2,FALSE)</f>
        <v>1.5531612828314754</v>
      </c>
      <c r="AD128" s="417">
        <f>VLOOKUP($C128,Fatores!$A:$D,2,FALSE)</f>
        <v>1</v>
      </c>
      <c r="AE128" s="420">
        <f t="shared" si="290"/>
        <v>51.254322333438687</v>
      </c>
      <c r="AF128" s="420">
        <f t="shared" si="291"/>
        <v>48.147999767775737</v>
      </c>
      <c r="AG128" s="420">
        <f t="shared" si="292"/>
        <v>46.594838484944262</v>
      </c>
      <c r="AH128" s="420">
        <f t="shared" si="293"/>
        <v>46.594838484944262</v>
      </c>
      <c r="AI128" s="420">
        <f t="shared" si="294"/>
        <v>43.488515919281312</v>
      </c>
      <c r="AJ128" s="420">
        <f t="shared" si="295"/>
        <v>41.935354636449837</v>
      </c>
      <c r="AK128" s="421">
        <f t="shared" si="671"/>
        <v>51.254322333438687</v>
      </c>
      <c r="AL128" s="421">
        <f t="shared" si="672"/>
        <v>48.147999767775737</v>
      </c>
      <c r="AM128" s="421">
        <f t="shared" si="673"/>
        <v>46.594838484944262</v>
      </c>
      <c r="AN128" s="421">
        <f t="shared" si="674"/>
        <v>46.594838484944262</v>
      </c>
      <c r="AO128" s="421">
        <f t="shared" si="675"/>
        <v>43.488515919281312</v>
      </c>
      <c r="AP128" s="421">
        <f t="shared" si="676"/>
        <v>41.935354636449837</v>
      </c>
      <c r="AQ128" s="417">
        <f>VLOOKUP($J128,Fatores!$G$1:$J$5,3,FALSE)</f>
        <v>1.3186317794730578</v>
      </c>
      <c r="AR128" s="417">
        <f>VLOOKUP($C128,Fatores!$A:$D,3,FALSE)</f>
        <v>1</v>
      </c>
      <c r="AS128" s="420">
        <f t="shared" si="297"/>
        <v>43.514848722610907</v>
      </c>
      <c r="AT128" s="420">
        <f t="shared" si="298"/>
        <v>40.87758516366479</v>
      </c>
      <c r="AU128" s="420">
        <f t="shared" si="299"/>
        <v>39.558953384191732</v>
      </c>
      <c r="AV128" s="420">
        <f t="shared" si="300"/>
        <v>39.558953384191732</v>
      </c>
      <c r="AW128" s="420">
        <f t="shared" si="301"/>
        <v>36.921689825245615</v>
      </c>
      <c r="AX128" s="420">
        <f t="shared" si="302"/>
        <v>35.603058045772556</v>
      </c>
      <c r="AY128" s="421">
        <f t="shared" si="677"/>
        <v>43.514848722610907</v>
      </c>
      <c r="AZ128" s="421">
        <f t="shared" si="678"/>
        <v>40.87758516366479</v>
      </c>
      <c r="BA128" s="421">
        <f t="shared" si="679"/>
        <v>39.558953384191732</v>
      </c>
      <c r="BB128" s="421">
        <f t="shared" si="680"/>
        <v>39.558953384191732</v>
      </c>
      <c r="BC128" s="421">
        <f t="shared" si="681"/>
        <v>36.921689825245615</v>
      </c>
      <c r="BD128" s="421">
        <f t="shared" si="682"/>
        <v>35.603058045772556</v>
      </c>
      <c r="BE128" s="417">
        <f>VLOOKUP($J128,Fatores!$G$1:$J$5,4,FALSE)</f>
        <v>1</v>
      </c>
      <c r="BF128" s="417">
        <f>VLOOKUP($C128,Fatores!$A:$D,4,FALSE)</f>
        <v>1</v>
      </c>
      <c r="BG128" s="420">
        <f t="shared" si="304"/>
        <v>33</v>
      </c>
      <c r="BH128" s="420">
        <f t="shared" si="305"/>
        <v>31</v>
      </c>
      <c r="BI128" s="420">
        <f t="shared" si="306"/>
        <v>30</v>
      </c>
      <c r="BJ128" s="420">
        <f t="shared" si="307"/>
        <v>30</v>
      </c>
      <c r="BK128" s="420">
        <f t="shared" si="308"/>
        <v>28</v>
      </c>
      <c r="BL128" s="420">
        <f t="shared" si="309"/>
        <v>27</v>
      </c>
      <c r="BM128" s="421">
        <f t="shared" si="683"/>
        <v>33</v>
      </c>
      <c r="BN128" s="421">
        <f t="shared" si="684"/>
        <v>31</v>
      </c>
      <c r="BO128" s="421">
        <f t="shared" si="685"/>
        <v>30</v>
      </c>
      <c r="BP128" s="421">
        <f t="shared" si="686"/>
        <v>30</v>
      </c>
      <c r="BQ128" s="421">
        <f t="shared" si="687"/>
        <v>28</v>
      </c>
      <c r="BR128" s="421">
        <f t="shared" si="688"/>
        <v>27</v>
      </c>
    </row>
    <row r="129" spans="1:70" x14ac:dyDescent="0.25">
      <c r="A129" s="431">
        <v>257</v>
      </c>
      <c r="B129" s="424"/>
      <c r="C129" s="424" t="s">
        <v>49</v>
      </c>
      <c r="D129" s="437" t="s">
        <v>522</v>
      </c>
      <c r="E129" s="444">
        <v>253</v>
      </c>
      <c r="F129" s="424"/>
      <c r="G129" s="424"/>
      <c r="H129" s="424"/>
      <c r="I129" s="432"/>
      <c r="J129" s="440">
        <v>1</v>
      </c>
      <c r="K129" s="419">
        <f>VLOOKUP($A129,Prevs!$C:$I,Ajustes!K$1,FALSE)</f>
        <v>569</v>
      </c>
      <c r="L129" s="419">
        <f>VLOOKUP($A129,Prevs!$C:$I,Ajustes!L$1,FALSE)</f>
        <v>529</v>
      </c>
      <c r="M129" s="419">
        <f>VLOOKUP($A129,Prevs!$C:$I,Ajustes!M$1,FALSE)</f>
        <v>502</v>
      </c>
      <c r="N129" s="419">
        <f>VLOOKUP($A129,Prevs!$C:$I,Ajustes!N$1,FALSE)</f>
        <v>472</v>
      </c>
      <c r="O129" s="419">
        <f>VLOOKUP($A129,Prevs!$C:$I,Ajustes!O$1,FALSE)</f>
        <v>439</v>
      </c>
      <c r="P129" s="419">
        <f>VLOOKUP($A129,Prevs!$C:$I,Ajustes!P$1,FALSE)</f>
        <v>429</v>
      </c>
      <c r="Q129" s="419">
        <f>VLOOKUP($E129,Prevs!$C:$I,Ajustes!K$1,FALSE)</f>
        <v>357</v>
      </c>
      <c r="R129" s="419">
        <f>VLOOKUP($E129,Prevs!$C:$I,Ajustes!L$1,FALSE)</f>
        <v>337</v>
      </c>
      <c r="S129" s="419">
        <f>VLOOKUP($E129,Prevs!$C:$I,Ajustes!M$1,FALSE)</f>
        <v>292</v>
      </c>
      <c r="T129" s="419">
        <f>VLOOKUP($E129,Prevs!$C:$I,Ajustes!N$1,FALSE)</f>
        <v>284</v>
      </c>
      <c r="U129" s="419">
        <f>VLOOKUP($E129,Prevs!$C:$I,Ajustes!O$1,FALSE)</f>
        <v>266</v>
      </c>
      <c r="V129" s="419">
        <f>VLOOKUP($E129,Prevs!$C:$I,Ajustes!P$1,FALSE)</f>
        <v>266</v>
      </c>
      <c r="W129" s="419">
        <f t="shared" ref="W129:AB132" si="689">K129-Q129</f>
        <v>212</v>
      </c>
      <c r="X129" s="419">
        <f t="shared" si="689"/>
        <v>192</v>
      </c>
      <c r="Y129" s="419">
        <f t="shared" si="689"/>
        <v>210</v>
      </c>
      <c r="Z129" s="419">
        <f t="shared" si="689"/>
        <v>188</v>
      </c>
      <c r="AA129" s="419">
        <f t="shared" si="689"/>
        <v>173</v>
      </c>
      <c r="AB129" s="419">
        <f t="shared" si="689"/>
        <v>163</v>
      </c>
      <c r="AC129" s="417">
        <f>VLOOKUP($J129,Fatores!$G$1:$J$5,2,FALSE)</f>
        <v>1.5531612828314754</v>
      </c>
      <c r="AD129" s="417">
        <f>VLOOKUP($C129,Fatores!$A:$D,2,FALSE)</f>
        <v>1</v>
      </c>
      <c r="AE129" s="420">
        <f t="shared" si="290"/>
        <v>329.27019196027277</v>
      </c>
      <c r="AF129" s="420">
        <f t="shared" si="291"/>
        <v>298.2069663036433</v>
      </c>
      <c r="AG129" s="420">
        <f t="shared" si="292"/>
        <v>326.16386939460983</v>
      </c>
      <c r="AH129" s="420">
        <f t="shared" si="293"/>
        <v>291.99432117231737</v>
      </c>
      <c r="AI129" s="420">
        <f t="shared" si="294"/>
        <v>268.69690192984524</v>
      </c>
      <c r="AJ129" s="420">
        <f t="shared" si="295"/>
        <v>253.16528910153048</v>
      </c>
      <c r="AK129" s="421">
        <f t="shared" ref="AK129:AP129" si="690">AE129+VLOOKUP($E129,$A:$BR,AK$1,FALSE)</f>
        <v>883.74876993110945</v>
      </c>
      <c r="AL129" s="421">
        <f t="shared" si="690"/>
        <v>821.62231861785051</v>
      </c>
      <c r="AM129" s="421">
        <f t="shared" si="690"/>
        <v>779.6869639814006</v>
      </c>
      <c r="AN129" s="421">
        <f t="shared" si="690"/>
        <v>733.09212549645645</v>
      </c>
      <c r="AO129" s="421">
        <f t="shared" si="690"/>
        <v>681.83780316301772</v>
      </c>
      <c r="AP129" s="421">
        <f t="shared" si="690"/>
        <v>666.30619033470293</v>
      </c>
      <c r="AQ129" s="417">
        <f>VLOOKUP($J129,Fatores!$G$1:$J$5,3,FALSE)</f>
        <v>1.3186317794730578</v>
      </c>
      <c r="AR129" s="417">
        <f>VLOOKUP($C129,Fatores!$A:$D,3,FALSE)</f>
        <v>1</v>
      </c>
      <c r="AS129" s="420">
        <f t="shared" si="297"/>
        <v>279.54993724828824</v>
      </c>
      <c r="AT129" s="420">
        <f t="shared" si="298"/>
        <v>253.1773016588271</v>
      </c>
      <c r="AU129" s="420">
        <f t="shared" si="299"/>
        <v>276.91267368934211</v>
      </c>
      <c r="AV129" s="420">
        <f t="shared" si="300"/>
        <v>247.90277454093487</v>
      </c>
      <c r="AW129" s="420">
        <f t="shared" si="301"/>
        <v>228.123297848839</v>
      </c>
      <c r="AX129" s="420">
        <f t="shared" si="302"/>
        <v>214.9369800541084</v>
      </c>
      <c r="AY129" s="421">
        <f t="shared" ref="AY129:BD129" si="691">AS129+VLOOKUP($E129,$A:$BR,AY$1,FALSE)</f>
        <v>750.30148252016988</v>
      </c>
      <c r="AZ129" s="421">
        <f t="shared" si="691"/>
        <v>697.55621134124749</v>
      </c>
      <c r="BA129" s="421">
        <f t="shared" si="691"/>
        <v>661.95315329547498</v>
      </c>
      <c r="BB129" s="421">
        <f t="shared" si="691"/>
        <v>622.39419991128329</v>
      </c>
      <c r="BC129" s="421">
        <f t="shared" si="691"/>
        <v>578.87935118867244</v>
      </c>
      <c r="BD129" s="421">
        <f t="shared" si="691"/>
        <v>565.69303339394173</v>
      </c>
      <c r="BE129" s="417">
        <f>VLOOKUP($J129,Fatores!$G$1:$J$5,4,FALSE)</f>
        <v>1</v>
      </c>
      <c r="BF129" s="417">
        <f>VLOOKUP($C129,Fatores!$A:$D,4,FALSE)</f>
        <v>1</v>
      </c>
      <c r="BG129" s="420">
        <f t="shared" si="304"/>
        <v>212</v>
      </c>
      <c r="BH129" s="420">
        <f t="shared" si="305"/>
        <v>192</v>
      </c>
      <c r="BI129" s="420">
        <f t="shared" si="306"/>
        <v>210</v>
      </c>
      <c r="BJ129" s="420">
        <f t="shared" si="307"/>
        <v>188</v>
      </c>
      <c r="BK129" s="420">
        <f t="shared" si="308"/>
        <v>173</v>
      </c>
      <c r="BL129" s="420">
        <f t="shared" si="309"/>
        <v>163</v>
      </c>
      <c r="BM129" s="421">
        <f t="shared" ref="BM129:BR129" si="692">BG129+VLOOKUP($E129,$A:$BR,BM$1,FALSE)</f>
        <v>569</v>
      </c>
      <c r="BN129" s="421">
        <f t="shared" si="692"/>
        <v>529</v>
      </c>
      <c r="BO129" s="421">
        <f t="shared" si="692"/>
        <v>502</v>
      </c>
      <c r="BP129" s="421">
        <f t="shared" si="692"/>
        <v>472</v>
      </c>
      <c r="BQ129" s="421">
        <f t="shared" si="692"/>
        <v>439</v>
      </c>
      <c r="BR129" s="421">
        <f t="shared" si="692"/>
        <v>429</v>
      </c>
    </row>
    <row r="130" spans="1:70" x14ac:dyDescent="0.25">
      <c r="A130" s="431">
        <v>259</v>
      </c>
      <c r="B130" s="424"/>
      <c r="C130" s="424" t="s">
        <v>35</v>
      </c>
      <c r="D130" s="437" t="s">
        <v>548</v>
      </c>
      <c r="E130" s="431"/>
      <c r="F130" s="424"/>
      <c r="G130" s="424"/>
      <c r="H130" s="424"/>
      <c r="I130" s="432"/>
      <c r="J130" s="440">
        <v>1</v>
      </c>
      <c r="K130" s="419">
        <f>VLOOKUP($A130,Prevs!$C:$I,Ajustes!K$1,FALSE)</f>
        <v>70</v>
      </c>
      <c r="L130" s="419">
        <f>VLOOKUP($A130,Prevs!$C:$I,Ajustes!L$1,FALSE)</f>
        <v>65</v>
      </c>
      <c r="M130" s="419">
        <f>VLOOKUP($A130,Prevs!$C:$I,Ajustes!M$1,FALSE)</f>
        <v>63</v>
      </c>
      <c r="N130" s="419">
        <f>VLOOKUP($A130,Prevs!$C:$I,Ajustes!N$1,FALSE)</f>
        <v>61</v>
      </c>
      <c r="O130" s="419">
        <f>VLOOKUP($A130,Prevs!$C:$I,Ajustes!O$1,FALSE)</f>
        <v>61</v>
      </c>
      <c r="P130" s="419">
        <f>VLOOKUP($A130,Prevs!$C:$I,Ajustes!P$1,FALSE)</f>
        <v>59</v>
      </c>
      <c r="Q130" s="419">
        <v>0</v>
      </c>
      <c r="R130" s="419">
        <v>0</v>
      </c>
      <c r="S130" s="419">
        <v>0</v>
      </c>
      <c r="T130" s="419">
        <v>0</v>
      </c>
      <c r="U130" s="419">
        <v>0</v>
      </c>
      <c r="V130" s="419">
        <v>0</v>
      </c>
      <c r="W130" s="419">
        <f t="shared" si="689"/>
        <v>70</v>
      </c>
      <c r="X130" s="419">
        <f t="shared" si="689"/>
        <v>65</v>
      </c>
      <c r="Y130" s="419">
        <f t="shared" si="689"/>
        <v>63</v>
      </c>
      <c r="Z130" s="419">
        <f t="shared" si="689"/>
        <v>61</v>
      </c>
      <c r="AA130" s="419">
        <f t="shared" si="689"/>
        <v>61</v>
      </c>
      <c r="AB130" s="419">
        <f t="shared" si="689"/>
        <v>59</v>
      </c>
      <c r="AC130" s="417">
        <f>VLOOKUP($J130,Fatores!$G$1:$J$5,2,FALSE)</f>
        <v>1.5531612828314754</v>
      </c>
      <c r="AD130" s="417">
        <f>VLOOKUP($C130,Fatores!$A:$D,2,FALSE)</f>
        <v>1</v>
      </c>
      <c r="AE130" s="420">
        <f t="shared" si="290"/>
        <v>108.72128979820327</v>
      </c>
      <c r="AF130" s="420">
        <f t="shared" si="291"/>
        <v>100.95548338404591</v>
      </c>
      <c r="AG130" s="420">
        <f t="shared" si="292"/>
        <v>97.849160818382941</v>
      </c>
      <c r="AH130" s="420">
        <f t="shared" si="293"/>
        <v>94.742838252719991</v>
      </c>
      <c r="AI130" s="420">
        <f t="shared" si="294"/>
        <v>94.742838252719991</v>
      </c>
      <c r="AJ130" s="420">
        <f t="shared" si="295"/>
        <v>91.636515687057042</v>
      </c>
      <c r="AK130" s="421">
        <f t="shared" ref="AK130:AP130" si="693">AE130</f>
        <v>108.72128979820327</v>
      </c>
      <c r="AL130" s="421">
        <f t="shared" si="693"/>
        <v>100.95548338404591</v>
      </c>
      <c r="AM130" s="421">
        <f t="shared" si="693"/>
        <v>97.849160818382941</v>
      </c>
      <c r="AN130" s="421">
        <f t="shared" si="693"/>
        <v>94.742838252719991</v>
      </c>
      <c r="AO130" s="421">
        <f t="shared" si="693"/>
        <v>94.742838252719991</v>
      </c>
      <c r="AP130" s="421">
        <f t="shared" si="693"/>
        <v>91.636515687057042</v>
      </c>
      <c r="AQ130" s="417">
        <f>VLOOKUP($J130,Fatores!$G$1:$J$5,3,FALSE)</f>
        <v>1.3186317794730578</v>
      </c>
      <c r="AR130" s="417">
        <f>VLOOKUP($C130,Fatores!$A:$D,3,FALSE)</f>
        <v>1</v>
      </c>
      <c r="AS130" s="420">
        <f t="shared" si="297"/>
        <v>92.304224563114047</v>
      </c>
      <c r="AT130" s="420">
        <f t="shared" si="298"/>
        <v>85.711065665748748</v>
      </c>
      <c r="AU130" s="420">
        <f t="shared" si="299"/>
        <v>83.073802106802646</v>
      </c>
      <c r="AV130" s="420">
        <f t="shared" si="300"/>
        <v>80.436538547856529</v>
      </c>
      <c r="AW130" s="420">
        <f t="shared" si="301"/>
        <v>80.436538547856529</v>
      </c>
      <c r="AX130" s="420">
        <f t="shared" si="302"/>
        <v>77.799274988910412</v>
      </c>
      <c r="AY130" s="421">
        <f t="shared" ref="AY130" si="694">AS130</f>
        <v>92.304224563114047</v>
      </c>
      <c r="AZ130" s="421">
        <f t="shared" ref="AZ130" si="695">AT130</f>
        <v>85.711065665748748</v>
      </c>
      <c r="BA130" s="421">
        <f t="shared" ref="BA130" si="696">AU130</f>
        <v>83.073802106802646</v>
      </c>
      <c r="BB130" s="421">
        <f t="shared" ref="BB130" si="697">AV130</f>
        <v>80.436538547856529</v>
      </c>
      <c r="BC130" s="421">
        <f t="shared" ref="BC130" si="698">AW130</f>
        <v>80.436538547856529</v>
      </c>
      <c r="BD130" s="421">
        <f t="shared" ref="BD130" si="699">AX130</f>
        <v>77.799274988910412</v>
      </c>
      <c r="BE130" s="417">
        <f>VLOOKUP($J130,Fatores!$G$1:$J$5,4,FALSE)</f>
        <v>1</v>
      </c>
      <c r="BF130" s="417">
        <f>VLOOKUP($C130,Fatores!$A:$D,4,FALSE)</f>
        <v>1</v>
      </c>
      <c r="BG130" s="420">
        <f t="shared" si="304"/>
        <v>70</v>
      </c>
      <c r="BH130" s="420">
        <f t="shared" si="305"/>
        <v>65</v>
      </c>
      <c r="BI130" s="420">
        <f t="shared" si="306"/>
        <v>63</v>
      </c>
      <c r="BJ130" s="420">
        <f t="shared" si="307"/>
        <v>61</v>
      </c>
      <c r="BK130" s="420">
        <f t="shared" si="308"/>
        <v>61</v>
      </c>
      <c r="BL130" s="420">
        <f t="shared" si="309"/>
        <v>59</v>
      </c>
      <c r="BM130" s="421">
        <f t="shared" ref="BM130" si="700">BG130</f>
        <v>70</v>
      </c>
      <c r="BN130" s="421">
        <f t="shared" ref="BN130" si="701">BH130</f>
        <v>65</v>
      </c>
      <c r="BO130" s="421">
        <f t="shared" ref="BO130" si="702">BI130</f>
        <v>63</v>
      </c>
      <c r="BP130" s="421">
        <f t="shared" ref="BP130" si="703">BJ130</f>
        <v>61</v>
      </c>
      <c r="BQ130" s="421">
        <f t="shared" ref="BQ130" si="704">BK130</f>
        <v>61</v>
      </c>
      <c r="BR130" s="421">
        <f t="shared" ref="BR130" si="705">BL130</f>
        <v>59</v>
      </c>
    </row>
    <row r="131" spans="1:70" x14ac:dyDescent="0.25">
      <c r="A131" s="431">
        <v>261</v>
      </c>
      <c r="B131" s="424"/>
      <c r="C131" s="424" t="s">
        <v>23</v>
      </c>
      <c r="D131" s="437" t="s">
        <v>543</v>
      </c>
      <c r="E131" s="446">
        <v>248</v>
      </c>
      <c r="F131" s="424"/>
      <c r="G131" s="424"/>
      <c r="H131" s="424"/>
      <c r="I131" s="432"/>
      <c r="J131" s="440">
        <v>1</v>
      </c>
      <c r="K131" s="419">
        <f>VLOOKUP($A131,Prevs!$C:$I,Ajustes!K$1,FALSE)</f>
        <v>125</v>
      </c>
      <c r="L131" s="419">
        <f>VLOOKUP($A131,Prevs!$C:$I,Ajustes!L$1,FALSE)</f>
        <v>122</v>
      </c>
      <c r="M131" s="419">
        <f>VLOOKUP($A131,Prevs!$C:$I,Ajustes!M$1,FALSE)</f>
        <v>121</v>
      </c>
      <c r="N131" s="419">
        <f>VLOOKUP($A131,Prevs!$C:$I,Ajustes!N$1,FALSE)</f>
        <v>117</v>
      </c>
      <c r="O131" s="419">
        <f>VLOOKUP($A131,Prevs!$C:$I,Ajustes!O$1,FALSE)</f>
        <v>113</v>
      </c>
      <c r="P131" s="419">
        <f>VLOOKUP($A131,Prevs!$C:$I,Ajustes!P$1,FALSE)</f>
        <v>108</v>
      </c>
      <c r="Q131" s="419">
        <f>VLOOKUP($E131,Prevs!$C:$I,Ajustes!K$1,FALSE)</f>
        <v>117</v>
      </c>
      <c r="R131" s="419">
        <f>VLOOKUP($E131,Prevs!$C:$I,Ajustes!L$1,FALSE)</f>
        <v>113</v>
      </c>
      <c r="S131" s="419">
        <f>VLOOKUP($E131,Prevs!$C:$I,Ajustes!M$1,FALSE)</f>
        <v>112</v>
      </c>
      <c r="T131" s="419">
        <f>VLOOKUP($E131,Prevs!$C:$I,Ajustes!N$1,FALSE)</f>
        <v>108</v>
      </c>
      <c r="U131" s="419">
        <f>VLOOKUP($E131,Prevs!$C:$I,Ajustes!O$1,FALSE)</f>
        <v>106</v>
      </c>
      <c r="V131" s="419">
        <f>VLOOKUP($E131,Prevs!$C:$I,Ajustes!P$1,FALSE)</f>
        <v>100</v>
      </c>
      <c r="W131" s="419">
        <f t="shared" si="689"/>
        <v>8</v>
      </c>
      <c r="X131" s="419">
        <f t="shared" si="689"/>
        <v>9</v>
      </c>
      <c r="Y131" s="419">
        <f t="shared" si="689"/>
        <v>9</v>
      </c>
      <c r="Z131" s="419">
        <f t="shared" si="689"/>
        <v>9</v>
      </c>
      <c r="AA131" s="419">
        <f t="shared" si="689"/>
        <v>7</v>
      </c>
      <c r="AB131" s="419">
        <f t="shared" si="689"/>
        <v>8</v>
      </c>
      <c r="AC131" s="417">
        <f>VLOOKUP($J131,Fatores!$G$1:$J$5,2,FALSE)</f>
        <v>1.5531612828314754</v>
      </c>
      <c r="AD131" s="417">
        <f>VLOOKUP($C131,Fatores!$A:$D,2,FALSE)</f>
        <v>1</v>
      </c>
      <c r="AE131" s="420">
        <f t="shared" si="290"/>
        <v>12.425290262651803</v>
      </c>
      <c r="AF131" s="420">
        <f t="shared" si="291"/>
        <v>13.978451545483278</v>
      </c>
      <c r="AG131" s="420">
        <f t="shared" si="292"/>
        <v>13.978451545483278</v>
      </c>
      <c r="AH131" s="420">
        <f t="shared" si="293"/>
        <v>13.978451545483278</v>
      </c>
      <c r="AI131" s="420">
        <f t="shared" si="294"/>
        <v>10.872128979820328</v>
      </c>
      <c r="AJ131" s="420">
        <f t="shared" si="295"/>
        <v>12.425290262651803</v>
      </c>
      <c r="AK131" s="421">
        <f t="shared" ref="AK131:AP131" si="706">AE131+VLOOKUP($E131,$A:$BR,AK$1,FALSE)</f>
        <v>194.14516035393441</v>
      </c>
      <c r="AL131" s="421">
        <f t="shared" si="706"/>
        <v>189.48567650543998</v>
      </c>
      <c r="AM131" s="421">
        <f t="shared" si="706"/>
        <v>187.93251522260852</v>
      </c>
      <c r="AN131" s="421">
        <f t="shared" si="706"/>
        <v>181.71987009128262</v>
      </c>
      <c r="AO131" s="421">
        <f t="shared" si="706"/>
        <v>175.50722495995672</v>
      </c>
      <c r="AP131" s="421">
        <f t="shared" si="706"/>
        <v>167.74141854579935</v>
      </c>
      <c r="AQ131" s="417">
        <f>VLOOKUP($J131,Fatores!$G$1:$J$5,3,FALSE)</f>
        <v>1.3186317794730578</v>
      </c>
      <c r="AR131" s="417">
        <f>VLOOKUP($C131,Fatores!$A:$D,3,FALSE)</f>
        <v>1</v>
      </c>
      <c r="AS131" s="420">
        <f t="shared" si="297"/>
        <v>10.549054235784462</v>
      </c>
      <c r="AT131" s="420">
        <f t="shared" si="298"/>
        <v>11.867686015257521</v>
      </c>
      <c r="AU131" s="420">
        <f t="shared" si="299"/>
        <v>11.867686015257521</v>
      </c>
      <c r="AV131" s="420">
        <f t="shared" si="300"/>
        <v>11.867686015257521</v>
      </c>
      <c r="AW131" s="420">
        <f t="shared" si="301"/>
        <v>9.2304224563114037</v>
      </c>
      <c r="AX131" s="420">
        <f t="shared" si="302"/>
        <v>10.549054235784462</v>
      </c>
      <c r="AY131" s="421">
        <f t="shared" ref="AY131:BD131" si="707">AS131+VLOOKUP($E131,$A:$BR,AY$1,FALSE)</f>
        <v>164.82897243413223</v>
      </c>
      <c r="AZ131" s="421">
        <f t="shared" si="707"/>
        <v>160.87307709571306</v>
      </c>
      <c r="BA131" s="421">
        <f t="shared" si="707"/>
        <v>159.55444531623999</v>
      </c>
      <c r="BB131" s="421">
        <f t="shared" si="707"/>
        <v>154.27991819834779</v>
      </c>
      <c r="BC131" s="421">
        <f t="shared" si="707"/>
        <v>149.00539108045552</v>
      </c>
      <c r="BD131" s="421">
        <f t="shared" si="707"/>
        <v>142.41223218309025</v>
      </c>
      <c r="BE131" s="417">
        <f>VLOOKUP($J131,Fatores!$G$1:$J$5,4,FALSE)</f>
        <v>1</v>
      </c>
      <c r="BF131" s="417">
        <f>VLOOKUP($C131,Fatores!$A:$D,4,FALSE)</f>
        <v>1</v>
      </c>
      <c r="BG131" s="420">
        <f t="shared" si="304"/>
        <v>8</v>
      </c>
      <c r="BH131" s="420">
        <f t="shared" si="305"/>
        <v>9</v>
      </c>
      <c r="BI131" s="420">
        <f t="shared" si="306"/>
        <v>9</v>
      </c>
      <c r="BJ131" s="420">
        <f t="shared" si="307"/>
        <v>9</v>
      </c>
      <c r="BK131" s="420">
        <f t="shared" si="308"/>
        <v>7</v>
      </c>
      <c r="BL131" s="420">
        <f t="shared" si="309"/>
        <v>8</v>
      </c>
      <c r="BM131" s="421">
        <f t="shared" ref="BM131:BR131" si="708">BG131+VLOOKUP($E131,$A:$BR,BM$1,FALSE)</f>
        <v>125</v>
      </c>
      <c r="BN131" s="421">
        <f t="shared" si="708"/>
        <v>122</v>
      </c>
      <c r="BO131" s="421">
        <f t="shared" si="708"/>
        <v>121</v>
      </c>
      <c r="BP131" s="421">
        <f t="shared" si="708"/>
        <v>117</v>
      </c>
      <c r="BQ131" s="421">
        <f t="shared" si="708"/>
        <v>113</v>
      </c>
      <c r="BR131" s="421">
        <f t="shared" si="708"/>
        <v>108</v>
      </c>
    </row>
    <row r="132" spans="1:70" x14ac:dyDescent="0.25">
      <c r="A132" s="431">
        <v>262</v>
      </c>
      <c r="B132" s="424"/>
      <c r="C132" s="424" t="s">
        <v>34</v>
      </c>
      <c r="D132" s="437" t="s">
        <v>550</v>
      </c>
      <c r="E132" s="431"/>
      <c r="F132" s="424"/>
      <c r="G132" s="424"/>
      <c r="H132" s="424"/>
      <c r="I132" s="432"/>
      <c r="J132" s="440">
        <v>1</v>
      </c>
      <c r="K132" s="419">
        <f>VLOOKUP($A132,Prevs!$C:$I,Ajustes!K$1,FALSE)</f>
        <v>33</v>
      </c>
      <c r="L132" s="419">
        <f>VLOOKUP($A132,Prevs!$C:$I,Ajustes!L$1,FALSE)</f>
        <v>33</v>
      </c>
      <c r="M132" s="419">
        <f>VLOOKUP($A132,Prevs!$C:$I,Ajustes!M$1,FALSE)</f>
        <v>32</v>
      </c>
      <c r="N132" s="419">
        <f>VLOOKUP($A132,Prevs!$C:$I,Ajustes!N$1,FALSE)</f>
        <v>31</v>
      </c>
      <c r="O132" s="419">
        <f>VLOOKUP($A132,Prevs!$C:$I,Ajustes!O$1,FALSE)</f>
        <v>31</v>
      </c>
      <c r="P132" s="419">
        <f>VLOOKUP($A132,Prevs!$C:$I,Ajustes!P$1,FALSE)</f>
        <v>31</v>
      </c>
      <c r="Q132" s="419">
        <v>0</v>
      </c>
      <c r="R132" s="419">
        <v>0</v>
      </c>
      <c r="S132" s="419">
        <v>0</v>
      </c>
      <c r="T132" s="419">
        <v>0</v>
      </c>
      <c r="U132" s="419">
        <v>0</v>
      </c>
      <c r="V132" s="419">
        <v>0</v>
      </c>
      <c r="W132" s="419">
        <f t="shared" si="689"/>
        <v>33</v>
      </c>
      <c r="X132" s="419">
        <f t="shared" si="689"/>
        <v>33</v>
      </c>
      <c r="Y132" s="419">
        <f t="shared" si="689"/>
        <v>32</v>
      </c>
      <c r="Z132" s="419">
        <f t="shared" si="689"/>
        <v>31</v>
      </c>
      <c r="AA132" s="419">
        <f t="shared" si="689"/>
        <v>31</v>
      </c>
      <c r="AB132" s="419">
        <f t="shared" si="689"/>
        <v>31</v>
      </c>
      <c r="AC132" s="417">
        <f>VLOOKUP($J132,Fatores!$G$1:$J$5,2,FALSE)</f>
        <v>1.5531612828314754</v>
      </c>
      <c r="AD132" s="417">
        <f>VLOOKUP($C132,Fatores!$A:$D,2,FALSE)</f>
        <v>1</v>
      </c>
      <c r="AE132" s="420">
        <f t="shared" ref="AE132:AE157" si="709">W132*(($AC132*$AD132-1)*AE$1+1)</f>
        <v>51.254322333438687</v>
      </c>
      <c r="AF132" s="420">
        <f t="shared" ref="AF132:AF157" si="710">X132*(($AC132*$AD132-1)*AF$1+1)</f>
        <v>51.254322333438687</v>
      </c>
      <c r="AG132" s="420">
        <f t="shared" ref="AG132:AG157" si="711">Y132*(($AC132*$AD132-1)*AG$1+1)</f>
        <v>49.701161050607212</v>
      </c>
      <c r="AH132" s="420">
        <f t="shared" ref="AH132:AH157" si="712">Z132*(($AC132*$AD132-1)*AH$1+1)</f>
        <v>48.147999767775737</v>
      </c>
      <c r="AI132" s="420">
        <f t="shared" ref="AI132:AI157" si="713">AA132*(($AC132*$AD132-1)*AI$1+1)</f>
        <v>48.147999767775737</v>
      </c>
      <c r="AJ132" s="420">
        <f t="shared" ref="AJ132:AJ157" si="714">AB132*(($AC132*$AD132-1)*AJ$1+1)</f>
        <v>48.147999767775737</v>
      </c>
      <c r="AK132" s="421">
        <f t="shared" ref="AK132:AP132" si="715">AE132</f>
        <v>51.254322333438687</v>
      </c>
      <c r="AL132" s="421">
        <f t="shared" si="715"/>
        <v>51.254322333438687</v>
      </c>
      <c r="AM132" s="421">
        <f t="shared" si="715"/>
        <v>49.701161050607212</v>
      </c>
      <c r="AN132" s="421">
        <f t="shared" si="715"/>
        <v>48.147999767775737</v>
      </c>
      <c r="AO132" s="421">
        <f t="shared" si="715"/>
        <v>48.147999767775737</v>
      </c>
      <c r="AP132" s="421">
        <f t="shared" si="715"/>
        <v>48.147999767775737</v>
      </c>
      <c r="AQ132" s="417">
        <f>VLOOKUP($J132,Fatores!$G$1:$J$5,3,FALSE)</f>
        <v>1.3186317794730578</v>
      </c>
      <c r="AR132" s="417">
        <f>VLOOKUP($C132,Fatores!$A:$D,3,FALSE)</f>
        <v>1</v>
      </c>
      <c r="AS132" s="420">
        <f t="shared" ref="AS132:AS157" si="716">W132*(($AQ132*$AR132-1)*AE$1+1)</f>
        <v>43.514848722610907</v>
      </c>
      <c r="AT132" s="420">
        <f t="shared" ref="AT132:AT157" si="717">X132*(($AQ132*$AR132-1)*AF$1+1)</f>
        <v>43.514848722610907</v>
      </c>
      <c r="AU132" s="420">
        <f t="shared" ref="AU132:AU157" si="718">Y132*(($AQ132*$AR132-1)*AG$1+1)</f>
        <v>42.196216943137848</v>
      </c>
      <c r="AV132" s="420">
        <f t="shared" ref="AV132:AV157" si="719">Z132*(($AQ132*$AR132-1)*AH$1+1)</f>
        <v>40.87758516366479</v>
      </c>
      <c r="AW132" s="420">
        <f t="shared" ref="AW132:AW157" si="720">AA132*(($AQ132*$AR132-1)*AI$1+1)</f>
        <v>40.87758516366479</v>
      </c>
      <c r="AX132" s="420">
        <f t="shared" ref="AX132:AX157" si="721">AB132*(($AQ132*$AR132-1)*AJ$1+1)</f>
        <v>40.87758516366479</v>
      </c>
      <c r="AY132" s="421">
        <f t="shared" ref="AY132" si="722">AS132</f>
        <v>43.514848722610907</v>
      </c>
      <c r="AZ132" s="421">
        <f t="shared" ref="AZ132" si="723">AT132</f>
        <v>43.514848722610907</v>
      </c>
      <c r="BA132" s="421">
        <f t="shared" ref="BA132" si="724">AU132</f>
        <v>42.196216943137848</v>
      </c>
      <c r="BB132" s="421">
        <f t="shared" ref="BB132" si="725">AV132</f>
        <v>40.87758516366479</v>
      </c>
      <c r="BC132" s="421">
        <f t="shared" ref="BC132" si="726">AW132</f>
        <v>40.87758516366479</v>
      </c>
      <c r="BD132" s="421">
        <f t="shared" ref="BD132" si="727">AX132</f>
        <v>40.87758516366479</v>
      </c>
      <c r="BE132" s="417">
        <f>VLOOKUP($J132,Fatores!$G$1:$J$5,4,FALSE)</f>
        <v>1</v>
      </c>
      <c r="BF132" s="417">
        <f>VLOOKUP($C132,Fatores!$A:$D,4,FALSE)</f>
        <v>1</v>
      </c>
      <c r="BG132" s="420">
        <f t="shared" ref="BG132:BG157" si="728">W132*(($BE132*$BF132-1)*AE$1+1)</f>
        <v>33</v>
      </c>
      <c r="BH132" s="420">
        <f t="shared" ref="BH132:BH157" si="729">X132*(($BE132*$BF132-1)*AF$1+1)</f>
        <v>33</v>
      </c>
      <c r="BI132" s="420">
        <f t="shared" ref="BI132:BI157" si="730">Y132*(($BE132*$BF132-1)*AG$1+1)</f>
        <v>32</v>
      </c>
      <c r="BJ132" s="420">
        <f t="shared" ref="BJ132:BJ157" si="731">Z132*(($BE132*$BF132-1)*AH$1+1)</f>
        <v>31</v>
      </c>
      <c r="BK132" s="420">
        <f t="shared" ref="BK132:BK157" si="732">AA132*(($BE132*$BF132-1)*AI$1+1)</f>
        <v>31</v>
      </c>
      <c r="BL132" s="420">
        <f t="shared" ref="BL132:BL157" si="733">AB132*(($BE132*$BF132-1)*AJ$1+1)</f>
        <v>31</v>
      </c>
      <c r="BM132" s="421">
        <f t="shared" ref="BM132" si="734">BG132</f>
        <v>33</v>
      </c>
      <c r="BN132" s="421">
        <f t="shared" ref="BN132" si="735">BH132</f>
        <v>33</v>
      </c>
      <c r="BO132" s="421">
        <f t="shared" ref="BO132" si="736">BI132</f>
        <v>32</v>
      </c>
      <c r="BP132" s="421">
        <f t="shared" ref="BP132" si="737">BJ132</f>
        <v>31</v>
      </c>
      <c r="BQ132" s="421">
        <f t="shared" ref="BQ132" si="738">BK132</f>
        <v>31</v>
      </c>
      <c r="BR132" s="421">
        <f t="shared" ref="BR132" si="739">BL132</f>
        <v>31</v>
      </c>
    </row>
    <row r="133" spans="1:70" x14ac:dyDescent="0.25">
      <c r="A133" s="431">
        <v>263</v>
      </c>
      <c r="B133" s="424"/>
      <c r="C133" s="424" t="s">
        <v>34</v>
      </c>
      <c r="D133" s="437" t="s">
        <v>551</v>
      </c>
      <c r="E133" s="444">
        <v>134</v>
      </c>
      <c r="F133" s="424"/>
      <c r="G133" s="424"/>
      <c r="H133" s="424"/>
      <c r="I133" s="432"/>
      <c r="J133" s="440">
        <v>1</v>
      </c>
      <c r="K133" s="419">
        <f>VLOOKUP($A133,Prevs!$C:$I,Ajustes!K$1,FALSE)</f>
        <v>43</v>
      </c>
      <c r="L133" s="419">
        <f>VLOOKUP($A133,Prevs!$C:$I,Ajustes!L$1,FALSE)</f>
        <v>42</v>
      </c>
      <c r="M133" s="419">
        <f>VLOOKUP($A133,Prevs!$C:$I,Ajustes!M$1,FALSE)</f>
        <v>42</v>
      </c>
      <c r="N133" s="419">
        <f>VLOOKUP($A133,Prevs!$C:$I,Ajustes!N$1,FALSE)</f>
        <v>40</v>
      </c>
      <c r="O133" s="419">
        <f>VLOOKUP($A133,Prevs!$C:$I,Ajustes!O$1,FALSE)</f>
        <v>37</v>
      </c>
      <c r="P133" s="419">
        <f>VLOOKUP($A133,Prevs!$C:$I,Ajustes!P$1,FALSE)</f>
        <v>36</v>
      </c>
      <c r="Q133" s="419">
        <f>VLOOKUP($E133,Prevs!$C:$I,Ajustes!K$1,FALSE)</f>
        <v>42</v>
      </c>
      <c r="R133" s="419">
        <f>VLOOKUP($E133,Prevs!$C:$I,Ajustes!L$1,FALSE)</f>
        <v>41</v>
      </c>
      <c r="S133" s="419">
        <f>VLOOKUP($E133,Prevs!$C:$I,Ajustes!M$1,FALSE)</f>
        <v>40</v>
      </c>
      <c r="T133" s="419">
        <f>VLOOKUP($E133,Prevs!$C:$I,Ajustes!N$1,FALSE)</f>
        <v>39</v>
      </c>
      <c r="U133" s="419">
        <f>VLOOKUP($E133,Prevs!$C:$I,Ajustes!O$1,FALSE)</f>
        <v>36</v>
      </c>
      <c r="V133" s="419">
        <f>VLOOKUP($E133,Prevs!$C:$I,Ajustes!P$1,FALSE)</f>
        <v>34</v>
      </c>
      <c r="W133" s="419">
        <f t="shared" ref="W133:W134" si="740">K133-Q133</f>
        <v>1</v>
      </c>
      <c r="X133" s="419">
        <f t="shared" ref="X133:X134" si="741">L133-R133</f>
        <v>1</v>
      </c>
      <c r="Y133" s="419">
        <f t="shared" ref="Y133:Y134" si="742">M133-S133</f>
        <v>2</v>
      </c>
      <c r="Z133" s="419">
        <f t="shared" ref="Z133:Z134" si="743">N133-T133</f>
        <v>1</v>
      </c>
      <c r="AA133" s="419">
        <f t="shared" ref="AA133:AA134" si="744">O133-U133</f>
        <v>1</v>
      </c>
      <c r="AB133" s="419">
        <f t="shared" ref="AB133:AB134" si="745">P133-V133</f>
        <v>2</v>
      </c>
      <c r="AC133" s="417">
        <f>VLOOKUP($J133,Fatores!$G$1:$J$5,2,FALSE)</f>
        <v>1.5531612828314754</v>
      </c>
      <c r="AD133" s="417">
        <f>VLOOKUP($C133,Fatores!$A:$D,2,FALSE)</f>
        <v>1</v>
      </c>
      <c r="AE133" s="420">
        <f t="shared" si="709"/>
        <v>1.5531612828314754</v>
      </c>
      <c r="AF133" s="420">
        <f t="shared" si="710"/>
        <v>1.5531612828314754</v>
      </c>
      <c r="AG133" s="420">
        <f t="shared" si="711"/>
        <v>3.1063225656629507</v>
      </c>
      <c r="AH133" s="420">
        <f t="shared" si="712"/>
        <v>1.5531612828314754</v>
      </c>
      <c r="AI133" s="420">
        <f t="shared" si="713"/>
        <v>1.5531612828314754</v>
      </c>
      <c r="AJ133" s="420">
        <f t="shared" si="714"/>
        <v>3.1063225656629507</v>
      </c>
      <c r="AK133" s="421">
        <f t="shared" ref="AK133:AP133" si="746">AE133+VLOOKUP($E133,$A:$BR,AK$1,FALSE)</f>
        <v>66.785935161753443</v>
      </c>
      <c r="AL133" s="421">
        <f t="shared" si="746"/>
        <v>65.232773878921975</v>
      </c>
      <c r="AM133" s="421">
        <f t="shared" si="746"/>
        <v>65.232773878921961</v>
      </c>
      <c r="AN133" s="421">
        <f t="shared" si="746"/>
        <v>62.126451313259011</v>
      </c>
      <c r="AO133" s="421">
        <f t="shared" si="746"/>
        <v>57.466967464764586</v>
      </c>
      <c r="AP133" s="421">
        <f t="shared" si="746"/>
        <v>55.913806181933111</v>
      </c>
      <c r="AQ133" s="417">
        <f>VLOOKUP($J133,Fatores!$G$1:$J$5,3,FALSE)</f>
        <v>1.3186317794730578</v>
      </c>
      <c r="AR133" s="417">
        <f>VLOOKUP($C133,Fatores!$A:$D,3,FALSE)</f>
        <v>1</v>
      </c>
      <c r="AS133" s="420">
        <f t="shared" si="716"/>
        <v>1.3186317794730578</v>
      </c>
      <c r="AT133" s="420">
        <f t="shared" si="717"/>
        <v>1.3186317794730578</v>
      </c>
      <c r="AU133" s="420">
        <f t="shared" si="718"/>
        <v>2.6372635589461155</v>
      </c>
      <c r="AV133" s="420">
        <f t="shared" si="719"/>
        <v>1.3186317794730578</v>
      </c>
      <c r="AW133" s="420">
        <f t="shared" si="720"/>
        <v>1.3186317794730578</v>
      </c>
      <c r="AX133" s="420">
        <f t="shared" si="721"/>
        <v>2.6372635589461155</v>
      </c>
      <c r="AY133" s="421">
        <f t="shared" ref="AY133:BD133" si="747">AS133+VLOOKUP($E133,$A:$BR,AY$1,FALSE)</f>
        <v>56.701166517341484</v>
      </c>
      <c r="AZ133" s="421">
        <f t="shared" si="747"/>
        <v>55.382534737868426</v>
      </c>
      <c r="BA133" s="421">
        <f t="shared" si="747"/>
        <v>55.382534737868426</v>
      </c>
      <c r="BB133" s="421">
        <f t="shared" si="747"/>
        <v>52.745271178922309</v>
      </c>
      <c r="BC133" s="421">
        <f t="shared" si="747"/>
        <v>48.789375840503141</v>
      </c>
      <c r="BD133" s="421">
        <f t="shared" si="747"/>
        <v>47.470744061030082</v>
      </c>
      <c r="BE133" s="417">
        <f>VLOOKUP($J133,Fatores!$G$1:$J$5,4,FALSE)</f>
        <v>1</v>
      </c>
      <c r="BF133" s="417">
        <f>VLOOKUP($C133,Fatores!$A:$D,4,FALSE)</f>
        <v>1</v>
      </c>
      <c r="BG133" s="420">
        <f t="shared" si="728"/>
        <v>1</v>
      </c>
      <c r="BH133" s="420">
        <f t="shared" si="729"/>
        <v>1</v>
      </c>
      <c r="BI133" s="420">
        <f t="shared" si="730"/>
        <v>2</v>
      </c>
      <c r="BJ133" s="420">
        <f t="shared" si="731"/>
        <v>1</v>
      </c>
      <c r="BK133" s="420">
        <f t="shared" si="732"/>
        <v>1</v>
      </c>
      <c r="BL133" s="420">
        <f t="shared" si="733"/>
        <v>2</v>
      </c>
      <c r="BM133" s="421">
        <f t="shared" ref="BM133:BR133" si="748">BG133+VLOOKUP($E133,$A:$BR,BM$1,FALSE)</f>
        <v>43</v>
      </c>
      <c r="BN133" s="421">
        <f t="shared" si="748"/>
        <v>42</v>
      </c>
      <c r="BO133" s="421">
        <f t="shared" si="748"/>
        <v>42</v>
      </c>
      <c r="BP133" s="421">
        <f t="shared" si="748"/>
        <v>40</v>
      </c>
      <c r="BQ133" s="421">
        <f t="shared" si="748"/>
        <v>37</v>
      </c>
      <c r="BR133" s="421">
        <f t="shared" si="748"/>
        <v>36</v>
      </c>
    </row>
    <row r="134" spans="1:70" x14ac:dyDescent="0.25">
      <c r="A134" s="431">
        <v>266</v>
      </c>
      <c r="B134" s="424"/>
      <c r="C134" s="424" t="s">
        <v>29</v>
      </c>
      <c r="D134" s="437" t="s">
        <v>426</v>
      </c>
      <c r="E134" s="444">
        <v>246</v>
      </c>
      <c r="F134" s="425">
        <v>63</v>
      </c>
      <c r="G134" s="424"/>
      <c r="H134" s="424"/>
      <c r="I134" s="432"/>
      <c r="J134" s="440">
        <v>1</v>
      </c>
      <c r="K134" s="419">
        <f>VLOOKUP($A134,Prevs!$C:$I,Ajustes!K$1,FALSE)</f>
        <v>10710</v>
      </c>
      <c r="L134" s="419">
        <f>VLOOKUP($A134,Prevs!$C:$I,Ajustes!L$1,FALSE)</f>
        <v>9988</v>
      </c>
      <c r="M134" s="419">
        <f>VLOOKUP($A134,Prevs!$C:$I,Ajustes!M$1,FALSE)</f>
        <v>9870</v>
      </c>
      <c r="N134" s="419">
        <f>VLOOKUP($A134,Prevs!$C:$I,Ajustes!N$1,FALSE)</f>
        <v>10167</v>
      </c>
      <c r="O134" s="419">
        <f>VLOOKUP($A134,Prevs!$C:$I,Ajustes!O$1,FALSE)</f>
        <v>8994</v>
      </c>
      <c r="P134" s="419">
        <f>VLOOKUP($A134,Prevs!$C:$I,Ajustes!P$1,FALSE)</f>
        <v>8475</v>
      </c>
      <c r="Q134" s="419">
        <f>VLOOKUP($E134,Prevs!$C:$I,Ajustes!K$1,FALSE)+VLOOKUP($F134,Prevs!$C:$I,Ajustes!K$1,FALSE)</f>
        <v>4731</v>
      </c>
      <c r="R134" s="419">
        <f>VLOOKUP($E134,Prevs!$C:$I,Ajustes!L$1,FALSE)+VLOOKUP($F134,Prevs!$C:$I,Ajustes!L$1,FALSE)</f>
        <v>4713</v>
      </c>
      <c r="S134" s="419">
        <f>VLOOKUP($E134,Prevs!$C:$I,Ajustes!M$1,FALSE)+VLOOKUP($F134,Prevs!$C:$I,Ajustes!M$1,FALSE)</f>
        <v>4933</v>
      </c>
      <c r="T134" s="419">
        <f>VLOOKUP($E134,Prevs!$C:$I,Ajustes!N$1,FALSE)+VLOOKUP($F134,Prevs!$C:$I,Ajustes!N$1,FALSE)</f>
        <v>4698</v>
      </c>
      <c r="U134" s="419">
        <f>VLOOKUP($E134,Prevs!$C:$I,Ajustes!O$1,FALSE)+VLOOKUP($F134,Prevs!$C:$I,Ajustes!O$1,FALSE)</f>
        <v>4349</v>
      </c>
      <c r="V134" s="419">
        <f>VLOOKUP($E134,Prevs!$C:$I,Ajustes!P$1,FALSE)+VLOOKUP($F134,Prevs!$C:$I,Ajustes!P$1,FALSE)</f>
        <v>4378</v>
      </c>
      <c r="W134" s="419">
        <f t="shared" si="740"/>
        <v>5979</v>
      </c>
      <c r="X134" s="419">
        <f t="shared" si="741"/>
        <v>5275</v>
      </c>
      <c r="Y134" s="419">
        <f t="shared" si="742"/>
        <v>4937</v>
      </c>
      <c r="Z134" s="419">
        <f t="shared" si="743"/>
        <v>5469</v>
      </c>
      <c r="AA134" s="419">
        <f t="shared" si="744"/>
        <v>4645</v>
      </c>
      <c r="AB134" s="419">
        <f t="shared" si="745"/>
        <v>4097</v>
      </c>
      <c r="AC134" s="417">
        <f>VLOOKUP($J134,Fatores!$G$1:$J$5,2,FALSE)</f>
        <v>1.5531612828314754</v>
      </c>
      <c r="AD134" s="417">
        <f>VLOOKUP($C134,Fatores!$A:$D,2,FALSE)</f>
        <v>1</v>
      </c>
      <c r="AE134" s="420">
        <f t="shared" si="709"/>
        <v>9286.351310049391</v>
      </c>
      <c r="AF134" s="420">
        <f t="shared" si="710"/>
        <v>8192.9257669360322</v>
      </c>
      <c r="AG134" s="420">
        <f t="shared" si="711"/>
        <v>7667.9572533389937</v>
      </c>
      <c r="AH134" s="420">
        <f t="shared" si="712"/>
        <v>8494.2390558053394</v>
      </c>
      <c r="AI134" s="420">
        <f t="shared" si="713"/>
        <v>7214.4341587522031</v>
      </c>
      <c r="AJ134" s="420">
        <f t="shared" si="714"/>
        <v>6363.3017757605548</v>
      </c>
      <c r="AK134" s="421">
        <f t="shared" ref="AK134:AP134" si="749">AE134+VLOOKUP($E134,$A:$BR,AK$1,FALSE)+VLOOKUP($F134,$A:$BR,AK$1,FALSE)</f>
        <v>16499.832177958153</v>
      </c>
      <c r="AL134" s="421">
        <f t="shared" si="749"/>
        <v>15385.213566672835</v>
      </c>
      <c r="AM134" s="421">
        <f t="shared" si="749"/>
        <v>15219.225891202856</v>
      </c>
      <c r="AN134" s="421">
        <f t="shared" si="749"/>
        <v>15682.769403843473</v>
      </c>
      <c r="AO134" s="421">
        <f t="shared" si="749"/>
        <v>13845.880474817688</v>
      </c>
      <c r="AP134" s="421">
        <f t="shared" si="749"/>
        <v>13072.10586919675</v>
      </c>
      <c r="AQ134" s="417">
        <f>VLOOKUP($J134,Fatores!$G$1:$J$5,3,FALSE)</f>
        <v>1.3186317794730578</v>
      </c>
      <c r="AR134" s="417">
        <f>VLOOKUP($C134,Fatores!$A:$D,3,FALSE)</f>
        <v>1</v>
      </c>
      <c r="AS134" s="420">
        <f t="shared" si="716"/>
        <v>7884.0994094694124</v>
      </c>
      <c r="AT134" s="420">
        <f t="shared" si="717"/>
        <v>6955.7826367203797</v>
      </c>
      <c r="AU134" s="420">
        <f t="shared" si="718"/>
        <v>6510.085095258486</v>
      </c>
      <c r="AV134" s="420">
        <f t="shared" si="719"/>
        <v>7211.5972019381525</v>
      </c>
      <c r="AW134" s="420">
        <f t="shared" si="720"/>
        <v>6125.0446156523531</v>
      </c>
      <c r="AX134" s="420">
        <f t="shared" si="721"/>
        <v>5402.434400501118</v>
      </c>
      <c r="AY134" s="421">
        <f t="shared" ref="AY134:BD134" si="750">AS134+VLOOKUP($E134,$A:$BR,AY$1,FALSE)+VLOOKUP($F134,$A:$BR,AY$1,FALSE)</f>
        <v>14030.001978090655</v>
      </c>
      <c r="AZ134" s="421">
        <f t="shared" si="750"/>
        <v>13082.602902699891</v>
      </c>
      <c r="BA134" s="421">
        <f t="shared" si="750"/>
        <v>12938.895530048962</v>
      </c>
      <c r="BB134" s="421">
        <f t="shared" si="750"/>
        <v>13332.080191682053</v>
      </c>
      <c r="BC134" s="421">
        <f t="shared" si="750"/>
        <v>11774.984960162861</v>
      </c>
      <c r="BD134" s="421">
        <f t="shared" si="750"/>
        <v>11112.846398140529</v>
      </c>
      <c r="BE134" s="417">
        <f>VLOOKUP($J134,Fatores!$G$1:$J$5,4,FALSE)</f>
        <v>1</v>
      </c>
      <c r="BF134" s="417">
        <f>VLOOKUP($C134,Fatores!$A:$D,4,FALSE)</f>
        <v>1</v>
      </c>
      <c r="BG134" s="420">
        <f t="shared" si="728"/>
        <v>5979</v>
      </c>
      <c r="BH134" s="420">
        <f t="shared" si="729"/>
        <v>5275</v>
      </c>
      <c r="BI134" s="420">
        <f t="shared" si="730"/>
        <v>4937</v>
      </c>
      <c r="BJ134" s="420">
        <f t="shared" si="731"/>
        <v>5469</v>
      </c>
      <c r="BK134" s="420">
        <f t="shared" si="732"/>
        <v>4645</v>
      </c>
      <c r="BL134" s="420">
        <f t="shared" si="733"/>
        <v>4097</v>
      </c>
      <c r="BM134" s="421">
        <f t="shared" ref="BM134:BR134" si="751">BG134+VLOOKUP($E134,$A:$BR,BM$1,FALSE)+VLOOKUP($F134,$A:$BR,BM$1,FALSE)</f>
        <v>10710</v>
      </c>
      <c r="BN134" s="421">
        <f t="shared" si="751"/>
        <v>9988</v>
      </c>
      <c r="BO134" s="421">
        <f t="shared" si="751"/>
        <v>9870</v>
      </c>
      <c r="BP134" s="421">
        <f t="shared" si="751"/>
        <v>10167</v>
      </c>
      <c r="BQ134" s="421">
        <f t="shared" si="751"/>
        <v>8994</v>
      </c>
      <c r="BR134" s="421">
        <f t="shared" si="751"/>
        <v>8475</v>
      </c>
    </row>
    <row r="135" spans="1:70" x14ac:dyDescent="0.25">
      <c r="A135" s="431">
        <v>269</v>
      </c>
      <c r="B135" s="424"/>
      <c r="C135" s="424" t="s">
        <v>53</v>
      </c>
      <c r="D135" s="437" t="s">
        <v>552</v>
      </c>
      <c r="E135" s="431"/>
      <c r="F135" s="424"/>
      <c r="G135" s="424"/>
      <c r="H135" s="424"/>
      <c r="I135" s="432"/>
      <c r="J135" s="440">
        <v>4</v>
      </c>
      <c r="K135" s="419">
        <f>VLOOKUP($A135,Prevs!$C:$I,Ajustes!K$1,FALSE)</f>
        <v>688</v>
      </c>
      <c r="L135" s="419">
        <f>VLOOKUP($A135,Prevs!$C:$I,Ajustes!L$1,FALSE)</f>
        <v>643</v>
      </c>
      <c r="M135" s="419">
        <f>VLOOKUP($A135,Prevs!$C:$I,Ajustes!M$1,FALSE)</f>
        <v>568</v>
      </c>
      <c r="N135" s="419">
        <f>VLOOKUP($A135,Prevs!$C:$I,Ajustes!N$1,FALSE)</f>
        <v>441</v>
      </c>
      <c r="O135" s="419">
        <f>VLOOKUP($A135,Prevs!$C:$I,Ajustes!O$1,FALSE)</f>
        <v>428</v>
      </c>
      <c r="P135" s="419">
        <f>VLOOKUP($A135,Prevs!$C:$I,Ajustes!P$1,FALSE)</f>
        <v>374</v>
      </c>
      <c r="Q135" s="419">
        <v>0</v>
      </c>
      <c r="R135" s="419">
        <v>0</v>
      </c>
      <c r="S135" s="419">
        <v>0</v>
      </c>
      <c r="T135" s="419">
        <v>0</v>
      </c>
      <c r="U135" s="419">
        <v>0</v>
      </c>
      <c r="V135" s="419">
        <v>0</v>
      </c>
      <c r="W135" s="419">
        <f t="shared" ref="W135:W139" si="752">K135-Q135</f>
        <v>688</v>
      </c>
      <c r="X135" s="419">
        <f t="shared" ref="X135:X139" si="753">L135-R135</f>
        <v>643</v>
      </c>
      <c r="Y135" s="419">
        <f t="shared" ref="Y135:Y139" si="754">M135-S135</f>
        <v>568</v>
      </c>
      <c r="Z135" s="419">
        <f t="shared" ref="Z135:Z139" si="755">N135-T135</f>
        <v>441</v>
      </c>
      <c r="AA135" s="419">
        <f t="shared" ref="AA135:AA139" si="756">O135-U135</f>
        <v>428</v>
      </c>
      <c r="AB135" s="419">
        <f t="shared" ref="AB135:AB139" si="757">P135-V135</f>
        <v>374</v>
      </c>
      <c r="AC135" s="417">
        <f>VLOOKUP($J135,Fatores!$G$1:$J$5,2,FALSE)</f>
        <v>3.3533817708130722</v>
      </c>
      <c r="AD135" s="417">
        <f>VLOOKUP($C135,Fatores!$A:$D,2,FALSE)</f>
        <v>1</v>
      </c>
      <c r="AE135" s="420">
        <f t="shared" si="709"/>
        <v>2307.1266583193938</v>
      </c>
      <c r="AF135" s="420">
        <f t="shared" si="710"/>
        <v>2156.2244786328056</v>
      </c>
      <c r="AG135" s="420">
        <f t="shared" si="711"/>
        <v>1904.7208458218249</v>
      </c>
      <c r="AH135" s="420">
        <f t="shared" si="712"/>
        <v>1478.8413609285649</v>
      </c>
      <c r="AI135" s="420">
        <f t="shared" si="713"/>
        <v>1435.2473979079948</v>
      </c>
      <c r="AJ135" s="420">
        <f t="shared" si="714"/>
        <v>1254.1647822840889</v>
      </c>
      <c r="AK135" s="421">
        <f t="shared" ref="AK135:AK136" si="758">AE135</f>
        <v>2307.1266583193938</v>
      </c>
      <c r="AL135" s="421">
        <f t="shared" ref="AL135:AL136" si="759">AF135</f>
        <v>2156.2244786328056</v>
      </c>
      <c r="AM135" s="421">
        <f t="shared" ref="AM135:AM136" si="760">AG135</f>
        <v>1904.7208458218249</v>
      </c>
      <c r="AN135" s="421">
        <f t="shared" ref="AN135:AN136" si="761">AH135</f>
        <v>1478.8413609285649</v>
      </c>
      <c r="AO135" s="421">
        <f t="shared" ref="AO135:AO136" si="762">AI135</f>
        <v>1435.2473979079948</v>
      </c>
      <c r="AP135" s="421">
        <f t="shared" ref="AP135:AP136" si="763">AJ135</f>
        <v>1254.1647822840889</v>
      </c>
      <c r="AQ135" s="417">
        <f>VLOOKUP($J135,Fatores!$G$1:$J$5,3,FALSE)</f>
        <v>3.3988484923076037</v>
      </c>
      <c r="AR135" s="417">
        <f>VLOOKUP($C135,Fatores!$A:$D,3,FALSE)</f>
        <v>1</v>
      </c>
      <c r="AS135" s="420">
        <f t="shared" si="716"/>
        <v>2338.4077627076313</v>
      </c>
      <c r="AT135" s="420">
        <f t="shared" si="717"/>
        <v>2185.4595805537892</v>
      </c>
      <c r="AU135" s="420">
        <f t="shared" si="718"/>
        <v>1930.545943630719</v>
      </c>
      <c r="AV135" s="420">
        <f t="shared" si="719"/>
        <v>1498.8921851076532</v>
      </c>
      <c r="AW135" s="420">
        <f t="shared" si="720"/>
        <v>1454.7071547076544</v>
      </c>
      <c r="AX135" s="420">
        <f t="shared" si="721"/>
        <v>1271.1693361230439</v>
      </c>
      <c r="AY135" s="421">
        <f t="shared" ref="AY135:AY136" si="764">AS135</f>
        <v>2338.4077627076313</v>
      </c>
      <c r="AZ135" s="421">
        <f t="shared" ref="AZ135:AZ136" si="765">AT135</f>
        <v>2185.4595805537892</v>
      </c>
      <c r="BA135" s="421">
        <f t="shared" ref="BA135:BA136" si="766">AU135</f>
        <v>1930.545943630719</v>
      </c>
      <c r="BB135" s="421">
        <f t="shared" ref="BB135:BB136" si="767">AV135</f>
        <v>1498.8921851076532</v>
      </c>
      <c r="BC135" s="421">
        <f t="shared" ref="BC135:BC136" si="768">AW135</f>
        <v>1454.7071547076544</v>
      </c>
      <c r="BD135" s="421">
        <f t="shared" ref="BD135:BD136" si="769">AX135</f>
        <v>1271.1693361230439</v>
      </c>
      <c r="BE135" s="417">
        <f>VLOOKUP($J135,Fatores!$G$1:$J$5,4,FALSE)</f>
        <v>1</v>
      </c>
      <c r="BF135" s="417">
        <f>VLOOKUP($C135,Fatores!$A:$D,4,FALSE)</f>
        <v>1</v>
      </c>
      <c r="BG135" s="420">
        <f t="shared" si="728"/>
        <v>688</v>
      </c>
      <c r="BH135" s="420">
        <f t="shared" si="729"/>
        <v>643</v>
      </c>
      <c r="BI135" s="420">
        <f t="shared" si="730"/>
        <v>568</v>
      </c>
      <c r="BJ135" s="420">
        <f t="shared" si="731"/>
        <v>441</v>
      </c>
      <c r="BK135" s="420">
        <f t="shared" si="732"/>
        <v>428</v>
      </c>
      <c r="BL135" s="420">
        <f t="shared" si="733"/>
        <v>374</v>
      </c>
      <c r="BM135" s="421">
        <f t="shared" ref="BM135:BM136" si="770">BG135</f>
        <v>688</v>
      </c>
      <c r="BN135" s="421">
        <f t="shared" ref="BN135:BN136" si="771">BH135</f>
        <v>643</v>
      </c>
      <c r="BO135" s="421">
        <f t="shared" ref="BO135:BO136" si="772">BI135</f>
        <v>568</v>
      </c>
      <c r="BP135" s="421">
        <f t="shared" ref="BP135:BP136" si="773">BJ135</f>
        <v>441</v>
      </c>
      <c r="BQ135" s="421">
        <f t="shared" ref="BQ135:BQ136" si="774">BK135</f>
        <v>428</v>
      </c>
      <c r="BR135" s="421">
        <f t="shared" ref="BR135:BR136" si="775">BL135</f>
        <v>374</v>
      </c>
    </row>
    <row r="136" spans="1:70" x14ac:dyDescent="0.25">
      <c r="A136" s="431">
        <v>270</v>
      </c>
      <c r="B136" s="424"/>
      <c r="C136" s="424" t="s">
        <v>49</v>
      </c>
      <c r="D136" s="437" t="s">
        <v>522</v>
      </c>
      <c r="E136" s="431"/>
      <c r="F136" s="424"/>
      <c r="G136" s="424"/>
      <c r="H136" s="424"/>
      <c r="I136" s="432"/>
      <c r="J136" s="440">
        <v>1</v>
      </c>
      <c r="K136" s="419">
        <f>VLOOKUP($A136,Prevs!$C:$I,Ajustes!K$1,FALSE)</f>
        <v>287</v>
      </c>
      <c r="L136" s="419">
        <f>VLOOKUP($A136,Prevs!$C:$I,Ajustes!L$1,FALSE)</f>
        <v>271</v>
      </c>
      <c r="M136" s="419">
        <f>VLOOKUP($A136,Prevs!$C:$I,Ajustes!M$1,FALSE)</f>
        <v>233</v>
      </c>
      <c r="N136" s="419">
        <f>VLOOKUP($A136,Prevs!$C:$I,Ajustes!N$1,FALSE)</f>
        <v>226</v>
      </c>
      <c r="O136" s="419">
        <f>VLOOKUP($A136,Prevs!$C:$I,Ajustes!O$1,FALSE)</f>
        <v>211</v>
      </c>
      <c r="P136" s="419">
        <f>VLOOKUP($A136,Prevs!$C:$I,Ajustes!P$1,FALSE)</f>
        <v>211</v>
      </c>
      <c r="Q136" s="419">
        <v>0</v>
      </c>
      <c r="R136" s="419">
        <v>0</v>
      </c>
      <c r="S136" s="419">
        <v>0</v>
      </c>
      <c r="T136" s="419">
        <v>0</v>
      </c>
      <c r="U136" s="419">
        <v>0</v>
      </c>
      <c r="V136" s="419">
        <v>0</v>
      </c>
      <c r="W136" s="419">
        <f t="shared" si="752"/>
        <v>287</v>
      </c>
      <c r="X136" s="419">
        <f t="shared" si="753"/>
        <v>271</v>
      </c>
      <c r="Y136" s="419">
        <f t="shared" si="754"/>
        <v>233</v>
      </c>
      <c r="Z136" s="419">
        <f t="shared" si="755"/>
        <v>226</v>
      </c>
      <c r="AA136" s="419">
        <f t="shared" si="756"/>
        <v>211</v>
      </c>
      <c r="AB136" s="419">
        <f t="shared" si="757"/>
        <v>211</v>
      </c>
      <c r="AC136" s="417">
        <f>VLOOKUP($J136,Fatores!$G$1:$J$5,2,FALSE)</f>
        <v>1.5531612828314754</v>
      </c>
      <c r="AD136" s="417">
        <f>VLOOKUP($C136,Fatores!$A:$D,2,FALSE)</f>
        <v>1</v>
      </c>
      <c r="AE136" s="420">
        <f t="shared" si="709"/>
        <v>445.75728817263342</v>
      </c>
      <c r="AF136" s="420">
        <f t="shared" si="710"/>
        <v>420.90670764732982</v>
      </c>
      <c r="AG136" s="420">
        <f t="shared" si="711"/>
        <v>361.88657889973376</v>
      </c>
      <c r="AH136" s="420">
        <f t="shared" si="712"/>
        <v>351.01444991991343</v>
      </c>
      <c r="AI136" s="420">
        <f t="shared" si="713"/>
        <v>327.7170306774413</v>
      </c>
      <c r="AJ136" s="420">
        <f t="shared" si="714"/>
        <v>327.7170306774413</v>
      </c>
      <c r="AK136" s="421">
        <f t="shared" si="758"/>
        <v>445.75728817263342</v>
      </c>
      <c r="AL136" s="421">
        <f t="shared" si="759"/>
        <v>420.90670764732982</v>
      </c>
      <c r="AM136" s="421">
        <f t="shared" si="760"/>
        <v>361.88657889973376</v>
      </c>
      <c r="AN136" s="421">
        <f t="shared" si="761"/>
        <v>351.01444991991343</v>
      </c>
      <c r="AO136" s="421">
        <f t="shared" si="762"/>
        <v>327.7170306774413</v>
      </c>
      <c r="AP136" s="421">
        <f t="shared" si="763"/>
        <v>327.7170306774413</v>
      </c>
      <c r="AQ136" s="417">
        <f>VLOOKUP($J136,Fatores!$G$1:$J$5,3,FALSE)</f>
        <v>1.3186317794730578</v>
      </c>
      <c r="AR136" s="417">
        <f>VLOOKUP($C136,Fatores!$A:$D,3,FALSE)</f>
        <v>1</v>
      </c>
      <c r="AS136" s="420">
        <f t="shared" si="716"/>
        <v>378.44732070876756</v>
      </c>
      <c r="AT136" s="420">
        <f t="shared" si="717"/>
        <v>357.34921223719863</v>
      </c>
      <c r="AU136" s="420">
        <f t="shared" si="718"/>
        <v>307.24120461722248</v>
      </c>
      <c r="AV136" s="420">
        <f t="shared" si="719"/>
        <v>298.01078216091105</v>
      </c>
      <c r="AW136" s="420">
        <f t="shared" si="720"/>
        <v>278.23130546881521</v>
      </c>
      <c r="AX136" s="420">
        <f t="shared" si="721"/>
        <v>278.23130546881521</v>
      </c>
      <c r="AY136" s="421">
        <f t="shared" si="764"/>
        <v>378.44732070876756</v>
      </c>
      <c r="AZ136" s="421">
        <f t="shared" si="765"/>
        <v>357.34921223719863</v>
      </c>
      <c r="BA136" s="421">
        <f t="shared" si="766"/>
        <v>307.24120461722248</v>
      </c>
      <c r="BB136" s="421">
        <f t="shared" si="767"/>
        <v>298.01078216091105</v>
      </c>
      <c r="BC136" s="421">
        <f t="shared" si="768"/>
        <v>278.23130546881521</v>
      </c>
      <c r="BD136" s="421">
        <f t="shared" si="769"/>
        <v>278.23130546881521</v>
      </c>
      <c r="BE136" s="417">
        <f>VLOOKUP($J136,Fatores!$G$1:$J$5,4,FALSE)</f>
        <v>1</v>
      </c>
      <c r="BF136" s="417">
        <f>VLOOKUP($C136,Fatores!$A:$D,4,FALSE)</f>
        <v>1</v>
      </c>
      <c r="BG136" s="420">
        <f t="shared" si="728"/>
        <v>287</v>
      </c>
      <c r="BH136" s="420">
        <f t="shared" si="729"/>
        <v>271</v>
      </c>
      <c r="BI136" s="420">
        <f t="shared" si="730"/>
        <v>233</v>
      </c>
      <c r="BJ136" s="420">
        <f t="shared" si="731"/>
        <v>226</v>
      </c>
      <c r="BK136" s="420">
        <f t="shared" si="732"/>
        <v>211</v>
      </c>
      <c r="BL136" s="420">
        <f t="shared" si="733"/>
        <v>211</v>
      </c>
      <c r="BM136" s="421">
        <f t="shared" si="770"/>
        <v>287</v>
      </c>
      <c r="BN136" s="421">
        <f t="shared" si="771"/>
        <v>271</v>
      </c>
      <c r="BO136" s="421">
        <f t="shared" si="772"/>
        <v>233</v>
      </c>
      <c r="BP136" s="421">
        <f t="shared" si="773"/>
        <v>226</v>
      </c>
      <c r="BQ136" s="421">
        <f t="shared" si="774"/>
        <v>211</v>
      </c>
      <c r="BR136" s="421">
        <f t="shared" si="775"/>
        <v>211</v>
      </c>
    </row>
    <row r="137" spans="1:70" x14ac:dyDescent="0.25">
      <c r="A137" s="431">
        <v>271</v>
      </c>
      <c r="B137" s="424"/>
      <c r="C137" s="424" t="s">
        <v>50</v>
      </c>
      <c r="D137" s="437" t="s">
        <v>522</v>
      </c>
      <c r="E137" s="444">
        <v>273</v>
      </c>
      <c r="F137" s="424"/>
      <c r="G137" s="424"/>
      <c r="H137" s="424"/>
      <c r="I137" s="432"/>
      <c r="J137" s="440">
        <v>4</v>
      </c>
      <c r="K137" s="419">
        <f>VLOOKUP($A137,Prevs!$C:$I,Ajustes!K$1,FALSE)</f>
        <v>1523</v>
      </c>
      <c r="L137" s="419">
        <f>VLOOKUP($A137,Prevs!$C:$I,Ajustes!L$1,FALSE)</f>
        <v>1432</v>
      </c>
      <c r="M137" s="419">
        <f>VLOOKUP($A137,Prevs!$C:$I,Ajustes!M$1,FALSE)</f>
        <v>1358</v>
      </c>
      <c r="N137" s="419">
        <f>VLOOKUP($A137,Prevs!$C:$I,Ajustes!N$1,FALSE)</f>
        <v>1284</v>
      </c>
      <c r="O137" s="419">
        <f>VLOOKUP($A137,Prevs!$C:$I,Ajustes!O$1,FALSE)</f>
        <v>1221</v>
      </c>
      <c r="P137" s="419">
        <f>VLOOKUP($A137,Prevs!$C:$I,Ajustes!P$1,FALSE)</f>
        <v>1164</v>
      </c>
      <c r="Q137" s="419">
        <f>VLOOKUP($E137,Prevs!$C:$I,Ajustes!K$1,FALSE)</f>
        <v>773</v>
      </c>
      <c r="R137" s="419">
        <f>VLOOKUP($E137,Prevs!$C:$I,Ajustes!L$1,FALSE)</f>
        <v>723</v>
      </c>
      <c r="S137" s="419">
        <f>VLOOKUP($E137,Prevs!$C:$I,Ajustes!M$1,FALSE)</f>
        <v>688</v>
      </c>
      <c r="T137" s="419">
        <f>VLOOKUP($E137,Prevs!$C:$I,Ajustes!N$1,FALSE)</f>
        <v>651</v>
      </c>
      <c r="U137" s="419">
        <f>VLOOKUP($E137,Prevs!$C:$I,Ajustes!O$1,FALSE)</f>
        <v>608</v>
      </c>
      <c r="V137" s="419">
        <f>VLOOKUP($E137,Prevs!$C:$I,Ajustes!P$1,FALSE)</f>
        <v>561</v>
      </c>
      <c r="W137" s="419">
        <f t="shared" si="752"/>
        <v>750</v>
      </c>
      <c r="X137" s="419">
        <f t="shared" si="753"/>
        <v>709</v>
      </c>
      <c r="Y137" s="419">
        <f t="shared" si="754"/>
        <v>670</v>
      </c>
      <c r="Z137" s="419">
        <f t="shared" si="755"/>
        <v>633</v>
      </c>
      <c r="AA137" s="419">
        <f t="shared" si="756"/>
        <v>613</v>
      </c>
      <c r="AB137" s="419">
        <f t="shared" si="757"/>
        <v>603</v>
      </c>
      <c r="AC137" s="417">
        <f>VLOOKUP($J137,Fatores!$G$1:$J$5,2,FALSE)</f>
        <v>3.3533817708130722</v>
      </c>
      <c r="AD137" s="417">
        <f>VLOOKUP($C137,Fatores!$A:$D,2,FALSE)</f>
        <v>1</v>
      </c>
      <c r="AE137" s="420">
        <f t="shared" si="709"/>
        <v>2515.0363281098043</v>
      </c>
      <c r="AF137" s="420">
        <f t="shared" si="710"/>
        <v>2377.5476755064683</v>
      </c>
      <c r="AG137" s="420">
        <f t="shared" si="711"/>
        <v>2246.7657864447583</v>
      </c>
      <c r="AH137" s="420">
        <f t="shared" si="712"/>
        <v>2122.6906609246748</v>
      </c>
      <c r="AI137" s="420">
        <f t="shared" si="713"/>
        <v>2055.6230255084133</v>
      </c>
      <c r="AJ137" s="420">
        <f t="shared" si="714"/>
        <v>2022.0892078002826</v>
      </c>
      <c r="AK137" s="421">
        <f t="shared" ref="AK137:AP139" si="776">AE137+VLOOKUP($E137,$A:$BR,AK$1,FALSE)</f>
        <v>3715.6299997385349</v>
      </c>
      <c r="AL137" s="421">
        <f t="shared" si="776"/>
        <v>3500.4832829936249</v>
      </c>
      <c r="AM137" s="421">
        <f t="shared" si="776"/>
        <v>3315.3407490328136</v>
      </c>
      <c r="AN137" s="421">
        <f t="shared" si="776"/>
        <v>3133.7986560479653</v>
      </c>
      <c r="AO137" s="421">
        <f t="shared" si="776"/>
        <v>2999.9450854699503</v>
      </c>
      <c r="AP137" s="421">
        <f t="shared" si="776"/>
        <v>2893.4126874687404</v>
      </c>
      <c r="AQ137" s="417">
        <f>VLOOKUP($J137,Fatores!$G$1:$J$5,3,FALSE)</f>
        <v>3.3988484923076037</v>
      </c>
      <c r="AR137" s="417">
        <f>VLOOKUP($C137,Fatores!$A:$D,3,FALSE)</f>
        <v>1</v>
      </c>
      <c r="AS137" s="420">
        <f t="shared" si="716"/>
        <v>2549.1363692307027</v>
      </c>
      <c r="AT137" s="420">
        <f t="shared" si="717"/>
        <v>2409.7835810460911</v>
      </c>
      <c r="AU137" s="420">
        <f t="shared" si="718"/>
        <v>2277.2284898460944</v>
      </c>
      <c r="AV137" s="420">
        <f t="shared" si="719"/>
        <v>2151.4710956307131</v>
      </c>
      <c r="AW137" s="420">
        <f t="shared" si="720"/>
        <v>2083.4941257845612</v>
      </c>
      <c r="AX137" s="420">
        <f t="shared" si="721"/>
        <v>2049.5056408614851</v>
      </c>
      <c r="AY137" s="421">
        <f t="shared" ref="AY137:BD139" si="777">AS137+VLOOKUP($E137,$A:$BR,AY$1,FALSE)</f>
        <v>3568.4387347633765</v>
      </c>
      <c r="AZ137" s="421">
        <f t="shared" si="777"/>
        <v>3363.1543576051117</v>
      </c>
      <c r="BA137" s="421">
        <f t="shared" si="777"/>
        <v>3184.447154123558</v>
      </c>
      <c r="BB137" s="421">
        <f t="shared" si="777"/>
        <v>3009.9003840676737</v>
      </c>
      <c r="BC137" s="421">
        <f t="shared" si="777"/>
        <v>2885.2222477041805</v>
      </c>
      <c r="BD137" s="421">
        <f t="shared" si="777"/>
        <v>2789.2580691458706</v>
      </c>
      <c r="BE137" s="417">
        <f>VLOOKUP($J137,Fatores!$G$1:$J$5,4,FALSE)</f>
        <v>1</v>
      </c>
      <c r="BF137" s="417">
        <f>VLOOKUP($C137,Fatores!$A:$D,4,FALSE)</f>
        <v>1</v>
      </c>
      <c r="BG137" s="420">
        <f t="shared" si="728"/>
        <v>750</v>
      </c>
      <c r="BH137" s="420">
        <f t="shared" si="729"/>
        <v>709</v>
      </c>
      <c r="BI137" s="420">
        <f t="shared" si="730"/>
        <v>670</v>
      </c>
      <c r="BJ137" s="420">
        <f t="shared" si="731"/>
        <v>633</v>
      </c>
      <c r="BK137" s="420">
        <f t="shared" si="732"/>
        <v>613</v>
      </c>
      <c r="BL137" s="420">
        <f t="shared" si="733"/>
        <v>603</v>
      </c>
      <c r="BM137" s="421">
        <f t="shared" ref="BM137:BR139" si="778">BG137+VLOOKUP($E137,$A:$BR,BM$1,FALSE)</f>
        <v>1523</v>
      </c>
      <c r="BN137" s="421">
        <f t="shared" si="778"/>
        <v>1432</v>
      </c>
      <c r="BO137" s="421">
        <f t="shared" si="778"/>
        <v>1358</v>
      </c>
      <c r="BP137" s="421">
        <f t="shared" si="778"/>
        <v>1284</v>
      </c>
      <c r="BQ137" s="421">
        <f t="shared" si="778"/>
        <v>1221</v>
      </c>
      <c r="BR137" s="421">
        <f t="shared" si="778"/>
        <v>1164</v>
      </c>
    </row>
    <row r="138" spans="1:70" x14ac:dyDescent="0.25">
      <c r="A138" s="431">
        <v>273</v>
      </c>
      <c r="B138" s="424"/>
      <c r="C138" s="424" t="s">
        <v>49</v>
      </c>
      <c r="D138" s="437" t="s">
        <v>522</v>
      </c>
      <c r="E138" s="444">
        <v>257</v>
      </c>
      <c r="F138" s="424"/>
      <c r="G138" s="424"/>
      <c r="H138" s="424"/>
      <c r="I138" s="432"/>
      <c r="J138" s="440">
        <v>1</v>
      </c>
      <c r="K138" s="419">
        <f>VLOOKUP($A138,Prevs!$C:$I,Ajustes!K$1,FALSE)</f>
        <v>773</v>
      </c>
      <c r="L138" s="419">
        <f>VLOOKUP($A138,Prevs!$C:$I,Ajustes!L$1,FALSE)</f>
        <v>723</v>
      </c>
      <c r="M138" s="419">
        <f>VLOOKUP($A138,Prevs!$C:$I,Ajustes!M$1,FALSE)</f>
        <v>688</v>
      </c>
      <c r="N138" s="419">
        <f>VLOOKUP($A138,Prevs!$C:$I,Ajustes!N$1,FALSE)</f>
        <v>651</v>
      </c>
      <c r="O138" s="419">
        <f>VLOOKUP($A138,Prevs!$C:$I,Ajustes!O$1,FALSE)</f>
        <v>608</v>
      </c>
      <c r="P138" s="419">
        <f>VLOOKUP($A138,Prevs!$C:$I,Ajustes!P$1,FALSE)</f>
        <v>561</v>
      </c>
      <c r="Q138" s="419">
        <f>VLOOKUP($E138,Prevs!$C:$I,Ajustes!K$1,FALSE)</f>
        <v>569</v>
      </c>
      <c r="R138" s="419">
        <f>VLOOKUP($E138,Prevs!$C:$I,Ajustes!L$1,FALSE)</f>
        <v>529</v>
      </c>
      <c r="S138" s="419">
        <f>VLOOKUP($E138,Prevs!$C:$I,Ajustes!M$1,FALSE)</f>
        <v>502</v>
      </c>
      <c r="T138" s="419">
        <f>VLOOKUP($E138,Prevs!$C:$I,Ajustes!N$1,FALSE)</f>
        <v>472</v>
      </c>
      <c r="U138" s="419">
        <f>VLOOKUP($E138,Prevs!$C:$I,Ajustes!O$1,FALSE)</f>
        <v>439</v>
      </c>
      <c r="V138" s="419">
        <f>VLOOKUP($E138,Prevs!$C:$I,Ajustes!P$1,FALSE)</f>
        <v>429</v>
      </c>
      <c r="W138" s="419">
        <f t="shared" si="752"/>
        <v>204</v>
      </c>
      <c r="X138" s="419">
        <f t="shared" si="753"/>
        <v>194</v>
      </c>
      <c r="Y138" s="419">
        <f t="shared" si="754"/>
        <v>186</v>
      </c>
      <c r="Z138" s="419">
        <f t="shared" si="755"/>
        <v>179</v>
      </c>
      <c r="AA138" s="419">
        <f t="shared" si="756"/>
        <v>169</v>
      </c>
      <c r="AB138" s="419">
        <f t="shared" si="757"/>
        <v>132</v>
      </c>
      <c r="AC138" s="417">
        <f>VLOOKUP($J138,Fatores!$G$1:$J$5,2,FALSE)</f>
        <v>1.5531612828314754</v>
      </c>
      <c r="AD138" s="417">
        <f>VLOOKUP($C138,Fatores!$A:$D,2,FALSE)</f>
        <v>1</v>
      </c>
      <c r="AE138" s="420">
        <f t="shared" si="709"/>
        <v>316.84490169762097</v>
      </c>
      <c r="AF138" s="420">
        <f t="shared" si="710"/>
        <v>301.31328886930623</v>
      </c>
      <c r="AG138" s="420">
        <f t="shared" si="711"/>
        <v>288.88799860665443</v>
      </c>
      <c r="AH138" s="420">
        <f t="shared" si="712"/>
        <v>278.0158696268341</v>
      </c>
      <c r="AI138" s="420">
        <f t="shared" si="713"/>
        <v>262.48425679851931</v>
      </c>
      <c r="AJ138" s="420">
        <f t="shared" si="714"/>
        <v>205.01728933375475</v>
      </c>
      <c r="AK138" s="421">
        <f t="shared" si="776"/>
        <v>1200.5936716287304</v>
      </c>
      <c r="AL138" s="421">
        <f t="shared" si="776"/>
        <v>1122.9356074871566</v>
      </c>
      <c r="AM138" s="421">
        <f t="shared" si="776"/>
        <v>1068.5749625880551</v>
      </c>
      <c r="AN138" s="421">
        <f t="shared" si="776"/>
        <v>1011.1079951232905</v>
      </c>
      <c r="AO138" s="421">
        <f t="shared" si="776"/>
        <v>944.32205996153698</v>
      </c>
      <c r="AP138" s="421">
        <f t="shared" si="776"/>
        <v>871.32347966845771</v>
      </c>
      <c r="AQ138" s="417">
        <f>VLOOKUP($J138,Fatores!$G$1:$J$5,3,FALSE)</f>
        <v>1.3186317794730578</v>
      </c>
      <c r="AR138" s="417">
        <f>VLOOKUP($C138,Fatores!$A:$D,3,FALSE)</f>
        <v>1</v>
      </c>
      <c r="AS138" s="420">
        <f t="shared" si="716"/>
        <v>269.00088301250378</v>
      </c>
      <c r="AT138" s="420">
        <f t="shared" si="717"/>
        <v>255.81456521777321</v>
      </c>
      <c r="AU138" s="420">
        <f t="shared" si="718"/>
        <v>245.26551098198874</v>
      </c>
      <c r="AV138" s="420">
        <f t="shared" si="719"/>
        <v>236.03508852567734</v>
      </c>
      <c r="AW138" s="420">
        <f t="shared" si="720"/>
        <v>222.84877073094677</v>
      </c>
      <c r="AX138" s="420">
        <f t="shared" si="721"/>
        <v>174.05939489044363</v>
      </c>
      <c r="AY138" s="421">
        <f t="shared" si="777"/>
        <v>1019.3023655326737</v>
      </c>
      <c r="AZ138" s="421">
        <f t="shared" si="777"/>
        <v>953.37077655902067</v>
      </c>
      <c r="BA138" s="421">
        <f t="shared" si="777"/>
        <v>907.21866427746374</v>
      </c>
      <c r="BB138" s="421">
        <f t="shared" si="777"/>
        <v>858.42928843696063</v>
      </c>
      <c r="BC138" s="421">
        <f t="shared" si="777"/>
        <v>801.72812191961918</v>
      </c>
      <c r="BD138" s="421">
        <f t="shared" si="777"/>
        <v>739.75242828438536</v>
      </c>
      <c r="BE138" s="417">
        <f>VLOOKUP($J138,Fatores!$G$1:$J$5,4,FALSE)</f>
        <v>1</v>
      </c>
      <c r="BF138" s="417">
        <f>VLOOKUP($C138,Fatores!$A:$D,4,FALSE)</f>
        <v>1</v>
      </c>
      <c r="BG138" s="420">
        <f t="shared" si="728"/>
        <v>204</v>
      </c>
      <c r="BH138" s="420">
        <f t="shared" si="729"/>
        <v>194</v>
      </c>
      <c r="BI138" s="420">
        <f t="shared" si="730"/>
        <v>186</v>
      </c>
      <c r="BJ138" s="420">
        <f t="shared" si="731"/>
        <v>179</v>
      </c>
      <c r="BK138" s="420">
        <f t="shared" si="732"/>
        <v>169</v>
      </c>
      <c r="BL138" s="420">
        <f t="shared" si="733"/>
        <v>132</v>
      </c>
      <c r="BM138" s="421">
        <f t="shared" si="778"/>
        <v>773</v>
      </c>
      <c r="BN138" s="421">
        <f t="shared" si="778"/>
        <v>723</v>
      </c>
      <c r="BO138" s="421">
        <f t="shared" si="778"/>
        <v>688</v>
      </c>
      <c r="BP138" s="421">
        <f t="shared" si="778"/>
        <v>651</v>
      </c>
      <c r="BQ138" s="421">
        <f t="shared" si="778"/>
        <v>608</v>
      </c>
      <c r="BR138" s="421">
        <f t="shared" si="778"/>
        <v>561</v>
      </c>
    </row>
    <row r="139" spans="1:70" x14ac:dyDescent="0.25">
      <c r="A139" s="431">
        <v>275</v>
      </c>
      <c r="B139" s="424"/>
      <c r="C139" s="424" t="s">
        <v>50</v>
      </c>
      <c r="D139" s="437" t="s">
        <v>522</v>
      </c>
      <c r="E139" s="446">
        <v>271</v>
      </c>
      <c r="F139" s="426"/>
      <c r="G139" s="424"/>
      <c r="H139" s="424"/>
      <c r="I139" s="432"/>
      <c r="J139" s="440">
        <v>4</v>
      </c>
      <c r="K139" s="419">
        <f>VLOOKUP($A139,Prevs!$C:$I,Ajustes!K$1,FALSE)</f>
        <v>4369</v>
      </c>
      <c r="L139" s="419">
        <f>VLOOKUP($A139,Prevs!$C:$I,Ajustes!L$1,FALSE)</f>
        <v>3995</v>
      </c>
      <c r="M139" s="419">
        <f>VLOOKUP($A139,Prevs!$C:$I,Ajustes!M$1,FALSE)</f>
        <v>3621</v>
      </c>
      <c r="N139" s="419">
        <f>VLOOKUP($A139,Prevs!$C:$I,Ajustes!N$1,FALSE)</f>
        <v>3326</v>
      </c>
      <c r="O139" s="419">
        <f>VLOOKUP($A139,Prevs!$C:$I,Ajustes!O$1,FALSE)</f>
        <v>3035</v>
      </c>
      <c r="P139" s="419">
        <f>VLOOKUP($A139,Prevs!$C:$I,Ajustes!P$1,FALSE)</f>
        <v>2817</v>
      </c>
      <c r="Q139" s="419">
        <f>VLOOKUP($E139,Prevs!$C:$I,Ajustes!K$1,FALSE)</f>
        <v>1523</v>
      </c>
      <c r="R139" s="419">
        <f>VLOOKUP($E139,Prevs!$C:$I,Ajustes!L$1,FALSE)</f>
        <v>1432</v>
      </c>
      <c r="S139" s="419">
        <f>VLOOKUP($E139,Prevs!$C:$I,Ajustes!M$1,FALSE)</f>
        <v>1358</v>
      </c>
      <c r="T139" s="419">
        <f>VLOOKUP($E139,Prevs!$C:$I,Ajustes!N$1,FALSE)</f>
        <v>1284</v>
      </c>
      <c r="U139" s="419">
        <f>VLOOKUP($E139,Prevs!$C:$I,Ajustes!O$1,FALSE)</f>
        <v>1221</v>
      </c>
      <c r="V139" s="419">
        <f>VLOOKUP($E139,Prevs!$C:$I,Ajustes!P$1,FALSE)</f>
        <v>1164</v>
      </c>
      <c r="W139" s="419">
        <f t="shared" si="752"/>
        <v>2846</v>
      </c>
      <c r="X139" s="419">
        <f t="shared" si="753"/>
        <v>2563</v>
      </c>
      <c r="Y139" s="419">
        <f t="shared" si="754"/>
        <v>2263</v>
      </c>
      <c r="Z139" s="419">
        <f t="shared" si="755"/>
        <v>2042</v>
      </c>
      <c r="AA139" s="419">
        <f t="shared" si="756"/>
        <v>1814</v>
      </c>
      <c r="AB139" s="419">
        <f t="shared" si="757"/>
        <v>1653</v>
      </c>
      <c r="AC139" s="417">
        <f>VLOOKUP($J139,Fatores!$G$1:$J$5,2,FALSE)</f>
        <v>3.3533817708130722</v>
      </c>
      <c r="AD139" s="417">
        <f>VLOOKUP($C139,Fatores!$A:$D,2,FALSE)</f>
        <v>1</v>
      </c>
      <c r="AE139" s="420">
        <f t="shared" si="709"/>
        <v>9543.7245197340035</v>
      </c>
      <c r="AF139" s="420">
        <f t="shared" si="710"/>
        <v>8594.7174785939042</v>
      </c>
      <c r="AG139" s="420">
        <f t="shared" si="711"/>
        <v>7588.7029473499824</v>
      </c>
      <c r="AH139" s="420">
        <f t="shared" si="712"/>
        <v>6847.6055760002937</v>
      </c>
      <c r="AI139" s="420">
        <f t="shared" si="713"/>
        <v>6083.0345322549128</v>
      </c>
      <c r="AJ139" s="420">
        <f t="shared" si="714"/>
        <v>5543.1400671540086</v>
      </c>
      <c r="AK139" s="421">
        <f t="shared" si="776"/>
        <v>13259.354519472538</v>
      </c>
      <c r="AL139" s="421">
        <f t="shared" si="776"/>
        <v>12095.20076158753</v>
      </c>
      <c r="AM139" s="421">
        <f t="shared" si="776"/>
        <v>10904.043696382796</v>
      </c>
      <c r="AN139" s="421">
        <f t="shared" si="776"/>
        <v>9981.4042320482586</v>
      </c>
      <c r="AO139" s="421">
        <f t="shared" si="776"/>
        <v>9082.9796177248627</v>
      </c>
      <c r="AP139" s="421">
        <f t="shared" si="776"/>
        <v>8436.5527546227495</v>
      </c>
      <c r="AQ139" s="417">
        <f>VLOOKUP($J139,Fatores!$G$1:$J$5,3,FALSE)</f>
        <v>3.3988484923076037</v>
      </c>
      <c r="AR139" s="417">
        <f>VLOOKUP($C139,Fatores!$A:$D,3,FALSE)</f>
        <v>1</v>
      </c>
      <c r="AS139" s="420">
        <f t="shared" si="716"/>
        <v>9673.1228091074408</v>
      </c>
      <c r="AT139" s="420">
        <f t="shared" si="717"/>
        <v>8711.2486857843887</v>
      </c>
      <c r="AU139" s="420">
        <f t="shared" si="718"/>
        <v>7691.5941380921067</v>
      </c>
      <c r="AV139" s="420">
        <f t="shared" si="719"/>
        <v>6940.4486212921265</v>
      </c>
      <c r="AW139" s="420">
        <f t="shared" si="720"/>
        <v>6165.511165045993</v>
      </c>
      <c r="AX139" s="420">
        <f t="shared" si="721"/>
        <v>5618.2965577844689</v>
      </c>
      <c r="AY139" s="421">
        <f t="shared" si="777"/>
        <v>13241.561543870817</v>
      </c>
      <c r="AZ139" s="421">
        <f t="shared" si="777"/>
        <v>12074.4030433895</v>
      </c>
      <c r="BA139" s="421">
        <f t="shared" si="777"/>
        <v>10876.041292215665</v>
      </c>
      <c r="BB139" s="421">
        <f t="shared" si="777"/>
        <v>9950.3490053597998</v>
      </c>
      <c r="BC139" s="421">
        <f t="shared" si="777"/>
        <v>9050.7334127501745</v>
      </c>
      <c r="BD139" s="421">
        <f t="shared" si="777"/>
        <v>8407.5546269303395</v>
      </c>
      <c r="BE139" s="417">
        <f>VLOOKUP($J139,Fatores!$G$1:$J$5,4,FALSE)</f>
        <v>1</v>
      </c>
      <c r="BF139" s="417">
        <f>VLOOKUP($C139,Fatores!$A:$D,4,FALSE)</f>
        <v>1</v>
      </c>
      <c r="BG139" s="420">
        <f t="shared" si="728"/>
        <v>2846</v>
      </c>
      <c r="BH139" s="420">
        <f t="shared" si="729"/>
        <v>2563</v>
      </c>
      <c r="BI139" s="420">
        <f t="shared" si="730"/>
        <v>2263</v>
      </c>
      <c r="BJ139" s="420">
        <f t="shared" si="731"/>
        <v>2042</v>
      </c>
      <c r="BK139" s="420">
        <f t="shared" si="732"/>
        <v>1814</v>
      </c>
      <c r="BL139" s="420">
        <f t="shared" si="733"/>
        <v>1653</v>
      </c>
      <c r="BM139" s="421">
        <f t="shared" si="778"/>
        <v>4369</v>
      </c>
      <c r="BN139" s="421">
        <f t="shared" si="778"/>
        <v>3995</v>
      </c>
      <c r="BO139" s="421">
        <f t="shared" si="778"/>
        <v>3621</v>
      </c>
      <c r="BP139" s="421">
        <f t="shared" si="778"/>
        <v>3326</v>
      </c>
      <c r="BQ139" s="421">
        <f t="shared" si="778"/>
        <v>3035</v>
      </c>
      <c r="BR139" s="421">
        <f t="shared" si="778"/>
        <v>2817</v>
      </c>
    </row>
    <row r="140" spans="1:70" x14ac:dyDescent="0.25">
      <c r="A140" s="431">
        <v>277</v>
      </c>
      <c r="B140" s="424"/>
      <c r="C140" s="424" t="s">
        <v>53</v>
      </c>
      <c r="D140" s="437" t="s">
        <v>555</v>
      </c>
      <c r="E140" s="431"/>
      <c r="F140" s="424"/>
      <c r="G140" s="424"/>
      <c r="H140" s="424"/>
      <c r="I140" s="432"/>
      <c r="J140" s="440">
        <v>4</v>
      </c>
      <c r="K140" s="419">
        <f>VLOOKUP($A140,Prevs!$C:$I,Ajustes!K$1,FALSE)</f>
        <v>269</v>
      </c>
      <c r="L140" s="419">
        <f>VLOOKUP($A140,Prevs!$C:$I,Ajustes!L$1,FALSE)</f>
        <v>246</v>
      </c>
      <c r="M140" s="419">
        <f>VLOOKUP($A140,Prevs!$C:$I,Ajustes!M$1,FALSE)</f>
        <v>229</v>
      </c>
      <c r="N140" s="419">
        <f>VLOOKUP($A140,Prevs!$C:$I,Ajustes!N$1,FALSE)</f>
        <v>227</v>
      </c>
      <c r="O140" s="419">
        <f>VLOOKUP($A140,Prevs!$C:$I,Ajustes!O$1,FALSE)</f>
        <v>205</v>
      </c>
      <c r="P140" s="419">
        <f>VLOOKUP($A140,Prevs!$C:$I,Ajustes!P$1,FALSE)</f>
        <v>193</v>
      </c>
      <c r="Q140" s="419">
        <v>0</v>
      </c>
      <c r="R140" s="419">
        <v>0</v>
      </c>
      <c r="S140" s="419">
        <v>0</v>
      </c>
      <c r="T140" s="419">
        <v>0</v>
      </c>
      <c r="U140" s="419">
        <v>0</v>
      </c>
      <c r="V140" s="419">
        <v>0</v>
      </c>
      <c r="W140" s="419">
        <f t="shared" ref="W140:W147" si="779">K140-Q140</f>
        <v>269</v>
      </c>
      <c r="X140" s="419">
        <f t="shared" ref="X140:X147" si="780">L140-R140</f>
        <v>246</v>
      </c>
      <c r="Y140" s="419">
        <f t="shared" ref="Y140:Y147" si="781">M140-S140</f>
        <v>229</v>
      </c>
      <c r="Z140" s="419">
        <f t="shared" ref="Z140:Z147" si="782">N140-T140</f>
        <v>227</v>
      </c>
      <c r="AA140" s="419">
        <f t="shared" ref="AA140:AA147" si="783">O140-U140</f>
        <v>205</v>
      </c>
      <c r="AB140" s="419">
        <f t="shared" ref="AB140:AB147" si="784">P140-V140</f>
        <v>193</v>
      </c>
      <c r="AC140" s="417">
        <f>VLOOKUP($J140,Fatores!$G$1:$J$5,2,FALSE)</f>
        <v>3.3533817708130722</v>
      </c>
      <c r="AD140" s="417">
        <f>VLOOKUP($C140,Fatores!$A:$D,2,FALSE)</f>
        <v>1</v>
      </c>
      <c r="AE140" s="420">
        <f t="shared" si="709"/>
        <v>902.05969634871644</v>
      </c>
      <c r="AF140" s="420">
        <f t="shared" si="710"/>
        <v>824.93191562001573</v>
      </c>
      <c r="AG140" s="420">
        <f t="shared" si="711"/>
        <v>767.92442551619354</v>
      </c>
      <c r="AH140" s="420">
        <f t="shared" si="712"/>
        <v>761.21766197456736</v>
      </c>
      <c r="AI140" s="420">
        <f t="shared" si="713"/>
        <v>687.44326301667979</v>
      </c>
      <c r="AJ140" s="420">
        <f t="shared" si="714"/>
        <v>647.20268176692298</v>
      </c>
      <c r="AK140" s="421">
        <f t="shared" ref="AK140:AK145" si="785">AE140</f>
        <v>902.05969634871644</v>
      </c>
      <c r="AL140" s="421">
        <f t="shared" ref="AL140:AL145" si="786">AF140</f>
        <v>824.93191562001573</v>
      </c>
      <c r="AM140" s="421">
        <f t="shared" ref="AM140:AM145" si="787">AG140</f>
        <v>767.92442551619354</v>
      </c>
      <c r="AN140" s="421">
        <f t="shared" ref="AN140:AN145" si="788">AH140</f>
        <v>761.21766197456736</v>
      </c>
      <c r="AO140" s="421">
        <f t="shared" ref="AO140:AO145" si="789">AI140</f>
        <v>687.44326301667979</v>
      </c>
      <c r="AP140" s="421">
        <f t="shared" ref="AP140:AP145" si="790">AJ140</f>
        <v>647.20268176692298</v>
      </c>
      <c r="AQ140" s="417">
        <f>VLOOKUP($J140,Fatores!$G$1:$J$5,3,FALSE)</f>
        <v>3.3988484923076037</v>
      </c>
      <c r="AR140" s="417">
        <f>VLOOKUP($C140,Fatores!$A:$D,3,FALSE)</f>
        <v>1</v>
      </c>
      <c r="AS140" s="420">
        <f t="shared" si="716"/>
        <v>914.29024443074536</v>
      </c>
      <c r="AT140" s="420">
        <f t="shared" si="717"/>
        <v>836.11672910767049</v>
      </c>
      <c r="AU140" s="420">
        <f t="shared" si="718"/>
        <v>778.33630473844119</v>
      </c>
      <c r="AV140" s="420">
        <f t="shared" si="719"/>
        <v>771.538607753826</v>
      </c>
      <c r="AW140" s="420">
        <f t="shared" si="720"/>
        <v>696.76394092305873</v>
      </c>
      <c r="AX140" s="420">
        <f t="shared" si="721"/>
        <v>655.9777590153675</v>
      </c>
      <c r="AY140" s="421">
        <f t="shared" ref="AY140:AY145" si="791">AS140</f>
        <v>914.29024443074536</v>
      </c>
      <c r="AZ140" s="421">
        <f t="shared" ref="AZ140:AZ145" si="792">AT140</f>
        <v>836.11672910767049</v>
      </c>
      <c r="BA140" s="421">
        <f t="shared" ref="BA140:BA145" si="793">AU140</f>
        <v>778.33630473844119</v>
      </c>
      <c r="BB140" s="421">
        <f t="shared" ref="BB140:BB145" si="794">AV140</f>
        <v>771.538607753826</v>
      </c>
      <c r="BC140" s="421">
        <f t="shared" ref="BC140:BC145" si="795">AW140</f>
        <v>696.76394092305873</v>
      </c>
      <c r="BD140" s="421">
        <f t="shared" ref="BD140:BD145" si="796">AX140</f>
        <v>655.9777590153675</v>
      </c>
      <c r="BE140" s="417">
        <f>VLOOKUP($J140,Fatores!$G$1:$J$5,4,FALSE)</f>
        <v>1</v>
      </c>
      <c r="BF140" s="417">
        <f>VLOOKUP($C140,Fatores!$A:$D,4,FALSE)</f>
        <v>1</v>
      </c>
      <c r="BG140" s="420">
        <f t="shared" si="728"/>
        <v>269</v>
      </c>
      <c r="BH140" s="420">
        <f t="shared" si="729"/>
        <v>246</v>
      </c>
      <c r="BI140" s="420">
        <f t="shared" si="730"/>
        <v>229</v>
      </c>
      <c r="BJ140" s="420">
        <f t="shared" si="731"/>
        <v>227</v>
      </c>
      <c r="BK140" s="420">
        <f t="shared" si="732"/>
        <v>205</v>
      </c>
      <c r="BL140" s="420">
        <f t="shared" si="733"/>
        <v>193</v>
      </c>
      <c r="BM140" s="421">
        <f t="shared" ref="BM140:BM145" si="797">BG140</f>
        <v>269</v>
      </c>
      <c r="BN140" s="421">
        <f t="shared" ref="BN140:BN145" si="798">BH140</f>
        <v>246</v>
      </c>
      <c r="BO140" s="421">
        <f t="shared" ref="BO140:BO145" si="799">BI140</f>
        <v>229</v>
      </c>
      <c r="BP140" s="421">
        <f t="shared" ref="BP140:BP145" si="800">BJ140</f>
        <v>227</v>
      </c>
      <c r="BQ140" s="421">
        <f t="shared" ref="BQ140:BQ145" si="801">BK140</f>
        <v>205</v>
      </c>
      <c r="BR140" s="421">
        <f t="shared" ref="BR140:BR145" si="802">BL140</f>
        <v>193</v>
      </c>
    </row>
    <row r="141" spans="1:70" x14ac:dyDescent="0.25">
      <c r="A141" s="431">
        <v>278</v>
      </c>
      <c r="B141" s="424"/>
      <c r="C141" s="424" t="s">
        <v>35</v>
      </c>
      <c r="D141" s="437" t="s">
        <v>556</v>
      </c>
      <c r="E141" s="431"/>
      <c r="F141" s="424"/>
      <c r="G141" s="424"/>
      <c r="H141" s="424"/>
      <c r="I141" s="432"/>
      <c r="J141" s="440">
        <v>1</v>
      </c>
      <c r="K141" s="419">
        <f>VLOOKUP($A141,Prevs!$C:$I,Ajustes!K$1,FALSE)</f>
        <v>66</v>
      </c>
      <c r="L141" s="419">
        <f>VLOOKUP($A141,Prevs!$C:$I,Ajustes!L$1,FALSE)</f>
        <v>64</v>
      </c>
      <c r="M141" s="419">
        <f>VLOOKUP($A141,Prevs!$C:$I,Ajustes!M$1,FALSE)</f>
        <v>62</v>
      </c>
      <c r="N141" s="419">
        <f>VLOOKUP($A141,Prevs!$C:$I,Ajustes!N$1,FALSE)</f>
        <v>60</v>
      </c>
      <c r="O141" s="419">
        <f>VLOOKUP($A141,Prevs!$C:$I,Ajustes!O$1,FALSE)</f>
        <v>59</v>
      </c>
      <c r="P141" s="419">
        <f>VLOOKUP($A141,Prevs!$C:$I,Ajustes!P$1,FALSE)</f>
        <v>66</v>
      </c>
      <c r="Q141" s="419">
        <v>0</v>
      </c>
      <c r="R141" s="419">
        <v>0</v>
      </c>
      <c r="S141" s="419">
        <v>0</v>
      </c>
      <c r="T141" s="419">
        <v>0</v>
      </c>
      <c r="U141" s="419">
        <v>0</v>
      </c>
      <c r="V141" s="419">
        <v>0</v>
      </c>
      <c r="W141" s="419">
        <f t="shared" si="779"/>
        <v>66</v>
      </c>
      <c r="X141" s="419">
        <f t="shared" si="780"/>
        <v>64</v>
      </c>
      <c r="Y141" s="419">
        <f t="shared" si="781"/>
        <v>62</v>
      </c>
      <c r="Z141" s="419">
        <f t="shared" si="782"/>
        <v>60</v>
      </c>
      <c r="AA141" s="419">
        <f t="shared" si="783"/>
        <v>59</v>
      </c>
      <c r="AB141" s="419">
        <f t="shared" si="784"/>
        <v>66</v>
      </c>
      <c r="AC141" s="417">
        <f>VLOOKUP($J141,Fatores!$G$1:$J$5,2,FALSE)</f>
        <v>1.5531612828314754</v>
      </c>
      <c r="AD141" s="417">
        <f>VLOOKUP($C141,Fatores!$A:$D,2,FALSE)</f>
        <v>1</v>
      </c>
      <c r="AE141" s="420">
        <f t="shared" si="709"/>
        <v>102.50864466687737</v>
      </c>
      <c r="AF141" s="420">
        <f t="shared" si="710"/>
        <v>99.402322101214423</v>
      </c>
      <c r="AG141" s="420">
        <f t="shared" si="711"/>
        <v>96.295999535551474</v>
      </c>
      <c r="AH141" s="420">
        <f t="shared" si="712"/>
        <v>93.189676969888524</v>
      </c>
      <c r="AI141" s="420">
        <f t="shared" si="713"/>
        <v>91.636515687057042</v>
      </c>
      <c r="AJ141" s="420">
        <f t="shared" si="714"/>
        <v>102.50864466687737</v>
      </c>
      <c r="AK141" s="421">
        <f t="shared" si="785"/>
        <v>102.50864466687737</v>
      </c>
      <c r="AL141" s="421">
        <f t="shared" si="786"/>
        <v>99.402322101214423</v>
      </c>
      <c r="AM141" s="421">
        <f t="shared" si="787"/>
        <v>96.295999535551474</v>
      </c>
      <c r="AN141" s="421">
        <f t="shared" si="788"/>
        <v>93.189676969888524</v>
      </c>
      <c r="AO141" s="421">
        <f t="shared" si="789"/>
        <v>91.636515687057042</v>
      </c>
      <c r="AP141" s="421">
        <f t="shared" si="790"/>
        <v>102.50864466687737</v>
      </c>
      <c r="AQ141" s="417">
        <f>VLOOKUP($J141,Fatores!$G$1:$J$5,3,FALSE)</f>
        <v>1.3186317794730578</v>
      </c>
      <c r="AR141" s="417">
        <f>VLOOKUP($C141,Fatores!$A:$D,3,FALSE)</f>
        <v>1</v>
      </c>
      <c r="AS141" s="420">
        <f t="shared" si="716"/>
        <v>87.029697445221814</v>
      </c>
      <c r="AT141" s="420">
        <f t="shared" si="717"/>
        <v>84.392433886275697</v>
      </c>
      <c r="AU141" s="420">
        <f t="shared" si="718"/>
        <v>81.75517032732958</v>
      </c>
      <c r="AV141" s="420">
        <f t="shared" si="719"/>
        <v>79.117906768383463</v>
      </c>
      <c r="AW141" s="420">
        <f t="shared" si="720"/>
        <v>77.799274988910412</v>
      </c>
      <c r="AX141" s="420">
        <f t="shared" si="721"/>
        <v>87.029697445221814</v>
      </c>
      <c r="AY141" s="421">
        <f t="shared" si="791"/>
        <v>87.029697445221814</v>
      </c>
      <c r="AZ141" s="421">
        <f t="shared" si="792"/>
        <v>84.392433886275697</v>
      </c>
      <c r="BA141" s="421">
        <f t="shared" si="793"/>
        <v>81.75517032732958</v>
      </c>
      <c r="BB141" s="421">
        <f t="shared" si="794"/>
        <v>79.117906768383463</v>
      </c>
      <c r="BC141" s="421">
        <f t="shared" si="795"/>
        <v>77.799274988910412</v>
      </c>
      <c r="BD141" s="421">
        <f t="shared" si="796"/>
        <v>87.029697445221814</v>
      </c>
      <c r="BE141" s="417">
        <f>VLOOKUP($J141,Fatores!$G$1:$J$5,4,FALSE)</f>
        <v>1</v>
      </c>
      <c r="BF141" s="417">
        <f>VLOOKUP($C141,Fatores!$A:$D,4,FALSE)</f>
        <v>1</v>
      </c>
      <c r="BG141" s="420">
        <f t="shared" si="728"/>
        <v>66</v>
      </c>
      <c r="BH141" s="420">
        <f t="shared" si="729"/>
        <v>64</v>
      </c>
      <c r="BI141" s="420">
        <f t="shared" si="730"/>
        <v>62</v>
      </c>
      <c r="BJ141" s="420">
        <f t="shared" si="731"/>
        <v>60</v>
      </c>
      <c r="BK141" s="420">
        <f t="shared" si="732"/>
        <v>59</v>
      </c>
      <c r="BL141" s="420">
        <f t="shared" si="733"/>
        <v>66</v>
      </c>
      <c r="BM141" s="421">
        <f t="shared" si="797"/>
        <v>66</v>
      </c>
      <c r="BN141" s="421">
        <f t="shared" si="798"/>
        <v>64</v>
      </c>
      <c r="BO141" s="421">
        <f t="shared" si="799"/>
        <v>62</v>
      </c>
      <c r="BP141" s="421">
        <f t="shared" si="800"/>
        <v>60</v>
      </c>
      <c r="BQ141" s="421">
        <f t="shared" si="801"/>
        <v>59</v>
      </c>
      <c r="BR141" s="421">
        <f t="shared" si="802"/>
        <v>66</v>
      </c>
    </row>
    <row r="142" spans="1:70" x14ac:dyDescent="0.25">
      <c r="A142" s="431">
        <v>279</v>
      </c>
      <c r="B142" s="424"/>
      <c r="C142" s="424" t="s">
        <v>52</v>
      </c>
      <c r="D142" s="437" t="s">
        <v>557</v>
      </c>
      <c r="E142" s="431"/>
      <c r="F142" s="424"/>
      <c r="G142" s="424"/>
      <c r="H142" s="424"/>
      <c r="I142" s="432"/>
      <c r="J142" s="440">
        <v>1</v>
      </c>
      <c r="K142" s="419">
        <f>VLOOKUP($A142,Prevs!$C:$I,Ajustes!K$1,FALSE)</f>
        <v>176</v>
      </c>
      <c r="L142" s="419">
        <f>VLOOKUP($A142,Prevs!$C:$I,Ajustes!L$1,FALSE)</f>
        <v>148</v>
      </c>
      <c r="M142" s="419">
        <f>VLOOKUP($A142,Prevs!$C:$I,Ajustes!M$1,FALSE)</f>
        <v>125</v>
      </c>
      <c r="N142" s="419">
        <f>VLOOKUP($A142,Prevs!$C:$I,Ajustes!N$1,FALSE)</f>
        <v>112</v>
      </c>
      <c r="O142" s="419">
        <f>VLOOKUP($A142,Prevs!$C:$I,Ajustes!O$1,FALSE)</f>
        <v>93</v>
      </c>
      <c r="P142" s="419">
        <f>VLOOKUP($A142,Prevs!$C:$I,Ajustes!P$1,FALSE)</f>
        <v>77</v>
      </c>
      <c r="Q142" s="419">
        <v>0</v>
      </c>
      <c r="R142" s="419">
        <v>0</v>
      </c>
      <c r="S142" s="419">
        <v>0</v>
      </c>
      <c r="T142" s="419">
        <v>0</v>
      </c>
      <c r="U142" s="419">
        <v>0</v>
      </c>
      <c r="V142" s="419">
        <v>0</v>
      </c>
      <c r="W142" s="419">
        <f t="shared" si="779"/>
        <v>176</v>
      </c>
      <c r="X142" s="419">
        <f t="shared" si="780"/>
        <v>148</v>
      </c>
      <c r="Y142" s="419">
        <f t="shared" si="781"/>
        <v>125</v>
      </c>
      <c r="Z142" s="419">
        <f t="shared" si="782"/>
        <v>112</v>
      </c>
      <c r="AA142" s="419">
        <f t="shared" si="783"/>
        <v>93</v>
      </c>
      <c r="AB142" s="419">
        <f t="shared" si="784"/>
        <v>77</v>
      </c>
      <c r="AC142" s="417">
        <f>VLOOKUP($J142,Fatores!$G$1:$J$5,2,FALSE)</f>
        <v>1.5531612828314754</v>
      </c>
      <c r="AD142" s="417">
        <f>VLOOKUP($C142,Fatores!$A:$D,2,FALSE)</f>
        <v>1</v>
      </c>
      <c r="AE142" s="420">
        <f t="shared" si="709"/>
        <v>273.35638577833964</v>
      </c>
      <c r="AF142" s="420">
        <f t="shared" si="710"/>
        <v>229.86786985905835</v>
      </c>
      <c r="AG142" s="420">
        <f t="shared" si="711"/>
        <v>194.14516035393441</v>
      </c>
      <c r="AH142" s="420">
        <f t="shared" si="712"/>
        <v>173.95406367712525</v>
      </c>
      <c r="AI142" s="420">
        <f t="shared" si="713"/>
        <v>144.44399930332722</v>
      </c>
      <c r="AJ142" s="420">
        <f t="shared" si="714"/>
        <v>119.5934187780236</v>
      </c>
      <c r="AK142" s="421">
        <f t="shared" si="785"/>
        <v>273.35638577833964</v>
      </c>
      <c r="AL142" s="421">
        <f t="shared" si="786"/>
        <v>229.86786985905835</v>
      </c>
      <c r="AM142" s="421">
        <f t="shared" si="787"/>
        <v>194.14516035393441</v>
      </c>
      <c r="AN142" s="421">
        <f t="shared" si="788"/>
        <v>173.95406367712525</v>
      </c>
      <c r="AO142" s="421">
        <f t="shared" si="789"/>
        <v>144.44399930332722</v>
      </c>
      <c r="AP142" s="421">
        <f t="shared" si="790"/>
        <v>119.5934187780236</v>
      </c>
      <c r="AQ142" s="417">
        <f>VLOOKUP($J142,Fatores!$G$1:$J$5,3,FALSE)</f>
        <v>1.3186317794730578</v>
      </c>
      <c r="AR142" s="417">
        <f>VLOOKUP($C142,Fatores!$A:$D,3,FALSE)</f>
        <v>1</v>
      </c>
      <c r="AS142" s="420">
        <f t="shared" si="716"/>
        <v>232.07919318725817</v>
      </c>
      <c r="AT142" s="420">
        <f t="shared" si="717"/>
        <v>195.15750336201256</v>
      </c>
      <c r="AU142" s="420">
        <f t="shared" si="718"/>
        <v>164.82897243413223</v>
      </c>
      <c r="AV142" s="420">
        <f t="shared" si="719"/>
        <v>147.68675930098246</v>
      </c>
      <c r="AW142" s="420">
        <f t="shared" si="720"/>
        <v>122.63275549099437</v>
      </c>
      <c r="AX142" s="420">
        <f t="shared" si="721"/>
        <v>101.53464701942545</v>
      </c>
      <c r="AY142" s="421">
        <f t="shared" si="791"/>
        <v>232.07919318725817</v>
      </c>
      <c r="AZ142" s="421">
        <f t="shared" si="792"/>
        <v>195.15750336201256</v>
      </c>
      <c r="BA142" s="421">
        <f t="shared" si="793"/>
        <v>164.82897243413223</v>
      </c>
      <c r="BB142" s="421">
        <f t="shared" si="794"/>
        <v>147.68675930098246</v>
      </c>
      <c r="BC142" s="421">
        <f t="shared" si="795"/>
        <v>122.63275549099437</v>
      </c>
      <c r="BD142" s="421">
        <f t="shared" si="796"/>
        <v>101.53464701942545</v>
      </c>
      <c r="BE142" s="417">
        <f>VLOOKUP($J142,Fatores!$G$1:$J$5,4,FALSE)</f>
        <v>1</v>
      </c>
      <c r="BF142" s="417">
        <f>VLOOKUP($C142,Fatores!$A:$D,4,FALSE)</f>
        <v>1</v>
      </c>
      <c r="BG142" s="420">
        <f t="shared" si="728"/>
        <v>176</v>
      </c>
      <c r="BH142" s="420">
        <f t="shared" si="729"/>
        <v>148</v>
      </c>
      <c r="BI142" s="420">
        <f t="shared" si="730"/>
        <v>125</v>
      </c>
      <c r="BJ142" s="420">
        <f t="shared" si="731"/>
        <v>112</v>
      </c>
      <c r="BK142" s="420">
        <f t="shared" si="732"/>
        <v>93</v>
      </c>
      <c r="BL142" s="420">
        <f t="shared" si="733"/>
        <v>77</v>
      </c>
      <c r="BM142" s="421">
        <f t="shared" si="797"/>
        <v>176</v>
      </c>
      <c r="BN142" s="421">
        <f t="shared" si="798"/>
        <v>148</v>
      </c>
      <c r="BO142" s="421">
        <f t="shared" si="799"/>
        <v>125</v>
      </c>
      <c r="BP142" s="421">
        <f t="shared" si="800"/>
        <v>112</v>
      </c>
      <c r="BQ142" s="421">
        <f t="shared" si="801"/>
        <v>93</v>
      </c>
      <c r="BR142" s="421">
        <f t="shared" si="802"/>
        <v>77</v>
      </c>
    </row>
    <row r="143" spans="1:70" x14ac:dyDescent="0.25">
      <c r="A143" s="431">
        <v>280</v>
      </c>
      <c r="B143" s="424"/>
      <c r="C143" s="437" t="s">
        <v>424</v>
      </c>
      <c r="D143" s="437" t="s">
        <v>424</v>
      </c>
      <c r="E143" s="445"/>
      <c r="F143" s="424"/>
      <c r="G143" s="424"/>
      <c r="H143" s="424"/>
      <c r="I143" s="432"/>
      <c r="J143" s="440">
        <v>4</v>
      </c>
      <c r="K143" s="419">
        <f>VLOOKUP($A143,Prevs!$C:$I,Ajustes!K$1,FALSE)</f>
        <v>2016</v>
      </c>
      <c r="L143" s="419">
        <f>VLOOKUP($A143,Prevs!$C:$I,Ajustes!L$1,FALSE)</f>
        <v>2072</v>
      </c>
      <c r="M143" s="419">
        <f>VLOOKUP($A143,Prevs!$C:$I,Ajustes!M$1,FALSE)</f>
        <v>2041</v>
      </c>
      <c r="N143" s="419">
        <f>VLOOKUP($A143,Prevs!$C:$I,Ajustes!N$1,FALSE)</f>
        <v>1942</v>
      </c>
      <c r="O143" s="419">
        <f>VLOOKUP($A143,Prevs!$C:$I,Ajustes!O$1,FALSE)</f>
        <v>1904</v>
      </c>
      <c r="P143" s="419">
        <f>VLOOKUP($A143,Prevs!$C:$I,Ajustes!P$1,FALSE)</f>
        <v>1793</v>
      </c>
      <c r="Q143" s="419">
        <v>0</v>
      </c>
      <c r="R143" s="419">
        <v>0</v>
      </c>
      <c r="S143" s="419">
        <v>0</v>
      </c>
      <c r="T143" s="419">
        <v>0</v>
      </c>
      <c r="U143" s="419">
        <v>0</v>
      </c>
      <c r="V143" s="419">
        <v>0</v>
      </c>
      <c r="W143" s="419">
        <f t="shared" si="779"/>
        <v>2016</v>
      </c>
      <c r="X143" s="419">
        <f t="shared" si="780"/>
        <v>2072</v>
      </c>
      <c r="Y143" s="419">
        <f t="shared" si="781"/>
        <v>2041</v>
      </c>
      <c r="Z143" s="419">
        <f t="shared" si="782"/>
        <v>1942</v>
      </c>
      <c r="AA143" s="419">
        <f t="shared" si="783"/>
        <v>1904</v>
      </c>
      <c r="AB143" s="419">
        <f t="shared" si="784"/>
        <v>1793</v>
      </c>
      <c r="AC143" s="417">
        <f>VLOOKUP($J143,Fatores!$G$1:$J$5,2,FALSE)</f>
        <v>3.3533817708130722</v>
      </c>
      <c r="AD143" s="417">
        <f>VLOOKUP($C143,Fatores!$A:$D,2,FALSE)</f>
        <v>1</v>
      </c>
      <c r="AE143" s="420">
        <f t="shared" si="709"/>
        <v>6760.417649959154</v>
      </c>
      <c r="AF143" s="420">
        <f t="shared" si="710"/>
        <v>6948.2070291246855</v>
      </c>
      <c r="AG143" s="420">
        <f t="shared" si="711"/>
        <v>6844.2521942294807</v>
      </c>
      <c r="AH143" s="420">
        <f t="shared" si="712"/>
        <v>6512.2673989189861</v>
      </c>
      <c r="AI143" s="420">
        <f t="shared" si="713"/>
        <v>6384.8388916280892</v>
      </c>
      <c r="AJ143" s="420">
        <f t="shared" si="714"/>
        <v>6012.6135150678383</v>
      </c>
      <c r="AK143" s="421">
        <f t="shared" si="785"/>
        <v>6760.417649959154</v>
      </c>
      <c r="AL143" s="421">
        <f t="shared" si="786"/>
        <v>6948.2070291246855</v>
      </c>
      <c r="AM143" s="421">
        <f t="shared" si="787"/>
        <v>6844.2521942294807</v>
      </c>
      <c r="AN143" s="421">
        <f t="shared" si="788"/>
        <v>6512.2673989189861</v>
      </c>
      <c r="AO143" s="421">
        <f t="shared" si="789"/>
        <v>6384.8388916280892</v>
      </c>
      <c r="AP143" s="421">
        <f t="shared" si="790"/>
        <v>6012.6135150678383</v>
      </c>
      <c r="AQ143" s="417">
        <f>VLOOKUP($J143,Fatores!$G$1:$J$5,3,FALSE)</f>
        <v>3.3988484923076037</v>
      </c>
      <c r="AR143" s="417">
        <f>VLOOKUP($C143,Fatores!$A:$D,3,FALSE)</f>
        <v>1</v>
      </c>
      <c r="AS143" s="420">
        <f t="shared" si="716"/>
        <v>6852.0785604921293</v>
      </c>
      <c r="AT143" s="420">
        <f t="shared" si="717"/>
        <v>7042.4140760613545</v>
      </c>
      <c r="AU143" s="420">
        <f t="shared" si="718"/>
        <v>6937.049772799819</v>
      </c>
      <c r="AV143" s="420">
        <f t="shared" si="719"/>
        <v>6600.5637720613668</v>
      </c>
      <c r="AW143" s="420">
        <f t="shared" si="720"/>
        <v>6471.4075293536771</v>
      </c>
      <c r="AX143" s="420">
        <f t="shared" si="721"/>
        <v>6094.1353467075332</v>
      </c>
      <c r="AY143" s="421">
        <f t="shared" si="791"/>
        <v>6852.0785604921293</v>
      </c>
      <c r="AZ143" s="421">
        <f t="shared" si="792"/>
        <v>7042.4140760613545</v>
      </c>
      <c r="BA143" s="421">
        <f t="shared" si="793"/>
        <v>6937.049772799819</v>
      </c>
      <c r="BB143" s="421">
        <f t="shared" si="794"/>
        <v>6600.5637720613668</v>
      </c>
      <c r="BC143" s="421">
        <f t="shared" si="795"/>
        <v>6471.4075293536771</v>
      </c>
      <c r="BD143" s="421">
        <f t="shared" si="796"/>
        <v>6094.1353467075332</v>
      </c>
      <c r="BE143" s="417">
        <f>VLOOKUP($J143,Fatores!$G$1:$J$5,4,FALSE)</f>
        <v>1</v>
      </c>
      <c r="BF143" s="417">
        <f>VLOOKUP($C143,Fatores!$A:$D,4,FALSE)</f>
        <v>1</v>
      </c>
      <c r="BG143" s="420">
        <f t="shared" si="728"/>
        <v>2016</v>
      </c>
      <c r="BH143" s="420">
        <f t="shared" si="729"/>
        <v>2072</v>
      </c>
      <c r="BI143" s="420">
        <f t="shared" si="730"/>
        <v>2041</v>
      </c>
      <c r="BJ143" s="420">
        <f t="shared" si="731"/>
        <v>1942</v>
      </c>
      <c r="BK143" s="420">
        <f t="shared" si="732"/>
        <v>1904</v>
      </c>
      <c r="BL143" s="420">
        <f t="shared" si="733"/>
        <v>1793</v>
      </c>
      <c r="BM143" s="421">
        <f t="shared" si="797"/>
        <v>2016</v>
      </c>
      <c r="BN143" s="421">
        <f t="shared" si="798"/>
        <v>2072</v>
      </c>
      <c r="BO143" s="421">
        <f t="shared" si="799"/>
        <v>2041</v>
      </c>
      <c r="BP143" s="421">
        <f t="shared" si="800"/>
        <v>1942</v>
      </c>
      <c r="BQ143" s="421">
        <f t="shared" si="801"/>
        <v>1904</v>
      </c>
      <c r="BR143" s="421">
        <f t="shared" si="802"/>
        <v>1793</v>
      </c>
    </row>
    <row r="144" spans="1:70" x14ac:dyDescent="0.25">
      <c r="A144" s="431">
        <v>281</v>
      </c>
      <c r="B144" s="424"/>
      <c r="C144" s="424" t="s">
        <v>35</v>
      </c>
      <c r="D144" s="437" t="s">
        <v>559</v>
      </c>
      <c r="E144" s="431"/>
      <c r="F144" s="424"/>
      <c r="G144" s="424"/>
      <c r="H144" s="424"/>
      <c r="I144" s="432"/>
      <c r="J144" s="440">
        <v>1</v>
      </c>
      <c r="K144" s="419">
        <f>VLOOKUP($A144,Prevs!$C:$I,Ajustes!K$1,FALSE)</f>
        <v>73</v>
      </c>
      <c r="L144" s="419">
        <f>VLOOKUP($A144,Prevs!$C:$I,Ajustes!L$1,FALSE)</f>
        <v>73</v>
      </c>
      <c r="M144" s="419">
        <f>VLOOKUP($A144,Prevs!$C:$I,Ajustes!M$1,FALSE)</f>
        <v>72</v>
      </c>
      <c r="N144" s="419">
        <f>VLOOKUP($A144,Prevs!$C:$I,Ajustes!N$1,FALSE)</f>
        <v>72</v>
      </c>
      <c r="O144" s="419">
        <f>VLOOKUP($A144,Prevs!$C:$I,Ajustes!O$1,FALSE)</f>
        <v>69</v>
      </c>
      <c r="P144" s="419">
        <f>VLOOKUP($A144,Prevs!$C:$I,Ajustes!P$1,FALSE)</f>
        <v>70</v>
      </c>
      <c r="Q144" s="419">
        <v>0</v>
      </c>
      <c r="R144" s="419">
        <v>0</v>
      </c>
      <c r="S144" s="419">
        <v>0</v>
      </c>
      <c r="T144" s="419">
        <v>0</v>
      </c>
      <c r="U144" s="419">
        <v>0</v>
      </c>
      <c r="V144" s="419">
        <v>0</v>
      </c>
      <c r="W144" s="419">
        <f t="shared" si="779"/>
        <v>73</v>
      </c>
      <c r="X144" s="419">
        <f t="shared" si="780"/>
        <v>73</v>
      </c>
      <c r="Y144" s="419">
        <f t="shared" si="781"/>
        <v>72</v>
      </c>
      <c r="Z144" s="419">
        <f t="shared" si="782"/>
        <v>72</v>
      </c>
      <c r="AA144" s="419">
        <f t="shared" si="783"/>
        <v>69</v>
      </c>
      <c r="AB144" s="419">
        <f t="shared" si="784"/>
        <v>70</v>
      </c>
      <c r="AC144" s="417">
        <f>VLOOKUP($J144,Fatores!$G$1:$J$5,2,FALSE)</f>
        <v>1.5531612828314754</v>
      </c>
      <c r="AD144" s="417">
        <f>VLOOKUP($C144,Fatores!$A:$D,2,FALSE)</f>
        <v>1</v>
      </c>
      <c r="AE144" s="420">
        <f t="shared" si="709"/>
        <v>113.3807736466977</v>
      </c>
      <c r="AF144" s="420">
        <f t="shared" si="710"/>
        <v>113.3807736466977</v>
      </c>
      <c r="AG144" s="420">
        <f t="shared" si="711"/>
        <v>111.82761236386622</v>
      </c>
      <c r="AH144" s="420">
        <f t="shared" si="712"/>
        <v>111.82761236386622</v>
      </c>
      <c r="AI144" s="420">
        <f t="shared" si="713"/>
        <v>107.16812851537181</v>
      </c>
      <c r="AJ144" s="420">
        <f t="shared" si="714"/>
        <v>108.72128979820327</v>
      </c>
      <c r="AK144" s="421">
        <f t="shared" si="785"/>
        <v>113.3807736466977</v>
      </c>
      <c r="AL144" s="421">
        <f t="shared" si="786"/>
        <v>113.3807736466977</v>
      </c>
      <c r="AM144" s="421">
        <f t="shared" si="787"/>
        <v>111.82761236386622</v>
      </c>
      <c r="AN144" s="421">
        <f t="shared" si="788"/>
        <v>111.82761236386622</v>
      </c>
      <c r="AO144" s="421">
        <f t="shared" si="789"/>
        <v>107.16812851537181</v>
      </c>
      <c r="AP144" s="421">
        <f t="shared" si="790"/>
        <v>108.72128979820327</v>
      </c>
      <c r="AQ144" s="417">
        <f>VLOOKUP($J144,Fatores!$G$1:$J$5,3,FALSE)</f>
        <v>1.3186317794730578</v>
      </c>
      <c r="AR144" s="417">
        <f>VLOOKUP($C144,Fatores!$A:$D,3,FALSE)</f>
        <v>1</v>
      </c>
      <c r="AS144" s="420">
        <f t="shared" si="716"/>
        <v>96.260119901533216</v>
      </c>
      <c r="AT144" s="420">
        <f t="shared" si="717"/>
        <v>96.260119901533216</v>
      </c>
      <c r="AU144" s="420">
        <f t="shared" si="718"/>
        <v>94.941488122060164</v>
      </c>
      <c r="AV144" s="420">
        <f t="shared" si="719"/>
        <v>94.941488122060164</v>
      </c>
      <c r="AW144" s="420">
        <f t="shared" si="720"/>
        <v>90.985592783640982</v>
      </c>
      <c r="AX144" s="420">
        <f t="shared" si="721"/>
        <v>92.304224563114047</v>
      </c>
      <c r="AY144" s="421">
        <f t="shared" si="791"/>
        <v>96.260119901533216</v>
      </c>
      <c r="AZ144" s="421">
        <f t="shared" si="792"/>
        <v>96.260119901533216</v>
      </c>
      <c r="BA144" s="421">
        <f t="shared" si="793"/>
        <v>94.941488122060164</v>
      </c>
      <c r="BB144" s="421">
        <f t="shared" si="794"/>
        <v>94.941488122060164</v>
      </c>
      <c r="BC144" s="421">
        <f t="shared" si="795"/>
        <v>90.985592783640982</v>
      </c>
      <c r="BD144" s="421">
        <f t="shared" si="796"/>
        <v>92.304224563114047</v>
      </c>
      <c r="BE144" s="417">
        <f>VLOOKUP($J144,Fatores!$G$1:$J$5,4,FALSE)</f>
        <v>1</v>
      </c>
      <c r="BF144" s="417">
        <f>VLOOKUP($C144,Fatores!$A:$D,4,FALSE)</f>
        <v>1</v>
      </c>
      <c r="BG144" s="420">
        <f t="shared" si="728"/>
        <v>73</v>
      </c>
      <c r="BH144" s="420">
        <f t="shared" si="729"/>
        <v>73</v>
      </c>
      <c r="BI144" s="420">
        <f t="shared" si="730"/>
        <v>72</v>
      </c>
      <c r="BJ144" s="420">
        <f t="shared" si="731"/>
        <v>72</v>
      </c>
      <c r="BK144" s="420">
        <f t="shared" si="732"/>
        <v>69</v>
      </c>
      <c r="BL144" s="420">
        <f t="shared" si="733"/>
        <v>70</v>
      </c>
      <c r="BM144" s="421">
        <f t="shared" si="797"/>
        <v>73</v>
      </c>
      <c r="BN144" s="421">
        <f t="shared" si="798"/>
        <v>73</v>
      </c>
      <c r="BO144" s="421">
        <f t="shared" si="799"/>
        <v>72</v>
      </c>
      <c r="BP144" s="421">
        <f t="shared" si="800"/>
        <v>72</v>
      </c>
      <c r="BQ144" s="421">
        <f t="shared" si="801"/>
        <v>69</v>
      </c>
      <c r="BR144" s="421">
        <f t="shared" si="802"/>
        <v>70</v>
      </c>
    </row>
    <row r="145" spans="1:70" x14ac:dyDescent="0.25">
      <c r="A145" s="431">
        <v>283</v>
      </c>
      <c r="B145" s="424"/>
      <c r="C145" s="424" t="s">
        <v>33</v>
      </c>
      <c r="D145" s="437" t="s">
        <v>33</v>
      </c>
      <c r="E145" s="431"/>
      <c r="F145" s="424"/>
      <c r="G145" s="424"/>
      <c r="H145" s="424"/>
      <c r="I145" s="432"/>
      <c r="J145" s="440">
        <v>1</v>
      </c>
      <c r="K145" s="419">
        <f>VLOOKUP($A145,Prevs!$C:$I,Ajustes!K$1,FALSE)</f>
        <v>45</v>
      </c>
      <c r="L145" s="419">
        <f>VLOOKUP($A145,Prevs!$C:$I,Ajustes!L$1,FALSE)</f>
        <v>40</v>
      </c>
      <c r="M145" s="419">
        <f>VLOOKUP($A145,Prevs!$C:$I,Ajustes!M$1,FALSE)</f>
        <v>33</v>
      </c>
      <c r="N145" s="419">
        <f>VLOOKUP($A145,Prevs!$C:$I,Ajustes!N$1,FALSE)</f>
        <v>43</v>
      </c>
      <c r="O145" s="419">
        <f>VLOOKUP($A145,Prevs!$C:$I,Ajustes!O$1,FALSE)</f>
        <v>39</v>
      </c>
      <c r="P145" s="419">
        <f>VLOOKUP($A145,Prevs!$C:$I,Ajustes!P$1,FALSE)</f>
        <v>29</v>
      </c>
      <c r="Q145" s="419">
        <v>0</v>
      </c>
      <c r="R145" s="419">
        <v>0</v>
      </c>
      <c r="S145" s="419">
        <v>0</v>
      </c>
      <c r="T145" s="419">
        <v>0</v>
      </c>
      <c r="U145" s="419">
        <v>0</v>
      </c>
      <c r="V145" s="419">
        <v>0</v>
      </c>
      <c r="W145" s="419">
        <f t="shared" si="779"/>
        <v>45</v>
      </c>
      <c r="X145" s="419">
        <f t="shared" si="780"/>
        <v>40</v>
      </c>
      <c r="Y145" s="419">
        <f t="shared" si="781"/>
        <v>33</v>
      </c>
      <c r="Z145" s="419">
        <f t="shared" si="782"/>
        <v>43</v>
      </c>
      <c r="AA145" s="419">
        <f t="shared" si="783"/>
        <v>39</v>
      </c>
      <c r="AB145" s="419">
        <f t="shared" si="784"/>
        <v>29</v>
      </c>
      <c r="AC145" s="417">
        <f>VLOOKUP($J145,Fatores!$G$1:$J$5,2,FALSE)</f>
        <v>1.5531612828314754</v>
      </c>
      <c r="AD145" s="417">
        <f>VLOOKUP($C145,Fatores!$A:$D,2,FALSE)</f>
        <v>1</v>
      </c>
      <c r="AE145" s="420">
        <f t="shared" si="709"/>
        <v>69.892257727416393</v>
      </c>
      <c r="AF145" s="420">
        <f t="shared" si="710"/>
        <v>62.126451313259011</v>
      </c>
      <c r="AG145" s="420">
        <f t="shared" si="711"/>
        <v>51.254322333438687</v>
      </c>
      <c r="AH145" s="420">
        <f t="shared" si="712"/>
        <v>66.785935161753443</v>
      </c>
      <c r="AI145" s="420">
        <f t="shared" si="713"/>
        <v>60.573290030427536</v>
      </c>
      <c r="AJ145" s="420">
        <f t="shared" si="714"/>
        <v>45.041677202112787</v>
      </c>
      <c r="AK145" s="421">
        <f t="shared" si="785"/>
        <v>69.892257727416393</v>
      </c>
      <c r="AL145" s="421">
        <f t="shared" si="786"/>
        <v>62.126451313259011</v>
      </c>
      <c r="AM145" s="421">
        <f t="shared" si="787"/>
        <v>51.254322333438687</v>
      </c>
      <c r="AN145" s="421">
        <f t="shared" si="788"/>
        <v>66.785935161753443</v>
      </c>
      <c r="AO145" s="421">
        <f t="shared" si="789"/>
        <v>60.573290030427536</v>
      </c>
      <c r="AP145" s="421">
        <f t="shared" si="790"/>
        <v>45.041677202112787</v>
      </c>
      <c r="AQ145" s="417">
        <f>VLOOKUP($J145,Fatores!$G$1:$J$5,3,FALSE)</f>
        <v>1.3186317794730578</v>
      </c>
      <c r="AR145" s="417">
        <f>VLOOKUP($C145,Fatores!$A:$D,3,FALSE)</f>
        <v>1</v>
      </c>
      <c r="AS145" s="420">
        <f t="shared" si="716"/>
        <v>59.338430076287601</v>
      </c>
      <c r="AT145" s="420">
        <f t="shared" si="717"/>
        <v>52.745271178922309</v>
      </c>
      <c r="AU145" s="420">
        <f t="shared" si="718"/>
        <v>43.514848722610907</v>
      </c>
      <c r="AV145" s="420">
        <f t="shared" si="719"/>
        <v>56.701166517341484</v>
      </c>
      <c r="AW145" s="420">
        <f t="shared" si="720"/>
        <v>51.42663939944925</v>
      </c>
      <c r="AX145" s="420">
        <f t="shared" si="721"/>
        <v>38.240321604718673</v>
      </c>
      <c r="AY145" s="421">
        <f t="shared" si="791"/>
        <v>59.338430076287601</v>
      </c>
      <c r="AZ145" s="421">
        <f t="shared" si="792"/>
        <v>52.745271178922309</v>
      </c>
      <c r="BA145" s="421">
        <f t="shared" si="793"/>
        <v>43.514848722610907</v>
      </c>
      <c r="BB145" s="421">
        <f t="shared" si="794"/>
        <v>56.701166517341484</v>
      </c>
      <c r="BC145" s="421">
        <f t="shared" si="795"/>
        <v>51.42663939944925</v>
      </c>
      <c r="BD145" s="421">
        <f t="shared" si="796"/>
        <v>38.240321604718673</v>
      </c>
      <c r="BE145" s="417">
        <f>VLOOKUP($J145,Fatores!$G$1:$J$5,4,FALSE)</f>
        <v>1</v>
      </c>
      <c r="BF145" s="417">
        <f>VLOOKUP($C145,Fatores!$A:$D,4,FALSE)</f>
        <v>1</v>
      </c>
      <c r="BG145" s="420">
        <f t="shared" si="728"/>
        <v>45</v>
      </c>
      <c r="BH145" s="420">
        <f t="shared" si="729"/>
        <v>40</v>
      </c>
      <c r="BI145" s="420">
        <f t="shared" si="730"/>
        <v>33</v>
      </c>
      <c r="BJ145" s="420">
        <f t="shared" si="731"/>
        <v>43</v>
      </c>
      <c r="BK145" s="420">
        <f t="shared" si="732"/>
        <v>39</v>
      </c>
      <c r="BL145" s="420">
        <f t="shared" si="733"/>
        <v>29</v>
      </c>
      <c r="BM145" s="421">
        <f t="shared" si="797"/>
        <v>45</v>
      </c>
      <c r="BN145" s="421">
        <f t="shared" si="798"/>
        <v>40</v>
      </c>
      <c r="BO145" s="421">
        <f t="shared" si="799"/>
        <v>33</v>
      </c>
      <c r="BP145" s="421">
        <f t="shared" si="800"/>
        <v>43</v>
      </c>
      <c r="BQ145" s="421">
        <f t="shared" si="801"/>
        <v>39</v>
      </c>
      <c r="BR145" s="421">
        <f t="shared" si="802"/>
        <v>29</v>
      </c>
    </row>
    <row r="146" spans="1:70" x14ac:dyDescent="0.25">
      <c r="A146" s="431">
        <v>284</v>
      </c>
      <c r="B146" s="424"/>
      <c r="C146" s="424" t="s">
        <v>37</v>
      </c>
      <c r="D146" s="437" t="s">
        <v>561</v>
      </c>
      <c r="E146" s="444">
        <v>97</v>
      </c>
      <c r="F146" s="424"/>
      <c r="G146" s="424"/>
      <c r="H146" s="424"/>
      <c r="I146" s="432"/>
      <c r="J146" s="440">
        <v>2</v>
      </c>
      <c r="K146" s="419">
        <f>VLOOKUP($A146,Prevs!$C:$I,Ajustes!K$1,FALSE)</f>
        <v>270</v>
      </c>
      <c r="L146" s="419">
        <f>VLOOKUP($A146,Prevs!$C:$I,Ajustes!L$1,FALSE)</f>
        <v>104</v>
      </c>
      <c r="M146" s="419">
        <f>VLOOKUP($A146,Prevs!$C:$I,Ajustes!M$1,FALSE)</f>
        <v>174</v>
      </c>
      <c r="N146" s="419">
        <f>VLOOKUP($A146,Prevs!$C:$I,Ajustes!N$1,FALSE)</f>
        <v>286</v>
      </c>
      <c r="O146" s="419">
        <f>VLOOKUP($A146,Prevs!$C:$I,Ajustes!O$1,FALSE)</f>
        <v>127</v>
      </c>
      <c r="P146" s="419">
        <f>VLOOKUP($A146,Prevs!$C:$I,Ajustes!P$1,FALSE)</f>
        <v>149</v>
      </c>
      <c r="Q146" s="419">
        <f>VLOOKUP($E146,Prevs!$C:$I,Ajustes!K$1,FALSE)</f>
        <v>261</v>
      </c>
      <c r="R146" s="419">
        <f>VLOOKUP($E146,Prevs!$C:$I,Ajustes!L$1,FALSE)</f>
        <v>100</v>
      </c>
      <c r="S146" s="419">
        <f>VLOOKUP($E146,Prevs!$C:$I,Ajustes!M$1,FALSE)</f>
        <v>168</v>
      </c>
      <c r="T146" s="419">
        <f>VLOOKUP($E146,Prevs!$C:$I,Ajustes!N$1,FALSE)</f>
        <v>276</v>
      </c>
      <c r="U146" s="419">
        <f>VLOOKUP($E146,Prevs!$C:$I,Ajustes!O$1,FALSE)</f>
        <v>123</v>
      </c>
      <c r="V146" s="419">
        <f>VLOOKUP($E146,Prevs!$C:$I,Ajustes!P$1,FALSE)</f>
        <v>144</v>
      </c>
      <c r="W146" s="419">
        <f t="shared" si="779"/>
        <v>9</v>
      </c>
      <c r="X146" s="419">
        <f t="shared" si="780"/>
        <v>4</v>
      </c>
      <c r="Y146" s="419">
        <f t="shared" si="781"/>
        <v>6</v>
      </c>
      <c r="Z146" s="419">
        <f t="shared" si="782"/>
        <v>10</v>
      </c>
      <c r="AA146" s="419">
        <f t="shared" si="783"/>
        <v>4</v>
      </c>
      <c r="AB146" s="419">
        <f t="shared" si="784"/>
        <v>5</v>
      </c>
      <c r="AC146" s="417">
        <f>VLOOKUP($J146,Fatores!$G$1:$J$5,2,FALSE)</f>
        <v>0.80162406960829835</v>
      </c>
      <c r="AD146" s="417">
        <f>VLOOKUP($C146,Fatores!$A:$D,2,FALSE)</f>
        <v>1</v>
      </c>
      <c r="AE146" s="420">
        <f t="shared" si="709"/>
        <v>7.2146166264746849</v>
      </c>
      <c r="AF146" s="420">
        <f t="shared" si="710"/>
        <v>3.2064962784331934</v>
      </c>
      <c r="AG146" s="420">
        <f t="shared" si="711"/>
        <v>4.8097444176497905</v>
      </c>
      <c r="AH146" s="420">
        <f t="shared" si="712"/>
        <v>8.0162406960829831</v>
      </c>
      <c r="AI146" s="420">
        <f t="shared" si="713"/>
        <v>3.2064962784331934</v>
      </c>
      <c r="AJ146" s="420">
        <f t="shared" si="714"/>
        <v>4.0081203480414915</v>
      </c>
      <c r="AK146" s="421">
        <f t="shared" ref="AK146:AP147" si="803">AE146+VLOOKUP($E146,$A:$BR,AK$1,FALSE)</f>
        <v>216.43849879424053</v>
      </c>
      <c r="AL146" s="421">
        <f t="shared" si="803"/>
        <v>83.36890323926302</v>
      </c>
      <c r="AM146" s="421">
        <f t="shared" si="803"/>
        <v>139.48258811184391</v>
      </c>
      <c r="AN146" s="421">
        <f t="shared" si="803"/>
        <v>229.26448390797333</v>
      </c>
      <c r="AO146" s="421">
        <f t="shared" si="803"/>
        <v>101.80625684025388</v>
      </c>
      <c r="AP146" s="421">
        <f t="shared" si="803"/>
        <v>119.44198637163645</v>
      </c>
      <c r="AQ146" s="417">
        <f>VLOOKUP($J146,Fatores!$G$1:$J$5,3,FALSE)</f>
        <v>0.80162406960829835</v>
      </c>
      <c r="AR146" s="417">
        <f>VLOOKUP($C146,Fatores!$A:$D,3,FALSE)</f>
        <v>1</v>
      </c>
      <c r="AS146" s="420">
        <f t="shared" si="716"/>
        <v>7.2146166264746849</v>
      </c>
      <c r="AT146" s="420">
        <f t="shared" si="717"/>
        <v>3.2064962784331934</v>
      </c>
      <c r="AU146" s="420">
        <f t="shared" si="718"/>
        <v>4.8097444176497905</v>
      </c>
      <c r="AV146" s="420">
        <f t="shared" si="719"/>
        <v>8.0162406960829831</v>
      </c>
      <c r="AW146" s="420">
        <f t="shared" si="720"/>
        <v>3.2064962784331934</v>
      </c>
      <c r="AX146" s="420">
        <f t="shared" si="721"/>
        <v>4.0081203480414915</v>
      </c>
      <c r="AY146" s="421">
        <f t="shared" ref="AY146:BD147" si="804">AS146+VLOOKUP($E146,$A:$BR,AY$1,FALSE)</f>
        <v>216.43849879424053</v>
      </c>
      <c r="AZ146" s="421">
        <f t="shared" si="804"/>
        <v>83.36890323926302</v>
      </c>
      <c r="BA146" s="421">
        <f t="shared" si="804"/>
        <v>139.48258811184391</v>
      </c>
      <c r="BB146" s="421">
        <f t="shared" si="804"/>
        <v>229.26448390797333</v>
      </c>
      <c r="BC146" s="421">
        <f t="shared" si="804"/>
        <v>101.80625684025388</v>
      </c>
      <c r="BD146" s="421">
        <f t="shared" si="804"/>
        <v>119.44198637163645</v>
      </c>
      <c r="BE146" s="417">
        <f>VLOOKUP($J146,Fatores!$G$1:$J$5,4,FALSE)</f>
        <v>1</v>
      </c>
      <c r="BF146" s="417">
        <f>VLOOKUP($C146,Fatores!$A:$D,4,FALSE)</f>
        <v>1</v>
      </c>
      <c r="BG146" s="420">
        <f t="shared" si="728"/>
        <v>9</v>
      </c>
      <c r="BH146" s="420">
        <f t="shared" si="729"/>
        <v>4</v>
      </c>
      <c r="BI146" s="420">
        <f t="shared" si="730"/>
        <v>6</v>
      </c>
      <c r="BJ146" s="420">
        <f t="shared" si="731"/>
        <v>10</v>
      </c>
      <c r="BK146" s="420">
        <f t="shared" si="732"/>
        <v>4</v>
      </c>
      <c r="BL146" s="420">
        <f t="shared" si="733"/>
        <v>5</v>
      </c>
      <c r="BM146" s="421">
        <f t="shared" ref="BM146:BR147" si="805">BG146+VLOOKUP($E146,$A:$BR,BM$1,FALSE)</f>
        <v>270</v>
      </c>
      <c r="BN146" s="421">
        <f t="shared" si="805"/>
        <v>104</v>
      </c>
      <c r="BO146" s="421">
        <f t="shared" si="805"/>
        <v>174</v>
      </c>
      <c r="BP146" s="421">
        <f t="shared" si="805"/>
        <v>286</v>
      </c>
      <c r="BQ146" s="421">
        <f t="shared" si="805"/>
        <v>127</v>
      </c>
      <c r="BR146" s="421">
        <f t="shared" si="805"/>
        <v>149</v>
      </c>
    </row>
    <row r="147" spans="1:70" x14ac:dyDescent="0.25">
      <c r="A147" s="431">
        <v>285</v>
      </c>
      <c r="B147" s="424"/>
      <c r="C147" s="424" t="s">
        <v>52</v>
      </c>
      <c r="D147" s="437" t="s">
        <v>562</v>
      </c>
      <c r="E147" s="444">
        <v>296</v>
      </c>
      <c r="F147" s="424"/>
      <c r="G147" s="424"/>
      <c r="H147" s="424"/>
      <c r="I147" s="432"/>
      <c r="J147" s="440">
        <v>1</v>
      </c>
      <c r="K147" s="419">
        <f>VLOOKUP($A147,Prevs!$C:$I,Ajustes!K$1,FALSE)</f>
        <v>26779</v>
      </c>
      <c r="L147" s="419">
        <f>VLOOKUP($A147,Prevs!$C:$I,Ajustes!L$1,FALSE)</f>
        <v>24968</v>
      </c>
      <c r="M147" s="419">
        <f>VLOOKUP($A147,Prevs!$C:$I,Ajustes!M$1,FALSE)</f>
        <v>23485</v>
      </c>
      <c r="N147" s="419">
        <f>VLOOKUP($A147,Prevs!$C:$I,Ajustes!N$1,FALSE)</f>
        <v>23710</v>
      </c>
      <c r="O147" s="419">
        <f>VLOOKUP($A147,Prevs!$C:$I,Ajustes!O$1,FALSE)</f>
        <v>15581</v>
      </c>
      <c r="P147" s="419">
        <f>VLOOKUP($A147,Prevs!$C:$I,Ajustes!P$1,FALSE)</f>
        <v>13291</v>
      </c>
      <c r="Q147" s="419">
        <f>VLOOKUP($E147,Prevs!$C:$I,Ajustes!K$1,FALSE)</f>
        <v>36</v>
      </c>
      <c r="R147" s="419">
        <f>VLOOKUP($E147,Prevs!$C:$I,Ajustes!L$1,FALSE)</f>
        <v>36</v>
      </c>
      <c r="S147" s="419">
        <f>VLOOKUP($E147,Prevs!$C:$I,Ajustes!M$1,FALSE)</f>
        <v>35</v>
      </c>
      <c r="T147" s="419">
        <f>VLOOKUP($E147,Prevs!$C:$I,Ajustes!N$1,FALSE)</f>
        <v>35</v>
      </c>
      <c r="U147" s="419">
        <f>VLOOKUP($E147,Prevs!$C:$I,Ajustes!O$1,FALSE)</f>
        <v>35</v>
      </c>
      <c r="V147" s="419">
        <f>VLOOKUP($E147,Prevs!$C:$I,Ajustes!P$1,FALSE)</f>
        <v>34</v>
      </c>
      <c r="W147" s="419">
        <f t="shared" si="779"/>
        <v>26743</v>
      </c>
      <c r="X147" s="419">
        <f t="shared" si="780"/>
        <v>24932</v>
      </c>
      <c r="Y147" s="419">
        <f t="shared" si="781"/>
        <v>23450</v>
      </c>
      <c r="Z147" s="419">
        <f t="shared" si="782"/>
        <v>23675</v>
      </c>
      <c r="AA147" s="419">
        <f t="shared" si="783"/>
        <v>15546</v>
      </c>
      <c r="AB147" s="419">
        <f t="shared" si="784"/>
        <v>13257</v>
      </c>
      <c r="AC147" s="417">
        <f>VLOOKUP($J147,Fatores!$G$1:$J$5,2,FALSE)</f>
        <v>1.5531612828314754</v>
      </c>
      <c r="AD147" s="417">
        <f>VLOOKUP($C147,Fatores!$A:$D,2,FALSE)</f>
        <v>1</v>
      </c>
      <c r="AE147" s="420">
        <f t="shared" si="709"/>
        <v>41536.192186762142</v>
      </c>
      <c r="AF147" s="420">
        <f t="shared" si="710"/>
        <v>38723.41710355434</v>
      </c>
      <c r="AG147" s="420">
        <f t="shared" si="711"/>
        <v>36421.6320823981</v>
      </c>
      <c r="AH147" s="420">
        <f t="shared" si="712"/>
        <v>36771.093371035182</v>
      </c>
      <c r="AI147" s="420">
        <f t="shared" si="713"/>
        <v>24145.445302898115</v>
      </c>
      <c r="AJ147" s="420">
        <f t="shared" si="714"/>
        <v>20590.259126496869</v>
      </c>
      <c r="AK147" s="421">
        <f t="shared" si="803"/>
        <v>41592.105992944074</v>
      </c>
      <c r="AL147" s="421">
        <f t="shared" si="803"/>
        <v>38779.330909736273</v>
      </c>
      <c r="AM147" s="421">
        <f t="shared" si="803"/>
        <v>36475.992727297205</v>
      </c>
      <c r="AN147" s="421">
        <f t="shared" si="803"/>
        <v>36825.454015934287</v>
      </c>
      <c r="AO147" s="421">
        <f t="shared" si="803"/>
        <v>24199.805947797217</v>
      </c>
      <c r="AP147" s="421">
        <f t="shared" si="803"/>
        <v>20643.066610113139</v>
      </c>
      <c r="AQ147" s="417">
        <f>VLOOKUP($J147,Fatores!$G$1:$J$5,3,FALSE)</f>
        <v>1.3186317794730578</v>
      </c>
      <c r="AR147" s="417">
        <f>VLOOKUP($C147,Fatores!$A:$D,3,FALSE)</f>
        <v>1</v>
      </c>
      <c r="AS147" s="420">
        <f t="shared" si="716"/>
        <v>35264.169678447986</v>
      </c>
      <c r="AT147" s="420">
        <f t="shared" si="717"/>
        <v>32876.127525822274</v>
      </c>
      <c r="AU147" s="420">
        <f t="shared" si="718"/>
        <v>30921.915228643204</v>
      </c>
      <c r="AV147" s="420">
        <f t="shared" si="719"/>
        <v>31218.607379024641</v>
      </c>
      <c r="AW147" s="420">
        <f t="shared" si="720"/>
        <v>20499.449643688156</v>
      </c>
      <c r="AX147" s="420">
        <f t="shared" si="721"/>
        <v>17481.101500474328</v>
      </c>
      <c r="AY147" s="421">
        <f t="shared" si="804"/>
        <v>35311.640422509015</v>
      </c>
      <c r="AZ147" s="421">
        <f t="shared" si="804"/>
        <v>32923.598269883303</v>
      </c>
      <c r="BA147" s="421">
        <f t="shared" si="804"/>
        <v>30968.067340924761</v>
      </c>
      <c r="BB147" s="421">
        <f t="shared" si="804"/>
        <v>31264.759491306198</v>
      </c>
      <c r="BC147" s="421">
        <f t="shared" si="804"/>
        <v>20545.601755969714</v>
      </c>
      <c r="BD147" s="421">
        <f t="shared" si="804"/>
        <v>17525.93498097641</v>
      </c>
      <c r="BE147" s="417">
        <f>VLOOKUP($J147,Fatores!$G$1:$J$5,4,FALSE)</f>
        <v>1</v>
      </c>
      <c r="BF147" s="417">
        <f>VLOOKUP($C147,Fatores!$A:$D,4,FALSE)</f>
        <v>1</v>
      </c>
      <c r="BG147" s="420">
        <f t="shared" si="728"/>
        <v>26743</v>
      </c>
      <c r="BH147" s="420">
        <f t="shared" si="729"/>
        <v>24932</v>
      </c>
      <c r="BI147" s="420">
        <f t="shared" si="730"/>
        <v>23450</v>
      </c>
      <c r="BJ147" s="420">
        <f t="shared" si="731"/>
        <v>23675</v>
      </c>
      <c r="BK147" s="420">
        <f t="shared" si="732"/>
        <v>15546</v>
      </c>
      <c r="BL147" s="420">
        <f t="shared" si="733"/>
        <v>13257</v>
      </c>
      <c r="BM147" s="421">
        <f t="shared" si="805"/>
        <v>26779</v>
      </c>
      <c r="BN147" s="421">
        <f t="shared" si="805"/>
        <v>24968</v>
      </c>
      <c r="BO147" s="421">
        <f t="shared" si="805"/>
        <v>23485</v>
      </c>
      <c r="BP147" s="421">
        <f t="shared" si="805"/>
        <v>23710</v>
      </c>
      <c r="BQ147" s="421">
        <f t="shared" si="805"/>
        <v>15581</v>
      </c>
      <c r="BR147" s="421">
        <f t="shared" si="805"/>
        <v>13291</v>
      </c>
    </row>
    <row r="148" spans="1:70" x14ac:dyDescent="0.25">
      <c r="A148" s="431">
        <v>286</v>
      </c>
      <c r="B148" s="424"/>
      <c r="C148" s="424" t="s">
        <v>38</v>
      </c>
      <c r="D148" s="437" t="s">
        <v>564</v>
      </c>
      <c r="E148" s="431"/>
      <c r="F148" s="424"/>
      <c r="G148" s="424"/>
      <c r="H148" s="424"/>
      <c r="I148" s="432"/>
      <c r="J148" s="440">
        <v>2</v>
      </c>
      <c r="K148" s="419">
        <f>VLOOKUP($A148,Prevs!$C:$I,Ajustes!K$1,FALSE)</f>
        <v>44</v>
      </c>
      <c r="L148" s="419">
        <f>VLOOKUP($A148,Prevs!$C:$I,Ajustes!L$1,FALSE)</f>
        <v>42</v>
      </c>
      <c r="M148" s="419">
        <f>VLOOKUP($A148,Prevs!$C:$I,Ajustes!M$1,FALSE)</f>
        <v>35</v>
      </c>
      <c r="N148" s="419">
        <f>VLOOKUP($A148,Prevs!$C:$I,Ajustes!N$1,FALSE)</f>
        <v>32</v>
      </c>
      <c r="O148" s="419">
        <f>VLOOKUP($A148,Prevs!$C:$I,Ajustes!O$1,FALSE)</f>
        <v>36</v>
      </c>
      <c r="P148" s="419">
        <f>VLOOKUP($A148,Prevs!$C:$I,Ajustes!P$1,FALSE)</f>
        <v>32</v>
      </c>
      <c r="Q148" s="419">
        <v>0</v>
      </c>
      <c r="R148" s="419">
        <v>0</v>
      </c>
      <c r="S148" s="419">
        <v>0</v>
      </c>
      <c r="T148" s="419">
        <v>0</v>
      </c>
      <c r="U148" s="419">
        <v>0</v>
      </c>
      <c r="V148" s="419">
        <v>0</v>
      </c>
      <c r="W148" s="419">
        <f t="shared" ref="W148:AB149" si="806">K148-Q148</f>
        <v>44</v>
      </c>
      <c r="X148" s="419">
        <f t="shared" si="806"/>
        <v>42</v>
      </c>
      <c r="Y148" s="419">
        <f t="shared" si="806"/>
        <v>35</v>
      </c>
      <c r="Z148" s="419">
        <f t="shared" si="806"/>
        <v>32</v>
      </c>
      <c r="AA148" s="419">
        <f t="shared" si="806"/>
        <v>36</v>
      </c>
      <c r="AB148" s="419">
        <f t="shared" si="806"/>
        <v>32</v>
      </c>
      <c r="AC148" s="417">
        <f>VLOOKUP($J148,Fatores!$G$1:$J$5,2,FALSE)</f>
        <v>0.80162406960829835</v>
      </c>
      <c r="AD148" s="417">
        <f>VLOOKUP($C148,Fatores!$A:$D,2,FALSE)</f>
        <v>1</v>
      </c>
      <c r="AE148" s="420">
        <f t="shared" si="709"/>
        <v>35.271459062765125</v>
      </c>
      <c r="AF148" s="420">
        <f t="shared" si="710"/>
        <v>33.668210923548529</v>
      </c>
      <c r="AG148" s="420">
        <f t="shared" si="711"/>
        <v>28.056842436290442</v>
      </c>
      <c r="AH148" s="420">
        <f t="shared" si="712"/>
        <v>25.651970227465547</v>
      </c>
      <c r="AI148" s="420">
        <f t="shared" si="713"/>
        <v>28.85846650589874</v>
      </c>
      <c r="AJ148" s="420">
        <f t="shared" si="714"/>
        <v>25.651970227465547</v>
      </c>
      <c r="AK148" s="421">
        <f t="shared" ref="AK148:AP148" si="807">AE148</f>
        <v>35.271459062765125</v>
      </c>
      <c r="AL148" s="421">
        <f t="shared" si="807"/>
        <v>33.668210923548529</v>
      </c>
      <c r="AM148" s="421">
        <f t="shared" si="807"/>
        <v>28.056842436290442</v>
      </c>
      <c r="AN148" s="421">
        <f t="shared" si="807"/>
        <v>25.651970227465547</v>
      </c>
      <c r="AO148" s="421">
        <f t="shared" si="807"/>
        <v>28.85846650589874</v>
      </c>
      <c r="AP148" s="421">
        <f t="shared" si="807"/>
        <v>25.651970227465547</v>
      </c>
      <c r="AQ148" s="417">
        <f>VLOOKUP($J148,Fatores!$G$1:$J$5,3,FALSE)</f>
        <v>0.80162406960829835</v>
      </c>
      <c r="AR148" s="417">
        <f>VLOOKUP($C148,Fatores!$A:$D,3,FALSE)</f>
        <v>1</v>
      </c>
      <c r="AS148" s="420">
        <f t="shared" si="716"/>
        <v>35.271459062765125</v>
      </c>
      <c r="AT148" s="420">
        <f t="shared" si="717"/>
        <v>33.668210923548529</v>
      </c>
      <c r="AU148" s="420">
        <f t="shared" si="718"/>
        <v>28.056842436290442</v>
      </c>
      <c r="AV148" s="420">
        <f t="shared" si="719"/>
        <v>25.651970227465547</v>
      </c>
      <c r="AW148" s="420">
        <f t="shared" si="720"/>
        <v>28.85846650589874</v>
      </c>
      <c r="AX148" s="420">
        <f t="shared" si="721"/>
        <v>25.651970227465547</v>
      </c>
      <c r="AY148" s="421">
        <f t="shared" ref="AY148" si="808">AS148</f>
        <v>35.271459062765125</v>
      </c>
      <c r="AZ148" s="421">
        <f t="shared" ref="AZ148" si="809">AT148</f>
        <v>33.668210923548529</v>
      </c>
      <c r="BA148" s="421">
        <f t="shared" ref="BA148" si="810">AU148</f>
        <v>28.056842436290442</v>
      </c>
      <c r="BB148" s="421">
        <f t="shared" ref="BB148" si="811">AV148</f>
        <v>25.651970227465547</v>
      </c>
      <c r="BC148" s="421">
        <f t="shared" ref="BC148" si="812">AW148</f>
        <v>28.85846650589874</v>
      </c>
      <c r="BD148" s="421">
        <f t="shared" ref="BD148" si="813">AX148</f>
        <v>25.651970227465547</v>
      </c>
      <c r="BE148" s="417">
        <f>VLOOKUP($J148,Fatores!$G$1:$J$5,4,FALSE)</f>
        <v>1</v>
      </c>
      <c r="BF148" s="417">
        <f>VLOOKUP($C148,Fatores!$A:$D,4,FALSE)</f>
        <v>1</v>
      </c>
      <c r="BG148" s="420">
        <f t="shared" si="728"/>
        <v>44</v>
      </c>
      <c r="BH148" s="420">
        <f t="shared" si="729"/>
        <v>42</v>
      </c>
      <c r="BI148" s="420">
        <f t="shared" si="730"/>
        <v>35</v>
      </c>
      <c r="BJ148" s="420">
        <f t="shared" si="731"/>
        <v>32</v>
      </c>
      <c r="BK148" s="420">
        <f t="shared" si="732"/>
        <v>36</v>
      </c>
      <c r="BL148" s="420">
        <f t="shared" si="733"/>
        <v>32</v>
      </c>
      <c r="BM148" s="421">
        <f t="shared" ref="BM148" si="814">BG148</f>
        <v>44</v>
      </c>
      <c r="BN148" s="421">
        <f t="shared" ref="BN148" si="815">BH148</f>
        <v>42</v>
      </c>
      <c r="BO148" s="421">
        <f t="shared" ref="BO148" si="816">BI148</f>
        <v>35</v>
      </c>
      <c r="BP148" s="421">
        <f t="shared" ref="BP148" si="817">BJ148</f>
        <v>32</v>
      </c>
      <c r="BQ148" s="421">
        <f t="shared" ref="BQ148" si="818">BK148</f>
        <v>36</v>
      </c>
      <c r="BR148" s="421">
        <f t="shared" ref="BR148" si="819">BL148</f>
        <v>32</v>
      </c>
    </row>
    <row r="149" spans="1:70" x14ac:dyDescent="0.25">
      <c r="A149" s="431">
        <v>287</v>
      </c>
      <c r="B149" s="424"/>
      <c r="C149" s="424" t="s">
        <v>52</v>
      </c>
      <c r="D149" s="437" t="s">
        <v>562</v>
      </c>
      <c r="E149" s="444">
        <v>285</v>
      </c>
      <c r="F149" s="424"/>
      <c r="G149" s="424"/>
      <c r="H149" s="424"/>
      <c r="I149" s="432"/>
      <c r="J149" s="440">
        <v>1</v>
      </c>
      <c r="K149" s="419">
        <f>VLOOKUP($A149,Prevs!$C:$I,Ajustes!K$1,FALSE)</f>
        <v>27187</v>
      </c>
      <c r="L149" s="419">
        <f>VLOOKUP($A149,Prevs!$C:$I,Ajustes!L$1,FALSE)</f>
        <v>25348</v>
      </c>
      <c r="M149" s="419">
        <f>VLOOKUP($A149,Prevs!$C:$I,Ajustes!M$1,FALSE)</f>
        <v>23843</v>
      </c>
      <c r="N149" s="419">
        <f>VLOOKUP($A149,Prevs!$C:$I,Ajustes!N$1,FALSE)</f>
        <v>24071</v>
      </c>
      <c r="O149" s="419">
        <f>VLOOKUP($A149,Prevs!$C:$I,Ajustes!O$1,FALSE)</f>
        <v>15819</v>
      </c>
      <c r="P149" s="419">
        <f>VLOOKUP($A149,Prevs!$C:$I,Ajustes!P$1,FALSE)</f>
        <v>13493</v>
      </c>
      <c r="Q149" s="419">
        <f>VLOOKUP($E149,Prevs!$C:$I,Ajustes!K$1,FALSE)</f>
        <v>26779</v>
      </c>
      <c r="R149" s="419">
        <f>VLOOKUP($E149,Prevs!$C:$I,Ajustes!L$1,FALSE)</f>
        <v>24968</v>
      </c>
      <c r="S149" s="419">
        <f>VLOOKUP($E149,Prevs!$C:$I,Ajustes!M$1,FALSE)</f>
        <v>23485</v>
      </c>
      <c r="T149" s="419">
        <f>VLOOKUP($E149,Prevs!$C:$I,Ajustes!N$1,FALSE)</f>
        <v>23710</v>
      </c>
      <c r="U149" s="419">
        <f>VLOOKUP($E149,Prevs!$C:$I,Ajustes!O$1,FALSE)</f>
        <v>15581</v>
      </c>
      <c r="V149" s="419">
        <f>VLOOKUP($E149,Prevs!$C:$I,Ajustes!P$1,FALSE)</f>
        <v>13291</v>
      </c>
      <c r="W149" s="419">
        <f t="shared" si="806"/>
        <v>408</v>
      </c>
      <c r="X149" s="419">
        <f t="shared" si="806"/>
        <v>380</v>
      </c>
      <c r="Y149" s="419">
        <f t="shared" si="806"/>
        <v>358</v>
      </c>
      <c r="Z149" s="419">
        <f t="shared" si="806"/>
        <v>361</v>
      </c>
      <c r="AA149" s="419">
        <f t="shared" si="806"/>
        <v>238</v>
      </c>
      <c r="AB149" s="419">
        <f t="shared" si="806"/>
        <v>202</v>
      </c>
      <c r="AC149" s="417">
        <f>VLOOKUP($J149,Fatores!$G$1:$J$5,2,FALSE)</f>
        <v>1.5531612828314754</v>
      </c>
      <c r="AD149" s="417">
        <f>VLOOKUP($C149,Fatores!$A:$D,2,FALSE)</f>
        <v>1</v>
      </c>
      <c r="AE149" s="420">
        <f t="shared" si="709"/>
        <v>633.68980339524194</v>
      </c>
      <c r="AF149" s="420">
        <f t="shared" si="710"/>
        <v>590.20128747596061</v>
      </c>
      <c r="AG149" s="420">
        <f t="shared" si="711"/>
        <v>556.03173925366821</v>
      </c>
      <c r="AH149" s="420">
        <f t="shared" si="712"/>
        <v>560.69122310216255</v>
      </c>
      <c r="AI149" s="420">
        <f t="shared" si="713"/>
        <v>369.65238531389116</v>
      </c>
      <c r="AJ149" s="420">
        <f t="shared" si="714"/>
        <v>313.73857913195803</v>
      </c>
      <c r="AK149" s="421">
        <f t="shared" ref="AK149:AP149" si="820">AE149+VLOOKUP($E149,$A:$BR,AK$1,FALSE)</f>
        <v>42225.795796339313</v>
      </c>
      <c r="AL149" s="421">
        <f t="shared" si="820"/>
        <v>39369.532197212233</v>
      </c>
      <c r="AM149" s="421">
        <f t="shared" si="820"/>
        <v>37032.024466550873</v>
      </c>
      <c r="AN149" s="421">
        <f t="shared" si="820"/>
        <v>37386.14523903645</v>
      </c>
      <c r="AO149" s="421">
        <f t="shared" si="820"/>
        <v>24569.458333111106</v>
      </c>
      <c r="AP149" s="421">
        <f t="shared" si="820"/>
        <v>20956.805189245097</v>
      </c>
      <c r="AQ149" s="417">
        <f>VLOOKUP($J149,Fatores!$G$1:$J$5,3,FALSE)</f>
        <v>1.3186317794730578</v>
      </c>
      <c r="AR149" s="417">
        <f>VLOOKUP($C149,Fatores!$A:$D,3,FALSE)</f>
        <v>1</v>
      </c>
      <c r="AS149" s="420">
        <f t="shared" si="716"/>
        <v>538.00176602500756</v>
      </c>
      <c r="AT149" s="420">
        <f t="shared" si="717"/>
        <v>501.08007619976195</v>
      </c>
      <c r="AU149" s="420">
        <f t="shared" si="718"/>
        <v>472.07017705135468</v>
      </c>
      <c r="AV149" s="420">
        <f t="shared" si="719"/>
        <v>476.02607238977384</v>
      </c>
      <c r="AW149" s="420">
        <f t="shared" si="720"/>
        <v>313.83436351458772</v>
      </c>
      <c r="AX149" s="420">
        <f t="shared" si="721"/>
        <v>266.36361945355765</v>
      </c>
      <c r="AY149" s="421">
        <f t="shared" ref="AY149:BD149" si="821">AS149+VLOOKUP($E149,$A:$BR,AY$1,FALSE)</f>
        <v>35849.642188534024</v>
      </c>
      <c r="AZ149" s="421">
        <f t="shared" si="821"/>
        <v>33424.678346083063</v>
      </c>
      <c r="BA149" s="421">
        <f t="shared" si="821"/>
        <v>31440.137517976116</v>
      </c>
      <c r="BB149" s="421">
        <f t="shared" si="821"/>
        <v>31740.785563695972</v>
      </c>
      <c r="BC149" s="421">
        <f t="shared" si="821"/>
        <v>20859.4361194843</v>
      </c>
      <c r="BD149" s="421">
        <f t="shared" si="821"/>
        <v>17792.298600429967</v>
      </c>
      <c r="BE149" s="417">
        <f>VLOOKUP($J149,Fatores!$G$1:$J$5,4,FALSE)</f>
        <v>1</v>
      </c>
      <c r="BF149" s="417">
        <f>VLOOKUP($C149,Fatores!$A:$D,4,FALSE)</f>
        <v>1</v>
      </c>
      <c r="BG149" s="420">
        <f t="shared" si="728"/>
        <v>408</v>
      </c>
      <c r="BH149" s="420">
        <f t="shared" si="729"/>
        <v>380</v>
      </c>
      <c r="BI149" s="420">
        <f t="shared" si="730"/>
        <v>358</v>
      </c>
      <c r="BJ149" s="420">
        <f t="shared" si="731"/>
        <v>361</v>
      </c>
      <c r="BK149" s="420">
        <f t="shared" si="732"/>
        <v>238</v>
      </c>
      <c r="BL149" s="420">
        <f t="shared" si="733"/>
        <v>202</v>
      </c>
      <c r="BM149" s="421">
        <f t="shared" ref="BM149:BR149" si="822">BG149+VLOOKUP($E149,$A:$BR,BM$1,FALSE)</f>
        <v>27187</v>
      </c>
      <c r="BN149" s="421">
        <f t="shared" si="822"/>
        <v>25348</v>
      </c>
      <c r="BO149" s="421">
        <f t="shared" si="822"/>
        <v>23843</v>
      </c>
      <c r="BP149" s="421">
        <f t="shared" si="822"/>
        <v>24071</v>
      </c>
      <c r="BQ149" s="421">
        <f t="shared" si="822"/>
        <v>15819</v>
      </c>
      <c r="BR149" s="421">
        <f t="shared" si="822"/>
        <v>13493</v>
      </c>
    </row>
    <row r="150" spans="1:70" x14ac:dyDescent="0.25">
      <c r="A150" s="431">
        <v>290</v>
      </c>
      <c r="B150" s="424"/>
      <c r="C150" s="424" t="s">
        <v>52</v>
      </c>
      <c r="D150" s="437" t="s">
        <v>568</v>
      </c>
      <c r="E150" s="431"/>
      <c r="F150" s="424"/>
      <c r="G150" s="424"/>
      <c r="H150" s="424"/>
      <c r="I150" s="432"/>
      <c r="J150" s="440">
        <v>4</v>
      </c>
      <c r="K150" s="419">
        <f>VLOOKUP($A150,Prevs!$C:$I,Ajustes!K$1,FALSE)</f>
        <v>1719</v>
      </c>
      <c r="L150" s="419">
        <f>VLOOKUP($A150,Prevs!$C:$I,Ajustes!L$1,FALSE)</f>
        <v>1798</v>
      </c>
      <c r="M150" s="419">
        <f>VLOOKUP($A150,Prevs!$C:$I,Ajustes!M$1,FALSE)</f>
        <v>2012</v>
      </c>
      <c r="N150" s="419">
        <f>VLOOKUP($A150,Prevs!$C:$I,Ajustes!N$1,FALSE)</f>
        <v>1996</v>
      </c>
      <c r="O150" s="419">
        <f>VLOOKUP($A150,Prevs!$C:$I,Ajustes!O$1,FALSE)</f>
        <v>1867</v>
      </c>
      <c r="P150" s="419">
        <f>VLOOKUP($A150,Prevs!$C:$I,Ajustes!P$1,FALSE)</f>
        <v>1800</v>
      </c>
      <c r="Q150" s="419">
        <v>0</v>
      </c>
      <c r="R150" s="419">
        <v>0</v>
      </c>
      <c r="S150" s="419">
        <v>0</v>
      </c>
      <c r="T150" s="419">
        <v>0</v>
      </c>
      <c r="U150" s="419">
        <v>0</v>
      </c>
      <c r="V150" s="419">
        <v>0</v>
      </c>
      <c r="W150" s="419">
        <f t="shared" ref="W150:W157" si="823">K150-Q150</f>
        <v>1719</v>
      </c>
      <c r="X150" s="419">
        <f t="shared" ref="X150:X157" si="824">L150-R150</f>
        <v>1798</v>
      </c>
      <c r="Y150" s="419">
        <f t="shared" ref="Y150:Y157" si="825">M150-S150</f>
        <v>2012</v>
      </c>
      <c r="Z150" s="419">
        <f t="shared" ref="Z150:Z157" si="826">N150-T150</f>
        <v>1996</v>
      </c>
      <c r="AA150" s="419">
        <f t="shared" ref="AA150:AA157" si="827">O150-U150</f>
        <v>1867</v>
      </c>
      <c r="AB150" s="419">
        <f t="shared" ref="AB150:AB157" si="828">P150-V150</f>
        <v>1800</v>
      </c>
      <c r="AC150" s="417">
        <f>VLOOKUP($J150,Fatores!$G$1:$J$5,2,FALSE)</f>
        <v>3.3533817708130722</v>
      </c>
      <c r="AD150" s="417">
        <f>VLOOKUP($C150,Fatores!$A:$D,2,FALSE)</f>
        <v>1</v>
      </c>
      <c r="AE150" s="420">
        <f t="shared" si="709"/>
        <v>5764.4632640276714</v>
      </c>
      <c r="AF150" s="420">
        <f t="shared" si="710"/>
        <v>6029.3804239219035</v>
      </c>
      <c r="AG150" s="420">
        <f t="shared" si="711"/>
        <v>6747.004122875901</v>
      </c>
      <c r="AH150" s="420">
        <f t="shared" si="712"/>
        <v>6693.3500145428925</v>
      </c>
      <c r="AI150" s="420">
        <f t="shared" si="713"/>
        <v>6260.7637661080062</v>
      </c>
      <c r="AJ150" s="420">
        <f t="shared" si="714"/>
        <v>6036.0871874635295</v>
      </c>
      <c r="AK150" s="421">
        <f t="shared" ref="AK150:AK154" si="829">AE150</f>
        <v>5764.4632640276714</v>
      </c>
      <c r="AL150" s="421">
        <f t="shared" ref="AL150:AL154" si="830">AF150</f>
        <v>6029.3804239219035</v>
      </c>
      <c r="AM150" s="421">
        <f t="shared" ref="AM150:AM154" si="831">AG150</f>
        <v>6747.004122875901</v>
      </c>
      <c r="AN150" s="421">
        <f t="shared" ref="AN150:AN154" si="832">AH150</f>
        <v>6693.3500145428925</v>
      </c>
      <c r="AO150" s="421">
        <f t="shared" ref="AO150:AO154" si="833">AI150</f>
        <v>6260.7637661080062</v>
      </c>
      <c r="AP150" s="421">
        <f t="shared" ref="AP150:AP154" si="834">AJ150</f>
        <v>6036.0871874635295</v>
      </c>
      <c r="AQ150" s="417">
        <f>VLOOKUP($J150,Fatores!$G$1:$J$5,3,FALSE)</f>
        <v>3.3988484923076037</v>
      </c>
      <c r="AR150" s="417">
        <f>VLOOKUP($C150,Fatores!$A:$D,3,FALSE)</f>
        <v>1</v>
      </c>
      <c r="AS150" s="420">
        <f t="shared" si="716"/>
        <v>5842.6205582767707</v>
      </c>
      <c r="AT150" s="420">
        <f t="shared" si="717"/>
        <v>6111.1295891690716</v>
      </c>
      <c r="AU150" s="420">
        <f t="shared" si="718"/>
        <v>6838.4831665228985</v>
      </c>
      <c r="AV150" s="420">
        <f t="shared" si="719"/>
        <v>6784.101590645977</v>
      </c>
      <c r="AW150" s="420">
        <f t="shared" si="720"/>
        <v>6345.6501351382958</v>
      </c>
      <c r="AX150" s="420">
        <f t="shared" si="721"/>
        <v>6117.9272861536865</v>
      </c>
      <c r="AY150" s="421">
        <f t="shared" ref="AY150:AY154" si="835">AS150</f>
        <v>5842.6205582767707</v>
      </c>
      <c r="AZ150" s="421">
        <f t="shared" ref="AZ150:AZ154" si="836">AT150</f>
        <v>6111.1295891690716</v>
      </c>
      <c r="BA150" s="421">
        <f t="shared" ref="BA150:BA154" si="837">AU150</f>
        <v>6838.4831665228985</v>
      </c>
      <c r="BB150" s="421">
        <f t="shared" ref="BB150:BB154" si="838">AV150</f>
        <v>6784.101590645977</v>
      </c>
      <c r="BC150" s="421">
        <f t="shared" ref="BC150:BC154" si="839">AW150</f>
        <v>6345.6501351382958</v>
      </c>
      <c r="BD150" s="421">
        <f t="shared" ref="BD150:BD154" si="840">AX150</f>
        <v>6117.9272861536865</v>
      </c>
      <c r="BE150" s="417">
        <f>VLOOKUP($J150,Fatores!$G$1:$J$5,4,FALSE)</f>
        <v>1</v>
      </c>
      <c r="BF150" s="417">
        <f>VLOOKUP($C150,Fatores!$A:$D,4,FALSE)</f>
        <v>1</v>
      </c>
      <c r="BG150" s="420">
        <f t="shared" si="728"/>
        <v>1719</v>
      </c>
      <c r="BH150" s="420">
        <f t="shared" si="729"/>
        <v>1798</v>
      </c>
      <c r="BI150" s="420">
        <f t="shared" si="730"/>
        <v>2012</v>
      </c>
      <c r="BJ150" s="420">
        <f t="shared" si="731"/>
        <v>1996</v>
      </c>
      <c r="BK150" s="420">
        <f t="shared" si="732"/>
        <v>1867</v>
      </c>
      <c r="BL150" s="420">
        <f t="shared" si="733"/>
        <v>1800</v>
      </c>
      <c r="BM150" s="421">
        <f t="shared" ref="BM150:BM154" si="841">BG150</f>
        <v>1719</v>
      </c>
      <c r="BN150" s="421">
        <f t="shared" ref="BN150:BN154" si="842">BH150</f>
        <v>1798</v>
      </c>
      <c r="BO150" s="421">
        <f t="shared" ref="BO150:BO154" si="843">BI150</f>
        <v>2012</v>
      </c>
      <c r="BP150" s="421">
        <f t="shared" ref="BP150:BP154" si="844">BJ150</f>
        <v>1996</v>
      </c>
      <c r="BQ150" s="421">
        <f t="shared" ref="BQ150:BQ154" si="845">BK150</f>
        <v>1867</v>
      </c>
      <c r="BR150" s="421">
        <f t="shared" ref="BR150:BR154" si="846">BL150</f>
        <v>1800</v>
      </c>
    </row>
    <row r="151" spans="1:70" x14ac:dyDescent="0.25">
      <c r="A151" s="431">
        <v>291</v>
      </c>
      <c r="B151" s="424"/>
      <c r="C151" s="424" t="s">
        <v>52</v>
      </c>
      <c r="D151" s="437" t="s">
        <v>569</v>
      </c>
      <c r="E151" s="431"/>
      <c r="F151" s="424"/>
      <c r="G151" s="424"/>
      <c r="H151" s="424"/>
      <c r="I151" s="432"/>
      <c r="J151" s="440">
        <v>1</v>
      </c>
      <c r="K151" s="419">
        <f>VLOOKUP($A151,Prevs!$C:$I,Ajustes!K$1,FALSE)</f>
        <v>206</v>
      </c>
      <c r="L151" s="419">
        <f>VLOOKUP($A151,Prevs!$C:$I,Ajustes!L$1,FALSE)</f>
        <v>175</v>
      </c>
      <c r="M151" s="419">
        <f>VLOOKUP($A151,Prevs!$C:$I,Ajustes!M$1,FALSE)</f>
        <v>145</v>
      </c>
      <c r="N151" s="419">
        <f>VLOOKUP($A151,Prevs!$C:$I,Ajustes!N$1,FALSE)</f>
        <v>123</v>
      </c>
      <c r="O151" s="419">
        <f>VLOOKUP($A151,Prevs!$C:$I,Ajustes!O$1,FALSE)</f>
        <v>106</v>
      </c>
      <c r="P151" s="419">
        <f>VLOOKUP($A151,Prevs!$C:$I,Ajustes!P$1,FALSE)</f>
        <v>88</v>
      </c>
      <c r="Q151" s="419">
        <v>0</v>
      </c>
      <c r="R151" s="419">
        <v>0</v>
      </c>
      <c r="S151" s="419">
        <v>0</v>
      </c>
      <c r="T151" s="419">
        <v>0</v>
      </c>
      <c r="U151" s="419">
        <v>0</v>
      </c>
      <c r="V151" s="419">
        <v>0</v>
      </c>
      <c r="W151" s="419">
        <f t="shared" si="823"/>
        <v>206</v>
      </c>
      <c r="X151" s="419">
        <f t="shared" si="824"/>
        <v>175</v>
      </c>
      <c r="Y151" s="419">
        <f t="shared" si="825"/>
        <v>145</v>
      </c>
      <c r="Z151" s="419">
        <f t="shared" si="826"/>
        <v>123</v>
      </c>
      <c r="AA151" s="419">
        <f t="shared" si="827"/>
        <v>106</v>
      </c>
      <c r="AB151" s="419">
        <f t="shared" si="828"/>
        <v>88</v>
      </c>
      <c r="AC151" s="417">
        <f>VLOOKUP($J151,Fatores!$G$1:$J$5,2,FALSE)</f>
        <v>1.5531612828314754</v>
      </c>
      <c r="AD151" s="417">
        <f>VLOOKUP($C151,Fatores!$A:$D,2,FALSE)</f>
        <v>1</v>
      </c>
      <c r="AE151" s="420">
        <f t="shared" si="709"/>
        <v>319.9512242632839</v>
      </c>
      <c r="AF151" s="420">
        <f t="shared" si="710"/>
        <v>271.80322449550818</v>
      </c>
      <c r="AG151" s="420">
        <f t="shared" si="711"/>
        <v>225.20838601056394</v>
      </c>
      <c r="AH151" s="420">
        <f t="shared" si="712"/>
        <v>191.03883778827148</v>
      </c>
      <c r="AI151" s="420">
        <f t="shared" si="713"/>
        <v>164.63509598013638</v>
      </c>
      <c r="AJ151" s="420">
        <f t="shared" si="714"/>
        <v>136.67819288916982</v>
      </c>
      <c r="AK151" s="421">
        <f t="shared" si="829"/>
        <v>319.9512242632839</v>
      </c>
      <c r="AL151" s="421">
        <f t="shared" si="830"/>
        <v>271.80322449550818</v>
      </c>
      <c r="AM151" s="421">
        <f t="shared" si="831"/>
        <v>225.20838601056394</v>
      </c>
      <c r="AN151" s="421">
        <f t="shared" si="832"/>
        <v>191.03883778827148</v>
      </c>
      <c r="AO151" s="421">
        <f t="shared" si="833"/>
        <v>164.63509598013638</v>
      </c>
      <c r="AP151" s="421">
        <f t="shared" si="834"/>
        <v>136.67819288916982</v>
      </c>
      <c r="AQ151" s="417">
        <f>VLOOKUP($J151,Fatores!$G$1:$J$5,3,FALSE)</f>
        <v>1.3186317794730578</v>
      </c>
      <c r="AR151" s="417">
        <f>VLOOKUP($C151,Fatores!$A:$D,3,FALSE)</f>
        <v>1</v>
      </c>
      <c r="AS151" s="420">
        <f t="shared" si="716"/>
        <v>271.63814657144991</v>
      </c>
      <c r="AT151" s="420">
        <f t="shared" si="717"/>
        <v>230.7605614077851</v>
      </c>
      <c r="AU151" s="420">
        <f t="shared" si="718"/>
        <v>191.20160802359337</v>
      </c>
      <c r="AV151" s="420">
        <f t="shared" si="719"/>
        <v>162.19170887518609</v>
      </c>
      <c r="AW151" s="420">
        <f t="shared" si="720"/>
        <v>139.77496862414412</v>
      </c>
      <c r="AX151" s="420">
        <f t="shared" si="721"/>
        <v>116.03959659362908</v>
      </c>
      <c r="AY151" s="421">
        <f t="shared" si="835"/>
        <v>271.63814657144991</v>
      </c>
      <c r="AZ151" s="421">
        <f t="shared" si="836"/>
        <v>230.7605614077851</v>
      </c>
      <c r="BA151" s="421">
        <f t="shared" si="837"/>
        <v>191.20160802359337</v>
      </c>
      <c r="BB151" s="421">
        <f t="shared" si="838"/>
        <v>162.19170887518609</v>
      </c>
      <c r="BC151" s="421">
        <f t="shared" si="839"/>
        <v>139.77496862414412</v>
      </c>
      <c r="BD151" s="421">
        <f t="shared" si="840"/>
        <v>116.03959659362908</v>
      </c>
      <c r="BE151" s="417">
        <f>VLOOKUP($J151,Fatores!$G$1:$J$5,4,FALSE)</f>
        <v>1</v>
      </c>
      <c r="BF151" s="417">
        <f>VLOOKUP($C151,Fatores!$A:$D,4,FALSE)</f>
        <v>1</v>
      </c>
      <c r="BG151" s="420">
        <f t="shared" si="728"/>
        <v>206</v>
      </c>
      <c r="BH151" s="420">
        <f t="shared" si="729"/>
        <v>175</v>
      </c>
      <c r="BI151" s="420">
        <f t="shared" si="730"/>
        <v>145</v>
      </c>
      <c r="BJ151" s="420">
        <f t="shared" si="731"/>
        <v>123</v>
      </c>
      <c r="BK151" s="420">
        <f t="shared" si="732"/>
        <v>106</v>
      </c>
      <c r="BL151" s="420">
        <f t="shared" si="733"/>
        <v>88</v>
      </c>
      <c r="BM151" s="421">
        <f t="shared" si="841"/>
        <v>206</v>
      </c>
      <c r="BN151" s="421">
        <f t="shared" si="842"/>
        <v>175</v>
      </c>
      <c r="BO151" s="421">
        <f t="shared" si="843"/>
        <v>145</v>
      </c>
      <c r="BP151" s="421">
        <f t="shared" si="844"/>
        <v>123</v>
      </c>
      <c r="BQ151" s="421">
        <f t="shared" si="845"/>
        <v>106</v>
      </c>
      <c r="BR151" s="421">
        <f t="shared" si="846"/>
        <v>88</v>
      </c>
    </row>
    <row r="152" spans="1:70" x14ac:dyDescent="0.25">
      <c r="A152" s="431">
        <v>294</v>
      </c>
      <c r="B152" s="424"/>
      <c r="C152" s="424" t="s">
        <v>23</v>
      </c>
      <c r="D152" s="437" t="s">
        <v>540</v>
      </c>
      <c r="E152" s="431"/>
      <c r="F152" s="424"/>
      <c r="G152" s="424"/>
      <c r="H152" s="424"/>
      <c r="I152" s="432"/>
      <c r="J152" s="440">
        <v>1</v>
      </c>
      <c r="K152" s="419">
        <f>VLOOKUP($A152,Prevs!$C:$I,Ajustes!K$1,FALSE)</f>
        <v>123</v>
      </c>
      <c r="L152" s="419">
        <f>VLOOKUP($A152,Prevs!$C:$I,Ajustes!L$1,FALSE)</f>
        <v>125</v>
      </c>
      <c r="M152" s="419">
        <f>VLOOKUP($A152,Prevs!$C:$I,Ajustes!M$1,FALSE)</f>
        <v>123</v>
      </c>
      <c r="N152" s="419">
        <f>VLOOKUP($A152,Prevs!$C:$I,Ajustes!N$1,FALSE)</f>
        <v>117</v>
      </c>
      <c r="O152" s="419">
        <f>VLOOKUP($A152,Prevs!$C:$I,Ajustes!O$1,FALSE)</f>
        <v>118</v>
      </c>
      <c r="P152" s="419">
        <f>VLOOKUP($A152,Prevs!$C:$I,Ajustes!P$1,FALSE)</f>
        <v>111</v>
      </c>
      <c r="Q152" s="419">
        <v>0</v>
      </c>
      <c r="R152" s="419">
        <v>0</v>
      </c>
      <c r="S152" s="419">
        <v>0</v>
      </c>
      <c r="T152" s="419">
        <v>0</v>
      </c>
      <c r="U152" s="419">
        <v>0</v>
      </c>
      <c r="V152" s="419">
        <v>0</v>
      </c>
      <c r="W152" s="419">
        <f t="shared" si="823"/>
        <v>123</v>
      </c>
      <c r="X152" s="419">
        <f t="shared" si="824"/>
        <v>125</v>
      </c>
      <c r="Y152" s="419">
        <f t="shared" si="825"/>
        <v>123</v>
      </c>
      <c r="Z152" s="419">
        <f t="shared" si="826"/>
        <v>117</v>
      </c>
      <c r="AA152" s="419">
        <f t="shared" si="827"/>
        <v>118</v>
      </c>
      <c r="AB152" s="419">
        <f t="shared" si="828"/>
        <v>111</v>
      </c>
      <c r="AC152" s="417">
        <f>VLOOKUP($J152,Fatores!$G$1:$J$5,2,FALSE)</f>
        <v>1.5531612828314754</v>
      </c>
      <c r="AD152" s="417">
        <f>VLOOKUP($C152,Fatores!$A:$D,2,FALSE)</f>
        <v>1</v>
      </c>
      <c r="AE152" s="420">
        <f t="shared" si="709"/>
        <v>191.03883778827148</v>
      </c>
      <c r="AF152" s="420">
        <f t="shared" si="710"/>
        <v>194.14516035393441</v>
      </c>
      <c r="AG152" s="420">
        <f t="shared" si="711"/>
        <v>191.03883778827148</v>
      </c>
      <c r="AH152" s="420">
        <f t="shared" si="712"/>
        <v>181.71987009128262</v>
      </c>
      <c r="AI152" s="420">
        <f t="shared" si="713"/>
        <v>183.27303137411408</v>
      </c>
      <c r="AJ152" s="420">
        <f t="shared" si="714"/>
        <v>172.40090239429375</v>
      </c>
      <c r="AK152" s="421">
        <f t="shared" si="829"/>
        <v>191.03883778827148</v>
      </c>
      <c r="AL152" s="421">
        <f t="shared" si="830"/>
        <v>194.14516035393441</v>
      </c>
      <c r="AM152" s="421">
        <f t="shared" si="831"/>
        <v>191.03883778827148</v>
      </c>
      <c r="AN152" s="421">
        <f t="shared" si="832"/>
        <v>181.71987009128262</v>
      </c>
      <c r="AO152" s="421">
        <f t="shared" si="833"/>
        <v>183.27303137411408</v>
      </c>
      <c r="AP152" s="421">
        <f t="shared" si="834"/>
        <v>172.40090239429375</v>
      </c>
      <c r="AQ152" s="417">
        <f>VLOOKUP($J152,Fatores!$G$1:$J$5,3,FALSE)</f>
        <v>1.3186317794730578</v>
      </c>
      <c r="AR152" s="417">
        <f>VLOOKUP($C152,Fatores!$A:$D,3,FALSE)</f>
        <v>1</v>
      </c>
      <c r="AS152" s="420">
        <f t="shared" si="716"/>
        <v>162.19170887518609</v>
      </c>
      <c r="AT152" s="420">
        <f t="shared" si="717"/>
        <v>164.82897243413223</v>
      </c>
      <c r="AU152" s="420">
        <f t="shared" si="718"/>
        <v>162.19170887518609</v>
      </c>
      <c r="AV152" s="420">
        <f t="shared" si="719"/>
        <v>154.27991819834776</v>
      </c>
      <c r="AW152" s="420">
        <f t="shared" si="720"/>
        <v>155.59854997782082</v>
      </c>
      <c r="AX152" s="420">
        <f t="shared" si="721"/>
        <v>146.36812752150942</v>
      </c>
      <c r="AY152" s="421">
        <f t="shared" si="835"/>
        <v>162.19170887518609</v>
      </c>
      <c r="AZ152" s="421">
        <f t="shared" si="836"/>
        <v>164.82897243413223</v>
      </c>
      <c r="BA152" s="421">
        <f t="shared" si="837"/>
        <v>162.19170887518609</v>
      </c>
      <c r="BB152" s="421">
        <f t="shared" si="838"/>
        <v>154.27991819834776</v>
      </c>
      <c r="BC152" s="421">
        <f t="shared" si="839"/>
        <v>155.59854997782082</v>
      </c>
      <c r="BD152" s="421">
        <f t="shared" si="840"/>
        <v>146.36812752150942</v>
      </c>
      <c r="BE152" s="417">
        <f>VLOOKUP($J152,Fatores!$G$1:$J$5,4,FALSE)</f>
        <v>1</v>
      </c>
      <c r="BF152" s="417">
        <f>VLOOKUP($C152,Fatores!$A:$D,4,FALSE)</f>
        <v>1</v>
      </c>
      <c r="BG152" s="420">
        <f t="shared" si="728"/>
        <v>123</v>
      </c>
      <c r="BH152" s="420">
        <f t="shared" si="729"/>
        <v>125</v>
      </c>
      <c r="BI152" s="420">
        <f t="shared" si="730"/>
        <v>123</v>
      </c>
      <c r="BJ152" s="420">
        <f t="shared" si="731"/>
        <v>117</v>
      </c>
      <c r="BK152" s="420">
        <f t="shared" si="732"/>
        <v>118</v>
      </c>
      <c r="BL152" s="420">
        <f t="shared" si="733"/>
        <v>111</v>
      </c>
      <c r="BM152" s="421">
        <f t="shared" si="841"/>
        <v>123</v>
      </c>
      <c r="BN152" s="421">
        <f t="shared" si="842"/>
        <v>125</v>
      </c>
      <c r="BO152" s="421">
        <f t="shared" si="843"/>
        <v>123</v>
      </c>
      <c r="BP152" s="421">
        <f t="shared" si="844"/>
        <v>117</v>
      </c>
      <c r="BQ152" s="421">
        <f t="shared" si="845"/>
        <v>118</v>
      </c>
      <c r="BR152" s="421">
        <f t="shared" si="846"/>
        <v>111</v>
      </c>
    </row>
    <row r="153" spans="1:70" x14ac:dyDescent="0.25">
      <c r="A153" s="431">
        <v>295</v>
      </c>
      <c r="B153" s="424"/>
      <c r="C153" s="424" t="s">
        <v>35</v>
      </c>
      <c r="D153" s="437" t="s">
        <v>574</v>
      </c>
      <c r="E153" s="431"/>
      <c r="F153" s="424"/>
      <c r="G153" s="424"/>
      <c r="H153" s="424"/>
      <c r="I153" s="432"/>
      <c r="J153" s="440">
        <v>1</v>
      </c>
      <c r="K153" s="419">
        <f>VLOOKUP($A153,Prevs!$C:$I,Ajustes!K$1,FALSE)</f>
        <v>79</v>
      </c>
      <c r="L153" s="419">
        <f>VLOOKUP($A153,Prevs!$C:$I,Ajustes!L$1,FALSE)</f>
        <v>78</v>
      </c>
      <c r="M153" s="419">
        <f>VLOOKUP($A153,Prevs!$C:$I,Ajustes!M$1,FALSE)</f>
        <v>77</v>
      </c>
      <c r="N153" s="419">
        <f>VLOOKUP($A153,Prevs!$C:$I,Ajustes!N$1,FALSE)</f>
        <v>76</v>
      </c>
      <c r="O153" s="419">
        <f>VLOOKUP($A153,Prevs!$C:$I,Ajustes!O$1,FALSE)</f>
        <v>75</v>
      </c>
      <c r="P153" s="419">
        <f>VLOOKUP($A153,Prevs!$C:$I,Ajustes!P$1,FALSE)</f>
        <v>75</v>
      </c>
      <c r="Q153" s="419">
        <v>0</v>
      </c>
      <c r="R153" s="419">
        <v>0</v>
      </c>
      <c r="S153" s="419">
        <v>0</v>
      </c>
      <c r="T153" s="419">
        <v>0</v>
      </c>
      <c r="U153" s="419">
        <v>0</v>
      </c>
      <c r="V153" s="419">
        <v>0</v>
      </c>
      <c r="W153" s="419">
        <f t="shared" si="823"/>
        <v>79</v>
      </c>
      <c r="X153" s="419">
        <f t="shared" si="824"/>
        <v>78</v>
      </c>
      <c r="Y153" s="419">
        <f t="shared" si="825"/>
        <v>77</v>
      </c>
      <c r="Z153" s="419">
        <f t="shared" si="826"/>
        <v>76</v>
      </c>
      <c r="AA153" s="419">
        <f t="shared" si="827"/>
        <v>75</v>
      </c>
      <c r="AB153" s="419">
        <f t="shared" si="828"/>
        <v>75</v>
      </c>
      <c r="AC153" s="417">
        <f>VLOOKUP($J153,Fatores!$G$1:$J$5,2,FALSE)</f>
        <v>1.5531612828314754</v>
      </c>
      <c r="AD153" s="417">
        <f>VLOOKUP($C153,Fatores!$A:$D,2,FALSE)</f>
        <v>1</v>
      </c>
      <c r="AE153" s="420">
        <f t="shared" si="709"/>
        <v>122.69974134368655</v>
      </c>
      <c r="AF153" s="420">
        <f t="shared" si="710"/>
        <v>121.14658006085507</v>
      </c>
      <c r="AG153" s="420">
        <f t="shared" si="711"/>
        <v>119.5934187780236</v>
      </c>
      <c r="AH153" s="420">
        <f t="shared" si="712"/>
        <v>118.04025749519212</v>
      </c>
      <c r="AI153" s="420">
        <f t="shared" si="713"/>
        <v>116.48709621236065</v>
      </c>
      <c r="AJ153" s="420">
        <f t="shared" si="714"/>
        <v>116.48709621236065</v>
      </c>
      <c r="AK153" s="421">
        <f t="shared" si="829"/>
        <v>122.69974134368655</v>
      </c>
      <c r="AL153" s="421">
        <f t="shared" si="830"/>
        <v>121.14658006085507</v>
      </c>
      <c r="AM153" s="421">
        <f t="shared" si="831"/>
        <v>119.5934187780236</v>
      </c>
      <c r="AN153" s="421">
        <f t="shared" si="832"/>
        <v>118.04025749519212</v>
      </c>
      <c r="AO153" s="421">
        <f t="shared" si="833"/>
        <v>116.48709621236065</v>
      </c>
      <c r="AP153" s="421">
        <f t="shared" si="834"/>
        <v>116.48709621236065</v>
      </c>
      <c r="AQ153" s="417">
        <f>VLOOKUP($J153,Fatores!$G$1:$J$5,3,FALSE)</f>
        <v>1.3186317794730578</v>
      </c>
      <c r="AR153" s="417">
        <f>VLOOKUP($C153,Fatores!$A:$D,3,FALSE)</f>
        <v>1</v>
      </c>
      <c r="AS153" s="420">
        <f t="shared" si="716"/>
        <v>104.17191057837157</v>
      </c>
      <c r="AT153" s="420">
        <f t="shared" si="717"/>
        <v>102.8532787988985</v>
      </c>
      <c r="AU153" s="420">
        <f t="shared" si="718"/>
        <v>101.53464701942545</v>
      </c>
      <c r="AV153" s="420">
        <f t="shared" si="719"/>
        <v>100.21601523995238</v>
      </c>
      <c r="AW153" s="420">
        <f t="shared" si="720"/>
        <v>98.897383460479332</v>
      </c>
      <c r="AX153" s="420">
        <f t="shared" si="721"/>
        <v>98.897383460479332</v>
      </c>
      <c r="AY153" s="421">
        <f t="shared" si="835"/>
        <v>104.17191057837157</v>
      </c>
      <c r="AZ153" s="421">
        <f t="shared" si="836"/>
        <v>102.8532787988985</v>
      </c>
      <c r="BA153" s="421">
        <f t="shared" si="837"/>
        <v>101.53464701942545</v>
      </c>
      <c r="BB153" s="421">
        <f t="shared" si="838"/>
        <v>100.21601523995238</v>
      </c>
      <c r="BC153" s="421">
        <f t="shared" si="839"/>
        <v>98.897383460479332</v>
      </c>
      <c r="BD153" s="421">
        <f t="shared" si="840"/>
        <v>98.897383460479332</v>
      </c>
      <c r="BE153" s="417">
        <f>VLOOKUP($J153,Fatores!$G$1:$J$5,4,FALSE)</f>
        <v>1</v>
      </c>
      <c r="BF153" s="417">
        <f>VLOOKUP($C153,Fatores!$A:$D,4,FALSE)</f>
        <v>1</v>
      </c>
      <c r="BG153" s="420">
        <f t="shared" si="728"/>
        <v>79</v>
      </c>
      <c r="BH153" s="420">
        <f t="shared" si="729"/>
        <v>78</v>
      </c>
      <c r="BI153" s="420">
        <f t="shared" si="730"/>
        <v>77</v>
      </c>
      <c r="BJ153" s="420">
        <f t="shared" si="731"/>
        <v>76</v>
      </c>
      <c r="BK153" s="420">
        <f t="shared" si="732"/>
        <v>75</v>
      </c>
      <c r="BL153" s="420">
        <f t="shared" si="733"/>
        <v>75</v>
      </c>
      <c r="BM153" s="421">
        <f t="shared" si="841"/>
        <v>79</v>
      </c>
      <c r="BN153" s="421">
        <f t="shared" si="842"/>
        <v>78</v>
      </c>
      <c r="BO153" s="421">
        <f t="shared" si="843"/>
        <v>77</v>
      </c>
      <c r="BP153" s="421">
        <f t="shared" si="844"/>
        <v>76</v>
      </c>
      <c r="BQ153" s="421">
        <f t="shared" si="845"/>
        <v>75</v>
      </c>
      <c r="BR153" s="421">
        <f t="shared" si="846"/>
        <v>75</v>
      </c>
    </row>
    <row r="154" spans="1:70" x14ac:dyDescent="0.25">
      <c r="A154" s="431">
        <v>296</v>
      </c>
      <c r="B154" s="424"/>
      <c r="C154" s="424" t="s">
        <v>52</v>
      </c>
      <c r="D154" s="437" t="s">
        <v>575</v>
      </c>
      <c r="E154" s="431"/>
      <c r="F154" s="424"/>
      <c r="G154" s="424"/>
      <c r="H154" s="424"/>
      <c r="I154" s="432"/>
      <c r="J154" s="440">
        <v>1</v>
      </c>
      <c r="K154" s="419">
        <f>VLOOKUP($A154,Prevs!$C:$I,Ajustes!K$1,FALSE)</f>
        <v>36</v>
      </c>
      <c r="L154" s="419">
        <f>VLOOKUP($A154,Prevs!$C:$I,Ajustes!L$1,FALSE)</f>
        <v>36</v>
      </c>
      <c r="M154" s="419">
        <f>VLOOKUP($A154,Prevs!$C:$I,Ajustes!M$1,FALSE)</f>
        <v>35</v>
      </c>
      <c r="N154" s="419">
        <f>VLOOKUP($A154,Prevs!$C:$I,Ajustes!N$1,FALSE)</f>
        <v>35</v>
      </c>
      <c r="O154" s="419">
        <f>VLOOKUP($A154,Prevs!$C:$I,Ajustes!O$1,FALSE)</f>
        <v>35</v>
      </c>
      <c r="P154" s="419">
        <f>VLOOKUP($A154,Prevs!$C:$I,Ajustes!P$1,FALSE)</f>
        <v>34</v>
      </c>
      <c r="Q154" s="419">
        <v>0</v>
      </c>
      <c r="R154" s="419">
        <v>0</v>
      </c>
      <c r="S154" s="419">
        <v>0</v>
      </c>
      <c r="T154" s="419">
        <v>0</v>
      </c>
      <c r="U154" s="419">
        <v>0</v>
      </c>
      <c r="V154" s="419">
        <v>0</v>
      </c>
      <c r="W154" s="419">
        <f t="shared" si="823"/>
        <v>36</v>
      </c>
      <c r="X154" s="419">
        <f t="shared" si="824"/>
        <v>36</v>
      </c>
      <c r="Y154" s="419">
        <f t="shared" si="825"/>
        <v>35</v>
      </c>
      <c r="Z154" s="419">
        <f t="shared" si="826"/>
        <v>35</v>
      </c>
      <c r="AA154" s="419">
        <f t="shared" si="827"/>
        <v>35</v>
      </c>
      <c r="AB154" s="419">
        <f t="shared" si="828"/>
        <v>34</v>
      </c>
      <c r="AC154" s="417">
        <f>VLOOKUP($J154,Fatores!$G$1:$J$5,2,FALSE)</f>
        <v>1.5531612828314754</v>
      </c>
      <c r="AD154" s="417">
        <f>VLOOKUP($C154,Fatores!$A:$D,2,FALSE)</f>
        <v>1</v>
      </c>
      <c r="AE154" s="420">
        <f t="shared" si="709"/>
        <v>55.913806181933111</v>
      </c>
      <c r="AF154" s="420">
        <f t="shared" si="710"/>
        <v>55.913806181933111</v>
      </c>
      <c r="AG154" s="420">
        <f t="shared" si="711"/>
        <v>54.360644899101636</v>
      </c>
      <c r="AH154" s="420">
        <f t="shared" si="712"/>
        <v>54.360644899101636</v>
      </c>
      <c r="AI154" s="420">
        <f t="shared" si="713"/>
        <v>54.360644899101636</v>
      </c>
      <c r="AJ154" s="420">
        <f t="shared" si="714"/>
        <v>52.807483616270162</v>
      </c>
      <c r="AK154" s="421">
        <f t="shared" si="829"/>
        <v>55.913806181933111</v>
      </c>
      <c r="AL154" s="421">
        <f t="shared" si="830"/>
        <v>55.913806181933111</v>
      </c>
      <c r="AM154" s="421">
        <f t="shared" si="831"/>
        <v>54.360644899101636</v>
      </c>
      <c r="AN154" s="421">
        <f t="shared" si="832"/>
        <v>54.360644899101636</v>
      </c>
      <c r="AO154" s="421">
        <f t="shared" si="833"/>
        <v>54.360644899101636</v>
      </c>
      <c r="AP154" s="421">
        <f t="shared" si="834"/>
        <v>52.807483616270162</v>
      </c>
      <c r="AQ154" s="417">
        <f>VLOOKUP($J154,Fatores!$G$1:$J$5,3,FALSE)</f>
        <v>1.3186317794730578</v>
      </c>
      <c r="AR154" s="417">
        <f>VLOOKUP($C154,Fatores!$A:$D,3,FALSE)</f>
        <v>1</v>
      </c>
      <c r="AS154" s="420">
        <f t="shared" si="716"/>
        <v>47.470744061030082</v>
      </c>
      <c r="AT154" s="420">
        <f t="shared" si="717"/>
        <v>47.470744061030082</v>
      </c>
      <c r="AU154" s="420">
        <f t="shared" si="718"/>
        <v>46.152112281557024</v>
      </c>
      <c r="AV154" s="420">
        <f t="shared" si="719"/>
        <v>46.152112281557024</v>
      </c>
      <c r="AW154" s="420">
        <f t="shared" si="720"/>
        <v>46.152112281557024</v>
      </c>
      <c r="AX154" s="420">
        <f t="shared" si="721"/>
        <v>44.833480502083965</v>
      </c>
      <c r="AY154" s="421">
        <f t="shared" si="835"/>
        <v>47.470744061030082</v>
      </c>
      <c r="AZ154" s="421">
        <f t="shared" si="836"/>
        <v>47.470744061030082</v>
      </c>
      <c r="BA154" s="421">
        <f t="shared" si="837"/>
        <v>46.152112281557024</v>
      </c>
      <c r="BB154" s="421">
        <f t="shared" si="838"/>
        <v>46.152112281557024</v>
      </c>
      <c r="BC154" s="421">
        <f t="shared" si="839"/>
        <v>46.152112281557024</v>
      </c>
      <c r="BD154" s="421">
        <f t="shared" si="840"/>
        <v>44.833480502083965</v>
      </c>
      <c r="BE154" s="417">
        <f>VLOOKUP($J154,Fatores!$G$1:$J$5,4,FALSE)</f>
        <v>1</v>
      </c>
      <c r="BF154" s="417">
        <f>VLOOKUP($C154,Fatores!$A:$D,4,FALSE)</f>
        <v>1</v>
      </c>
      <c r="BG154" s="420">
        <f t="shared" si="728"/>
        <v>36</v>
      </c>
      <c r="BH154" s="420">
        <f t="shared" si="729"/>
        <v>36</v>
      </c>
      <c r="BI154" s="420">
        <f t="shared" si="730"/>
        <v>35</v>
      </c>
      <c r="BJ154" s="420">
        <f t="shared" si="731"/>
        <v>35</v>
      </c>
      <c r="BK154" s="420">
        <f t="shared" si="732"/>
        <v>35</v>
      </c>
      <c r="BL154" s="420">
        <f t="shared" si="733"/>
        <v>34</v>
      </c>
      <c r="BM154" s="421">
        <f t="shared" si="841"/>
        <v>36</v>
      </c>
      <c r="BN154" s="421">
        <f t="shared" si="842"/>
        <v>36</v>
      </c>
      <c r="BO154" s="421">
        <f t="shared" si="843"/>
        <v>35</v>
      </c>
      <c r="BP154" s="421">
        <f t="shared" si="844"/>
        <v>35</v>
      </c>
      <c r="BQ154" s="421">
        <f t="shared" si="845"/>
        <v>35</v>
      </c>
      <c r="BR154" s="421">
        <f t="shared" si="846"/>
        <v>34</v>
      </c>
    </row>
    <row r="155" spans="1:70" x14ac:dyDescent="0.25">
      <c r="A155" s="431">
        <v>297</v>
      </c>
      <c r="B155" s="424"/>
      <c r="C155" s="437" t="s">
        <v>424</v>
      </c>
      <c r="D155" s="437" t="s">
        <v>424</v>
      </c>
      <c r="E155" s="444">
        <v>280</v>
      </c>
      <c r="F155" s="424"/>
      <c r="G155" s="424"/>
      <c r="H155" s="424"/>
      <c r="I155" s="432"/>
      <c r="J155" s="440">
        <v>4</v>
      </c>
      <c r="K155" s="419">
        <f>VLOOKUP($A155,Prevs!$C:$I,Ajustes!K$1,FALSE)</f>
        <v>2034</v>
      </c>
      <c r="L155" s="419">
        <f>VLOOKUP($A155,Prevs!$C:$I,Ajustes!L$1,FALSE)</f>
        <v>2086</v>
      </c>
      <c r="M155" s="419">
        <f>VLOOKUP($A155,Prevs!$C:$I,Ajustes!M$1,FALSE)</f>
        <v>2056</v>
      </c>
      <c r="N155" s="419">
        <f>VLOOKUP($A155,Prevs!$C:$I,Ajustes!N$1,FALSE)</f>
        <v>1956</v>
      </c>
      <c r="O155" s="419">
        <f>VLOOKUP($A155,Prevs!$C:$I,Ajustes!O$1,FALSE)</f>
        <v>1918</v>
      </c>
      <c r="P155" s="419">
        <f>VLOOKUP($A155,Prevs!$C:$I,Ajustes!P$1,FALSE)</f>
        <v>1816</v>
      </c>
      <c r="Q155" s="419">
        <f>VLOOKUP($E155,Prevs!$C:$I,Ajustes!K$1,FALSE)</f>
        <v>2016</v>
      </c>
      <c r="R155" s="419">
        <f>VLOOKUP($E155,Prevs!$C:$I,Ajustes!L$1,FALSE)</f>
        <v>2072</v>
      </c>
      <c r="S155" s="419">
        <f>VLOOKUP($E155,Prevs!$C:$I,Ajustes!M$1,FALSE)</f>
        <v>2041</v>
      </c>
      <c r="T155" s="419">
        <f>VLOOKUP($E155,Prevs!$C:$I,Ajustes!N$1,FALSE)</f>
        <v>1942</v>
      </c>
      <c r="U155" s="419">
        <f>VLOOKUP($E155,Prevs!$C:$I,Ajustes!O$1,FALSE)</f>
        <v>1904</v>
      </c>
      <c r="V155" s="419">
        <f>VLOOKUP($E155,Prevs!$C:$I,Ajustes!P$1,FALSE)</f>
        <v>1793</v>
      </c>
      <c r="W155" s="419">
        <f t="shared" si="823"/>
        <v>18</v>
      </c>
      <c r="X155" s="419">
        <f t="shared" si="824"/>
        <v>14</v>
      </c>
      <c r="Y155" s="419">
        <f t="shared" si="825"/>
        <v>15</v>
      </c>
      <c r="Z155" s="419">
        <f t="shared" si="826"/>
        <v>14</v>
      </c>
      <c r="AA155" s="419">
        <f t="shared" si="827"/>
        <v>14</v>
      </c>
      <c r="AB155" s="419">
        <f t="shared" si="828"/>
        <v>23</v>
      </c>
      <c r="AC155" s="417">
        <f>VLOOKUP($J155,Fatores!$G$1:$J$5,2,FALSE)</f>
        <v>3.3533817708130722</v>
      </c>
      <c r="AD155" s="417">
        <f>VLOOKUP($C155,Fatores!$A:$D,2,FALSE)</f>
        <v>1</v>
      </c>
      <c r="AE155" s="420">
        <f t="shared" si="709"/>
        <v>60.360871874635301</v>
      </c>
      <c r="AF155" s="420">
        <f t="shared" si="710"/>
        <v>46.94734479138301</v>
      </c>
      <c r="AG155" s="420">
        <f t="shared" si="711"/>
        <v>50.300726562196083</v>
      </c>
      <c r="AH155" s="420">
        <f t="shared" si="712"/>
        <v>46.94734479138301</v>
      </c>
      <c r="AI155" s="420">
        <f t="shared" si="713"/>
        <v>46.94734479138301</v>
      </c>
      <c r="AJ155" s="420">
        <f t="shared" si="714"/>
        <v>77.127780728700657</v>
      </c>
      <c r="AK155" s="421">
        <f t="shared" ref="AK155:AP157" si="847">AE155+VLOOKUP($E155,$A:$BR,AK$1,FALSE)</f>
        <v>6820.7785218337895</v>
      </c>
      <c r="AL155" s="421">
        <f t="shared" si="847"/>
        <v>6995.1543739160688</v>
      </c>
      <c r="AM155" s="421">
        <f t="shared" si="847"/>
        <v>6894.552920791677</v>
      </c>
      <c r="AN155" s="421">
        <f t="shared" si="847"/>
        <v>6559.2147437103695</v>
      </c>
      <c r="AO155" s="421">
        <f t="shared" si="847"/>
        <v>6431.7862364194725</v>
      </c>
      <c r="AP155" s="421">
        <f t="shared" si="847"/>
        <v>6089.7412957965389</v>
      </c>
      <c r="AQ155" s="417">
        <f>VLOOKUP($J155,Fatores!$G$1:$J$5,3,FALSE)</f>
        <v>3.3988484923076037</v>
      </c>
      <c r="AR155" s="417">
        <f>VLOOKUP($C155,Fatores!$A:$D,3,FALSE)</f>
        <v>1</v>
      </c>
      <c r="AS155" s="420">
        <f t="shared" si="716"/>
        <v>61.179272861536866</v>
      </c>
      <c r="AT155" s="420">
        <f t="shared" si="717"/>
        <v>47.583878892306451</v>
      </c>
      <c r="AU155" s="420">
        <f t="shared" si="718"/>
        <v>50.982727384614051</v>
      </c>
      <c r="AV155" s="420">
        <f t="shared" si="719"/>
        <v>47.583878892306451</v>
      </c>
      <c r="AW155" s="420">
        <f t="shared" si="720"/>
        <v>47.583878892306451</v>
      </c>
      <c r="AX155" s="420">
        <f t="shared" si="721"/>
        <v>78.173515323074881</v>
      </c>
      <c r="AY155" s="421">
        <f t="shared" ref="AY155:BD157" si="848">AS155+VLOOKUP($E155,$A:$BR,AY$1,FALSE)</f>
        <v>6913.2578333536658</v>
      </c>
      <c r="AZ155" s="421">
        <f t="shared" si="848"/>
        <v>7089.9979549536611</v>
      </c>
      <c r="BA155" s="421">
        <f t="shared" si="848"/>
        <v>6988.032500184433</v>
      </c>
      <c r="BB155" s="421">
        <f t="shared" si="848"/>
        <v>6648.1476509536733</v>
      </c>
      <c r="BC155" s="421">
        <f t="shared" si="848"/>
        <v>6518.9914082459836</v>
      </c>
      <c r="BD155" s="421">
        <f t="shared" si="848"/>
        <v>6172.308862030608</v>
      </c>
      <c r="BE155" s="417">
        <f>VLOOKUP($J155,Fatores!$G$1:$J$5,4,FALSE)</f>
        <v>1</v>
      </c>
      <c r="BF155" s="417">
        <f>VLOOKUP($C155,Fatores!$A:$D,4,FALSE)</f>
        <v>1</v>
      </c>
      <c r="BG155" s="420">
        <f t="shared" si="728"/>
        <v>18</v>
      </c>
      <c r="BH155" s="420">
        <f t="shared" si="729"/>
        <v>14</v>
      </c>
      <c r="BI155" s="420">
        <f t="shared" si="730"/>
        <v>15</v>
      </c>
      <c r="BJ155" s="420">
        <f t="shared" si="731"/>
        <v>14</v>
      </c>
      <c r="BK155" s="420">
        <f t="shared" si="732"/>
        <v>14</v>
      </c>
      <c r="BL155" s="420">
        <f t="shared" si="733"/>
        <v>23</v>
      </c>
      <c r="BM155" s="421">
        <f t="shared" ref="BM155:BR157" si="849">BG155+VLOOKUP($E155,$A:$BR,BM$1,FALSE)</f>
        <v>2034</v>
      </c>
      <c r="BN155" s="421">
        <f t="shared" si="849"/>
        <v>2086</v>
      </c>
      <c r="BO155" s="421">
        <f t="shared" si="849"/>
        <v>2056</v>
      </c>
      <c r="BP155" s="421">
        <f t="shared" si="849"/>
        <v>1956</v>
      </c>
      <c r="BQ155" s="421">
        <f t="shared" si="849"/>
        <v>1918</v>
      </c>
      <c r="BR155" s="421">
        <f t="shared" si="849"/>
        <v>1816</v>
      </c>
    </row>
    <row r="156" spans="1:70" x14ac:dyDescent="0.25">
      <c r="A156" s="431">
        <v>301</v>
      </c>
      <c r="B156" s="424"/>
      <c r="C156" s="424" t="s">
        <v>30</v>
      </c>
      <c r="D156" s="437" t="s">
        <v>24</v>
      </c>
      <c r="E156" s="446">
        <v>118</v>
      </c>
      <c r="F156" s="424"/>
      <c r="G156" s="424"/>
      <c r="H156" s="424"/>
      <c r="I156" s="432"/>
      <c r="J156" s="440">
        <v>1</v>
      </c>
      <c r="K156" s="419">
        <f>VLOOKUP($A156,Prevs!$C:$I,Ajustes!K$1,FALSE)</f>
        <v>14</v>
      </c>
      <c r="L156" s="419">
        <f>VLOOKUP($A156,Prevs!$C:$I,Ajustes!L$1,FALSE)</f>
        <v>13</v>
      </c>
      <c r="M156" s="419">
        <f>VLOOKUP($A156,Prevs!$C:$I,Ajustes!M$1,FALSE)</f>
        <v>12</v>
      </c>
      <c r="N156" s="419">
        <f>VLOOKUP($A156,Prevs!$C:$I,Ajustes!N$1,FALSE)</f>
        <v>11</v>
      </c>
      <c r="O156" s="419">
        <f>VLOOKUP($A156,Prevs!$C:$I,Ajustes!O$1,FALSE)</f>
        <v>11</v>
      </c>
      <c r="P156" s="419">
        <f>VLOOKUP($A156,Prevs!$C:$I,Ajustes!P$1,FALSE)</f>
        <v>10</v>
      </c>
      <c r="Q156" s="419">
        <f>VLOOKUP($E156,Prevs!$C:$I,Ajustes!K$1,FALSE)</f>
        <v>14</v>
      </c>
      <c r="R156" s="419">
        <f>VLOOKUP($E156,Prevs!$C:$I,Ajustes!L$1,FALSE)</f>
        <v>13</v>
      </c>
      <c r="S156" s="419">
        <f>VLOOKUP($E156,Prevs!$C:$I,Ajustes!M$1,FALSE)</f>
        <v>12</v>
      </c>
      <c r="T156" s="419">
        <f>VLOOKUP($E156,Prevs!$C:$I,Ajustes!N$1,FALSE)</f>
        <v>11</v>
      </c>
      <c r="U156" s="419">
        <f>VLOOKUP($E156,Prevs!$C:$I,Ajustes!O$1,FALSE)</f>
        <v>11</v>
      </c>
      <c r="V156" s="419">
        <f>VLOOKUP($E156,Prevs!$C:$I,Ajustes!P$1,FALSE)</f>
        <v>10</v>
      </c>
      <c r="W156" s="419">
        <f t="shared" si="823"/>
        <v>0</v>
      </c>
      <c r="X156" s="419">
        <f t="shared" si="824"/>
        <v>0</v>
      </c>
      <c r="Y156" s="419">
        <f t="shared" si="825"/>
        <v>0</v>
      </c>
      <c r="Z156" s="419">
        <f t="shared" si="826"/>
        <v>0</v>
      </c>
      <c r="AA156" s="419">
        <f t="shared" si="827"/>
        <v>0</v>
      </c>
      <c r="AB156" s="419">
        <f t="shared" si="828"/>
        <v>0</v>
      </c>
      <c r="AC156" s="417">
        <f>VLOOKUP($J156,Fatores!$G$1:$J$5,2,FALSE)</f>
        <v>1.5531612828314754</v>
      </c>
      <c r="AD156" s="417">
        <f>VLOOKUP($C156,Fatores!$A:$D,2,FALSE)</f>
        <v>1</v>
      </c>
      <c r="AE156" s="420">
        <f t="shared" si="709"/>
        <v>0</v>
      </c>
      <c r="AF156" s="420">
        <f t="shared" si="710"/>
        <v>0</v>
      </c>
      <c r="AG156" s="420">
        <f t="shared" si="711"/>
        <v>0</v>
      </c>
      <c r="AH156" s="420">
        <f t="shared" si="712"/>
        <v>0</v>
      </c>
      <c r="AI156" s="420">
        <f t="shared" si="713"/>
        <v>0</v>
      </c>
      <c r="AJ156" s="420">
        <f t="shared" si="714"/>
        <v>0</v>
      </c>
      <c r="AK156" s="421">
        <f t="shared" si="847"/>
        <v>21.744257959640656</v>
      </c>
      <c r="AL156" s="421">
        <f t="shared" si="847"/>
        <v>20.191096676809181</v>
      </c>
      <c r="AM156" s="421">
        <f t="shared" si="847"/>
        <v>18.637935393977706</v>
      </c>
      <c r="AN156" s="421">
        <f t="shared" si="847"/>
        <v>17.084774111146231</v>
      </c>
      <c r="AO156" s="421">
        <f t="shared" si="847"/>
        <v>17.084774111146228</v>
      </c>
      <c r="AP156" s="421">
        <f t="shared" si="847"/>
        <v>15.531612828314753</v>
      </c>
      <c r="AQ156" s="417">
        <f>VLOOKUP($J156,Fatores!$G$1:$J$5,3,FALSE)</f>
        <v>1.3186317794730578</v>
      </c>
      <c r="AR156" s="417">
        <f>VLOOKUP($C156,Fatores!$A:$D,3,FALSE)</f>
        <v>1</v>
      </c>
      <c r="AS156" s="420">
        <f t="shared" si="716"/>
        <v>0</v>
      </c>
      <c r="AT156" s="420">
        <f t="shared" si="717"/>
        <v>0</v>
      </c>
      <c r="AU156" s="420">
        <f t="shared" si="718"/>
        <v>0</v>
      </c>
      <c r="AV156" s="420">
        <f t="shared" si="719"/>
        <v>0</v>
      </c>
      <c r="AW156" s="420">
        <f t="shared" si="720"/>
        <v>0</v>
      </c>
      <c r="AX156" s="420">
        <f t="shared" si="721"/>
        <v>0</v>
      </c>
      <c r="AY156" s="421">
        <f t="shared" si="848"/>
        <v>18.460844912622807</v>
      </c>
      <c r="AZ156" s="421">
        <f t="shared" si="848"/>
        <v>17.142213133149749</v>
      </c>
      <c r="BA156" s="421">
        <f t="shared" si="848"/>
        <v>15.823581353676694</v>
      </c>
      <c r="BB156" s="421">
        <f t="shared" si="848"/>
        <v>14.504949574203636</v>
      </c>
      <c r="BC156" s="421">
        <f t="shared" si="848"/>
        <v>14.504949574203636</v>
      </c>
      <c r="BD156" s="421">
        <f t="shared" si="848"/>
        <v>13.186317794730577</v>
      </c>
      <c r="BE156" s="417">
        <f>VLOOKUP($J156,Fatores!$G$1:$J$5,4,FALSE)</f>
        <v>1</v>
      </c>
      <c r="BF156" s="417">
        <f>VLOOKUP($C156,Fatores!$A:$D,4,FALSE)</f>
        <v>1</v>
      </c>
      <c r="BG156" s="420">
        <f t="shared" si="728"/>
        <v>0</v>
      </c>
      <c r="BH156" s="420">
        <f t="shared" si="729"/>
        <v>0</v>
      </c>
      <c r="BI156" s="420">
        <f t="shared" si="730"/>
        <v>0</v>
      </c>
      <c r="BJ156" s="420">
        <f t="shared" si="731"/>
        <v>0</v>
      </c>
      <c r="BK156" s="420">
        <f t="shared" si="732"/>
        <v>0</v>
      </c>
      <c r="BL156" s="420">
        <f t="shared" si="733"/>
        <v>0</v>
      </c>
      <c r="BM156" s="421">
        <f t="shared" si="849"/>
        <v>14</v>
      </c>
      <c r="BN156" s="421">
        <f t="shared" si="849"/>
        <v>13</v>
      </c>
      <c r="BO156" s="421">
        <f t="shared" si="849"/>
        <v>12</v>
      </c>
      <c r="BP156" s="421">
        <f t="shared" si="849"/>
        <v>11</v>
      </c>
      <c r="BQ156" s="421">
        <f t="shared" si="849"/>
        <v>11</v>
      </c>
      <c r="BR156" s="421">
        <f t="shared" si="849"/>
        <v>10</v>
      </c>
    </row>
    <row r="157" spans="1:70" ht="15.75" thickBot="1" x14ac:dyDescent="0.3">
      <c r="A157" s="433">
        <v>320</v>
      </c>
      <c r="B157" s="434"/>
      <c r="C157" s="434" t="s">
        <v>30</v>
      </c>
      <c r="D157" s="438" t="s">
        <v>482</v>
      </c>
      <c r="E157" s="447">
        <v>119</v>
      </c>
      <c r="F157" s="434"/>
      <c r="G157" s="434"/>
      <c r="H157" s="434"/>
      <c r="I157" s="435"/>
      <c r="J157" s="441">
        <v>1</v>
      </c>
      <c r="K157" s="419">
        <f>VLOOKUP($A157,Prevs!$C:$I,Ajustes!K$1,FALSE)</f>
        <v>16</v>
      </c>
      <c r="L157" s="419">
        <f>VLOOKUP($A157,Prevs!$C:$I,Ajustes!L$1,FALSE)</f>
        <v>16</v>
      </c>
      <c r="M157" s="419">
        <f>VLOOKUP($A157,Prevs!$C:$I,Ajustes!M$1,FALSE)</f>
        <v>14</v>
      </c>
      <c r="N157" s="419">
        <f>VLOOKUP($A157,Prevs!$C:$I,Ajustes!N$1,FALSE)</f>
        <v>13</v>
      </c>
      <c r="O157" s="419">
        <f>VLOOKUP($A157,Prevs!$C:$I,Ajustes!O$1,FALSE)</f>
        <v>13</v>
      </c>
      <c r="P157" s="419">
        <f>VLOOKUP($A157,Prevs!$C:$I,Ajustes!P$1,FALSE)</f>
        <v>12</v>
      </c>
      <c r="Q157" s="419">
        <f>VLOOKUP($E157,Prevs!$C:$I,Ajustes!K$1,FALSE)</f>
        <v>16</v>
      </c>
      <c r="R157" s="419">
        <f>VLOOKUP($E157,Prevs!$C:$I,Ajustes!L$1,FALSE)</f>
        <v>16</v>
      </c>
      <c r="S157" s="419">
        <f>VLOOKUP($E157,Prevs!$C:$I,Ajustes!M$1,FALSE)</f>
        <v>14</v>
      </c>
      <c r="T157" s="419">
        <f>VLOOKUP($E157,Prevs!$C:$I,Ajustes!N$1,FALSE)</f>
        <v>13</v>
      </c>
      <c r="U157" s="419">
        <f>VLOOKUP($E157,Prevs!$C:$I,Ajustes!O$1,FALSE)</f>
        <v>13</v>
      </c>
      <c r="V157" s="419">
        <f>VLOOKUP($E157,Prevs!$C:$I,Ajustes!P$1,FALSE)</f>
        <v>12</v>
      </c>
      <c r="W157" s="419">
        <f t="shared" si="823"/>
        <v>0</v>
      </c>
      <c r="X157" s="419">
        <f t="shared" si="824"/>
        <v>0</v>
      </c>
      <c r="Y157" s="419">
        <f t="shared" si="825"/>
        <v>0</v>
      </c>
      <c r="Z157" s="419">
        <f t="shared" si="826"/>
        <v>0</v>
      </c>
      <c r="AA157" s="419">
        <f t="shared" si="827"/>
        <v>0</v>
      </c>
      <c r="AB157" s="419">
        <f t="shared" si="828"/>
        <v>0</v>
      </c>
      <c r="AC157" s="417">
        <f>VLOOKUP($J157,Fatores!$G$1:$J$5,2,FALSE)</f>
        <v>1.5531612828314754</v>
      </c>
      <c r="AD157" s="417">
        <f>VLOOKUP($C157,Fatores!$A:$D,2,FALSE)</f>
        <v>1</v>
      </c>
      <c r="AE157" s="420">
        <f t="shared" si="709"/>
        <v>0</v>
      </c>
      <c r="AF157" s="420">
        <f t="shared" si="710"/>
        <v>0</v>
      </c>
      <c r="AG157" s="420">
        <f t="shared" si="711"/>
        <v>0</v>
      </c>
      <c r="AH157" s="420">
        <f t="shared" si="712"/>
        <v>0</v>
      </c>
      <c r="AI157" s="420">
        <f t="shared" si="713"/>
        <v>0</v>
      </c>
      <c r="AJ157" s="420">
        <f t="shared" si="714"/>
        <v>0</v>
      </c>
      <c r="AK157" s="421">
        <f t="shared" si="847"/>
        <v>24.850580525303606</v>
      </c>
      <c r="AL157" s="421">
        <f t="shared" si="847"/>
        <v>24.850580525303606</v>
      </c>
      <c r="AM157" s="421">
        <f t="shared" si="847"/>
        <v>21.744257959640656</v>
      </c>
      <c r="AN157" s="421">
        <f t="shared" si="847"/>
        <v>20.191096676809181</v>
      </c>
      <c r="AO157" s="421">
        <f t="shared" si="847"/>
        <v>20.191096676809181</v>
      </c>
      <c r="AP157" s="421">
        <f t="shared" si="847"/>
        <v>18.637935393977706</v>
      </c>
      <c r="AQ157" s="417">
        <f>VLOOKUP($J157,Fatores!$G$1:$J$5,3,FALSE)</f>
        <v>1.3186317794730578</v>
      </c>
      <c r="AR157" s="417">
        <f>VLOOKUP($C157,Fatores!$A:$D,3,FALSE)</f>
        <v>1</v>
      </c>
      <c r="AS157" s="420">
        <f t="shared" si="716"/>
        <v>0</v>
      </c>
      <c r="AT157" s="420">
        <f t="shared" si="717"/>
        <v>0</v>
      </c>
      <c r="AU157" s="420">
        <f t="shared" si="718"/>
        <v>0</v>
      </c>
      <c r="AV157" s="420">
        <f t="shared" si="719"/>
        <v>0</v>
      </c>
      <c r="AW157" s="420">
        <f t="shared" si="720"/>
        <v>0</v>
      </c>
      <c r="AX157" s="420">
        <f t="shared" si="721"/>
        <v>0</v>
      </c>
      <c r="AY157" s="421">
        <f t="shared" si="848"/>
        <v>21.098108471568924</v>
      </c>
      <c r="AZ157" s="421">
        <f t="shared" si="848"/>
        <v>21.098108471568924</v>
      </c>
      <c r="BA157" s="421">
        <f t="shared" si="848"/>
        <v>18.460844912622807</v>
      </c>
      <c r="BB157" s="421">
        <f t="shared" si="848"/>
        <v>17.142213133149752</v>
      </c>
      <c r="BC157" s="421">
        <f t="shared" si="848"/>
        <v>17.142213133149752</v>
      </c>
      <c r="BD157" s="421">
        <f t="shared" si="848"/>
        <v>15.823581353676694</v>
      </c>
      <c r="BE157" s="417">
        <f>VLOOKUP($J157,Fatores!$G$1:$J$5,4,FALSE)</f>
        <v>1</v>
      </c>
      <c r="BF157" s="417">
        <f>VLOOKUP($C157,Fatores!$A:$D,4,FALSE)</f>
        <v>1</v>
      </c>
      <c r="BG157" s="420">
        <f t="shared" si="728"/>
        <v>0</v>
      </c>
      <c r="BH157" s="420">
        <f t="shared" si="729"/>
        <v>0</v>
      </c>
      <c r="BI157" s="420">
        <f t="shared" si="730"/>
        <v>0</v>
      </c>
      <c r="BJ157" s="420">
        <f t="shared" si="731"/>
        <v>0</v>
      </c>
      <c r="BK157" s="420">
        <f t="shared" si="732"/>
        <v>0</v>
      </c>
      <c r="BL157" s="420">
        <f t="shared" si="733"/>
        <v>0</v>
      </c>
      <c r="BM157" s="421">
        <f t="shared" si="849"/>
        <v>16</v>
      </c>
      <c r="BN157" s="421">
        <f t="shared" si="849"/>
        <v>16</v>
      </c>
      <c r="BO157" s="421">
        <f t="shared" si="849"/>
        <v>14</v>
      </c>
      <c r="BP157" s="421">
        <f t="shared" si="849"/>
        <v>13</v>
      </c>
      <c r="BQ157" s="421">
        <f t="shared" si="849"/>
        <v>13</v>
      </c>
      <c r="BR157" s="421">
        <f t="shared" si="849"/>
        <v>12</v>
      </c>
    </row>
    <row r="158" spans="1:70" x14ac:dyDescent="0.25">
      <c r="B158" s="419"/>
      <c r="C158" s="419"/>
      <c r="D158" s="419"/>
      <c r="E158" s="419"/>
      <c r="F158" s="419"/>
      <c r="G158" s="419"/>
      <c r="H158" s="419"/>
      <c r="I158" s="419"/>
      <c r="J158" s="419"/>
    </row>
    <row r="159" spans="1:70" x14ac:dyDescent="0.25">
      <c r="B159" s="419"/>
      <c r="C159" s="419"/>
      <c r="D159" s="419"/>
      <c r="E159" s="419"/>
      <c r="F159" s="419"/>
      <c r="G159" s="419"/>
      <c r="H159" s="419"/>
      <c r="I159" s="419"/>
      <c r="J159" s="419"/>
    </row>
    <row r="160" spans="1:70" x14ac:dyDescent="0.25">
      <c r="B160" s="419"/>
      <c r="C160" s="419"/>
      <c r="D160" s="419"/>
      <c r="E160" s="419"/>
      <c r="F160" s="419"/>
      <c r="G160" s="419"/>
      <c r="H160" s="419"/>
      <c r="I160" s="419"/>
      <c r="J160" s="419"/>
    </row>
    <row r="161" spans="2:10" x14ac:dyDescent="0.25">
      <c r="B161" s="419"/>
      <c r="C161" s="419"/>
      <c r="D161" s="419"/>
      <c r="E161" s="419"/>
      <c r="F161" s="419"/>
      <c r="G161" s="419"/>
      <c r="H161" s="419"/>
      <c r="I161" s="419"/>
      <c r="J161" s="419"/>
    </row>
  </sheetData>
  <autoFilter ref="A2:AP157">
    <sortState ref="A3:AP157">
      <sortCondition ref="A2:A157"/>
    </sortState>
  </autoFilter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J30"/>
  <sheetViews>
    <sheetView workbookViewId="0"/>
  </sheetViews>
  <sheetFormatPr defaultRowHeight="15" x14ac:dyDescent="0.25"/>
  <cols>
    <col min="1" max="1" width="20.5703125" style="419" bestFit="1" customWidth="1"/>
    <col min="2" max="4" width="7.5703125" style="419" bestFit="1" customWidth="1"/>
    <col min="5" max="5" width="7.5703125" style="419" customWidth="1"/>
    <col min="6" max="7" width="9.140625" style="419"/>
    <col min="8" max="10" width="7.140625" style="419" bestFit="1" customWidth="1"/>
    <col min="11" max="14" width="9.140625" style="419"/>
    <col min="15" max="15" width="9.7109375" style="419" bestFit="1" customWidth="1"/>
    <col min="16" max="16384" width="9.140625" style="419"/>
  </cols>
  <sheetData>
    <row r="1" spans="1:10" x14ac:dyDescent="0.25">
      <c r="A1" s="419" t="s">
        <v>655</v>
      </c>
      <c r="B1" s="419" t="s">
        <v>656</v>
      </c>
      <c r="C1" s="419" t="s">
        <v>656</v>
      </c>
      <c r="D1" s="419" t="s">
        <v>656</v>
      </c>
      <c r="G1" s="419" t="s">
        <v>657</v>
      </c>
      <c r="H1" s="419" t="s">
        <v>656</v>
      </c>
      <c r="I1" s="419" t="s">
        <v>656</v>
      </c>
      <c r="J1" s="419" t="s">
        <v>656</v>
      </c>
    </row>
    <row r="2" spans="1:10" x14ac:dyDescent="0.25">
      <c r="A2" s="419" t="s">
        <v>22</v>
      </c>
      <c r="B2" s="422">
        <v>1</v>
      </c>
      <c r="C2" s="422">
        <v>1</v>
      </c>
      <c r="D2" s="422">
        <v>1</v>
      </c>
      <c r="E2" s="422"/>
      <c r="G2" s="419">
        <v>1</v>
      </c>
      <c r="H2" s="422">
        <v>1.5531612828314754</v>
      </c>
      <c r="I2" s="422">
        <v>1.3186317794730578</v>
      </c>
      <c r="J2" s="422">
        <v>1</v>
      </c>
    </row>
    <row r="3" spans="1:10" x14ac:dyDescent="0.25">
      <c r="A3" s="419" t="s">
        <v>23</v>
      </c>
      <c r="B3" s="422">
        <v>1</v>
      </c>
      <c r="C3" s="422">
        <v>1</v>
      </c>
      <c r="D3" s="422">
        <v>1</v>
      </c>
      <c r="E3" s="422"/>
      <c r="G3" s="419">
        <v>2</v>
      </c>
      <c r="H3" s="422">
        <v>0.80162406960829835</v>
      </c>
      <c r="I3" s="422">
        <v>0.80162406960829835</v>
      </c>
      <c r="J3" s="422">
        <v>1</v>
      </c>
    </row>
    <row r="4" spans="1:10" x14ac:dyDescent="0.25">
      <c r="A4" s="419" t="s">
        <v>30</v>
      </c>
      <c r="B4" s="422">
        <v>1</v>
      </c>
      <c r="C4" s="422">
        <v>1</v>
      </c>
      <c r="D4" s="422">
        <v>1</v>
      </c>
      <c r="E4" s="422"/>
      <c r="G4" s="419">
        <v>3</v>
      </c>
      <c r="H4" s="422">
        <v>1.864607586789548</v>
      </c>
      <c r="I4" s="422">
        <v>1.8891301835110699</v>
      </c>
      <c r="J4" s="422">
        <v>1</v>
      </c>
    </row>
    <row r="5" spans="1:10" x14ac:dyDescent="0.25">
      <c r="A5" s="419" t="s">
        <v>24</v>
      </c>
      <c r="B5" s="422">
        <v>1</v>
      </c>
      <c r="C5" s="422">
        <v>1</v>
      </c>
      <c r="D5" s="422">
        <v>1</v>
      </c>
      <c r="E5" s="422"/>
      <c r="G5" s="419">
        <v>4</v>
      </c>
      <c r="H5" s="422">
        <v>3.3533817708130722</v>
      </c>
      <c r="I5" s="422">
        <v>3.3988484923076037</v>
      </c>
      <c r="J5" s="422">
        <v>1</v>
      </c>
    </row>
    <row r="6" spans="1:10" x14ac:dyDescent="0.25">
      <c r="A6" s="419" t="s">
        <v>25</v>
      </c>
      <c r="B6" s="422">
        <v>1</v>
      </c>
      <c r="C6" s="422">
        <v>1</v>
      </c>
      <c r="D6" s="422">
        <v>1</v>
      </c>
      <c r="E6" s="422"/>
    </row>
    <row r="7" spans="1:10" x14ac:dyDescent="0.25">
      <c r="A7" s="419" t="s">
        <v>28</v>
      </c>
      <c r="B7" s="422">
        <v>1</v>
      </c>
      <c r="C7" s="422">
        <v>1</v>
      </c>
      <c r="D7" s="422">
        <v>1</v>
      </c>
      <c r="E7" s="422"/>
    </row>
    <row r="8" spans="1:10" x14ac:dyDescent="0.25">
      <c r="A8" s="419" t="s">
        <v>29</v>
      </c>
      <c r="B8" s="422">
        <v>1</v>
      </c>
      <c r="C8" s="422">
        <v>1</v>
      </c>
      <c r="D8" s="422">
        <v>1</v>
      </c>
      <c r="E8" s="422"/>
    </row>
    <row r="9" spans="1:10" x14ac:dyDescent="0.25">
      <c r="A9" s="419" t="s">
        <v>31</v>
      </c>
      <c r="B9" s="422">
        <v>1</v>
      </c>
      <c r="C9" s="422">
        <v>1</v>
      </c>
      <c r="D9" s="422">
        <v>1</v>
      </c>
      <c r="E9" s="422"/>
    </row>
    <row r="10" spans="1:10" x14ac:dyDescent="0.25">
      <c r="A10" s="419" t="s">
        <v>32</v>
      </c>
      <c r="B10" s="422">
        <v>1</v>
      </c>
      <c r="C10" s="422">
        <v>1</v>
      </c>
      <c r="D10" s="422">
        <v>1</v>
      </c>
      <c r="E10" s="422"/>
    </row>
    <row r="11" spans="1:10" x14ac:dyDescent="0.25">
      <c r="A11" s="419" t="s">
        <v>33</v>
      </c>
      <c r="B11" s="422">
        <v>1</v>
      </c>
      <c r="C11" s="422">
        <v>1</v>
      </c>
      <c r="D11" s="422">
        <v>1</v>
      </c>
      <c r="E11" s="422"/>
    </row>
    <row r="12" spans="1:10" x14ac:dyDescent="0.25">
      <c r="A12" s="419" t="s">
        <v>34</v>
      </c>
      <c r="B12" s="422">
        <v>1</v>
      </c>
      <c r="C12" s="422">
        <v>1</v>
      </c>
      <c r="D12" s="422">
        <v>1</v>
      </c>
      <c r="E12" s="422"/>
    </row>
    <row r="13" spans="1:10" x14ac:dyDescent="0.25">
      <c r="A13" s="419" t="s">
        <v>35</v>
      </c>
      <c r="B13" s="422">
        <v>1</v>
      </c>
      <c r="C13" s="422">
        <v>1</v>
      </c>
      <c r="D13" s="422">
        <v>1</v>
      </c>
      <c r="E13" s="422"/>
    </row>
    <row r="14" spans="1:10" x14ac:dyDescent="0.25">
      <c r="A14" s="419" t="s">
        <v>46</v>
      </c>
      <c r="B14" s="422">
        <v>1</v>
      </c>
      <c r="C14" s="422">
        <v>1</v>
      </c>
      <c r="D14" s="422">
        <v>1</v>
      </c>
      <c r="E14" s="422"/>
    </row>
    <row r="15" spans="1:10" x14ac:dyDescent="0.25">
      <c r="A15" s="419" t="s">
        <v>52</v>
      </c>
      <c r="B15" s="422">
        <v>1</v>
      </c>
      <c r="C15" s="422">
        <v>1</v>
      </c>
      <c r="D15" s="422">
        <v>1</v>
      </c>
      <c r="E15" s="422"/>
    </row>
    <row r="16" spans="1:10" x14ac:dyDescent="0.25">
      <c r="A16" s="419" t="s">
        <v>41</v>
      </c>
      <c r="B16" s="422">
        <v>1</v>
      </c>
      <c r="C16" s="422">
        <v>1</v>
      </c>
      <c r="D16" s="422">
        <v>1</v>
      </c>
      <c r="E16" s="422"/>
    </row>
    <row r="17" spans="1:5" x14ac:dyDescent="0.25">
      <c r="A17" s="419" t="s">
        <v>49</v>
      </c>
      <c r="B17" s="422">
        <v>1</v>
      </c>
      <c r="C17" s="422">
        <v>1</v>
      </c>
      <c r="D17" s="422">
        <v>1</v>
      </c>
      <c r="E17" s="422"/>
    </row>
    <row r="18" spans="1:5" x14ac:dyDescent="0.25">
      <c r="A18" s="419" t="s">
        <v>36</v>
      </c>
      <c r="B18" s="422">
        <v>1</v>
      </c>
      <c r="C18" s="422">
        <v>1</v>
      </c>
      <c r="D18" s="422">
        <v>1</v>
      </c>
      <c r="E18" s="422"/>
    </row>
    <row r="19" spans="1:5" x14ac:dyDescent="0.25">
      <c r="A19" s="419" t="s">
        <v>37</v>
      </c>
      <c r="B19" s="422">
        <v>1</v>
      </c>
      <c r="C19" s="422">
        <v>1</v>
      </c>
      <c r="D19" s="422">
        <v>1</v>
      </c>
      <c r="E19" s="422"/>
    </row>
    <row r="20" spans="1:5" x14ac:dyDescent="0.25">
      <c r="A20" s="419" t="s">
        <v>38</v>
      </c>
      <c r="B20" s="422">
        <v>1</v>
      </c>
      <c r="C20" s="422">
        <v>1</v>
      </c>
      <c r="D20" s="422">
        <v>1</v>
      </c>
      <c r="E20" s="422"/>
    </row>
    <row r="21" spans="1:5" x14ac:dyDescent="0.25">
      <c r="A21" s="419" t="s">
        <v>39</v>
      </c>
      <c r="B21" s="422">
        <v>1</v>
      </c>
      <c r="C21" s="422">
        <v>1</v>
      </c>
      <c r="D21" s="422">
        <v>1</v>
      </c>
      <c r="E21" s="422"/>
    </row>
    <row r="22" spans="1:5" x14ac:dyDescent="0.25">
      <c r="A22" s="419" t="s">
        <v>40</v>
      </c>
      <c r="B22" s="422">
        <v>1</v>
      </c>
      <c r="C22" s="422">
        <v>1</v>
      </c>
      <c r="D22" s="422">
        <v>1</v>
      </c>
      <c r="E22" s="422"/>
    </row>
    <row r="23" spans="1:5" x14ac:dyDescent="0.25">
      <c r="A23" s="419" t="s">
        <v>26</v>
      </c>
      <c r="B23" s="422">
        <v>1</v>
      </c>
      <c r="C23" s="422">
        <v>1</v>
      </c>
      <c r="D23" s="422">
        <v>1</v>
      </c>
      <c r="E23" s="422"/>
    </row>
    <row r="24" spans="1:5" x14ac:dyDescent="0.25">
      <c r="A24" s="419" t="s">
        <v>42</v>
      </c>
      <c r="B24" s="422">
        <v>1</v>
      </c>
      <c r="C24" s="422">
        <v>1</v>
      </c>
      <c r="D24" s="422">
        <v>1</v>
      </c>
      <c r="E24" s="422"/>
    </row>
    <row r="25" spans="1:5" x14ac:dyDescent="0.25">
      <c r="A25" s="419" t="s">
        <v>47</v>
      </c>
      <c r="B25" s="422">
        <v>1</v>
      </c>
      <c r="C25" s="422">
        <v>1</v>
      </c>
      <c r="D25" s="422">
        <v>1</v>
      </c>
      <c r="E25" s="422"/>
    </row>
    <row r="26" spans="1:5" x14ac:dyDescent="0.25">
      <c r="A26" s="419" t="s">
        <v>44</v>
      </c>
      <c r="B26" s="422">
        <v>1</v>
      </c>
      <c r="C26" s="422">
        <v>1</v>
      </c>
      <c r="D26" s="422">
        <v>1</v>
      </c>
      <c r="E26" s="422"/>
    </row>
    <row r="27" spans="1:5" x14ac:dyDescent="0.25">
      <c r="A27" s="419" t="s">
        <v>45</v>
      </c>
      <c r="B27" s="422">
        <v>1</v>
      </c>
      <c r="C27" s="422">
        <v>1</v>
      </c>
      <c r="D27" s="422">
        <v>1</v>
      </c>
      <c r="E27" s="422"/>
    </row>
    <row r="28" spans="1:5" x14ac:dyDescent="0.25">
      <c r="A28" s="419" t="s">
        <v>50</v>
      </c>
      <c r="B28" s="422">
        <v>1</v>
      </c>
      <c r="C28" s="422">
        <v>1</v>
      </c>
      <c r="D28" s="422">
        <v>1</v>
      </c>
      <c r="E28" s="422"/>
    </row>
    <row r="29" spans="1:5" x14ac:dyDescent="0.25">
      <c r="A29" s="419" t="s">
        <v>53</v>
      </c>
      <c r="B29" s="422">
        <v>1</v>
      </c>
      <c r="C29" s="422">
        <v>1</v>
      </c>
      <c r="D29" s="422">
        <v>1</v>
      </c>
      <c r="E29" s="422"/>
    </row>
    <row r="30" spans="1:5" x14ac:dyDescent="0.25">
      <c r="A30" s="419" t="s">
        <v>424</v>
      </c>
      <c r="B30" s="422">
        <v>1</v>
      </c>
      <c r="C30" s="422">
        <v>1</v>
      </c>
      <c r="D30" s="422">
        <v>1</v>
      </c>
      <c r="E30" s="4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3</vt:i4>
      </vt:variant>
    </vt:vector>
  </HeadingPairs>
  <TitlesOfParts>
    <vt:vector size="23" baseType="lpstr">
      <vt:lpstr>Resumo</vt:lpstr>
      <vt:lpstr>Entrada</vt:lpstr>
      <vt:lpstr>Saida</vt:lpstr>
      <vt:lpstr>Prevs</vt:lpstr>
      <vt:lpstr>Prevs_MLT</vt:lpstr>
      <vt:lpstr>MemSudeste</vt:lpstr>
      <vt:lpstr>MemSul</vt:lpstr>
      <vt:lpstr>MemNordeste</vt:lpstr>
      <vt:lpstr>MemNorte</vt:lpstr>
      <vt:lpstr>Plan1</vt:lpstr>
      <vt:lpstr>ENA_ACOPLAMENTO</vt:lpstr>
      <vt:lpstr>Plan2</vt:lpstr>
      <vt:lpstr>Auxiliar</vt:lpstr>
      <vt:lpstr>aux</vt:lpstr>
      <vt:lpstr>Plan6</vt:lpstr>
      <vt:lpstr>Usinas</vt:lpstr>
      <vt:lpstr>Postos</vt:lpstr>
      <vt:lpstr>Bacias</vt:lpstr>
      <vt:lpstr>Ajustes</vt:lpstr>
      <vt:lpstr>Fatores</vt:lpstr>
      <vt:lpstr>Prevs_MLT!_inicioPrevsBase</vt:lpstr>
      <vt:lpstr>_inicioPrevsBase</vt:lpstr>
      <vt:lpstr>_REV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Wendel Ferreira Loschi</dc:creator>
  <cp:lastModifiedBy>Douglas Canducci</cp:lastModifiedBy>
  <dcterms:created xsi:type="dcterms:W3CDTF">2014-10-30T17:06:01Z</dcterms:created>
  <dcterms:modified xsi:type="dcterms:W3CDTF">2015-05-26T16:25:32Z</dcterms:modified>
</cp:coreProperties>
</file>