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workbookProtection lockStructure="1"/>
  <bookViews>
    <workbookView xWindow="0" yWindow="0" windowWidth="24000" windowHeight="10320"/>
  </bookViews>
  <sheets>
    <sheet name="base" sheetId="2" r:id="rId1"/>
    <sheet name="seco" sheetId="8" r:id="rId2"/>
    <sheet name="umido" sheetId="9" r:id="rId3"/>
    <sheet name="ENA" sheetId="11" r:id="rId4"/>
    <sheet name="EARM" sheetId="12" r:id="rId5"/>
    <sheet name="Apoio" sheetId="3" r:id="rId6"/>
    <sheet name="xml" sheetId="4" r:id="rId7"/>
    <sheet name="consulta.nwd" sheetId="14" r:id="rId8"/>
  </sheets>
  <functionGroups builtInGroupCount="17"/>
  <calcPr calcId="145621"/>
</workbook>
</file>

<file path=xl/calcChain.xml><?xml version="1.0" encoding="utf-8"?>
<calcChain xmlns="http://schemas.openxmlformats.org/spreadsheetml/2006/main">
  <c r="C64" i="9" l="1"/>
  <c r="B64" i="9"/>
  <c r="C63" i="9"/>
  <c r="B63" i="9"/>
  <c r="B63" i="8"/>
  <c r="C63" i="8"/>
  <c r="B64" i="8"/>
  <c r="C64" i="8"/>
  <c r="C24" i="9" l="1"/>
  <c r="C24" i="8"/>
  <c r="C24" i="2"/>
  <c r="A19" i="4" l="1"/>
  <c r="A16" i="4"/>
  <c r="A13" i="4"/>
  <c r="AE403" i="9" l="1"/>
  <c r="AE402" i="9"/>
  <c r="AE401" i="9"/>
  <c r="AE400" i="9"/>
  <c r="AE399" i="9"/>
  <c r="AE398" i="9"/>
  <c r="AE397" i="9"/>
  <c r="AE396" i="9"/>
  <c r="AE395" i="9"/>
  <c r="AE394" i="9"/>
  <c r="AE393" i="9"/>
  <c r="AE392" i="9"/>
  <c r="AE391" i="9"/>
  <c r="AE390" i="9"/>
  <c r="AE389" i="9"/>
  <c r="AE388" i="9"/>
  <c r="AE387" i="9"/>
  <c r="AE386" i="9"/>
  <c r="AE385" i="9"/>
  <c r="AE384" i="9"/>
  <c r="AE383" i="9"/>
  <c r="AE382" i="9"/>
  <c r="AE381" i="9"/>
  <c r="AE380" i="9"/>
  <c r="AE379" i="9"/>
  <c r="AE378" i="9"/>
  <c r="AE377" i="9"/>
  <c r="AE376" i="9"/>
  <c r="AE375" i="9"/>
  <c r="AE374" i="9"/>
  <c r="AE373" i="9"/>
  <c r="AE372" i="9"/>
  <c r="AE371" i="9"/>
  <c r="AE370" i="9"/>
  <c r="AE369" i="9"/>
  <c r="AE368" i="9"/>
  <c r="AE367" i="9"/>
  <c r="AE366" i="9"/>
  <c r="AE365" i="9"/>
  <c r="AE364" i="9"/>
  <c r="AE363" i="9"/>
  <c r="AE362" i="9"/>
  <c r="AE361" i="9"/>
  <c r="AE360" i="9"/>
  <c r="AE359" i="9"/>
  <c r="AE358" i="9"/>
  <c r="AE357" i="9"/>
  <c r="AE356" i="9"/>
  <c r="AE355" i="9"/>
  <c r="AE354" i="9"/>
  <c r="AE353" i="9"/>
  <c r="AE352" i="9"/>
  <c r="AE351" i="9"/>
  <c r="AE350" i="9"/>
  <c r="AE349" i="9"/>
  <c r="AE348" i="9"/>
  <c r="AE347" i="9"/>
  <c r="AE346" i="9"/>
  <c r="AE345" i="9"/>
  <c r="AE344" i="9"/>
  <c r="AE343" i="9"/>
  <c r="AE342" i="9"/>
  <c r="AE341" i="9"/>
  <c r="AE340" i="9"/>
  <c r="AE339" i="9"/>
  <c r="AE338" i="9"/>
  <c r="AE337" i="9"/>
  <c r="AE336" i="9"/>
  <c r="AE335" i="9"/>
  <c r="AE334" i="9"/>
  <c r="AE333" i="9"/>
  <c r="AE332" i="9"/>
  <c r="AE331" i="9"/>
  <c r="AE330" i="9"/>
  <c r="AE329" i="9"/>
  <c r="AE328" i="9"/>
  <c r="AE327" i="9"/>
  <c r="AE326" i="9"/>
  <c r="AE325" i="9"/>
  <c r="AE324" i="9"/>
  <c r="AE323" i="9"/>
  <c r="AE322" i="9"/>
  <c r="AE321" i="9"/>
  <c r="AE320" i="9"/>
  <c r="AE319" i="9"/>
  <c r="AE318" i="9"/>
  <c r="AE317" i="9"/>
  <c r="AE316" i="9"/>
  <c r="AE315" i="9"/>
  <c r="AE314" i="9"/>
  <c r="AE313" i="9"/>
  <c r="AE312" i="9"/>
  <c r="AE311" i="9"/>
  <c r="AE310" i="9"/>
  <c r="AE309" i="9"/>
  <c r="AE308" i="9"/>
  <c r="AE307" i="9"/>
  <c r="AE306" i="9"/>
  <c r="AE305" i="9"/>
  <c r="AE304" i="9"/>
  <c r="AE303" i="9"/>
  <c r="AE302" i="9"/>
  <c r="AE301" i="9"/>
  <c r="AE300" i="9"/>
  <c r="AE299" i="9"/>
  <c r="AE298" i="9"/>
  <c r="AE297" i="9"/>
  <c r="AE296" i="9"/>
  <c r="AE295" i="9"/>
  <c r="AE294" i="9"/>
  <c r="AE293" i="9"/>
  <c r="AE292" i="9"/>
  <c r="AE291" i="9"/>
  <c r="AE290" i="9"/>
  <c r="AE289" i="9"/>
  <c r="AE288" i="9"/>
  <c r="AE287" i="9"/>
  <c r="AE286" i="9"/>
  <c r="AE285" i="9"/>
  <c r="AE284" i="9"/>
  <c r="AE283" i="9"/>
  <c r="AE282" i="9"/>
  <c r="AE281" i="9"/>
  <c r="AE280" i="9"/>
  <c r="AE279" i="9"/>
  <c r="AE278" i="9"/>
  <c r="AE277" i="9"/>
  <c r="AE276" i="9"/>
  <c r="AE275" i="9"/>
  <c r="AE274" i="9"/>
  <c r="AE273" i="9"/>
  <c r="AE272" i="9"/>
  <c r="AE271" i="9"/>
  <c r="AE270" i="9"/>
  <c r="AE269" i="9"/>
  <c r="AE268" i="9"/>
  <c r="AE267" i="9"/>
  <c r="AE266" i="9"/>
  <c r="AE265" i="9"/>
  <c r="AE264" i="9"/>
  <c r="AE263" i="9"/>
  <c r="AE262" i="9"/>
  <c r="AE261" i="9"/>
  <c r="AE260" i="9"/>
  <c r="AE259" i="9"/>
  <c r="AE258" i="9"/>
  <c r="AE257" i="9"/>
  <c r="AE256" i="9"/>
  <c r="AE255" i="9"/>
  <c r="AE254" i="9"/>
  <c r="AE253" i="9"/>
  <c r="AE252" i="9"/>
  <c r="AE251" i="9"/>
  <c r="AE250" i="9"/>
  <c r="AE249" i="9"/>
  <c r="AE248" i="9"/>
  <c r="AE247" i="9"/>
  <c r="AE246" i="9"/>
  <c r="AE245" i="9"/>
  <c r="AE244" i="9"/>
  <c r="AE243" i="9"/>
  <c r="AE242" i="9"/>
  <c r="AE241" i="9"/>
  <c r="AE240" i="9"/>
  <c r="AE239" i="9"/>
  <c r="AE238" i="9"/>
  <c r="AE237" i="9"/>
  <c r="AE236" i="9"/>
  <c r="AE235" i="9"/>
  <c r="AE234" i="9"/>
  <c r="AE233" i="9"/>
  <c r="AE232" i="9"/>
  <c r="AE231" i="9"/>
  <c r="AE230" i="9"/>
  <c r="AE229" i="9"/>
  <c r="AE228" i="9"/>
  <c r="AE227" i="9"/>
  <c r="AE226" i="9"/>
  <c r="AE225" i="9"/>
  <c r="AE224" i="9"/>
  <c r="AE223" i="9"/>
  <c r="AE222" i="9"/>
  <c r="AE221" i="9"/>
  <c r="AE220" i="9"/>
  <c r="AE219" i="9"/>
  <c r="AE218" i="9"/>
  <c r="AE217" i="9"/>
  <c r="AE216" i="9"/>
  <c r="AE215" i="9"/>
  <c r="AE214" i="9"/>
  <c r="AE213" i="9"/>
  <c r="AE212" i="9"/>
  <c r="AE211" i="9"/>
  <c r="AE210" i="9"/>
  <c r="AE209" i="9"/>
  <c r="AE208" i="9"/>
  <c r="AE207" i="9"/>
  <c r="AE206" i="9"/>
  <c r="AE205" i="9"/>
  <c r="AE204" i="9"/>
  <c r="AE203" i="9"/>
  <c r="AE202" i="9"/>
  <c r="AE201" i="9"/>
  <c r="AE200" i="9"/>
  <c r="AE199" i="9"/>
  <c r="AE198" i="9"/>
  <c r="AE197" i="9"/>
  <c r="AE196" i="9"/>
  <c r="AE195" i="9"/>
  <c r="AE194" i="9"/>
  <c r="AE193" i="9"/>
  <c r="AE192" i="9"/>
  <c r="AE191" i="9"/>
  <c r="AE190" i="9"/>
  <c r="AE189" i="9"/>
  <c r="AE188" i="9"/>
  <c r="AE187" i="9"/>
  <c r="AE186" i="9"/>
  <c r="AE185" i="9"/>
  <c r="AE184" i="9"/>
  <c r="AE183" i="9"/>
  <c r="AE182" i="9"/>
  <c r="AE181" i="9"/>
  <c r="AE180" i="9"/>
  <c r="AE179" i="9"/>
  <c r="AE178" i="9"/>
  <c r="AE177" i="9"/>
  <c r="AE176" i="9"/>
  <c r="AE175" i="9"/>
  <c r="AE174" i="9"/>
  <c r="AE173" i="9"/>
  <c r="AE172" i="9"/>
  <c r="AE171" i="9"/>
  <c r="AE170" i="9"/>
  <c r="AE169" i="9"/>
  <c r="AE168" i="9"/>
  <c r="AE167" i="9"/>
  <c r="AE166" i="9"/>
  <c r="AE165" i="9"/>
  <c r="AE164" i="9"/>
  <c r="AE163" i="9"/>
  <c r="AE162" i="9"/>
  <c r="AE161" i="9"/>
  <c r="AE160" i="9"/>
  <c r="AE159" i="9"/>
  <c r="AE158" i="9"/>
  <c r="AE157" i="9"/>
  <c r="AE156" i="9"/>
  <c r="AE155" i="9"/>
  <c r="AE154" i="9"/>
  <c r="AE153" i="9"/>
  <c r="AE152" i="9"/>
  <c r="AE151" i="9"/>
  <c r="AE150" i="9"/>
  <c r="AE149" i="9"/>
  <c r="AE148" i="9"/>
  <c r="AE147" i="9"/>
  <c r="AE146" i="9"/>
  <c r="AE145" i="9"/>
  <c r="AE144" i="9"/>
  <c r="AE143" i="9"/>
  <c r="AE142" i="9"/>
  <c r="AE141" i="9"/>
  <c r="AE140" i="9"/>
  <c r="AE139" i="9"/>
  <c r="AE138" i="9"/>
  <c r="AE137" i="9"/>
  <c r="AE136" i="9"/>
  <c r="AE135" i="9"/>
  <c r="AE134" i="9"/>
  <c r="AE133" i="9"/>
  <c r="AE132" i="9"/>
  <c r="AE131" i="9"/>
  <c r="AE130" i="9"/>
  <c r="AE129" i="9"/>
  <c r="AE128" i="9"/>
  <c r="AE127" i="9"/>
  <c r="AE126" i="9"/>
  <c r="AE125" i="9"/>
  <c r="AE124" i="9"/>
  <c r="AE123" i="9"/>
  <c r="AE122" i="9"/>
  <c r="AE121" i="9"/>
  <c r="AE120" i="9"/>
  <c r="AE119" i="9"/>
  <c r="AE118" i="9"/>
  <c r="AE117" i="9"/>
  <c r="AE116" i="9"/>
  <c r="AE115" i="9"/>
  <c r="AE114" i="9"/>
  <c r="AE113" i="9"/>
  <c r="AE112" i="9"/>
  <c r="AE111" i="9"/>
  <c r="AE110" i="9"/>
  <c r="AE109" i="9"/>
  <c r="AE108" i="9"/>
  <c r="AE107" i="9"/>
  <c r="AE106" i="9"/>
  <c r="AE105" i="9"/>
  <c r="AE104" i="9"/>
  <c r="AE103" i="9"/>
  <c r="AE102" i="9"/>
  <c r="AE101" i="9"/>
  <c r="AE100" i="9"/>
  <c r="AE99" i="9"/>
  <c r="AE98" i="9"/>
  <c r="AE97" i="9"/>
  <c r="AE96" i="9"/>
  <c r="AE95" i="9"/>
  <c r="AE94" i="9"/>
  <c r="AE93" i="9"/>
  <c r="AE92" i="9"/>
  <c r="AE91" i="9"/>
  <c r="AE90" i="9"/>
  <c r="AE89" i="9"/>
  <c r="AE88" i="9"/>
  <c r="AE87" i="9"/>
  <c r="AE86" i="9"/>
  <c r="AE85" i="9"/>
  <c r="AE84" i="9"/>
  <c r="AE403" i="8"/>
  <c r="AE402" i="8"/>
  <c r="AE401" i="8"/>
  <c r="AE400" i="8"/>
  <c r="AE399" i="8"/>
  <c r="AE398" i="8"/>
  <c r="AE397" i="8"/>
  <c r="AE396" i="8"/>
  <c r="AE395" i="8"/>
  <c r="AE394" i="8"/>
  <c r="AE393" i="8"/>
  <c r="AE392" i="8"/>
  <c r="AE391" i="8"/>
  <c r="AE390" i="8"/>
  <c r="AE389" i="8"/>
  <c r="AE388" i="8"/>
  <c r="AE387" i="8"/>
  <c r="AE386" i="8"/>
  <c r="AE385" i="8"/>
  <c r="AE384" i="8"/>
  <c r="AE383" i="8"/>
  <c r="AE382" i="8"/>
  <c r="AE381" i="8"/>
  <c r="AE380" i="8"/>
  <c r="AE379" i="8"/>
  <c r="AE378" i="8"/>
  <c r="AE377" i="8"/>
  <c r="AE376" i="8"/>
  <c r="AE375" i="8"/>
  <c r="AE374" i="8"/>
  <c r="AE373" i="8"/>
  <c r="AE372" i="8"/>
  <c r="AE371" i="8"/>
  <c r="AE370" i="8"/>
  <c r="AE369" i="8"/>
  <c r="AE368" i="8"/>
  <c r="AE367" i="8"/>
  <c r="AE366" i="8"/>
  <c r="AE365" i="8"/>
  <c r="AE364" i="8"/>
  <c r="AE363" i="8"/>
  <c r="AE362" i="8"/>
  <c r="AE361" i="8"/>
  <c r="AE360" i="8"/>
  <c r="AE359" i="8"/>
  <c r="AE358" i="8"/>
  <c r="AE357" i="8"/>
  <c r="AE356" i="8"/>
  <c r="AE355" i="8"/>
  <c r="AE354" i="8"/>
  <c r="AE353" i="8"/>
  <c r="AE352" i="8"/>
  <c r="AE351" i="8"/>
  <c r="AE350" i="8"/>
  <c r="AE349" i="8"/>
  <c r="AE348" i="8"/>
  <c r="AE347" i="8"/>
  <c r="AE346" i="8"/>
  <c r="AE345" i="8"/>
  <c r="AE344" i="8"/>
  <c r="AE343" i="8"/>
  <c r="AE342" i="8"/>
  <c r="AE341" i="8"/>
  <c r="AE340" i="8"/>
  <c r="AE339" i="8"/>
  <c r="AE338" i="8"/>
  <c r="AE337" i="8"/>
  <c r="AE336" i="8"/>
  <c r="AE335" i="8"/>
  <c r="AE334" i="8"/>
  <c r="AE333" i="8"/>
  <c r="AE332" i="8"/>
  <c r="AE331" i="8"/>
  <c r="AE330" i="8"/>
  <c r="AE329" i="8"/>
  <c r="AE328" i="8"/>
  <c r="AE327" i="8"/>
  <c r="AE326" i="8"/>
  <c r="AE325" i="8"/>
  <c r="AE324" i="8"/>
  <c r="AE323" i="8"/>
  <c r="AE322" i="8"/>
  <c r="AE321" i="8"/>
  <c r="AE320" i="8"/>
  <c r="AE319" i="8"/>
  <c r="AE318" i="8"/>
  <c r="AE317" i="8"/>
  <c r="AE316" i="8"/>
  <c r="AE315" i="8"/>
  <c r="AE314" i="8"/>
  <c r="AE313" i="8"/>
  <c r="AE312" i="8"/>
  <c r="AE311" i="8"/>
  <c r="AE310" i="8"/>
  <c r="AE309" i="8"/>
  <c r="AE308" i="8"/>
  <c r="AE307" i="8"/>
  <c r="AE306" i="8"/>
  <c r="AE305" i="8"/>
  <c r="AE304" i="8"/>
  <c r="AE303" i="8"/>
  <c r="AE302" i="8"/>
  <c r="AE301" i="8"/>
  <c r="AE300" i="8"/>
  <c r="AE299" i="8"/>
  <c r="AE298" i="8"/>
  <c r="AE297" i="8"/>
  <c r="AE296" i="8"/>
  <c r="AE295" i="8"/>
  <c r="AE294" i="8"/>
  <c r="AE293" i="8"/>
  <c r="AE292" i="8"/>
  <c r="AE291" i="8"/>
  <c r="AE290" i="8"/>
  <c r="AE289" i="8"/>
  <c r="AE288" i="8"/>
  <c r="AE287" i="8"/>
  <c r="AE286" i="8"/>
  <c r="AE285" i="8"/>
  <c r="AE284" i="8"/>
  <c r="AE283" i="8"/>
  <c r="AE282" i="8"/>
  <c r="AE281" i="8"/>
  <c r="AE280" i="8"/>
  <c r="AE279" i="8"/>
  <c r="AE278" i="8"/>
  <c r="AE277" i="8"/>
  <c r="AE276" i="8"/>
  <c r="AE275" i="8"/>
  <c r="AE274" i="8"/>
  <c r="AE273" i="8"/>
  <c r="AE272" i="8"/>
  <c r="AE271" i="8"/>
  <c r="AE270" i="8"/>
  <c r="AE269" i="8"/>
  <c r="AE268" i="8"/>
  <c r="AE267" i="8"/>
  <c r="AE266" i="8"/>
  <c r="AE265" i="8"/>
  <c r="AE264" i="8"/>
  <c r="AE263" i="8"/>
  <c r="AE262" i="8"/>
  <c r="AE261" i="8"/>
  <c r="AE260" i="8"/>
  <c r="AE259" i="8"/>
  <c r="AE258" i="8"/>
  <c r="AE257" i="8"/>
  <c r="AE256" i="8"/>
  <c r="AE255" i="8"/>
  <c r="AE254" i="8"/>
  <c r="AE253" i="8"/>
  <c r="AE252" i="8"/>
  <c r="AE251" i="8"/>
  <c r="AE250" i="8"/>
  <c r="AE249" i="8"/>
  <c r="AE248" i="8"/>
  <c r="AE247" i="8"/>
  <c r="AE246" i="8"/>
  <c r="AE245" i="8"/>
  <c r="AE244" i="8"/>
  <c r="AE243" i="8"/>
  <c r="AE242" i="8"/>
  <c r="AE241" i="8"/>
  <c r="AE240" i="8"/>
  <c r="AE239" i="8"/>
  <c r="AE238" i="8"/>
  <c r="AE237" i="8"/>
  <c r="AE236" i="8"/>
  <c r="AE235" i="8"/>
  <c r="AE234" i="8"/>
  <c r="AE233" i="8"/>
  <c r="AE232" i="8"/>
  <c r="AE231" i="8"/>
  <c r="AE230" i="8"/>
  <c r="AE229" i="8"/>
  <c r="AE228" i="8"/>
  <c r="AE227" i="8"/>
  <c r="AE226" i="8"/>
  <c r="AE225" i="8"/>
  <c r="AE224" i="8"/>
  <c r="AE223" i="8"/>
  <c r="AE222" i="8"/>
  <c r="AE221" i="8"/>
  <c r="AE220" i="8"/>
  <c r="AE219" i="8"/>
  <c r="AE218" i="8"/>
  <c r="AE217" i="8"/>
  <c r="AE216" i="8"/>
  <c r="AE215" i="8"/>
  <c r="AE214" i="8"/>
  <c r="AE213" i="8"/>
  <c r="AE212" i="8"/>
  <c r="AE211" i="8"/>
  <c r="AE210" i="8"/>
  <c r="AE209" i="8"/>
  <c r="AE208" i="8"/>
  <c r="AE207" i="8"/>
  <c r="AE206" i="8"/>
  <c r="AE205" i="8"/>
  <c r="AE204" i="8"/>
  <c r="AE203" i="8"/>
  <c r="AE202" i="8"/>
  <c r="AE201" i="8"/>
  <c r="AE200" i="8"/>
  <c r="AE199" i="8"/>
  <c r="AE198" i="8"/>
  <c r="AE197" i="8"/>
  <c r="AE196" i="8"/>
  <c r="AE195" i="8"/>
  <c r="AE194" i="8"/>
  <c r="AE193" i="8"/>
  <c r="AE192" i="8"/>
  <c r="AE191" i="8"/>
  <c r="AE190" i="8"/>
  <c r="AE189" i="8"/>
  <c r="AE188" i="8"/>
  <c r="AE187" i="8"/>
  <c r="AE186" i="8"/>
  <c r="AE185" i="8"/>
  <c r="AE184" i="8"/>
  <c r="AE183" i="8"/>
  <c r="AE182" i="8"/>
  <c r="AE181" i="8"/>
  <c r="AE180" i="8"/>
  <c r="AE179" i="8"/>
  <c r="AE178" i="8"/>
  <c r="AE177" i="8"/>
  <c r="AE176" i="8"/>
  <c r="AE175" i="8"/>
  <c r="AE174" i="8"/>
  <c r="AE173" i="8"/>
  <c r="AE172" i="8"/>
  <c r="AE171" i="8"/>
  <c r="AE170" i="8"/>
  <c r="AE169" i="8"/>
  <c r="AE168" i="8"/>
  <c r="AE167" i="8"/>
  <c r="AE166" i="8"/>
  <c r="AE165" i="8"/>
  <c r="AE164" i="8"/>
  <c r="AE163" i="8"/>
  <c r="AE162" i="8"/>
  <c r="AE161" i="8"/>
  <c r="AE160" i="8"/>
  <c r="AE159" i="8"/>
  <c r="AE158" i="8"/>
  <c r="AE157" i="8"/>
  <c r="AE156" i="8"/>
  <c r="AE155" i="8"/>
  <c r="AE154" i="8"/>
  <c r="AE153" i="8"/>
  <c r="AE152" i="8"/>
  <c r="AE151" i="8"/>
  <c r="AE150" i="8"/>
  <c r="AE149" i="8"/>
  <c r="AE148" i="8"/>
  <c r="AE147" i="8"/>
  <c r="AE146" i="8"/>
  <c r="AE145" i="8"/>
  <c r="AE144" i="8"/>
  <c r="AE143" i="8"/>
  <c r="AE142" i="8"/>
  <c r="AE141" i="8"/>
  <c r="AE140" i="8"/>
  <c r="AE139" i="8"/>
  <c r="AE138" i="8"/>
  <c r="AE137" i="8"/>
  <c r="AE136" i="8"/>
  <c r="AE135" i="8"/>
  <c r="AE134" i="8"/>
  <c r="AE133" i="8"/>
  <c r="AE132" i="8"/>
  <c r="AE131" i="8"/>
  <c r="AE130" i="8"/>
  <c r="AE129" i="8"/>
  <c r="AE128" i="8"/>
  <c r="AE127" i="8"/>
  <c r="AE126" i="8"/>
  <c r="AE125" i="8"/>
  <c r="AE124" i="8"/>
  <c r="AE123" i="8"/>
  <c r="AE122" i="8"/>
  <c r="AE121" i="8"/>
  <c r="AE120" i="8"/>
  <c r="AE119" i="8"/>
  <c r="AE118" i="8"/>
  <c r="AE117" i="8"/>
  <c r="AE116" i="8"/>
  <c r="AE115" i="8"/>
  <c r="AE114" i="8"/>
  <c r="AE113" i="8"/>
  <c r="AE112" i="8"/>
  <c r="AE111" i="8"/>
  <c r="AE110" i="8"/>
  <c r="AE109" i="8"/>
  <c r="AE108" i="8"/>
  <c r="AE107" i="8"/>
  <c r="AE106" i="8"/>
  <c r="AE105" i="8"/>
  <c r="AE104" i="8"/>
  <c r="AE103" i="8"/>
  <c r="AE102" i="8"/>
  <c r="AE101" i="8"/>
  <c r="AE100" i="8"/>
  <c r="AE99" i="8"/>
  <c r="AE98" i="8"/>
  <c r="AE97" i="8"/>
  <c r="AE96" i="8"/>
  <c r="AE95" i="8"/>
  <c r="AE94" i="8"/>
  <c r="AE93" i="8"/>
  <c r="AE92" i="8"/>
  <c r="AE91" i="8"/>
  <c r="AE90" i="8"/>
  <c r="AE89" i="8"/>
  <c r="AE88" i="8"/>
  <c r="AE87" i="8"/>
  <c r="AE86" i="8"/>
  <c r="AE85" i="8"/>
  <c r="AE84" i="8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84" i="2"/>
  <c r="D83" i="2"/>
  <c r="E83" i="2"/>
  <c r="F83" i="2"/>
  <c r="G83" i="2"/>
  <c r="H83" i="2"/>
  <c r="I83" i="2"/>
  <c r="J83" i="2"/>
  <c r="K83" i="2"/>
  <c r="L83" i="2"/>
  <c r="M83" i="2"/>
  <c r="N83" i="2"/>
  <c r="O83" i="2"/>
  <c r="E49" i="2" l="1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48" i="2"/>
  <c r="C67" i="9" l="1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66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30" i="9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66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30" i="8"/>
  <c r="B48" i="9" l="1"/>
  <c r="B49" i="9"/>
  <c r="B48" i="8"/>
  <c r="G20" i="9" l="1"/>
  <c r="F20" i="9"/>
  <c r="E20" i="9"/>
  <c r="D20" i="9"/>
  <c r="C20" i="9"/>
  <c r="C20" i="8"/>
  <c r="D20" i="8"/>
  <c r="E20" i="8"/>
  <c r="F20" i="8"/>
  <c r="G20" i="8"/>
  <c r="C22" i="2"/>
  <c r="C4" i="9" l="1"/>
  <c r="AE80" i="9"/>
  <c r="B80" i="9"/>
  <c r="AE79" i="9"/>
  <c r="B79" i="9"/>
  <c r="AE78" i="9"/>
  <c r="B78" i="9"/>
  <c r="AE77" i="9"/>
  <c r="B77" i="9"/>
  <c r="AE76" i="9"/>
  <c r="B76" i="9"/>
  <c r="AE75" i="9"/>
  <c r="B75" i="9"/>
  <c r="AE74" i="9"/>
  <c r="B74" i="9"/>
  <c r="AE73" i="9"/>
  <c r="B73" i="9"/>
  <c r="AE72" i="9"/>
  <c r="B72" i="9"/>
  <c r="B71" i="9"/>
  <c r="B70" i="9"/>
  <c r="B69" i="9"/>
  <c r="B68" i="9"/>
  <c r="B67" i="9"/>
  <c r="B66" i="9"/>
  <c r="AE80" i="8"/>
  <c r="B80" i="8"/>
  <c r="AE79" i="8"/>
  <c r="B79" i="8"/>
  <c r="AE78" i="8"/>
  <c r="B78" i="8"/>
  <c r="AE77" i="8"/>
  <c r="B77" i="8"/>
  <c r="AE76" i="8"/>
  <c r="B76" i="8"/>
  <c r="AE75" i="8"/>
  <c r="B75" i="8"/>
  <c r="AE74" i="8"/>
  <c r="B74" i="8"/>
  <c r="AE73" i="8"/>
  <c r="B73" i="8"/>
  <c r="AE72" i="8"/>
  <c r="B72" i="8"/>
  <c r="B71" i="8"/>
  <c r="B70" i="8"/>
  <c r="B69" i="8"/>
  <c r="B68" i="8"/>
  <c r="B67" i="8"/>
  <c r="B66" i="8"/>
  <c r="D62" i="9"/>
  <c r="C62" i="9"/>
  <c r="B62" i="9"/>
  <c r="D61" i="9"/>
  <c r="C61" i="9"/>
  <c r="B61" i="9"/>
  <c r="D60" i="9"/>
  <c r="C60" i="9"/>
  <c r="B60" i="9"/>
  <c r="D59" i="9"/>
  <c r="C59" i="9"/>
  <c r="B59" i="9"/>
  <c r="D58" i="9"/>
  <c r="C58" i="9"/>
  <c r="B58" i="9"/>
  <c r="D57" i="9"/>
  <c r="C57" i="9"/>
  <c r="B57" i="9"/>
  <c r="D56" i="9"/>
  <c r="C56" i="9"/>
  <c r="B56" i="9"/>
  <c r="D55" i="9"/>
  <c r="C55" i="9"/>
  <c r="B55" i="9"/>
  <c r="D54" i="9"/>
  <c r="C54" i="9"/>
  <c r="B54" i="9"/>
  <c r="D53" i="9"/>
  <c r="C53" i="9"/>
  <c r="B53" i="9"/>
  <c r="D52" i="9"/>
  <c r="C52" i="9"/>
  <c r="B52" i="9"/>
  <c r="D51" i="9"/>
  <c r="C51" i="9"/>
  <c r="B51" i="9"/>
  <c r="D50" i="9"/>
  <c r="C50" i="9"/>
  <c r="B50" i="9"/>
  <c r="D49" i="9"/>
  <c r="C49" i="9"/>
  <c r="D48" i="9"/>
  <c r="AE62" i="9"/>
  <c r="AE61" i="9"/>
  <c r="AE60" i="9"/>
  <c r="AE59" i="9"/>
  <c r="AE58" i="9"/>
  <c r="AE57" i="9"/>
  <c r="AE56" i="9"/>
  <c r="AE55" i="9"/>
  <c r="AE54" i="9"/>
  <c r="AE62" i="8"/>
  <c r="AE61" i="8"/>
  <c r="AE60" i="8"/>
  <c r="AE59" i="8"/>
  <c r="AE58" i="8"/>
  <c r="AE57" i="8"/>
  <c r="AE56" i="8"/>
  <c r="AE55" i="8"/>
  <c r="AE54" i="8"/>
  <c r="AC44" i="9"/>
  <c r="AB44" i="9"/>
  <c r="AA44" i="9"/>
  <c r="Z44" i="9"/>
  <c r="Y44" i="9"/>
  <c r="X44" i="9"/>
  <c r="W44" i="9"/>
  <c r="V44" i="9"/>
  <c r="U44" i="9"/>
  <c r="T44" i="9"/>
  <c r="S44" i="9"/>
  <c r="R44" i="9"/>
  <c r="AE44" i="9"/>
  <c r="B44" i="9"/>
  <c r="AC43" i="9"/>
  <c r="AB43" i="9"/>
  <c r="AA43" i="9"/>
  <c r="Z43" i="9"/>
  <c r="Y43" i="9"/>
  <c r="X43" i="9"/>
  <c r="W43" i="9"/>
  <c r="V43" i="9"/>
  <c r="U43" i="9"/>
  <c r="T43" i="9"/>
  <c r="S43" i="9"/>
  <c r="R43" i="9"/>
  <c r="AE43" i="9"/>
  <c r="B43" i="9"/>
  <c r="AE42" i="9"/>
  <c r="AC42" i="9"/>
  <c r="AB42" i="9"/>
  <c r="AA42" i="9"/>
  <c r="Z42" i="9"/>
  <c r="Y42" i="9"/>
  <c r="X42" i="9"/>
  <c r="W42" i="9"/>
  <c r="V42" i="9"/>
  <c r="U42" i="9"/>
  <c r="T42" i="9"/>
  <c r="S42" i="9"/>
  <c r="R42" i="9"/>
  <c r="B42" i="9"/>
  <c r="AC41" i="9"/>
  <c r="AB41" i="9"/>
  <c r="AA41" i="9"/>
  <c r="Z41" i="9"/>
  <c r="Y41" i="9"/>
  <c r="X41" i="9"/>
  <c r="W41" i="9"/>
  <c r="V41" i="9"/>
  <c r="U41" i="9"/>
  <c r="T41" i="9"/>
  <c r="S41" i="9"/>
  <c r="R41" i="9"/>
  <c r="AE41" i="9"/>
  <c r="B41" i="9"/>
  <c r="AC40" i="9"/>
  <c r="AB40" i="9"/>
  <c r="AA40" i="9"/>
  <c r="Z40" i="9"/>
  <c r="Y40" i="9"/>
  <c r="X40" i="9"/>
  <c r="W40" i="9"/>
  <c r="V40" i="9"/>
  <c r="U40" i="9"/>
  <c r="T40" i="9"/>
  <c r="S40" i="9"/>
  <c r="R40" i="9"/>
  <c r="AE40" i="9"/>
  <c r="B40" i="9"/>
  <c r="AC39" i="9"/>
  <c r="AB39" i="9"/>
  <c r="AA39" i="9"/>
  <c r="Z39" i="9"/>
  <c r="Y39" i="9"/>
  <c r="X39" i="9"/>
  <c r="W39" i="9"/>
  <c r="V39" i="9"/>
  <c r="U39" i="9"/>
  <c r="T39" i="9"/>
  <c r="S39" i="9"/>
  <c r="R39" i="9"/>
  <c r="AE39" i="9"/>
  <c r="B39" i="9"/>
  <c r="AC38" i="9"/>
  <c r="AB38" i="9"/>
  <c r="AA38" i="9"/>
  <c r="Z38" i="9"/>
  <c r="Y38" i="9"/>
  <c r="X38" i="9"/>
  <c r="W38" i="9"/>
  <c r="V38" i="9"/>
  <c r="U38" i="9"/>
  <c r="T38" i="9"/>
  <c r="S38" i="9"/>
  <c r="R38" i="9"/>
  <c r="AE38" i="9"/>
  <c r="B38" i="9"/>
  <c r="AC37" i="9"/>
  <c r="AB37" i="9"/>
  <c r="AA37" i="9"/>
  <c r="Z37" i="9"/>
  <c r="Y37" i="9"/>
  <c r="X37" i="9"/>
  <c r="W37" i="9"/>
  <c r="V37" i="9"/>
  <c r="U37" i="9"/>
  <c r="T37" i="9"/>
  <c r="S37" i="9"/>
  <c r="R37" i="9"/>
  <c r="AE37" i="9"/>
  <c r="B37" i="9"/>
  <c r="AC36" i="9"/>
  <c r="AB36" i="9"/>
  <c r="AA36" i="9"/>
  <c r="Z36" i="9"/>
  <c r="Y36" i="9"/>
  <c r="X36" i="9"/>
  <c r="W36" i="9"/>
  <c r="V36" i="9"/>
  <c r="U36" i="9"/>
  <c r="T36" i="9"/>
  <c r="S36" i="9"/>
  <c r="R36" i="9"/>
  <c r="AE36" i="9"/>
  <c r="B36" i="9"/>
  <c r="AC35" i="9"/>
  <c r="AB35" i="9"/>
  <c r="AA35" i="9"/>
  <c r="Z35" i="9"/>
  <c r="Y35" i="9"/>
  <c r="X35" i="9"/>
  <c r="W35" i="9"/>
  <c r="V35" i="9"/>
  <c r="U35" i="9"/>
  <c r="T35" i="9"/>
  <c r="S35" i="9"/>
  <c r="R35" i="9"/>
  <c r="B35" i="9"/>
  <c r="AC34" i="9"/>
  <c r="AB34" i="9"/>
  <c r="AA34" i="9"/>
  <c r="Z34" i="9"/>
  <c r="Y34" i="9"/>
  <c r="X34" i="9"/>
  <c r="W34" i="9"/>
  <c r="V34" i="9"/>
  <c r="U34" i="9"/>
  <c r="T34" i="9"/>
  <c r="S34" i="9"/>
  <c r="R34" i="9"/>
  <c r="B34" i="9"/>
  <c r="AC33" i="9"/>
  <c r="AB33" i="9"/>
  <c r="AA33" i="9"/>
  <c r="Z33" i="9"/>
  <c r="Y33" i="9"/>
  <c r="X33" i="9"/>
  <c r="W33" i="9"/>
  <c r="V33" i="9"/>
  <c r="U33" i="9"/>
  <c r="T33" i="9"/>
  <c r="S33" i="9"/>
  <c r="R33" i="9"/>
  <c r="B33" i="9"/>
  <c r="AC32" i="9"/>
  <c r="AB32" i="9"/>
  <c r="AA32" i="9"/>
  <c r="Z32" i="9"/>
  <c r="Y32" i="9"/>
  <c r="X32" i="9"/>
  <c r="W32" i="9"/>
  <c r="V32" i="9"/>
  <c r="U32" i="9"/>
  <c r="T32" i="9"/>
  <c r="S32" i="9"/>
  <c r="R32" i="9"/>
  <c r="B32" i="9"/>
  <c r="AC31" i="9"/>
  <c r="AB31" i="9"/>
  <c r="AA31" i="9"/>
  <c r="Z31" i="9"/>
  <c r="Y31" i="9"/>
  <c r="X31" i="9"/>
  <c r="W31" i="9"/>
  <c r="V31" i="9"/>
  <c r="U31" i="9"/>
  <c r="T31" i="9"/>
  <c r="S31" i="9"/>
  <c r="R31" i="9"/>
  <c r="B31" i="9"/>
  <c r="AC30" i="9"/>
  <c r="AB30" i="9"/>
  <c r="AA30" i="9"/>
  <c r="Z30" i="9"/>
  <c r="Y30" i="9"/>
  <c r="X30" i="9"/>
  <c r="W30" i="9"/>
  <c r="V30" i="9"/>
  <c r="U30" i="9"/>
  <c r="T30" i="9"/>
  <c r="S30" i="9"/>
  <c r="R30" i="9"/>
  <c r="B30" i="9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AE44" i="8"/>
  <c r="AC44" i="8"/>
  <c r="AB44" i="8"/>
  <c r="AA44" i="8"/>
  <c r="Z44" i="8"/>
  <c r="Y44" i="8"/>
  <c r="X44" i="8"/>
  <c r="W44" i="8"/>
  <c r="V44" i="8"/>
  <c r="U44" i="8"/>
  <c r="T44" i="8"/>
  <c r="S44" i="8"/>
  <c r="R44" i="8"/>
  <c r="B44" i="8"/>
  <c r="AC43" i="8"/>
  <c r="AB43" i="8"/>
  <c r="AA43" i="8"/>
  <c r="Z43" i="8"/>
  <c r="Y43" i="8"/>
  <c r="X43" i="8"/>
  <c r="W43" i="8"/>
  <c r="V43" i="8"/>
  <c r="U43" i="8"/>
  <c r="T43" i="8"/>
  <c r="S43" i="8"/>
  <c r="R43" i="8"/>
  <c r="AE43" i="8"/>
  <c r="B43" i="8"/>
  <c r="AC42" i="8"/>
  <c r="AB42" i="8"/>
  <c r="AA42" i="8"/>
  <c r="Z42" i="8"/>
  <c r="Y42" i="8"/>
  <c r="X42" i="8"/>
  <c r="W42" i="8"/>
  <c r="V42" i="8"/>
  <c r="U42" i="8"/>
  <c r="T42" i="8"/>
  <c r="S42" i="8"/>
  <c r="R42" i="8"/>
  <c r="AE42" i="8"/>
  <c r="B42" i="8"/>
  <c r="AC41" i="8"/>
  <c r="AB41" i="8"/>
  <c r="AA41" i="8"/>
  <c r="Z41" i="8"/>
  <c r="Y41" i="8"/>
  <c r="X41" i="8"/>
  <c r="W41" i="8"/>
  <c r="V41" i="8"/>
  <c r="U41" i="8"/>
  <c r="T41" i="8"/>
  <c r="S41" i="8"/>
  <c r="R41" i="8"/>
  <c r="AE41" i="8"/>
  <c r="B41" i="8"/>
  <c r="AE40" i="8"/>
  <c r="AC40" i="8"/>
  <c r="AB40" i="8"/>
  <c r="AA40" i="8"/>
  <c r="Z40" i="8"/>
  <c r="Y40" i="8"/>
  <c r="X40" i="8"/>
  <c r="W40" i="8"/>
  <c r="V40" i="8"/>
  <c r="U40" i="8"/>
  <c r="T40" i="8"/>
  <c r="S40" i="8"/>
  <c r="R40" i="8"/>
  <c r="B40" i="8"/>
  <c r="AC39" i="8"/>
  <c r="AB39" i="8"/>
  <c r="AA39" i="8"/>
  <c r="Z39" i="8"/>
  <c r="Y39" i="8"/>
  <c r="X39" i="8"/>
  <c r="W39" i="8"/>
  <c r="V39" i="8"/>
  <c r="U39" i="8"/>
  <c r="T39" i="8"/>
  <c r="S39" i="8"/>
  <c r="R39" i="8"/>
  <c r="AE39" i="8"/>
  <c r="B39" i="8"/>
  <c r="AC38" i="8"/>
  <c r="AB38" i="8"/>
  <c r="AA38" i="8"/>
  <c r="Z38" i="8"/>
  <c r="Y38" i="8"/>
  <c r="X38" i="8"/>
  <c r="W38" i="8"/>
  <c r="V38" i="8"/>
  <c r="U38" i="8"/>
  <c r="T38" i="8"/>
  <c r="S38" i="8"/>
  <c r="R38" i="8"/>
  <c r="AE38" i="8"/>
  <c r="B38" i="8"/>
  <c r="AC37" i="8"/>
  <c r="AB37" i="8"/>
  <c r="AA37" i="8"/>
  <c r="Z37" i="8"/>
  <c r="Y37" i="8"/>
  <c r="X37" i="8"/>
  <c r="W37" i="8"/>
  <c r="V37" i="8"/>
  <c r="U37" i="8"/>
  <c r="T37" i="8"/>
  <c r="S37" i="8"/>
  <c r="R37" i="8"/>
  <c r="AE37" i="8"/>
  <c r="B37" i="8"/>
  <c r="AE36" i="8"/>
  <c r="AC36" i="8"/>
  <c r="AB36" i="8"/>
  <c r="AA36" i="8"/>
  <c r="Z36" i="8"/>
  <c r="Y36" i="8"/>
  <c r="X36" i="8"/>
  <c r="W36" i="8"/>
  <c r="V36" i="8"/>
  <c r="U36" i="8"/>
  <c r="T36" i="8"/>
  <c r="S36" i="8"/>
  <c r="R36" i="8"/>
  <c r="B36" i="8"/>
  <c r="AC35" i="8"/>
  <c r="AB35" i="8"/>
  <c r="AA35" i="8"/>
  <c r="Z35" i="8"/>
  <c r="Y35" i="8"/>
  <c r="X35" i="8"/>
  <c r="W35" i="8"/>
  <c r="V35" i="8"/>
  <c r="U35" i="8"/>
  <c r="T35" i="8"/>
  <c r="S35" i="8"/>
  <c r="R35" i="8"/>
  <c r="B35" i="8"/>
  <c r="AC34" i="8"/>
  <c r="AB34" i="8"/>
  <c r="AA34" i="8"/>
  <c r="Z34" i="8"/>
  <c r="Y34" i="8"/>
  <c r="X34" i="8"/>
  <c r="W34" i="8"/>
  <c r="V34" i="8"/>
  <c r="U34" i="8"/>
  <c r="T34" i="8"/>
  <c r="S34" i="8"/>
  <c r="R34" i="8"/>
  <c r="B34" i="8"/>
  <c r="AC33" i="8"/>
  <c r="AB33" i="8"/>
  <c r="AA33" i="8"/>
  <c r="Z33" i="8"/>
  <c r="Y33" i="8"/>
  <c r="X33" i="8"/>
  <c r="W33" i="8"/>
  <c r="V33" i="8"/>
  <c r="U33" i="8"/>
  <c r="T33" i="8"/>
  <c r="S33" i="8"/>
  <c r="R33" i="8"/>
  <c r="B33" i="8"/>
  <c r="AC32" i="8"/>
  <c r="AB32" i="8"/>
  <c r="AA32" i="8"/>
  <c r="Z32" i="8"/>
  <c r="Y32" i="8"/>
  <c r="X32" i="8"/>
  <c r="W32" i="8"/>
  <c r="V32" i="8"/>
  <c r="U32" i="8"/>
  <c r="T32" i="8"/>
  <c r="S32" i="8"/>
  <c r="R32" i="8"/>
  <c r="B32" i="8"/>
  <c r="AC31" i="8"/>
  <c r="AB31" i="8"/>
  <c r="AA31" i="8"/>
  <c r="Z31" i="8"/>
  <c r="Y31" i="8"/>
  <c r="X31" i="8"/>
  <c r="W31" i="8"/>
  <c r="V31" i="8"/>
  <c r="U31" i="8"/>
  <c r="T31" i="8"/>
  <c r="S31" i="8"/>
  <c r="R31" i="8"/>
  <c r="B31" i="8"/>
  <c r="AC30" i="8"/>
  <c r="AB30" i="8"/>
  <c r="AA30" i="8"/>
  <c r="Z30" i="8"/>
  <c r="Y30" i="8"/>
  <c r="X30" i="8"/>
  <c r="W30" i="8"/>
  <c r="V30" i="8"/>
  <c r="U30" i="8"/>
  <c r="T30" i="8"/>
  <c r="S30" i="8"/>
  <c r="R30" i="8"/>
  <c r="B30" i="8"/>
  <c r="E50" i="9" l="1"/>
  <c r="E54" i="9"/>
  <c r="E58" i="9"/>
  <c r="E62" i="9"/>
  <c r="E52" i="9"/>
  <c r="E56" i="9"/>
  <c r="E61" i="9"/>
  <c r="E51" i="9"/>
  <c r="E55" i="9"/>
  <c r="E59" i="9"/>
  <c r="E48" i="9"/>
  <c r="E60" i="9"/>
  <c r="E57" i="9"/>
  <c r="E49" i="9"/>
  <c r="E53" i="9"/>
  <c r="AE31" i="9"/>
  <c r="AE33" i="9"/>
  <c r="AE35" i="9"/>
  <c r="AE34" i="8"/>
  <c r="AE30" i="8"/>
  <c r="AE32" i="9"/>
  <c r="AE30" i="9"/>
  <c r="AE34" i="9"/>
  <c r="AE32" i="8"/>
  <c r="AE31" i="8"/>
  <c r="AE33" i="8"/>
  <c r="AE35" i="8"/>
  <c r="D48" i="8"/>
  <c r="AE73" i="2"/>
  <c r="AE75" i="2"/>
  <c r="AE77" i="2"/>
  <c r="AE79" i="2"/>
  <c r="AE54" i="2"/>
  <c r="AE58" i="2"/>
  <c r="AE62" i="2"/>
  <c r="AE39" i="2"/>
  <c r="AE43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30" i="2"/>
  <c r="S32" i="2"/>
  <c r="T32" i="2"/>
  <c r="U32" i="2"/>
  <c r="V32" i="2"/>
  <c r="W32" i="2"/>
  <c r="X32" i="2"/>
  <c r="Y32" i="2"/>
  <c r="Z32" i="2"/>
  <c r="AA32" i="2"/>
  <c r="AB32" i="2"/>
  <c r="AC32" i="2"/>
  <c r="S33" i="2"/>
  <c r="T33" i="2"/>
  <c r="U33" i="2"/>
  <c r="V33" i="2"/>
  <c r="W33" i="2"/>
  <c r="X33" i="2"/>
  <c r="Y33" i="2"/>
  <c r="Z33" i="2"/>
  <c r="AA33" i="2"/>
  <c r="AB33" i="2"/>
  <c r="AC33" i="2"/>
  <c r="S34" i="2"/>
  <c r="T34" i="2"/>
  <c r="U34" i="2"/>
  <c r="V34" i="2"/>
  <c r="W34" i="2"/>
  <c r="X34" i="2"/>
  <c r="Y34" i="2"/>
  <c r="Z34" i="2"/>
  <c r="AA34" i="2"/>
  <c r="AB34" i="2"/>
  <c r="AC34" i="2"/>
  <c r="S35" i="2"/>
  <c r="T35" i="2"/>
  <c r="U35" i="2"/>
  <c r="V35" i="2"/>
  <c r="W35" i="2"/>
  <c r="X35" i="2"/>
  <c r="Y35" i="2"/>
  <c r="Z35" i="2"/>
  <c r="AA35" i="2"/>
  <c r="AB35" i="2"/>
  <c r="AC35" i="2"/>
  <c r="S36" i="2"/>
  <c r="T36" i="2"/>
  <c r="U36" i="2"/>
  <c r="V36" i="2"/>
  <c r="W36" i="2"/>
  <c r="X36" i="2"/>
  <c r="Y36" i="2"/>
  <c r="Z36" i="2"/>
  <c r="AA36" i="2"/>
  <c r="AB36" i="2"/>
  <c r="AC36" i="2"/>
  <c r="S37" i="2"/>
  <c r="T37" i="2"/>
  <c r="U37" i="2"/>
  <c r="V37" i="2"/>
  <c r="W37" i="2"/>
  <c r="X37" i="2"/>
  <c r="Y37" i="2"/>
  <c r="Z37" i="2"/>
  <c r="AA37" i="2"/>
  <c r="AB37" i="2"/>
  <c r="AC37" i="2"/>
  <c r="S38" i="2"/>
  <c r="T38" i="2"/>
  <c r="U38" i="2"/>
  <c r="V38" i="2"/>
  <c r="W38" i="2"/>
  <c r="X38" i="2"/>
  <c r="Y38" i="2"/>
  <c r="Z38" i="2"/>
  <c r="AA38" i="2"/>
  <c r="AB38" i="2"/>
  <c r="AC38" i="2"/>
  <c r="S39" i="2"/>
  <c r="T39" i="2"/>
  <c r="U39" i="2"/>
  <c r="V39" i="2"/>
  <c r="W39" i="2"/>
  <c r="X39" i="2"/>
  <c r="Y39" i="2"/>
  <c r="Z39" i="2"/>
  <c r="AA39" i="2"/>
  <c r="AB39" i="2"/>
  <c r="AC39" i="2"/>
  <c r="S40" i="2"/>
  <c r="T40" i="2"/>
  <c r="U40" i="2"/>
  <c r="V40" i="2"/>
  <c r="W40" i="2"/>
  <c r="X40" i="2"/>
  <c r="Y40" i="2"/>
  <c r="Z40" i="2"/>
  <c r="AA40" i="2"/>
  <c r="AB40" i="2"/>
  <c r="AC40" i="2"/>
  <c r="S41" i="2"/>
  <c r="T41" i="2"/>
  <c r="U41" i="2"/>
  <c r="V41" i="2"/>
  <c r="W41" i="2"/>
  <c r="X41" i="2"/>
  <c r="Y41" i="2"/>
  <c r="Z41" i="2"/>
  <c r="AA41" i="2"/>
  <c r="AB41" i="2"/>
  <c r="AC41" i="2"/>
  <c r="S42" i="2"/>
  <c r="T42" i="2"/>
  <c r="U42" i="2"/>
  <c r="V42" i="2"/>
  <c r="W42" i="2"/>
  <c r="X42" i="2"/>
  <c r="Y42" i="2"/>
  <c r="Z42" i="2"/>
  <c r="AA42" i="2"/>
  <c r="AB42" i="2"/>
  <c r="AC42" i="2"/>
  <c r="S43" i="2"/>
  <c r="T43" i="2"/>
  <c r="U43" i="2"/>
  <c r="V43" i="2"/>
  <c r="W43" i="2"/>
  <c r="X43" i="2"/>
  <c r="Y43" i="2"/>
  <c r="Z43" i="2"/>
  <c r="AA43" i="2"/>
  <c r="AB43" i="2"/>
  <c r="AC43" i="2"/>
  <c r="S44" i="2"/>
  <c r="T44" i="2"/>
  <c r="U44" i="2"/>
  <c r="V44" i="2"/>
  <c r="W44" i="2"/>
  <c r="X44" i="2"/>
  <c r="Y44" i="2"/>
  <c r="Z44" i="2"/>
  <c r="AA44" i="2"/>
  <c r="AB44" i="2"/>
  <c r="AC44" i="2"/>
  <c r="R33" i="2"/>
  <c r="R34" i="2"/>
  <c r="R35" i="2"/>
  <c r="AE35" i="2" s="1"/>
  <c r="R36" i="2"/>
  <c r="R37" i="2"/>
  <c r="R38" i="2"/>
  <c r="R39" i="2"/>
  <c r="R40" i="2"/>
  <c r="R41" i="2"/>
  <c r="R42" i="2"/>
  <c r="R43" i="2"/>
  <c r="R44" i="2"/>
  <c r="C66" i="2"/>
  <c r="C67" i="2"/>
  <c r="C68" i="2"/>
  <c r="C69" i="2"/>
  <c r="C70" i="2"/>
  <c r="C71" i="2"/>
  <c r="C72" i="2"/>
  <c r="AE72" i="2" s="1"/>
  <c r="C73" i="2"/>
  <c r="C74" i="2"/>
  <c r="AE74" i="2" s="1"/>
  <c r="C75" i="2"/>
  <c r="C76" i="2"/>
  <c r="AE76" i="2" s="1"/>
  <c r="C77" i="2"/>
  <c r="C78" i="2"/>
  <c r="AE78" i="2" s="1"/>
  <c r="C79" i="2"/>
  <c r="C80" i="2"/>
  <c r="AE80" i="2" s="1"/>
  <c r="C56" i="2"/>
  <c r="C57" i="2"/>
  <c r="C58" i="2"/>
  <c r="C59" i="2"/>
  <c r="C60" i="2"/>
  <c r="C61" i="2"/>
  <c r="C62" i="2"/>
  <c r="C30" i="2"/>
  <c r="C31" i="2"/>
  <c r="C32" i="2"/>
  <c r="C33" i="2"/>
  <c r="C34" i="2"/>
  <c r="C35" i="2"/>
  <c r="C36" i="2"/>
  <c r="AE36" i="2" s="1"/>
  <c r="C37" i="2"/>
  <c r="AE55" i="2" s="1"/>
  <c r="C38" i="2"/>
  <c r="AE38" i="2" s="1"/>
  <c r="C39" i="2"/>
  <c r="AE57" i="2" s="1"/>
  <c r="C40" i="2"/>
  <c r="AE40" i="2" s="1"/>
  <c r="C41" i="2"/>
  <c r="AE59" i="2" s="1"/>
  <c r="C42" i="2"/>
  <c r="AE42" i="2" s="1"/>
  <c r="C43" i="2"/>
  <c r="AE61" i="2" s="1"/>
  <c r="C44" i="2"/>
  <c r="AE44" i="2" s="1"/>
  <c r="F61" i="2"/>
  <c r="F60" i="2"/>
  <c r="F59" i="2"/>
  <c r="F58" i="2"/>
  <c r="F57" i="2"/>
  <c r="F56" i="2"/>
  <c r="F55" i="2"/>
  <c r="F54" i="2"/>
  <c r="F53" i="2"/>
  <c r="AE53" i="2" s="1"/>
  <c r="F52" i="2"/>
  <c r="AE52" i="2" s="1"/>
  <c r="F51" i="2"/>
  <c r="AE34" i="2" l="1"/>
  <c r="AE41" i="2"/>
  <c r="AE37" i="2"/>
  <c r="AE60" i="2"/>
  <c r="AE56" i="2"/>
  <c r="AE51" i="2"/>
  <c r="AE33" i="2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AA16" i="14"/>
  <c r="AB16" i="14"/>
  <c r="AC16" i="14"/>
  <c r="AD16" i="14"/>
  <c r="AE16" i="14"/>
  <c r="AF16" i="14"/>
  <c r="AG16" i="14"/>
  <c r="AH16" i="14"/>
  <c r="AI16" i="14"/>
  <c r="Z16" i="14"/>
  <c r="Y16" i="14"/>
  <c r="X16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Z10" i="14"/>
  <c r="AA10" i="14"/>
  <c r="AB10" i="14"/>
  <c r="AC10" i="14"/>
  <c r="AD10" i="14"/>
  <c r="AE10" i="14"/>
  <c r="AF10" i="14"/>
  <c r="AG10" i="14"/>
  <c r="AH10" i="14"/>
  <c r="AI10" i="14"/>
  <c r="Y10" i="14"/>
  <c r="X10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T78" i="9"/>
  <c r="W80" i="9"/>
  <c r="V76" i="2"/>
  <c r="AB75" i="8"/>
  <c r="X77" i="9"/>
  <c r="W66" i="9"/>
  <c r="AB71" i="8"/>
  <c r="X69" i="2"/>
  <c r="T77" i="9"/>
  <c r="V80" i="8"/>
  <c r="X73" i="9"/>
  <c r="AC78" i="9"/>
  <c r="U77" i="2"/>
  <c r="AA66" i="9"/>
  <c r="AB67" i="8"/>
  <c r="Z68" i="2"/>
  <c r="T73" i="8"/>
  <c r="S74" i="8"/>
  <c r="AB71" i="9"/>
  <c r="AA71" i="2"/>
  <c r="W66" i="8"/>
  <c r="X80" i="8"/>
  <c r="V78" i="8"/>
  <c r="X72" i="2"/>
  <c r="AC80" i="8"/>
  <c r="S67" i="8"/>
  <c r="Y73" i="8"/>
  <c r="T76" i="2"/>
  <c r="X74" i="9"/>
  <c r="AA73" i="9"/>
  <c r="W77" i="8"/>
  <c r="AC73" i="9"/>
  <c r="X78" i="8"/>
  <c r="R72" i="9"/>
  <c r="W78" i="2"/>
  <c r="U71" i="9"/>
  <c r="U66" i="8"/>
  <c r="Z78" i="8"/>
  <c r="V75" i="2"/>
  <c r="W77" i="2"/>
  <c r="AB75" i="2"/>
  <c r="R75" i="2"/>
  <c r="W68" i="9"/>
  <c r="U66" i="9"/>
  <c r="W70" i="8"/>
  <c r="V75" i="9"/>
  <c r="R75" i="8"/>
  <c r="AC80" i="2"/>
  <c r="T66" i="8"/>
  <c r="V69" i="9"/>
  <c r="T75" i="8"/>
  <c r="AA67" i="8"/>
  <c r="X78" i="2"/>
  <c r="R79" i="2"/>
  <c r="T66" i="9"/>
  <c r="V66" i="8"/>
  <c r="AC73" i="2"/>
  <c r="AC75" i="2"/>
  <c r="Z66" i="9"/>
  <c r="X76" i="2"/>
  <c r="T74" i="9"/>
  <c r="S76" i="9"/>
  <c r="AC72" i="2"/>
  <c r="AB80" i="8"/>
  <c r="AC68" i="8"/>
  <c r="AC76" i="9"/>
  <c r="Y68" i="8"/>
  <c r="U68" i="2"/>
  <c r="S70" i="2"/>
  <c r="AB76" i="8"/>
  <c r="R74" i="2"/>
  <c r="R75" i="9"/>
  <c r="X67" i="9"/>
  <c r="U78" i="8"/>
  <c r="AB76" i="9"/>
  <c r="V69" i="8"/>
  <c r="AC73" i="8"/>
  <c r="S72" i="2"/>
  <c r="V67" i="9"/>
  <c r="X77" i="2"/>
  <c r="AC67" i="8"/>
  <c r="Y77" i="2"/>
  <c r="X72" i="8"/>
  <c r="W79" i="9"/>
  <c r="X70" i="2"/>
  <c r="S76" i="8"/>
  <c r="Y72" i="9"/>
  <c r="R67" i="9"/>
  <c r="AB80" i="9"/>
  <c r="V75" i="8"/>
  <c r="R78" i="2"/>
  <c r="Z70" i="9"/>
  <c r="Y78" i="8"/>
  <c r="R80" i="9"/>
  <c r="V71" i="9"/>
  <c r="U69" i="9"/>
  <c r="AC79" i="8"/>
  <c r="V68" i="8"/>
  <c r="Y72" i="8"/>
  <c r="R77" i="2"/>
  <c r="Z77" i="2"/>
  <c r="W68" i="2"/>
  <c r="AA76" i="2"/>
  <c r="T74" i="2"/>
  <c r="AC71" i="2"/>
  <c r="Y75" i="2"/>
  <c r="S66" i="8"/>
  <c r="AB79" i="2"/>
  <c r="U79" i="9"/>
  <c r="X69" i="8"/>
  <c r="AA69" i="9"/>
  <c r="X76" i="9"/>
  <c r="U74" i="9"/>
  <c r="Z75" i="2"/>
  <c r="R72" i="8"/>
  <c r="U70" i="2"/>
  <c r="X72" i="9"/>
  <c r="Z76" i="2"/>
  <c r="V74" i="2"/>
  <c r="W74" i="8"/>
  <c r="V76" i="8"/>
  <c r="S73" i="9"/>
  <c r="AC75" i="9"/>
  <c r="AB71" i="2"/>
  <c r="AA66" i="8"/>
  <c r="R69" i="2"/>
  <c r="W68" i="8"/>
  <c r="X74" i="8"/>
  <c r="Z79" i="8"/>
  <c r="T79" i="8"/>
  <c r="W74" i="9"/>
  <c r="AA76" i="9"/>
  <c r="Y66" i="9"/>
  <c r="X67" i="8"/>
  <c r="Z76" i="8"/>
  <c r="R72" i="2"/>
  <c r="R73" i="2"/>
  <c r="AA72" i="2"/>
  <c r="R79" i="8"/>
  <c r="X71" i="9"/>
  <c r="X71" i="8"/>
  <c r="AB68" i="8"/>
  <c r="Z77" i="8"/>
  <c r="R74" i="9"/>
  <c r="T77" i="2"/>
  <c r="T70" i="8"/>
  <c r="AB70" i="9"/>
  <c r="W72" i="2"/>
  <c r="T71" i="8"/>
  <c r="X75" i="2"/>
  <c r="Z80" i="2"/>
  <c r="S70" i="9"/>
  <c r="Z67" i="8"/>
  <c r="S79" i="2"/>
  <c r="U74" i="2"/>
  <c r="S67" i="9"/>
  <c r="X77" i="8"/>
  <c r="Y72" i="2"/>
  <c r="U72" i="2"/>
  <c r="AC79" i="9"/>
  <c r="S80" i="8"/>
  <c r="Z69" i="9"/>
  <c r="T69" i="8"/>
  <c r="X66" i="8"/>
  <c r="AC77" i="8"/>
  <c r="U77" i="9"/>
  <c r="V74" i="8"/>
  <c r="V76" i="9"/>
  <c r="R80" i="2"/>
  <c r="T68" i="9"/>
  <c r="AB66" i="8"/>
  <c r="T71" i="2"/>
  <c r="Z73" i="9"/>
  <c r="W80" i="8"/>
  <c r="X69" i="9"/>
  <c r="Z70" i="2"/>
  <c r="R67" i="8"/>
  <c r="AB77" i="9"/>
  <c r="AB79" i="8"/>
  <c r="AA72" i="8"/>
  <c r="V77" i="2"/>
  <c r="S71" i="9"/>
  <c r="AC80" i="9"/>
  <c r="X76" i="8"/>
  <c r="Y80" i="2"/>
  <c r="AB77" i="8"/>
  <c r="Y76" i="2"/>
  <c r="V68" i="9"/>
  <c r="R73" i="8"/>
  <c r="AC72" i="8"/>
  <c r="S69" i="9"/>
  <c r="AB74" i="9"/>
  <c r="W69" i="8"/>
  <c r="T75" i="9"/>
  <c r="AC78" i="8"/>
  <c r="W80" i="2"/>
  <c r="Y76" i="9"/>
  <c r="S71" i="8"/>
  <c r="T80" i="8"/>
  <c r="S69" i="2"/>
  <c r="U69" i="8"/>
  <c r="AA80" i="2"/>
  <c r="V80" i="9"/>
  <c r="V71" i="2"/>
  <c r="AC77" i="2"/>
  <c r="Z73" i="8"/>
  <c r="AB78" i="2"/>
  <c r="AB73" i="8"/>
  <c r="Y70" i="9"/>
  <c r="S71" i="2"/>
  <c r="Y74" i="2"/>
  <c r="V73" i="9"/>
  <c r="Z77" i="9"/>
  <c r="U76" i="9"/>
  <c r="AC71" i="8"/>
  <c r="AA79" i="2"/>
  <c r="AC74" i="2"/>
  <c r="AC70" i="9"/>
  <c r="Y70" i="8"/>
  <c r="Z74" i="2"/>
  <c r="R66" i="8"/>
  <c r="Y70" i="2"/>
  <c r="Z78" i="2"/>
  <c r="T73" i="9"/>
  <c r="Y78" i="2"/>
  <c r="S68" i="9"/>
  <c r="AB73" i="9"/>
  <c r="Y71" i="2"/>
  <c r="V72" i="8"/>
  <c r="W73" i="9"/>
  <c r="Z70" i="8"/>
  <c r="R77" i="9"/>
  <c r="AB68" i="2"/>
  <c r="Y69" i="8"/>
  <c r="V66" i="9"/>
  <c r="AB76" i="2"/>
  <c r="W75" i="8"/>
  <c r="W71" i="2"/>
  <c r="S68" i="8"/>
  <c r="AB72" i="8"/>
  <c r="T67" i="8"/>
  <c r="R68" i="9"/>
  <c r="AA74" i="9"/>
  <c r="AB70" i="2"/>
  <c r="R76" i="8"/>
  <c r="Z71" i="8"/>
  <c r="AC74" i="9"/>
  <c r="U70" i="9"/>
  <c r="S77" i="8"/>
  <c r="Y69" i="9"/>
  <c r="X74" i="2"/>
  <c r="W74" i="2"/>
  <c r="AA73" i="2"/>
  <c r="R71" i="9"/>
  <c r="U67" i="8"/>
  <c r="Y75" i="8"/>
  <c r="T80" i="9"/>
  <c r="AC67" i="9"/>
  <c r="V69" i="2"/>
  <c r="X79" i="2"/>
  <c r="R70" i="8"/>
  <c r="Y79" i="9"/>
  <c r="AB78" i="9"/>
  <c r="R70" i="9"/>
  <c r="X79" i="8"/>
  <c r="Z71" i="2"/>
  <c r="AC74" i="8"/>
  <c r="AA73" i="8"/>
  <c r="W67" i="9"/>
  <c r="Y69" i="2"/>
  <c r="Y74" i="9"/>
  <c r="R73" i="9"/>
  <c r="Y68" i="9"/>
  <c r="AB72" i="9"/>
  <c r="S75" i="2"/>
  <c r="AB69" i="2"/>
  <c r="AB69" i="9"/>
  <c r="Y79" i="8"/>
  <c r="V70" i="8"/>
  <c r="S78" i="9"/>
  <c r="X80" i="9"/>
  <c r="Z68" i="8"/>
  <c r="R74" i="8"/>
  <c r="U72" i="9"/>
  <c r="T78" i="8"/>
  <c r="Z80" i="8"/>
  <c r="Z72" i="9"/>
  <c r="U80" i="2"/>
  <c r="U80" i="8"/>
  <c r="U76" i="8"/>
  <c r="U79" i="8"/>
  <c r="T67" i="9"/>
  <c r="Y78" i="9"/>
  <c r="Y73" i="2"/>
  <c r="AA68" i="9"/>
  <c r="T79" i="9"/>
  <c r="AC68" i="9"/>
  <c r="S72" i="9"/>
  <c r="AA74" i="8"/>
  <c r="X70" i="9"/>
  <c r="X75" i="9"/>
  <c r="Y68" i="2"/>
  <c r="U75" i="8"/>
  <c r="R76" i="9"/>
  <c r="W78" i="8"/>
  <c r="U75" i="9"/>
  <c r="V79" i="9"/>
  <c r="U74" i="8"/>
  <c r="AA70" i="2"/>
  <c r="AA79" i="8"/>
  <c r="W70" i="2"/>
  <c r="U71" i="8"/>
  <c r="Z66" i="8"/>
  <c r="S70" i="8"/>
  <c r="U79" i="2"/>
  <c r="U72" i="8"/>
  <c r="Z69" i="8"/>
  <c r="V70" i="9"/>
  <c r="AC78" i="2"/>
  <c r="T76" i="8"/>
  <c r="U69" i="2"/>
  <c r="AB75" i="9"/>
  <c r="R78" i="9"/>
  <c r="S77" i="9"/>
  <c r="T69" i="9"/>
  <c r="S69" i="8"/>
  <c r="AC69" i="2"/>
  <c r="S68" i="2"/>
  <c r="S74" i="9"/>
  <c r="U75" i="2"/>
  <c r="S75" i="8"/>
  <c r="U80" i="9"/>
  <c r="Z76" i="9"/>
  <c r="R79" i="9"/>
  <c r="AC71" i="9"/>
  <c r="V68" i="2"/>
  <c r="Z75" i="8"/>
  <c r="T72" i="2"/>
  <c r="AA70" i="9"/>
  <c r="S78" i="8"/>
  <c r="Z72" i="8"/>
  <c r="Y76" i="8"/>
  <c r="R69" i="9"/>
  <c r="AA77" i="8"/>
  <c r="AA69" i="8"/>
  <c r="S72" i="8"/>
  <c r="X78" i="9"/>
  <c r="W75" i="9"/>
  <c r="V73" i="2"/>
  <c r="T70" i="9"/>
  <c r="V78" i="9"/>
  <c r="U78" i="2"/>
  <c r="Y74" i="8"/>
  <c r="V67" i="8"/>
  <c r="T73" i="2"/>
  <c r="U67" i="9"/>
  <c r="T71" i="9"/>
  <c r="AC70" i="2"/>
  <c r="T74" i="8"/>
  <c r="T69" i="2"/>
  <c r="AA75" i="9"/>
  <c r="AA75" i="8"/>
  <c r="T80" i="2"/>
  <c r="V77" i="9"/>
  <c r="AB67" i="9"/>
  <c r="W72" i="9"/>
  <c r="T79" i="2"/>
  <c r="AA75" i="2"/>
  <c r="V72" i="2"/>
  <c r="T72" i="8"/>
  <c r="S77" i="2"/>
  <c r="W79" i="2"/>
  <c r="AA69" i="2"/>
  <c r="T68" i="2"/>
  <c r="AC79" i="2"/>
  <c r="T68" i="8"/>
  <c r="R77" i="8"/>
  <c r="W71" i="8"/>
  <c r="X68" i="9"/>
  <c r="U71" i="2"/>
  <c r="X68" i="2"/>
  <c r="V72" i="9"/>
  <c r="AC69" i="8"/>
  <c r="AA67" i="9"/>
  <c r="W71" i="9"/>
  <c r="T76" i="9"/>
  <c r="Z73" i="2"/>
  <c r="W70" i="9"/>
  <c r="X66" i="9"/>
  <c r="W76" i="2"/>
  <c r="S79" i="9"/>
  <c r="AC76" i="2"/>
  <c r="AB72" i="2"/>
  <c r="Y80" i="9"/>
  <c r="Z74" i="9"/>
  <c r="W78" i="9"/>
  <c r="W76" i="8"/>
  <c r="W69" i="2"/>
  <c r="W76" i="9"/>
  <c r="AC77" i="9"/>
  <c r="Y79" i="2"/>
  <c r="R66" i="9"/>
  <c r="Z79" i="9"/>
  <c r="U76" i="2"/>
  <c r="Y80" i="8"/>
  <c r="AA68" i="8"/>
  <c r="S78" i="2"/>
  <c r="AB68" i="9"/>
  <c r="R69" i="8"/>
  <c r="Z69" i="2"/>
  <c r="X73" i="8"/>
  <c r="X71" i="2"/>
  <c r="Y75" i="9"/>
  <c r="T72" i="9"/>
  <c r="T78" i="2"/>
  <c r="S79" i="8"/>
  <c r="X68" i="8"/>
  <c r="U73" i="2"/>
  <c r="AA78" i="9"/>
  <c r="AB78" i="8"/>
  <c r="U70" i="8"/>
  <c r="U73" i="9"/>
  <c r="Z71" i="9"/>
  <c r="AC68" i="2"/>
  <c r="S75" i="9"/>
  <c r="V79" i="2"/>
  <c r="R78" i="8"/>
  <c r="X73" i="2"/>
  <c r="V74" i="9"/>
  <c r="AA76" i="8"/>
  <c r="Y71" i="9"/>
  <c r="AA80" i="9"/>
  <c r="V80" i="2"/>
  <c r="W73" i="2"/>
  <c r="AA79" i="9"/>
  <c r="S66" i="9"/>
  <c r="W67" i="8"/>
  <c r="AB66" i="9"/>
  <c r="AB74" i="2"/>
  <c r="W69" i="9"/>
  <c r="V71" i="8"/>
  <c r="R70" i="2"/>
  <c r="T77" i="8"/>
  <c r="AA71" i="8"/>
  <c r="Z75" i="9"/>
  <c r="U77" i="8"/>
  <c r="X75" i="8"/>
  <c r="AA72" i="9"/>
  <c r="AC72" i="9"/>
  <c r="W77" i="9"/>
  <c r="Y77" i="9"/>
  <c r="R76" i="2"/>
  <c r="Y67" i="8"/>
  <c r="X80" i="2"/>
  <c r="AA80" i="8"/>
  <c r="W75" i="2"/>
  <c r="R71" i="8"/>
  <c r="V78" i="2"/>
  <c r="AC66" i="8"/>
  <c r="W79" i="8"/>
  <c r="S74" i="2"/>
  <c r="Y77" i="8"/>
  <c r="AB80" i="2"/>
  <c r="Z67" i="9"/>
  <c r="AC75" i="8"/>
  <c r="AA71" i="9"/>
  <c r="U68" i="8"/>
  <c r="Z74" i="8"/>
  <c r="Y66" i="8"/>
  <c r="R80" i="8"/>
  <c r="X70" i="8"/>
  <c r="AB77" i="2"/>
  <c r="Y73" i="9"/>
  <c r="AB73" i="2"/>
  <c r="AA78" i="2"/>
  <c r="U73" i="8"/>
  <c r="AB69" i="8"/>
  <c r="AA77" i="9"/>
  <c r="V70" i="2"/>
  <c r="AB70" i="8"/>
  <c r="Z78" i="9"/>
  <c r="AB79" i="9"/>
  <c r="T75" i="2"/>
  <c r="S76" i="2"/>
  <c r="W73" i="8"/>
  <c r="AA77" i="2"/>
  <c r="S80" i="2"/>
  <c r="T70" i="2"/>
  <c r="U68" i="9"/>
  <c r="Z68" i="9"/>
  <c r="AC76" i="8"/>
  <c r="X79" i="9"/>
  <c r="AA68" i="2"/>
  <c r="V79" i="8"/>
  <c r="S73" i="8"/>
  <c r="AC69" i="9"/>
  <c r="Z72" i="2"/>
  <c r="AC70" i="8"/>
  <c r="Z80" i="9"/>
  <c r="R68" i="8"/>
  <c r="AC66" i="9"/>
  <c r="S73" i="2"/>
  <c r="V77" i="8"/>
  <c r="U78" i="9"/>
  <c r="Z79" i="2"/>
  <c r="AA74" i="2"/>
  <c r="AA78" i="8"/>
  <c r="R71" i="2"/>
  <c r="AB74" i="8"/>
  <c r="AA70" i="8"/>
  <c r="S80" i="9"/>
  <c r="V73" i="8"/>
  <c r="W72" i="8"/>
  <c r="Y71" i="8"/>
  <c r="Y67" i="9"/>
  <c r="AE70" i="8" l="1"/>
  <c r="AE71" i="2"/>
  <c r="AE70" i="9"/>
  <c r="AE68" i="8"/>
  <c r="AE66" i="9"/>
  <c r="AE67" i="9"/>
  <c r="AE69" i="2"/>
  <c r="AE68" i="9"/>
  <c r="AE71" i="8"/>
  <c r="AE70" i="2"/>
  <c r="AE66" i="8"/>
  <c r="AE69" i="9"/>
  <c r="AE67" i="8"/>
  <c r="AE69" i="8"/>
  <c r="AE71" i="9"/>
  <c r="C6" i="8"/>
  <c r="C6" i="9"/>
  <c r="C17" i="9" l="1"/>
  <c r="C17" i="8"/>
  <c r="C15" i="9"/>
  <c r="C15" i="8"/>
  <c r="C13" i="9"/>
  <c r="C13" i="8"/>
  <c r="C2" i="8"/>
  <c r="C2" i="9"/>
  <c r="C4" i="8"/>
  <c r="C47" i="9"/>
  <c r="C47" i="8"/>
  <c r="O83" i="9" l="1"/>
  <c r="K83" i="9"/>
  <c r="G83" i="9"/>
  <c r="N83" i="9"/>
  <c r="J83" i="9"/>
  <c r="F83" i="9"/>
  <c r="M83" i="9"/>
  <c r="I83" i="9"/>
  <c r="E83" i="9"/>
  <c r="L83" i="9"/>
  <c r="H83" i="9"/>
  <c r="D83" i="9"/>
  <c r="O83" i="8"/>
  <c r="K83" i="8"/>
  <c r="G83" i="8"/>
  <c r="M83" i="8"/>
  <c r="N83" i="8"/>
  <c r="J83" i="8"/>
  <c r="F83" i="8"/>
  <c r="I83" i="8"/>
  <c r="E83" i="8"/>
  <c r="L83" i="8"/>
  <c r="H83" i="8"/>
  <c r="D83" i="8"/>
  <c r="E59" i="8"/>
  <c r="F59" i="8" s="1"/>
  <c r="E62" i="8"/>
  <c r="F62" i="8" s="1"/>
  <c r="E52" i="8"/>
  <c r="F52" i="8" s="1"/>
  <c r="AE52" i="8" s="1"/>
  <c r="E48" i="8"/>
  <c r="F48" i="8" s="1"/>
  <c r="AE48" i="8" s="1"/>
  <c r="E51" i="8"/>
  <c r="F51" i="8" s="1"/>
  <c r="AE51" i="8" s="1"/>
  <c r="E61" i="8"/>
  <c r="F61" i="8" s="1"/>
  <c r="E54" i="8"/>
  <c r="F54" i="8" s="1"/>
  <c r="E50" i="8"/>
  <c r="F50" i="8" s="1"/>
  <c r="AE50" i="8" s="1"/>
  <c r="E56" i="8"/>
  <c r="F56" i="8" s="1"/>
  <c r="E49" i="8"/>
  <c r="F49" i="8" s="1"/>
  <c r="AE49" i="8" s="1"/>
  <c r="E58" i="8"/>
  <c r="F58" i="8" s="1"/>
  <c r="E55" i="8"/>
  <c r="F55" i="8" s="1"/>
  <c r="E57" i="8"/>
  <c r="F57" i="8" s="1"/>
  <c r="E53" i="8"/>
  <c r="F53" i="8" s="1"/>
  <c r="AE53" i="8" s="1"/>
  <c r="E60" i="8"/>
  <c r="Z65" i="9"/>
  <c r="V65" i="9"/>
  <c r="R65" i="9"/>
  <c r="L65" i="9"/>
  <c r="H65" i="9"/>
  <c r="D65" i="9"/>
  <c r="AC65" i="9"/>
  <c r="U65" i="9"/>
  <c r="K65" i="9"/>
  <c r="X65" i="9"/>
  <c r="N65" i="9"/>
  <c r="F65" i="9"/>
  <c r="AA65" i="9"/>
  <c r="W65" i="9"/>
  <c r="S65" i="9"/>
  <c r="M65" i="9"/>
  <c r="I65" i="9"/>
  <c r="E65" i="9"/>
  <c r="Y65" i="9"/>
  <c r="O65" i="9"/>
  <c r="G65" i="9"/>
  <c r="AB65" i="9"/>
  <c r="T65" i="9"/>
  <c r="J65" i="9"/>
  <c r="AC65" i="8"/>
  <c r="Y65" i="8"/>
  <c r="U65" i="8"/>
  <c r="O65" i="8"/>
  <c r="K65" i="8"/>
  <c r="G65" i="8"/>
  <c r="X65" i="8"/>
  <c r="N65" i="8"/>
  <c r="F65" i="8"/>
  <c r="AA65" i="8"/>
  <c r="S65" i="8"/>
  <c r="I65" i="8"/>
  <c r="Z65" i="8"/>
  <c r="V65" i="8"/>
  <c r="R65" i="8"/>
  <c r="L65" i="8"/>
  <c r="H65" i="8"/>
  <c r="D65" i="8"/>
  <c r="AB65" i="8"/>
  <c r="T65" i="8"/>
  <c r="J65" i="8"/>
  <c r="W65" i="8"/>
  <c r="M65" i="8"/>
  <c r="E65" i="8"/>
  <c r="F62" i="9"/>
  <c r="F61" i="9"/>
  <c r="F60" i="9"/>
  <c r="F59" i="9"/>
  <c r="F58" i="9"/>
  <c r="F57" i="9"/>
  <c r="F56" i="9"/>
  <c r="F55" i="9"/>
  <c r="F54" i="9"/>
  <c r="F53" i="9"/>
  <c r="AE53" i="9" s="1"/>
  <c r="F52" i="9"/>
  <c r="AE52" i="9" s="1"/>
  <c r="F51" i="9"/>
  <c r="AE51" i="9" s="1"/>
  <c r="F50" i="9"/>
  <c r="AE50" i="9" s="1"/>
  <c r="F49" i="9"/>
  <c r="AE49" i="9" s="1"/>
  <c r="F48" i="9"/>
  <c r="AE48" i="9" s="1"/>
  <c r="F60" i="8"/>
  <c r="AB29" i="9"/>
  <c r="X29" i="9"/>
  <c r="T29" i="9"/>
  <c r="N29" i="9"/>
  <c r="J29" i="9"/>
  <c r="F29" i="9"/>
  <c r="AA29" i="9"/>
  <c r="W29" i="9"/>
  <c r="S29" i="9"/>
  <c r="M29" i="9"/>
  <c r="I29" i="9"/>
  <c r="E29" i="9"/>
  <c r="Z29" i="9"/>
  <c r="V29" i="9"/>
  <c r="R29" i="9"/>
  <c r="L29" i="9"/>
  <c r="H29" i="9"/>
  <c r="D29" i="9"/>
  <c r="AC29" i="9"/>
  <c r="Y29" i="9"/>
  <c r="U29" i="9"/>
  <c r="O29" i="9"/>
  <c r="K29" i="9"/>
  <c r="G29" i="9"/>
  <c r="AC29" i="8"/>
  <c r="Y29" i="8"/>
  <c r="U29" i="8"/>
  <c r="O29" i="8"/>
  <c r="K29" i="8"/>
  <c r="G29" i="8"/>
  <c r="AB29" i="8"/>
  <c r="X29" i="8"/>
  <c r="T29" i="8"/>
  <c r="N29" i="8"/>
  <c r="J29" i="8"/>
  <c r="F29" i="8"/>
  <c r="AA29" i="8"/>
  <c r="W29" i="8"/>
  <c r="S29" i="8"/>
  <c r="M29" i="8"/>
  <c r="I29" i="8"/>
  <c r="E29" i="8"/>
  <c r="Z29" i="8"/>
  <c r="V29" i="8"/>
  <c r="R29" i="8"/>
  <c r="L29" i="8"/>
  <c r="H29" i="8"/>
  <c r="D29" i="8"/>
  <c r="C26" i="9"/>
  <c r="C22" i="9"/>
  <c r="D17" i="9"/>
  <c r="D13" i="9"/>
  <c r="C11" i="9"/>
  <c r="C10" i="9"/>
  <c r="C26" i="8"/>
  <c r="C22" i="8"/>
  <c r="D17" i="8"/>
  <c r="D13" i="8"/>
  <c r="C11" i="8"/>
  <c r="C10" i="8"/>
  <c r="D15" i="9"/>
  <c r="D15" i="8"/>
  <c r="D4" i="9"/>
  <c r="D4" i="8"/>
  <c r="C26" i="2" l="1"/>
  <c r="D17" i="2"/>
  <c r="F62" i="2" l="1"/>
  <c r="F50" i="2"/>
  <c r="AE50" i="2" s="1"/>
  <c r="F49" i="2"/>
  <c r="AE49" i="2" s="1"/>
  <c r="F48" i="2"/>
  <c r="AE48" i="2" s="1"/>
  <c r="D15" i="2"/>
  <c r="D4" i="2"/>
  <c r="C47" i="2"/>
  <c r="C11" i="2" l="1"/>
  <c r="C10" i="2"/>
  <c r="AC65" i="2"/>
  <c r="AB65" i="2"/>
  <c r="AA65" i="2"/>
  <c r="Z65" i="2"/>
  <c r="Y65" i="2"/>
  <c r="X65" i="2"/>
  <c r="W65" i="2"/>
  <c r="V65" i="2"/>
  <c r="U65" i="2"/>
  <c r="T65" i="2"/>
  <c r="S65" i="2"/>
  <c r="R65" i="2"/>
  <c r="V67" i="2"/>
  <c r="T67" i="2"/>
  <c r="T66" i="2"/>
  <c r="Z67" i="2"/>
  <c r="AC67" i="2"/>
  <c r="U66" i="2"/>
  <c r="AB67" i="2"/>
  <c r="AB66" i="2"/>
  <c r="S67" i="2"/>
  <c r="AC66" i="2"/>
  <c r="AA66" i="2"/>
  <c r="W67" i="2"/>
  <c r="X66" i="2"/>
  <c r="V66" i="2"/>
  <c r="Y67" i="2"/>
  <c r="AA67" i="2"/>
  <c r="S66" i="2"/>
  <c r="R67" i="2"/>
  <c r="R68" i="2"/>
  <c r="U67" i="2"/>
  <c r="X67" i="2"/>
  <c r="R66" i="2"/>
  <c r="Y66" i="2"/>
  <c r="Z66" i="2"/>
  <c r="W66" i="2"/>
  <c r="AE68" i="2" l="1"/>
  <c r="AE66" i="2"/>
  <c r="AE67" i="2"/>
  <c r="O65" i="2"/>
  <c r="N65" i="2"/>
  <c r="M65" i="2"/>
  <c r="L65" i="2"/>
  <c r="K65" i="2"/>
  <c r="J65" i="2"/>
  <c r="I65" i="2"/>
  <c r="H65" i="2"/>
  <c r="G65" i="2"/>
  <c r="F65" i="2"/>
  <c r="E65" i="2"/>
  <c r="D65" i="2"/>
  <c r="R32" i="2"/>
  <c r="AE32" i="2" s="1"/>
  <c r="AC31" i="2"/>
  <c r="AB31" i="2"/>
  <c r="AA31" i="2"/>
  <c r="Z31" i="2"/>
  <c r="Y31" i="2"/>
  <c r="X31" i="2"/>
  <c r="W31" i="2"/>
  <c r="V31" i="2"/>
  <c r="U31" i="2"/>
  <c r="T31" i="2"/>
  <c r="S31" i="2"/>
  <c r="R31" i="2"/>
  <c r="AC30" i="2"/>
  <c r="AB30" i="2"/>
  <c r="AA30" i="2"/>
  <c r="Z30" i="2"/>
  <c r="Y30" i="2"/>
  <c r="X30" i="2"/>
  <c r="W30" i="2"/>
  <c r="V30" i="2"/>
  <c r="U30" i="2"/>
  <c r="T30" i="2"/>
  <c r="S30" i="2"/>
  <c r="R30" i="2"/>
  <c r="AC29" i="2"/>
  <c r="AB29" i="2"/>
  <c r="AA29" i="2"/>
  <c r="Z29" i="2"/>
  <c r="Y29" i="2"/>
  <c r="X29" i="2"/>
  <c r="W29" i="2"/>
  <c r="V29" i="2"/>
  <c r="U29" i="2"/>
  <c r="T29" i="2"/>
  <c r="S29" i="2"/>
  <c r="R29" i="2"/>
  <c r="O29" i="2"/>
  <c r="N29" i="2"/>
  <c r="M29" i="2"/>
  <c r="L29" i="2"/>
  <c r="K29" i="2"/>
  <c r="J29" i="2"/>
  <c r="I29" i="2"/>
  <c r="H29" i="2"/>
  <c r="G29" i="2"/>
  <c r="F29" i="2"/>
  <c r="E29" i="2"/>
  <c r="D29" i="2"/>
  <c r="AE30" i="2" l="1"/>
  <c r="AE31" i="2"/>
  <c r="D13" i="2"/>
</calcChain>
</file>

<file path=xl/sharedStrings.xml><?xml version="1.0" encoding="utf-8"?>
<sst xmlns="http://schemas.openxmlformats.org/spreadsheetml/2006/main" count="938" uniqueCount="558">
  <si>
    <t>&lt;?xml version="1.0" encoding="UTF-8" standalone="no" ?&gt;</t>
  </si>
  <si>
    <t>&lt;Configuracoes xmlns=""&gt;</t>
  </si>
  <si>
    <t>&lt;NomeArquivoCaso&gt;caso.dat&lt;/NomeArquivoCaso&gt;</t>
  </si>
  <si>
    <t>&lt;!-- Caminho completo do diretório com o deck inicial. --&gt;</t>
  </si>
  <si>
    <t>&lt;!-- Caminho completo do diretório no qual serão gravados os decks gerados. --&gt;</t>
  </si>
  <si>
    <t>&lt;!-- Caminho completo do executável do NEWAVE. --&gt;</t>
  </si>
  <si>
    <t>&lt;!-- Caminho completo do executável do NEWDESP. --&gt;</t>
  </si>
  <si>
    <t>&lt;!-- Caminho completo do executável do NWLISTOP. --&gt;</t>
  </si>
  <si>
    <t>&lt;!-- Valor máximo de PLD para ser usado de filtro para gravar saídas. --&gt;</t>
  </si>
  <si>
    <t>&lt;!-- Valor mínimo de PLD para ser usado de filtro para gravar saídas. --&gt;</t>
  </si>
  <si>
    <t>&lt;!-- Tipo de simulação final a ser executada em cada caso (0 = não simula nada; 2 = simulação histórica; 1 = simulação sintética; 3 = checar consistência). --&gt;</t>
  </si>
  <si>
    <t>&lt;!-- Utilizar o resultado de uma simulação do NEWDESP para obtenção do volume inicial de cada estágio posterior, ao invés dos resultados por série do NEWAVE. --&gt;</t>
  </si>
  <si>
    <t>&lt;UsarNEWDESP&gt;1&lt;/UsarNEWDESP&gt;</t>
  </si>
  <si>
    <t>&lt;!-- Utilizar o resultado de uma simulação do NEWDESP para obtenção do CMO de cada mês, ao invés dos resultados por série do NEWAVE. --&gt;</t>
  </si>
  <si>
    <t>&lt;PrecoNEWDESP&gt;1&lt;/PrecoNEWDESP&gt;</t>
  </si>
  <si>
    <t>&lt;!-- Número de meses a avançar na simulação, sem incluir o mês inicial. --&gt;</t>
  </si>
  <si>
    <t>&lt;!-- Decidir se utiliza uma série de ENA definida para cada submercado, bem como fornecer as séries. Valores em MWmês. --&gt;</t>
  </si>
  <si>
    <t>&lt;DefinirPrevisaoENA&gt;0&lt;/DefinirPrevisaoENA&gt;</t>
  </si>
  <si>
    <t>&lt;!-- Decidir se utiliza uma série de mercados de consumo para cada submercado, bem como fornecer as séries. Valores em MWmês. --&gt;</t>
  </si>
  <si>
    <t>&lt;DefinirMercados&gt;0&lt;/DefinirMercados&gt;</t>
  </si>
  <si>
    <t>&lt;Mercado SubMercado="1" MesReferencia="1"&gt;  &lt;/Mercado&gt;</t>
  </si>
  <si>
    <t>&lt;Mercado SubMercado="2" MesReferencia="1"&gt;  &lt;/Mercado&gt;</t>
  </si>
  <si>
    <t>&lt;Mercado SubMercado="3" MesReferencia="1"&gt;  &lt;/Mercado&gt;</t>
  </si>
  <si>
    <t>&lt;Mercado SubMercado="4" MesReferencia="1"&gt;  &lt;/Mercado&gt;</t>
  </si>
  <si>
    <t>&lt;!-- Definir os volumes armazenados iniciais por submercado, para execução do NEWDESP no primeiro mês. Níveis em MWmês --&gt;</t>
  </si>
  <si>
    <t>&lt;!-- Decidir se utiliza uma série de volumes mínimos de Procedimento Operativo para cada submercado, bem como fornecer as séries. Valores em %. --&gt;</t>
  </si>
  <si>
    <t>&lt;DefinirVolumesPO&gt;1&lt;/DefinirVolumesPO&gt;</t>
  </si>
  <si>
    <t>&lt;!-- Ler apenas os resultados, ao invés de executar as simulações (útil para testes e para se reescrever resultados. --&gt;</t>
  </si>
  <si>
    <t>&lt;!-- Nome do arquivo com dados de resultados do encadeado. O arquivo com séries resultantes terá um sufixo adicionado a este nome. --&gt;</t>
  </si>
  <si>
    <t>&lt;!-- Nome do arquivo de atividades do encadeado. --&gt;</t>
  </si>
  <si>
    <t>&lt;ArquivoLog&gt;encadeado.log&lt;/ArquivoLog&gt;</t>
  </si>
  <si>
    <t>&lt;!-- Nome do arquivo de formatos do NEWAVE. Deve estar presente no deck de entrada utilizado. --&gt;</t>
  </si>
  <si>
    <t>&lt;ArquivoFormatos&gt;format.tmp&lt;/ArquivoFormatos&gt;</t>
  </si>
  <si>
    <t>&lt;!-- Nome do arquivo de mensagens do NEWAVE. Deve estar presente no deck de entrada utilizado. --&gt;</t>
  </si>
  <si>
    <t>&lt;ArquivoMensagens&gt;mensag.tmp&lt;/ArquivoMensagens&gt;</t>
  </si>
  <si>
    <t>&lt;!-- pamaral: Campos novos no arquivo de XML de entrada --&gt;</t>
  </si>
  <si>
    <t>&lt;!-- Caminho clompleto do gerenciador de processos. --&gt;</t>
  </si>
  <si>
    <t>&lt;!-- Flag para utilização do gerenciador externo de processos --&gt;</t>
  </si>
  <si>
    <t>&lt;!-- Flag para utilização da comunicação em dois níveis --&gt;</t>
  </si>
  <si>
    <t>&lt;!-- Flag para utilização de armazenamento local de arquivos temporários --&gt;</t>
  </si>
  <si>
    <t>&lt;UsarSAR&gt;0&lt;/UsarSAR&gt;</t>
  </si>
  <si>
    <t>&lt;UsarCVAR&gt;1&lt;/UsarCVAR&gt;</t>
  </si>
  <si>
    <t>&lt;ConsiderarZSUPMinConv&gt;0&lt;/ConsiderarZSUPMinConv&gt;</t>
  </si>
  <si>
    <t>&lt;/Configuracoes&gt;</t>
  </si>
  <si>
    <t>Tipo de Simulação:</t>
  </si>
  <si>
    <t>N° mese a avançar: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</si>
  <si>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</si>
  <si>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</si>
  <si>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</si>
  <si>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</si>
  <si>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</si>
  <si>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</si>
  <si>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</si>
  <si>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</si>
  <si>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</si>
  <si>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</si>
  <si>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</si>
  <si>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</si>
  <si>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 de estudo:</t>
  </si>
  <si>
    <t>ENA [%]</t>
  </si>
  <si>
    <t>ENA [MWm]</t>
  </si>
  <si>
    <t>EARM</t>
  </si>
  <si>
    <t>S</t>
  </si>
  <si>
    <t>NE</t>
  </si>
  <si>
    <t>N</t>
  </si>
  <si>
    <t>EARMáx</t>
  </si>
  <si>
    <t>EARMáx Mwmes</t>
  </si>
  <si>
    <t>EARM [%]</t>
  </si>
  <si>
    <t>Leitura:</t>
  </si>
  <si>
    <t>ENA - 2014</t>
  </si>
  <si>
    <t>SE</t>
  </si>
  <si>
    <t>PLD máx</t>
  </si>
  <si>
    <t>822.83</t>
  </si>
  <si>
    <t>15.62</t>
  </si>
  <si>
    <t>PLD mín</t>
  </si>
  <si>
    <t>PLD Máx:</t>
  </si>
  <si>
    <t>PLD Mín:</t>
  </si>
  <si>
    <t>Arq. De saída:</t>
  </si>
  <si>
    <t>Caminho xml:</t>
  </si>
  <si>
    <t>Nome do xml:</t>
  </si>
  <si>
    <t>Flag</t>
  </si>
  <si>
    <t>Gerenciador</t>
  </si>
  <si>
    <t>2 níveis</t>
  </si>
  <si>
    <t>Armazenamento</t>
  </si>
  <si>
    <t>Mês de estudo:</t>
  </si>
  <si>
    <t>Base</t>
  </si>
  <si>
    <t>Seco</t>
  </si>
  <si>
    <t>Úmido</t>
  </si>
  <si>
    <t>rv1</t>
  </si>
  <si>
    <t>Patamares</t>
  </si>
  <si>
    <t>P</t>
  </si>
  <si>
    <t>M</t>
  </si>
  <si>
    <t>L</t>
  </si>
  <si>
    <t>BASE</t>
  </si>
  <si>
    <t>SECO</t>
  </si>
  <si>
    <t>UMIDO</t>
  </si>
  <si>
    <t>SE_base</t>
  </si>
  <si>
    <t>S_base</t>
  </si>
  <si>
    <t>NE_base</t>
  </si>
  <si>
    <t>N_base</t>
  </si>
  <si>
    <t>SE_seco</t>
  </si>
  <si>
    <t>S_seco</t>
  </si>
  <si>
    <t>NE_seco</t>
  </si>
  <si>
    <t>N_seco</t>
  </si>
  <si>
    <t>SE_umido</t>
  </si>
  <si>
    <t>S_umido</t>
  </si>
  <si>
    <t>NE_umido</t>
  </si>
  <si>
    <t>N_umido</t>
  </si>
  <si>
    <t>&lt;DesconsideraVAZMIN&gt;0&lt;/DesconsideraVAZMIN&gt;</t>
  </si>
  <si>
    <t>&lt;!-- Nome padrão do arquivo de caso do caso NEWAVE. --&gt;</t>
  </si>
  <si>
    <t>Ena em Memória</t>
  </si>
  <si>
    <t>Cortes em Memória</t>
  </si>
  <si>
    <t>COD REE</t>
  </si>
  <si>
    <t>MD</t>
  </si>
  <si>
    <t>BM</t>
  </si>
  <si>
    <t>&lt;AlocaEnaEmMemoria&gt;0&lt;/AlocaEnaEmMemoria&gt;</t>
  </si>
  <si>
    <t>&lt;AlocaCortesEmMemoria&gt;0&lt;/AlocaCortesEmMemoria&gt;</t>
  </si>
  <si>
    <t>&lt;!-- Flag para utilização de alocação em memória da energia natural afluente --&gt;</t>
  </si>
  <si>
    <t>&lt;!-- Flag para utilização de alocação em memória dos cortes da função de custo futuro --&gt;</t>
  </si>
  <si>
    <t>Verão NW</t>
  </si>
  <si>
    <t>Posto</t>
  </si>
  <si>
    <t>Nome</t>
  </si>
  <si>
    <t>&lt;PLDMaximo&gt;822.83&lt;/PLDMaximo&gt;</t>
  </si>
  <si>
    <t>&lt;PLDMinimo&gt;15.62&lt;/PLDMinimo&gt;</t>
  </si>
  <si>
    <t>&lt;TipoSimulacaoFinal&gt;1&lt;/TipoSimulacaoFinal&gt;</t>
  </si>
  <si>
    <t>&lt;PrevisaoENA SubMercado="2" MesReferencia="1"&gt; 7271 8350 6999 6584 8561 9928 10915 10327 11999 13256 9358 7382 &lt;/PrevisaoENA&gt;</t>
  </si>
  <si>
    <t>&lt;PrevisaoENA SubMercado="3" MesReferencia="1"&gt; 7788 8191 8156 6641 4022 2653 2186 1904 1702 1866 3054 5616 &lt;/PrevisaoENA&gt;</t>
  </si>
  <si>
    <t>&lt;PrevisaoENA SubMercado="4" MesReferencia="1"&gt; 10038 13476 15677 15615 10498 5478 3334 2337 1807 1932 3065 5855 &lt;/PrevisaoENA&gt;</t>
  </si>
  <si>
    <t>&lt;PrevisaoENA SubMercado="6" MesReferencia="1"&gt; 0 0 0 0 0 0 0 0 0 0 0 0 &lt;/PrevisaoENA&gt;</t>
  </si>
  <si>
    <t>&lt;PrevisaoENA SubMercado="8" MesReferencia="1"&gt; 0 0 0 0 0 0 0 0 0 0 0 0 &lt;/PrevisaoENA&gt;</t>
  </si>
  <si>
    <t>&lt;VolumePO SubMercado="1" MesReferencia="1"&gt; 0.0 0.0 0.0 0.0 0.0 0.0 0.0 0.0 0.0 0.0 0.0 0.0 &lt;/VolumePO&gt;</t>
  </si>
  <si>
    <t>&lt;VolumePO SubMercado="2" MesReferencia="1"&gt; 0.0 0.0 0.0 0.0 0.0 0.0 0.0 0.0 0.0 0.0 0.0 0.0 &lt;/VolumePO&gt;</t>
  </si>
  <si>
    <t>&lt;VolumePO SubMercado="3" MesReferencia="1"&gt; 0.0 0.0 0.0 0.0 0.0 0.0 0.0 0.0 0.0 0.0 0.0 0.0 &lt;/VolumePO&gt;</t>
  </si>
  <si>
    <t>&lt;VolumePO SubMercado="4" MesReferencia="1"&gt; 0.0 0.0 0.0 0.0 0.0 0.0 0.0 0.0 0.0 0.0 0.0 0.0 &lt;/VolumePO&gt;</t>
  </si>
  <si>
    <t>&lt;VolumePO SubMercado="6" MesReferencia="1"&gt; 0.0 0.0 0.0 0.0 0.0 0.0 0.0 0.0 0.0 0.0 0.0 0.0 &lt;/VolumePO&gt;</t>
  </si>
  <si>
    <t>&lt;VolumePO SubMercado="8" MesReferencia="1"&gt; 0.0 0.0 0.0 0.0 0.0 0.0 0.0 0.0 0.0 0.0 0.0 0.0 &lt;/VolumePO&gt;</t>
  </si>
  <si>
    <t>&lt;Leitura&gt;0&lt;/Leitura&gt;</t>
  </si>
  <si>
    <t>&lt;UsarGerenciamentoPLS&gt;1&lt;/UsarGerenciamentoPLS&gt;</t>
  </si>
  <si>
    <t>&lt;ComunicarEmDoisNiveis&gt;1&lt;/ComunicarEmDoisNiveis&gt;</t>
  </si>
  <si>
    <t>&lt;ArquivosTemporarios&gt;0&lt;/ArquivosTemporarios&gt;</t>
  </si>
  <si>
    <t>/home/marco/PrevisaoPLD/4_resultados/201509_ago_c_seco_030815</t>
  </si>
  <si>
    <t>/home/marco/PrevisaoPLD/4_resultados/201509_ago_c_umido_030815</t>
  </si>
  <si>
    <t>201509_ago_c_umido_030815</t>
  </si>
  <si>
    <t>201509_ago_c_seco_030815</t>
  </si>
  <si>
    <t>/home/marco/PrevisaoPLD/3_decks_entrada/201508_ago_z_070815</t>
  </si>
  <si>
    <t>/home/marco/PrevisaoPLD/4_resultados/201508_ago_z_070815</t>
  </si>
  <si>
    <t xml:space="preserve">CAMARGOS   </t>
  </si>
  <si>
    <t xml:space="preserve">ITUTINGA   </t>
  </si>
  <si>
    <t xml:space="preserve">FURNAS     </t>
  </si>
  <si>
    <t>M. DE MORAE</t>
  </si>
  <si>
    <t xml:space="preserve">ESTREITO   </t>
  </si>
  <si>
    <t xml:space="preserve">JAGUARA    </t>
  </si>
  <si>
    <t xml:space="preserve">IGARAPAVA  </t>
  </si>
  <si>
    <t>VOLTA GRAND</t>
  </si>
  <si>
    <t>P. COLOMBIA</t>
  </si>
  <si>
    <t xml:space="preserve">CACONDE    </t>
  </si>
  <si>
    <t>E. DA CUNHA</t>
  </si>
  <si>
    <t>A.S.OLIVEIR</t>
  </si>
  <si>
    <t xml:space="preserve">MARIMBONDO </t>
  </si>
  <si>
    <t>A. VERMELHA</t>
  </si>
  <si>
    <t xml:space="preserve">BOCAINA    </t>
  </si>
  <si>
    <t xml:space="preserve">BATALHA    </t>
  </si>
  <si>
    <t>CORUMBA III</t>
  </si>
  <si>
    <t xml:space="preserve">EMBORCACAO </t>
  </si>
  <si>
    <t xml:space="preserve">NOVA PONTE </t>
  </si>
  <si>
    <t>CAPIM BRANC</t>
  </si>
  <si>
    <t xml:space="preserve">ITUMBIARA  </t>
  </si>
  <si>
    <t>CACH.DOURAD</t>
  </si>
  <si>
    <t xml:space="preserve">SAO SIMAO  </t>
  </si>
  <si>
    <t xml:space="preserve">I.SOLTEIRA </t>
  </si>
  <si>
    <t>BARRA BONIT</t>
  </si>
  <si>
    <t xml:space="preserve">A.S.LIMA   </t>
  </si>
  <si>
    <t xml:space="preserve">IBITINGA   </t>
  </si>
  <si>
    <t xml:space="preserve">PROMISSAO  </t>
  </si>
  <si>
    <t>NAVANHANDAV</t>
  </si>
  <si>
    <t xml:space="preserve">T.IRMAOS   </t>
  </si>
  <si>
    <t>I.SOLT. EQV</t>
  </si>
  <si>
    <t xml:space="preserve">JUPIA      </t>
  </si>
  <si>
    <t>P.PRIMAVERA</t>
  </si>
  <si>
    <t>A.A.LAYDNER</t>
  </si>
  <si>
    <t xml:space="preserve">PIRAJU     </t>
  </si>
  <si>
    <t xml:space="preserve">CHAVANTES  </t>
  </si>
  <si>
    <t>L.N. GARCEZ</t>
  </si>
  <si>
    <t xml:space="preserve">CANOAS II  </t>
  </si>
  <si>
    <t xml:space="preserve">CANOAS I   </t>
  </si>
  <si>
    <t xml:space="preserve">MAUA       </t>
  </si>
  <si>
    <t>SAO JERONIM</t>
  </si>
  <si>
    <t xml:space="preserve">CAPIVARA   </t>
  </si>
  <si>
    <t xml:space="preserve">TAQUARUCU  </t>
  </si>
  <si>
    <t xml:space="preserve">ROSANA     </t>
  </si>
  <si>
    <t>S GDE CHOPI</t>
  </si>
  <si>
    <t xml:space="preserve">ITAIPU     </t>
  </si>
  <si>
    <t xml:space="preserve">JORDAO     </t>
  </si>
  <si>
    <t>STA CLARA P</t>
  </si>
  <si>
    <t xml:space="preserve">FUNDAO     </t>
  </si>
  <si>
    <t xml:space="preserve">G.B.MUNHOZ </t>
  </si>
  <si>
    <t xml:space="preserve">SEGREDO    </t>
  </si>
  <si>
    <t>SLT.SANTIAG</t>
  </si>
  <si>
    <t>SALTO OSORI</t>
  </si>
  <si>
    <t xml:space="preserve">SAO JOAO   </t>
  </si>
  <si>
    <t>BAIXO IGUAC</t>
  </si>
  <si>
    <t>CACHOEIRINH</t>
  </si>
  <si>
    <t xml:space="preserve">PAI QUERE  </t>
  </si>
  <si>
    <t xml:space="preserve">SAO ROQUE  </t>
  </si>
  <si>
    <t xml:space="preserve">GARIBALDI  </t>
  </si>
  <si>
    <t xml:space="preserve">ITA        </t>
  </si>
  <si>
    <t>PASSO FUNDO</t>
  </si>
  <si>
    <t>FOZ CHAPECO</t>
  </si>
  <si>
    <t>MONTE CLARO</t>
  </si>
  <si>
    <t>CASTRO ALVE</t>
  </si>
  <si>
    <t xml:space="preserve">ESPORA     </t>
  </si>
  <si>
    <t xml:space="preserve">CUBATAO    </t>
  </si>
  <si>
    <t>SALTO PILAO</t>
  </si>
  <si>
    <t xml:space="preserve">SAO JOSE   </t>
  </si>
  <si>
    <t>PASSO SAO J</t>
  </si>
  <si>
    <t xml:space="preserve">TRAICAO    </t>
  </si>
  <si>
    <t xml:space="preserve">PEDREIRA   </t>
  </si>
  <si>
    <t xml:space="preserve">ERNESTINA  </t>
  </si>
  <si>
    <t xml:space="preserve">PASSO REAL </t>
  </si>
  <si>
    <t xml:space="preserve">JACUI      </t>
  </si>
  <si>
    <t xml:space="preserve">ITAUBA     </t>
  </si>
  <si>
    <t>D.FRANCISCA</t>
  </si>
  <si>
    <t xml:space="preserve">G.P.SOUZA  </t>
  </si>
  <si>
    <t xml:space="preserve">PEDRAS     </t>
  </si>
  <si>
    <t>GUARAPIRANG</t>
  </si>
  <si>
    <t xml:space="preserve">BILLINGS   </t>
  </si>
  <si>
    <t xml:space="preserve">JAGUARI    </t>
  </si>
  <si>
    <t xml:space="preserve">PARAIBUNA  </t>
  </si>
  <si>
    <t>SANTA BRANC</t>
  </si>
  <si>
    <t xml:space="preserve">FUNIL      </t>
  </si>
  <si>
    <t>STA CECILIA</t>
  </si>
  <si>
    <t xml:space="preserve">SIMPLICIO  </t>
  </si>
  <si>
    <t xml:space="preserve">ANTA_ARTF  </t>
  </si>
  <si>
    <t xml:space="preserve">ANTA       </t>
  </si>
  <si>
    <t xml:space="preserve">I. POMBOS  </t>
  </si>
  <si>
    <t>NILO PECANH</t>
  </si>
  <si>
    <t xml:space="preserve">LAJES      </t>
  </si>
  <si>
    <t>SALTO GRAND</t>
  </si>
  <si>
    <t xml:space="preserve">BAGUARI    </t>
  </si>
  <si>
    <t>MASCARENHAS</t>
  </si>
  <si>
    <t xml:space="preserve">RONDON II  </t>
  </si>
  <si>
    <t xml:space="preserve">AIMORES    </t>
  </si>
  <si>
    <t xml:space="preserve">CANDONGA   </t>
  </si>
  <si>
    <t>RETIRO BAIX</t>
  </si>
  <si>
    <t>TRES MARIAS</t>
  </si>
  <si>
    <t xml:space="preserve">QUEIMADO   </t>
  </si>
  <si>
    <t xml:space="preserve">ALTO TIET� </t>
  </si>
  <si>
    <t xml:space="preserve">E.SOUZA    </t>
  </si>
  <si>
    <t xml:space="preserve">SOBRADINHO </t>
  </si>
  <si>
    <t>ITAPARICA F</t>
  </si>
  <si>
    <t xml:space="preserve">ITAPARICA  </t>
  </si>
  <si>
    <t xml:space="preserve">MOXOTO     </t>
  </si>
  <si>
    <t>P.AFONSO 12</t>
  </si>
  <si>
    <t>COMP. MOXOT</t>
  </si>
  <si>
    <t xml:space="preserve">XINGO      </t>
  </si>
  <si>
    <t>SA CARVALHO</t>
  </si>
  <si>
    <t>COUTO MAGAL</t>
  </si>
  <si>
    <t xml:space="preserve">ITAPEBI    </t>
  </si>
  <si>
    <t>B. ESPERANC</t>
  </si>
  <si>
    <t xml:space="preserve">CANA BRAVA </t>
  </si>
  <si>
    <t xml:space="preserve">ROSAL      </t>
  </si>
  <si>
    <t xml:space="preserve">PICADA     </t>
  </si>
  <si>
    <t xml:space="preserve">SOBRAGI    </t>
  </si>
  <si>
    <t xml:space="preserve">ITAOCARA   </t>
  </si>
  <si>
    <t xml:space="preserve">TOCOS      </t>
  </si>
  <si>
    <t xml:space="preserve">SANTANA    </t>
  </si>
  <si>
    <t>CACH.CALDEI</t>
  </si>
  <si>
    <t xml:space="preserve">CORUMBA IV </t>
  </si>
  <si>
    <t xml:space="preserve">MIRANDA    </t>
  </si>
  <si>
    <t xml:space="preserve">CORUMBA I  </t>
  </si>
  <si>
    <t>FUNIL-GRAND</t>
  </si>
  <si>
    <t>BARRA GRAND</t>
  </si>
  <si>
    <t>CAMPOS NOVO</t>
  </si>
  <si>
    <t xml:space="preserve">MACHADINHO </t>
  </si>
  <si>
    <t xml:space="preserve">MONJOLINHO </t>
  </si>
  <si>
    <t>SALTO CAXIA</t>
  </si>
  <si>
    <t>SLT APIACAS</t>
  </si>
  <si>
    <t xml:space="preserve">SINOP      </t>
  </si>
  <si>
    <t xml:space="preserve">COLIDER    </t>
  </si>
  <si>
    <t>TELES PIRES</t>
  </si>
  <si>
    <t xml:space="preserve">SAO MANOEL </t>
  </si>
  <si>
    <t>SALTO DO RI</t>
  </si>
  <si>
    <t xml:space="preserve">CACU       </t>
  </si>
  <si>
    <t>BARRA DOS C</t>
  </si>
  <si>
    <t xml:space="preserve">OURINHOS   </t>
  </si>
  <si>
    <t>SERRA FACAO</t>
  </si>
  <si>
    <t>ITIQUIRA II</t>
  </si>
  <si>
    <t>SAO SALVADO</t>
  </si>
  <si>
    <t xml:space="preserve">P.CAVALO   </t>
  </si>
  <si>
    <t xml:space="preserve">IRAPE      </t>
  </si>
  <si>
    <t>PEIXE ANGIC</t>
  </si>
  <si>
    <t xml:space="preserve">MURTA      </t>
  </si>
  <si>
    <t xml:space="preserve">ITIQUIRA I </t>
  </si>
  <si>
    <t xml:space="preserve">FOZ DO RIO </t>
  </si>
  <si>
    <t>GUILMAN-AMO</t>
  </si>
  <si>
    <t xml:space="preserve">P. ESTRELA </t>
  </si>
  <si>
    <t xml:space="preserve">TRAIRA     </t>
  </si>
  <si>
    <t xml:space="preserve">BAU I      </t>
  </si>
  <si>
    <t xml:space="preserve">BALBINA    </t>
  </si>
  <si>
    <t xml:space="preserve">SERRA MESA </t>
  </si>
  <si>
    <t>ESTREITO TO</t>
  </si>
  <si>
    <t xml:space="preserve">LAJEADO    </t>
  </si>
  <si>
    <t>S. QUEBRADA</t>
  </si>
  <si>
    <t xml:space="preserve">TUCURUI    </t>
  </si>
  <si>
    <t>SANTA ISABE</t>
  </si>
  <si>
    <t xml:space="preserve">CURUA-UNA  </t>
  </si>
  <si>
    <t xml:space="preserve">MANSO      </t>
  </si>
  <si>
    <t xml:space="preserve">SAMUEL     </t>
  </si>
  <si>
    <t>COARACY NUN</t>
  </si>
  <si>
    <t>PONTE PEDRA</t>
  </si>
  <si>
    <t xml:space="preserve">OLHO DAGUA </t>
  </si>
  <si>
    <t>STA CLARA M</t>
  </si>
  <si>
    <t>14 DE JULHO</t>
  </si>
  <si>
    <t xml:space="preserve">JIRAU      </t>
  </si>
  <si>
    <t>QUEBRA QUEI</t>
  </si>
  <si>
    <t>STO ANTONIO</t>
  </si>
  <si>
    <t xml:space="preserve">BELO MONTE </t>
  </si>
  <si>
    <t xml:space="preserve">ITUMIRIM   </t>
  </si>
  <si>
    <t>STO ANT JAR</t>
  </si>
  <si>
    <t xml:space="preserve">DARDANELOS </t>
  </si>
  <si>
    <t xml:space="preserve">SALTO      </t>
  </si>
  <si>
    <t xml:space="preserve">JAURU      </t>
  </si>
  <si>
    <t xml:space="preserve">GUAPORE    </t>
  </si>
  <si>
    <t>FERREIRA GO</t>
  </si>
  <si>
    <t xml:space="preserve">VIGARIO    </t>
  </si>
  <si>
    <t>BILLINGS AN</t>
  </si>
  <si>
    <t xml:space="preserve">FONTES     </t>
  </si>
  <si>
    <t xml:space="preserve">P. PASSOS  </t>
  </si>
  <si>
    <t xml:space="preserve">ITAGUACU   </t>
  </si>
  <si>
    <t>BILLINGS_PE</t>
  </si>
  <si>
    <t>&lt;DeckInicial&gt;/home/marco/PrevisaoPLD/3_decks_entrada/201508_ago_z_070815&lt;/DeckInicial&gt;</t>
  </si>
  <si>
    <t>&lt;LocalSaida&gt;/home/marco/PrevisaoPLD/4_resultados/201508_ago_z_070815&lt;/LocalSaida&gt;</t>
  </si>
  <si>
    <t>&lt;MesesAvancar&gt;1&lt;/MesesAvancar&gt;</t>
  </si>
  <si>
    <t>&lt;PrevisaoENA SubMercado="1" MesReferencia="1"&gt; 55958 58546 54671 41439 29902 25526 21177 17683 17538 21100 26982 40916 &lt;/PrevisaoENA&gt;</t>
  </si>
  <si>
    <t>&lt;VolumeInicial SubMercado=""&gt; 0 &lt;/VolumeInicial&gt;</t>
  </si>
  <si>
    <t>&lt;ArquivoSaida&gt;201508_ago_z_070815&lt;/ArquivoSaida&gt;</t>
  </si>
  <si>
    <t>&lt;PrevisaoVAZAO Posto="1" MesReferencia="1"&gt; 49 100 99 72 51 38 31 35 29 24 56 69 &lt;/PrevisaoVAZAO&gt;</t>
  </si>
  <si>
    <t>&lt;PrevisaoVAZAO Posto="2" MesReferencia="1"&gt; 49 100 99 72 51 38 31 35 29 24 56 69 &lt;/PrevisaoVAZAO&gt;</t>
  </si>
  <si>
    <t>&lt;PrevisaoVAZAO Posto="6" MesReferencia="1"&gt; 307 596 804 527 389 328 257 224 154 100 294 544 &lt;/PrevisaoVAZAO&gt;</t>
  </si>
  <si>
    <t>&lt;PrevisaoVAZAO Posto="7" MesReferencia="1"&gt; 363 702 945 662 470 379 289 242 167 111 308 667 &lt;/PrevisaoVAZAO&gt;</t>
  </si>
  <si>
    <t>&lt;PrevisaoVAZAO Posto="8" MesReferencia="1"&gt; 376 727 977 695 489 392 296 248 172 113 310 695 &lt;/PrevisaoVAZAO&gt;</t>
  </si>
  <si>
    <t>&lt;PrevisaoVAZAO Posto="9" MesReferencia="1"&gt; 382 736 989 709 497 397 299 251 173 114 309 707 &lt;/PrevisaoVAZAO&gt;</t>
  </si>
  <si>
    <t>&lt;PrevisaoVAZAO Posto="10" MesReferencia="1"&gt; 399 764 1025 749 521 411 308 258 177 117 310 740 &lt;/PrevisaoVAZAO&gt;</t>
  </si>
  <si>
    <t>&lt;PrevisaoVAZAO Posto="11" MesReferencia="1"&gt; 435 826 1111 832 571 443 327 269 185 124 322 807 &lt;/PrevisaoVAZAO&gt;</t>
  </si>
  <si>
    <t>&lt;PrevisaoVAZAO Posto="12" MesReferencia="1"&gt; 511 943 1261 991 687 526 387 301 209 141 357 925 &lt;/PrevisaoVAZAO&gt;</t>
  </si>
  <si>
    <t>&lt;PrevisaoVAZAO Posto="14" MesReferencia="1"&gt; 23 31 42 30 23 20 17 13 13 8 18 45 &lt;/PrevisaoVAZAO&gt;</t>
  </si>
  <si>
    <t>&lt;PrevisaoVAZAO Posto="15" MesReferencia="1"&gt; 39 50 69 50 38 32 28 21 21 14 28 73 &lt;/PrevisaoVAZAO&gt;</t>
  </si>
  <si>
    <t>&lt;PrevisaoVAZAO Posto="16" MesReferencia="1"&gt; 39 50 70 50 39 33 29 21 22 14 29 74 &lt;/PrevisaoVAZAO&gt;</t>
  </si>
  <si>
    <t>&lt;PrevisaoVAZAO Posto="17" MesReferencia="1"&gt; 774 1305 1762 1434 1024 839 658 498 362 240 503 1304 &lt;/PrevisaoVAZAO&gt;</t>
  </si>
  <si>
    <t>&lt;PrevisaoVAZAO Posto="18" MesReferencia="1"&gt; 996 1562 2024 1695 1207 977 785 658 499 360 645 1585 &lt;/PrevisaoVAZAO&gt;</t>
  </si>
  <si>
    <t>&lt;PrevisaoVAZAO Posto="20" MesReferencia="1"&gt; 78 170 244 211 157 97 71 42 30 18 72 188 &lt;/PrevisaoVAZAO&gt;</t>
  </si>
  <si>
    <t>&lt;PrevisaoVAZAO Posto="22" MesReferencia="1"&gt; 57 80 169 154 102 59 42 25 21 8 45 125 &lt;/PrevisaoVAZAO&gt;</t>
  </si>
  <si>
    <t>&lt;PrevisaoVAZAO Posto="23" MesReferencia="1"&gt; 74 112 214 240 144 89 68 64 51 35 78 157 &lt;/PrevisaoVAZAO&gt;</t>
  </si>
  <si>
    <t>&lt;PrevisaoVAZAO Posto="24" MesReferencia="1"&gt; 220 483 692 599 444 274 200 133 92 50 204 532 &lt;/PrevisaoVAZAO&gt;</t>
  </si>
  <si>
    <t>&lt;PrevisaoVAZAO Posto="25" MesReferencia="1"&gt; 113 289 383 304 243 177 131 89 54 40 143 268 &lt;/PrevisaoVAZAO&gt;</t>
  </si>
  <si>
    <t>&lt;PrevisaoVAZAO Posto="28" MesReferencia="1"&gt; 123 303 404 334 259 188 140 97 58 42 135 305 &lt;/PrevisaoVAZAO&gt;</t>
  </si>
  <si>
    <t>&lt;PrevisaoVAZAO Posto="31" MesReferencia="1"&gt; 738 1373 2118 1999 1369 897 675 510 353 232 695 1687 &lt;/PrevisaoVAZAO&gt;</t>
  </si>
  <si>
    <t>&lt;PrevisaoVAZAO Posto="32" MesReferencia="1"&gt; 792 1462 2243 2134 1467 963 729 560 390 253 720 1807 &lt;/PrevisaoVAZAO&gt;</t>
  </si>
  <si>
    <t>&lt;PrevisaoVAZAO Posto="33" MesReferencia="1"&gt; 1300 2357 3555 3406 2371 1585 1244 1017 739 472 1106 2902 &lt;/PrevisaoVAZAO&gt;</t>
  </si>
  <si>
    <t>&lt;PrevisaoVAZAO Posto="34" MesReferencia="1"&gt; 3018 4910 6832 6222 4648 3305 2685 2170 1666 1205 2314 5601 &lt;/PrevisaoVAZAO&gt;</t>
  </si>
  <si>
    <t>&lt;PrevisaoVAZAO Posto="37" MesReferencia="1"&gt; 221 595 568 248 211 184 226 116 161 88 181 296 &lt;/PrevisaoVAZAO&gt;</t>
  </si>
  <si>
    <t>&lt;PrevisaoVAZAO Posto="38" MesReferencia="1"&gt; 271 647 631 292 249 225 268 144 187 108 217 343 &lt;/PrevisaoVAZAO&gt;</t>
  </si>
  <si>
    <t>&lt;PrevisaoVAZAO Posto="39" MesReferencia="1"&gt; 364 751 749 372 325 301 350 197 240 146 285 440 &lt;/PrevisaoVAZAO&gt;</t>
  </si>
  <si>
    <t>&lt;PrevisaoVAZAO Posto="40" MesReferencia="1"&gt; 430 876 869 455 424 395 452 242 284 190 352 569 &lt;/PrevisaoVAZAO&gt;</t>
  </si>
  <si>
    <t>&lt;PrevisaoVAZAO Posto="42" MesReferencia="1"&gt; 455 929 915 488 464 432 484 261 299 208 374 622 &lt;/PrevisaoVAZAO&gt;</t>
  </si>
  <si>
    <t>&lt;PrevisaoVAZAO Posto="43" MesReferencia="1"&gt; 475 967 960 526 493 458 502 278 294 230 361 649 &lt;/PrevisaoVAZAO&gt;</t>
  </si>
  <si>
    <t>&lt;PrevisaoVAZAO Posto="44" MesReferencia="1"&gt; 3493 5877 7792 6748 5141 3763 3187 2448 1960 1436 2675 6250 &lt;/PrevisaoVAZAO&gt;</t>
  </si>
  <si>
    <t>&lt;PrevisaoVAZAO Posto="45" MesReferencia="1"&gt; 3879 6426 8413 7364 5688 4336 3625 2804 2305 1726 3181 6939 &lt;/PrevisaoVAZAO&gt;</t>
  </si>
  <si>
    <t>&lt;PrevisaoVAZAO Posto="46" MesReferencia="1"&gt; 4866 7274 9324 8344 6729 5247 4640 3839 3218 2404 3806 7839 &lt;/PrevisaoVAZAO&gt;</t>
  </si>
  <si>
    <t>&lt;PrevisaoVAZAO Posto="47" MesReferencia="1"&gt; 170 326 357 203 201 154 242 127 141 108 149 229 &lt;/PrevisaoVAZAO&gt;</t>
  </si>
  <si>
    <t>&lt;PrevisaoVAZAO Posto="48" MesReferencia="1"&gt; 175 334 365 208 206 158 252 131 147 113 151 234 &lt;/PrevisaoVAZAO&gt;</t>
  </si>
  <si>
    <t>&lt;PrevisaoVAZAO Posto="49" MesReferencia="1"&gt; 263 506 518 306 311 234 465 199 284 197 208 328 &lt;/PrevisaoVAZAO&gt;</t>
  </si>
  <si>
    <t>&lt;PrevisaoVAZAO Posto="50" MesReferencia="1"&gt; 358 642 665 426 416 337 587 271 367 262 277 451 &lt;/PrevisaoVAZAO&gt;</t>
  </si>
  <si>
    <t>&lt;PrevisaoVAZAO Posto="51" MesReferencia="1"&gt; 365 652 676 437 425 345 597 278 373 268 282 460 &lt;/PrevisaoVAZAO&gt;</t>
  </si>
  <si>
    <t>&lt;PrevisaoVAZAO Posto="52" MesReferencia="1"&gt; 381 673 700 457 442 364 619 290 386 280 293 479 &lt;/PrevisaoVAZAO&gt;</t>
  </si>
  <si>
    <t>&lt;PrevisaoVAZAO Posto="57" MesReferencia="1"&gt; 388 293 334 236 355 361 987 242 434 385 210 336 &lt;/PrevisaoVAZAO&gt;</t>
  </si>
  <si>
    <t>&lt;PrevisaoVAZAO Posto="58" MesReferencia="1"&gt; 401 447 437 315 399 320 989 200 371 401 250 366 &lt;/PrevisaoVAZAO&gt;</t>
  </si>
  <si>
    <t>&lt;PrevisaoVAZAO Posto="61" MesReferencia="1"&gt; 1148 1529 1536 1060 1206 977 2512 784 1295 1047 771 1180 &lt;/PrevisaoVAZAO&gt;</t>
  </si>
  <si>
    <t>&lt;PrevisaoVAZAO Posto="62" MesReferencia="1"&gt; 1193 1572 1572 1105 1236 1015 2575 832 1303 1100 801 1217 &lt;/PrevisaoVAZAO&gt;</t>
  </si>
  <si>
    <t>&lt;PrevisaoVAZAO Posto="63" MesReferencia="1"&gt; 1318 1711 1721 1237 1353 1126 2801 945 1354 1224 885 1319 &lt;/PrevisaoVAZAO&gt;</t>
  </si>
  <si>
    <t>&lt;PrevisaoVAZAO Posto="65" MesReferencia="1"&gt; 192 115 118 54 76 141 405 57 180 243 98 51 &lt;/PrevisaoVAZAO&gt;</t>
  </si>
  <si>
    <t>&lt;PrevisaoVAZAO Posto="66" MesReferencia="1"&gt; 9099 11875 13895 12489 11375 9572 15403 7614 7662 7440 6967 11406 &lt;/PrevisaoVAZAO&gt;</t>
  </si>
  <si>
    <t>&lt;PrevisaoVAZAO Posto="70" MesReferencia="1"&gt; 12 12 10 10 10 12 260 16 56 64 10 10 &lt;/PrevisaoVAZAO&gt;</t>
  </si>
  <si>
    <t>&lt;PrevisaoVAZAO Posto="71" MesReferencia="1"&gt; 130 146 118 73 92 127 343 94 228 179 92 57 &lt;/PrevisaoVAZAO&gt;</t>
  </si>
  <si>
    <t>&lt;PrevisaoVAZAO Posto="72" MesReferencia="1"&gt; 141 154 125 78 99 139 361 103 245 192 97 61 &lt;/PrevisaoVAZAO&gt;</t>
  </si>
  <si>
    <t>&lt;PrevisaoVAZAO Posto="73" MesReferencia="1"&gt; 186 185 154 99 127 185 433 139 326 237 120 77 &lt;/PrevisaoVAZAO&gt;</t>
  </si>
  <si>
    <t>&lt;PrevisaoVAZAO Posto="74" MesReferencia="1"&gt; 1031 837 639 518 475 945 1600 593 1312 1088 569 592 &lt;/PrevisaoVAZAO&gt;</t>
  </si>
  <si>
    <t>&lt;PrevisaoVAZAO Posto="75" MesReferencia="1"&gt; 1448 1162 931 723 725 1360 2130 904 1941 1528 791 726 &lt;/PrevisaoVAZAO&gt;</t>
  </si>
  <si>
    <t>&lt;PrevisaoVAZAO Posto="76" MesReferencia="1"&gt; 1274 988 787 634 608 1186 1956 780 1671 1355 681 659 &lt;/PrevisaoVAZAO&gt;</t>
  </si>
  <si>
    <t>&lt;PrevisaoVAZAO Posto="77" MesReferencia="1"&gt; 1690 1294 1074 802 812 1532 2837 1021 2252 1905 908 780 &lt;/PrevisaoVAZAO&gt;</t>
  </si>
  <si>
    <t>&lt;PrevisaoVAZAO Posto="78" MesReferencia="1"&gt; 1786 1337 1129 836 834 1600 3006 1066 2286 2070 949 790 &lt;/PrevisaoVAZAO&gt;</t>
  </si>
  <si>
    <t>&lt;PrevisaoVAZAO Posto="80" MesReferencia="1"&gt; 123 74 76 35 49 90 260 37 116 156 63 33 &lt;/PrevisaoVAZAO&gt;</t>
  </si>
  <si>
    <t>&lt;PrevisaoVAZAO Posto="81" MesReferencia="1"&gt; 2509 1790 1576 1066 1130 2153 4467 1422 3318 2967 1320 882 &lt;/PrevisaoVAZAO&gt;</t>
  </si>
  <si>
    <t>&lt;PrevisaoVAZAO Posto="83" MesReferencia="1"&gt; 132 79 81 37 52 97 278 39 124 166 67 35 &lt;/PrevisaoVAZAO&gt;</t>
  </si>
  <si>
    <t>&lt;PrevisaoVAZAO Posto="85" MesReferencia="1"&gt; 186 154 108 105 82 201 497 106 244 301 109 142 &lt;/PrevisaoVAZAO&gt;</t>
  </si>
  <si>
    <t>&lt;PrevisaoVAZAO Posto="88" MesReferencia="1"&gt; 485 376 168 145 100 332 748 218 390 500 269 158 &lt;/PrevisaoVAZAO&gt;</t>
  </si>
  <si>
    <t>&lt;PrevisaoVAZAO Posto="89" MesReferencia="1"&gt; 562 442 197 176 125 404 868 282 484 609 326 255 &lt;/PrevisaoVAZAO&gt;</t>
  </si>
  <si>
    <t>&lt;PrevisaoVAZAO Posto="92" MesReferencia="1"&gt; 1933 1340 703 667 531 1454 3547 1214 2280 2108 947 862 &lt;/PrevisaoVAZAO&gt;</t>
  </si>
  <si>
    <t>&lt;PrevisaoVAZAO Posto="93" MesReferencia="1"&gt; 112 52 22 31 36 61 210 83 122 77 41 31 &lt;/PrevisaoVAZAO&gt;</t>
  </si>
  <si>
    <t>&lt;PrevisaoVAZAO Posto="94" MesReferencia="1"&gt; 2620 1654 858 812 695 1839 4741 1585 2874 2823 1201 968 &lt;/PrevisaoVAZAO&gt;</t>
  </si>
  <si>
    <t>&lt;PrevisaoVAZAO Posto="97" MesReferencia="1"&gt; 240 217 124 184 226 512 992 342 719 599 186 185 &lt;/PrevisaoVAZAO&gt;</t>
  </si>
  <si>
    <t>&lt;PrevisaoVAZAO Posto="98" MesReferencia="1"&gt; 142 149 86 100 146 325 643 204 412 352 104 92 &lt;/PrevisaoVAZAO&gt;</t>
  </si>
  <si>
    <t>&lt;PrevisaoVAZAO Posto="99" MesReferencia="1"&gt; 70 79 92 92 85 73 68 62 57 50 69 100 &lt;/PrevisaoVAZAO&gt;</t>
  </si>
  <si>
    <t>&lt;PrevisaoVAZAO Posto="100" MesReferencia="1"&gt; 5 6 6 5 4 4 4 3 4 5 5 5 &lt;/PrevisaoVAZAO&gt;</t>
  </si>
  <si>
    <t>&lt;PrevisaoVAZAO Posto="101" MesReferencia="1"&gt; 187 163 84 70 72 146 224 125 203 225 94 107 &lt;/PrevisaoVAZAO&gt;</t>
  </si>
  <si>
    <t>&lt;PrevisaoVAZAO Posto="102" MesReferencia="1"&gt; 563 282 148 237 270 451 754 407 740 656 357 253 &lt;/PrevisaoVAZAO&gt;</t>
  </si>
  <si>
    <t>&lt;PrevisaoVAZAO Posto="103" MesReferencia="1"&gt; 588 293 155 245 276 464 787 424 743 691 374 257 &lt;/PrevisaoVAZAO&gt;</t>
  </si>
  <si>
    <t>&lt;PrevisaoVAZAO Posto="104" MesReferencia="1"&gt; 37 62 64 34 40 34 37 30 34 25 29 53 &lt;/PrevisaoVAZAO&gt;</t>
  </si>
  <si>
    <t>&lt;PrevisaoVAZAO Posto="109" MesReferencia="1"&gt; 20 33 29 16 20 17 17 13 16 11 12 28 &lt;/PrevisaoVAZAO&gt;</t>
  </si>
  <si>
    <t>&lt;PrevisaoVAZAO Posto="110" MesReferencia="1"&gt; 70 44 23 49 46 64 113 53 115 85 47 49 &lt;/PrevisaoVAZAO&gt;</t>
  </si>
  <si>
    <t>&lt;PrevisaoVAZAO Posto="111" MesReferencia="1"&gt; 322 209 108 227 222 388 699 437 660 563 239 190 &lt;/PrevisaoVAZAO&gt;</t>
  </si>
  <si>
    <t>&lt;PrevisaoVAZAO Posto="112" MesReferencia="1"&gt; 327 212 110 229 224 393 707 440 668 571 242 194 &lt;/PrevisaoVAZAO&gt;</t>
  </si>
  <si>
    <t>&lt;PrevisaoVAZAO Posto="113" MesReferencia="1"&gt; 458 275 135 297 270 524 891 521 899 717 310 308 &lt;/PrevisaoVAZAO&gt;</t>
  </si>
  <si>
    <t>&lt;PrevisaoVAZAO Posto="114" MesReferencia="1"&gt; 602 344 164 373 321 673 1094 610 1170 871 385 435 &lt;/PrevisaoVAZAO&gt;</t>
  </si>
  <si>
    <t>&lt;PrevisaoVAZAO Posto="115" MesReferencia="1"&gt; 26 31 27 20 21 17 20 27 36 21 19 24 &lt;/PrevisaoVAZAO&gt;</t>
  </si>
  <si>
    <t>&lt;PrevisaoVAZAO Posto="116" MesReferencia="1"&gt; 4 8 7 3 4 4 4 3 3 2 2 6 &lt;/PrevisaoVAZAO&gt;</t>
  </si>
  <si>
    <t>&lt;PrevisaoVAZAO Posto="117" MesReferencia="1"&gt; 17 29 35 18 20 17 20 17 18 14 17 25 &lt;/PrevisaoVAZAO&gt;</t>
  </si>
  <si>
    <t>&lt;PrevisaoVAZAO Posto="118" MesReferencia="1"&gt; 20 33 29 16 20 17 17 13 16 11 12 28 &lt;/PrevisaoVAZAO&gt;</t>
  </si>
  <si>
    <t>&lt;PrevisaoVAZAO Posto="119" MesReferencia="1"&gt; 24 41 36 19 24 21 21 17 20 13 14 34 &lt;/PrevisaoVAZAO&gt;</t>
  </si>
  <si>
    <t>&lt;PrevisaoVAZAO Posto="120" MesReferencia="1"&gt; 9 34 33 15 13 13 11 9 10 5 11 14 &lt;/PrevisaoVAZAO&gt;</t>
  </si>
  <si>
    <t>&lt;PrevisaoVAZAO Posto="121" MesReferencia="1"&gt; 29 74 62 44 38 39 31 29 31 22 27 33 &lt;/PrevisaoVAZAO&gt;</t>
  </si>
  <si>
    <t>&lt;PrevisaoVAZAO Posto="122" MesReferencia="1"&gt; 33 85 75 52 43 43 35 32 32 24 31 38 &lt;/PrevisaoVAZAO&gt;</t>
  </si>
  <si>
    <t>&lt;PrevisaoVAZAO Posto="123" MesReferencia="1"&gt; 90 234 235 145 107 101 81 68 62 44 75 105 &lt;/PrevisaoVAZAO&gt;</t>
  </si>
  <si>
    <t>&lt;PrevisaoVAZAO Posto="125" MesReferencia="1"&gt; 128 282 277 182 128 118 93 94 97 82 116 146 &lt;/PrevisaoVAZAO&gt;</t>
  </si>
  <si>
    <t>&lt;PrevisaoVAZAO Posto="126" MesReferencia="1"&gt; 63 199 185 124 62 38 20 25 3 0 61 84 &lt;/PrevisaoVAZAO&gt;</t>
  </si>
  <si>
    <t>&lt;PrevisaoVAZAO Posto="127" MesReferencia="1"&gt; 153 289 275 214 152 128 110 125 102 89 151 174 &lt;/PrevisaoVAZAO&gt;</t>
  </si>
  <si>
    <t>&lt;PrevisaoVAZAO Posto="129" MesReferencia="1"&gt; 239 466 457 345 245 213 176 191 169 145 233 275 &lt;/PrevisaoVAZAO&gt;</t>
  </si>
  <si>
    <t>&lt;PrevisaoVAZAO Posto="130" MesReferencia="1"&gt; 257 496 487 378 270 237 199 215 189 159 257 305 &lt;/PrevisaoVAZAO&gt;</t>
  </si>
  <si>
    <t>&lt;PrevisaoVAZAO Posto="131" MesReferencia="1"&gt; 82 144 144 119 84 77 60 61 63 52 76 94 &lt;/PrevisaoVAZAO&gt;</t>
  </si>
  <si>
    <t>&lt;PrevisaoVAZAO Posto="132" MesReferencia="1"&gt; 6 17 21 17 12 11 8 8 7 5 8 10 &lt;/PrevisaoVAZAO&gt;</t>
  </si>
  <si>
    <t>&lt;PrevisaoVAZAO Posto="134" MesReferencia="1"&gt; 40 99 85 86 70 50 37 39 29 39 98 141 &lt;/PrevisaoVAZAO&gt;</t>
  </si>
  <si>
    <t>&lt;PrevisaoVAZAO Posto="141" MesReferencia="1"&gt; 144 291 264 245 226 171 131 169 128 126 282 463 &lt;/PrevisaoVAZAO&gt;</t>
  </si>
  <si>
    <t>&lt;PrevisaoVAZAO Posto="144" MesReferencia="1"&gt; 217 428 366 356 362 278 195 291 210 192 429 745 &lt;/PrevisaoVAZAO&gt;</t>
  </si>
  <si>
    <t>&lt;PrevisaoVAZAO Posto="145" MesReferencia="1"&gt; 133 161 171 159 131 80 62 61 70 73 124 142 &lt;/PrevisaoVAZAO&gt;</t>
  </si>
  <si>
    <t>&lt;PrevisaoVAZAO Posto="148" MesReferencia="1"&gt; 193 382 332 319 317 242 173 250 183 169 375 655 &lt;/PrevisaoVAZAO&gt;</t>
  </si>
  <si>
    <t>&lt;PrevisaoVAZAO Posto="149" MesReferencia="1"&gt; 50 87 89 70 59 47 43 51 42 39 80 117 &lt;/PrevisaoVAZAO&gt;</t>
  </si>
  <si>
    <t>&lt;PrevisaoVAZAO Posto="155" MesReferencia="1"&gt; 24 91 132 59 42 32 22 35 15 11 32 65 &lt;/PrevisaoVAZAO&gt;</t>
  </si>
  <si>
    <t>&lt;PrevisaoVAZAO Posto="156" MesReferencia="1"&gt; 148 563 828 460 289 192 138 84 52 35 218 460 &lt;/PrevisaoVAZAO&gt;</t>
  </si>
  <si>
    <t>&lt;PrevisaoVAZAO Posto="158" MesReferencia="1"&gt; 19 28 49 73 53 37 30 21 18 13 24 36 &lt;/PrevisaoVAZAO&gt;</t>
  </si>
  <si>
    <t>&lt;PrevisaoVAZAO Posto="160" MesReferencia="1"&gt; 10 11 7 7 6 7 5 8 9 7 7 9 &lt;/PrevisaoVAZAO&gt;</t>
  </si>
  <si>
    <t>&lt;PrevisaoVAZAO Posto="161" MesReferencia="1"&gt; 133 222 192 77 71 56 74 53 70 30 81 144 &lt;/PrevisaoVAZAO&gt;</t>
  </si>
  <si>
    <t>&lt;PrevisaoVAZAO Posto="164" MesReferencia="1"&gt; 96 160 128 43 31 22 37 23 36 5 52 91 &lt;/PrevisaoVAZAO&gt;</t>
  </si>
  <si>
    <t>&lt;PrevisaoVAZAO Posto="168" MesReferencia="1"&gt; 906 1028 1182 1367 1044 567 458 494 436 351 626 1668 &lt;/PrevisaoVAZAO&gt;</t>
  </si>
  <si>
    <t>&lt;PrevisaoVAZAO Posto="169" MesReferencia="1"&gt; 1106 1523 1788 2209 1425 816 639 611 512 395 753 2207 &lt;/PrevisaoVAZAO&gt;</t>
  </si>
  <si>
    <t>&lt;PrevisaoVAZAO Posto="171" MesReferencia="1"&gt; 0 0 0 0 0 0 0 0 0 0 0 0 &lt;/PrevisaoVAZAO&gt;</t>
  </si>
  <si>
    <t>&lt;PrevisaoVAZAO Posto="172" MesReferencia="1"&gt; 1216 1422 1787 2292 1447 840 645 615 519 403 706 2149 &lt;/PrevisaoVAZAO&gt;</t>
  </si>
  <si>
    <t>&lt;PrevisaoVAZAO Posto="173" MesReferencia="1"&gt; 1216 1422 1787 2292 1447 840 645 599 509 403 702 2242 &lt;/PrevisaoVAZAO&gt;</t>
  </si>
  <si>
    <t>&lt;PrevisaoVAZAO Posto="175" MesReferencia="1"&gt; 1216 1422 1787 2292 1447 840 645 599 509 403 702 2242 &lt;/PrevisaoVAZAO&gt;</t>
  </si>
  <si>
    <t>&lt;PrevisaoVAZAO Posto="176" MesReferencia="1"&gt; 1216 1422 1787 2292 1447 840 645 599 509 403 702 2242 &lt;/PrevisaoVAZAO&gt;</t>
  </si>
  <si>
    <t>&lt;PrevisaoVAZAO Posto="178" MesReferencia="1"&gt; 1279 1356 1786 2323 1456 855 648 601 512 407 671 2116 &lt;/PrevisaoVAZAO&gt;</t>
  </si>
  <si>
    <t>&lt;PrevisaoVAZAO Posto="183" MesReferencia="1"&gt; 21 45 46 38 37 26 20 25 20 21 47 70 &lt;/PrevisaoVAZAO&gt;</t>
  </si>
  <si>
    <t>&lt;PrevisaoVAZAO Posto="187" MesReferencia="1"&gt; 122 123 122 101 87 77 68 62 61 68 86 112 &lt;/PrevisaoVAZAO&gt;</t>
  </si>
  <si>
    <t>&lt;PrevisaoVAZAO Posto="188" MesReferencia="1"&gt; 52 150 128 117 84 57 50 44 23 25 248 301 &lt;/PrevisaoVAZAO&gt;</t>
  </si>
  <si>
    <t>&lt;PrevisaoVAZAO Posto="190" MesReferencia="1"&gt; 307 511 513 412 418 259 231 193 181 190 299 402 &lt;/PrevisaoVAZAO&gt;</t>
  </si>
  <si>
    <t>&lt;PrevisaoVAZAO Posto="191" MesReferencia="1"&gt; 399 900 1032 988 674 363 263 178 153 137 407 943 &lt;/PrevisaoVAZAO&gt;</t>
  </si>
  <si>
    <t>&lt;PrevisaoVAZAO Posto="196" MesReferencia="1"&gt; 6 8 15 14 23 16 11 12 9 9 24 26 &lt;/PrevisaoVAZAO&gt;</t>
  </si>
  <si>
    <t>&lt;PrevisaoVAZAO Posto="197" MesReferencia="1"&gt; 15 31 28 21 16 13 10 13 11 10 21 18 &lt;/PrevisaoVAZAO&gt;</t>
  </si>
  <si>
    <t>&lt;PrevisaoVAZAO Posto="198" MesReferencia="1"&gt; 31 52 52 42 32 27 25 34 29 21 45 38 &lt;/PrevisaoVAZAO&gt;</t>
  </si>
  <si>
    <t>&lt;PrevisaoVAZAO Posto="199" MesReferencia="1"&gt; 269 519 510 396 283 248 208 225 198 166 269 381 &lt;/PrevisaoVAZAO&gt;</t>
  </si>
  <si>
    <t>&lt;PrevisaoVAZAO Posto="201" MesReferencia="1"&gt; 4 12 15 12 9 8 6 6 4 4 6 7 &lt;/PrevisaoVAZAO&gt;</t>
  </si>
  <si>
    <t>&lt;PrevisaoVAZAO Posto="202" MesReferencia="1"&gt; 2 5 6 5 3 3 2 2 2 1 2 3 &lt;/PrevisaoVAZAO&gt;</t>
  </si>
  <si>
    <t>&lt;PrevisaoVAZAO Posto="203" MesReferencia="1"&gt; 6 17 22 17 13 11 8 8 7 5 9 10 &lt;/PrevisaoVAZAO&gt;</t>
  </si>
  <si>
    <t>&lt;PrevisaoVAZAO Posto="204" MesReferencia="1"&gt; 280 878 1643 2003 2703 1611 1163 872 486 356 219 218 &lt;/PrevisaoVAZAO&gt;</t>
  </si>
  <si>
    <t>&lt;PrevisaoVAZAO Posto="205" MesReferencia="1"&gt; 56 92 174 192 113 69 53 51 41 29 63 123 &lt;/PrevisaoVAZAO&gt;</t>
  </si>
  <si>
    <t>&lt;PrevisaoVAZAO Posto="206" MesReferencia="1"&gt; 120 300 400 323 253 184 137 93 57 42 143 290 &lt;/PrevisaoVAZAO&gt;</t>
  </si>
  <si>
    <t>&lt;PrevisaoVAZAO Posto="207" MesReferencia="1"&gt; 121 301 401 326 255 186 138 94 57 42 140 294 &lt;/PrevisaoVAZAO&gt;</t>
  </si>
  <si>
    <t>&lt;PrevisaoVAZAO Posto="209" MesReferencia="1"&gt; 233 297 591 657 421 262 200 179 135 97 218 462 &lt;/PrevisaoVAZAO&gt;</t>
  </si>
  <si>
    <t>&lt;PrevisaoVAZAO Posto="211" MesReferencia="1"&gt; 114 236 283 191 135 102 81 81 63 47 144 180 &lt;/PrevisaoVAZAO&gt;</t>
  </si>
  <si>
    <t>&lt;PrevisaoVAZAO Posto="215" MesReferencia="1"&gt; 349 290 202 197 154 377 933 312 716 566 204 267 &lt;/PrevisaoVAZAO&gt;</t>
  </si>
  <si>
    <t>&lt;PrevisaoVAZAO Posto="216" MesReferencia="1"&gt; 605 500 238 201 146 450 1001 332 520 681 371 281 &lt;/PrevisaoVAZAO&gt;</t>
  </si>
  <si>
    <t>&lt;PrevisaoVAZAO Posto="217" MesReferencia="1"&gt; 1288 1011 560 542 392 1023 2371 897 1531 1541 756 697 &lt;/PrevisaoVAZAO&gt;</t>
  </si>
  <si>
    <t>&lt;PrevisaoVAZAO Posto="220" MesReferencia="1"&gt; 193 88 38 53 62 104 362 142 206 136 71 52 &lt;/PrevisaoVAZAO&gt;</t>
  </si>
  <si>
    <t>&lt;PrevisaoVAZAO Posto="222" MesReferencia="1"&gt; 2321 1656 1458 986 1045 1992 4133 1316 3070 2745 1221 933 &lt;/PrevisaoVAZAO&gt;</t>
  </si>
  <si>
    <t>&lt;PrevisaoVAZAO Posto="225" MesReferencia="1"&gt; 379 470 506 370 183 72 39 25 20 31 76 212 &lt;/PrevisaoVAZAO&gt;</t>
  </si>
  <si>
    <t>&lt;PrevisaoVAZAO Posto="227" MesReferencia="1"&gt; 1154 1452 1667 1496 1193 739 560 454 435 484 592 1066 &lt;/PrevisaoVAZAO&gt;</t>
  </si>
  <si>
    <t>&lt;PrevisaoVAZAO Posto="228" MesReferencia="1"&gt; 1262 1584 1821 1633 1299 807 610 496 476 530 646 1164 &lt;/PrevisaoVAZAO&gt;</t>
  </si>
  <si>
    <t>&lt;PrevisaoVAZAO Posto="229" MesReferencia="1"&gt; 2736 3807 4659 4374 3497 1717 1140 877 812 897 1111 2488 &lt;/PrevisaoVAZAO&gt;</t>
  </si>
  <si>
    <t>&lt;PrevisaoVAZAO Posto="230" MesReferencia="1"&gt; 2760 3841 4701 4414 3528 1732 1150 885 820 905 1120 2510 &lt;/PrevisaoVAZAO&gt;</t>
  </si>
  <si>
    <t>&lt;PrevisaoVAZAO Posto="237" MesReferencia="1"&gt; 268 673 645 286 254 220 267 148 198 113 215 358 &lt;/PrevisaoVAZAO&gt;</t>
  </si>
  <si>
    <t>&lt;PrevisaoVAZAO Posto="238" MesReferencia="1"&gt; 318 725 708 330 292 261 309 176 224 134 251 405 &lt;/PrevisaoVAZAO&gt;</t>
  </si>
  <si>
    <t>&lt;PrevisaoVAZAO Posto="239" MesReferencia="1"&gt; 411 829 826 410 368 337 391 229 277 171 319 502 &lt;/PrevisaoVAZAO&gt;</t>
  </si>
  <si>
    <t>&lt;PrevisaoVAZAO Posto="240" MesReferencia="1"&gt; 477 954 946 493 467 431 493 274 321 215 386 631 &lt;/PrevisaoVAZAO&gt;</t>
  </si>
  <si>
    <t>&lt;PrevisaoVAZAO Posto="241" MesReferencia="1"&gt; 153 193 267 238 205 156 147 124 120 101 149 255 &lt;/PrevisaoVAZAO&gt;</t>
  </si>
  <si>
    <t>&lt;PrevisaoVAZAO Posto="242" MesReferencia="1"&gt; 502 1007 992 526 507 468 525 293 336 233 408 684 &lt;/PrevisaoVAZAO&gt;</t>
  </si>
  <si>
    <t>&lt;PrevisaoVAZAO Posto="243" MesReferencia="1"&gt; 522 1045 1037 564 536 494 543 310 331 256 395 711 &lt;/PrevisaoVAZAO&gt;</t>
  </si>
  <si>
    <t>&lt;PrevisaoVAZAO Posto="244" MesReferencia="1"&gt; 3540 5955 7869 6786 5184 3799 3228 2480 1997 1461 2709 6312 &lt;/PrevisaoVAZAO&gt;</t>
  </si>
  <si>
    <t>&lt;PrevisaoVAZAO Posto="245" MesReferencia="1"&gt; 3926 6504 8490 7402 5731 4372 3666 2836 2342 1751 3215 7001 &lt;/PrevisaoVAZAO&gt;</t>
  </si>
  <si>
    <t>&lt;PrevisaoVAZAO Posto="246" MesReferencia="1"&gt; 4913 7352 9401 8382 6772 5283 4681 3871 3255 2429 3840 7901 &lt;/PrevisaoVAZAO&gt;</t>
  </si>
  <si>
    <t>&lt;PrevisaoVAZAO Posto="247" MesReferencia="1"&gt; 149 211 335 260 215 150 126 92 88 72 136 279 &lt;/PrevisaoVAZAO&gt;</t>
  </si>
  <si>
    <t>&lt;PrevisaoVAZAO Posto="248" MesReferencia="1"&gt; 156 219 348 272 224 157 131 95 91 75 140 291 &lt;/PrevisaoVAZAO&gt;</t>
  </si>
  <si>
    <t>&lt;PrevisaoVAZAO Posto="249" MesReferencia="1"&gt; 267 510 524 312 315 238 470 203 285 201 210 332 &lt;/PrevisaoVAZAO&gt;</t>
  </si>
  <si>
    <t>&lt;PrevisaoVAZAO Posto="251" MesReferencia="1"&gt; 93 130 274 250 166 96 69 46 32 14 72 204 &lt;/PrevisaoVAZAO&gt;</t>
  </si>
  <si>
    <t>&lt;PrevisaoVAZAO Posto="252" MesReferencia="1"&gt; 92 101 109 75 72 69 64 48 47 46 73 163 &lt;/PrevisaoVAZAO&gt;</t>
  </si>
  <si>
    <t>&lt;PrevisaoVAZAO Posto="253" MesReferencia="1"&gt; 444 963 1125 1095 758 395 280 195 167 146 434 1035 &lt;/PrevisaoVAZAO&gt;</t>
  </si>
  <si>
    <t>&lt;PrevisaoVAZAO Posto="254" MesReferencia="1"&gt; 39 80 62 117 140 54 63 18 12 10 79 248 &lt;/PrevisaoVAZAO&gt;</t>
  </si>
  <si>
    <t>&lt;PrevisaoVAZAO Posto="255" MesReferencia="1"&gt; 17 84 57 55 29 15 11 17 7 22 114 112 &lt;/PrevisaoVAZAO&gt;</t>
  </si>
  <si>
    <t>&lt;PrevisaoVAZAO Posto="257" MesReferencia="1"&gt; 784 1547 1877 1948 1335 618 411 312 284 255 708 1714 &lt;/PrevisaoVAZAO&gt;</t>
  </si>
  <si>
    <t>&lt;PrevisaoVAZAO Posto="258" MesReferencia="1"&gt; 22 92 66 63 36 20 16 21 9 22 131 200 &lt;/PrevisaoVAZAO&gt;</t>
  </si>
  <si>
    <t>&lt;PrevisaoVAZAO Posto="259" MesReferencia="1"&gt; 92 101 109 75 72 69 64 48 47 46 73 163 &lt;/PrevisaoVAZAO&gt;</t>
  </si>
  <si>
    <t>&lt;PrevisaoVAZAO Posto="261" MesReferencia="1"&gt; 168 231 368 297 240 171 142 105 96 81 137 318 &lt;/PrevisaoVAZAO&gt;</t>
  </si>
  <si>
    <t>&lt;PrevisaoVAZAO Posto="262" MesReferencia="1"&gt; 20 42 44 36 34 24 18 23 18 19 45 64 &lt;/PrevisaoVAZAO&gt;</t>
  </si>
  <si>
    <t>&lt;PrevisaoVAZAO Posto="263" MesReferencia="1"&gt; 42 102 86 88 73 52 39 41 30 40 101 147 &lt;/PrevisaoVAZAO&gt;</t>
  </si>
  <si>
    <t>&lt;PrevisaoVAZAO Posto="265" MesReferencia="1"&gt; 8 15 11 13 15 12 7 12 9 7 15 33 &lt;/PrevisaoVAZAO&gt;</t>
  </si>
  <si>
    <t>&lt;PrevisaoVAZAO Posto="266" MesReferencia="1"&gt; 9146 11953 13972 12527 11418 9608 15444 7716 7828 7465 7001 11468 &lt;/PrevisaoVAZAO&gt;</t>
  </si>
  <si>
    <t>&lt;PrevisaoVAZAO Posto="267" MesReferencia="1"&gt; 50 86 88 69 59 47 43 46 38 39 79 116 &lt;/PrevisaoVAZAO&gt;</t>
  </si>
  <si>
    <t>&lt;PrevisaoVAZAO Posto="269" MesReferencia="1"&gt; 615 562 886 885 1312 772 534 476 300 597 445 422 &lt;/PrevisaoVAZAO&gt;</t>
  </si>
  <si>
    <t>&lt;PrevisaoVAZAO Posto="270" MesReferencia="1"&gt; 354 830 936 878 596 333 246 163 139 125 375 853 &lt;/PrevisaoVAZAO&gt;</t>
  </si>
  <si>
    <t>&lt;PrevisaoVAZAO Posto="271" MesReferencia="1"&gt; 2647 3944 4863 5186 4387 1788 1225 987 898 950 1855 3679 &lt;/PrevisaoVAZAO&gt;</t>
  </si>
  <si>
    <t>&lt;PrevisaoVAZAO Posto="273" MesReferencia="1"&gt; 1166 2097 2651 2824 2039 881 554 446 400 355 954 2412 &lt;/PrevisaoVAZAO&gt;</t>
  </si>
  <si>
    <t>&lt;PrevisaoVAZAO Posto="274" MesReferencia="1"&gt; 3236 4400 6074 7054 5769 2504 1319 840 732 744 1534 3520 &lt;/PrevisaoVAZAO&gt;</t>
  </si>
  <si>
    <t>&lt;PrevisaoVAZAO Posto="275" MesReferencia="1"&gt; 9506 11379 16445 19871 17070 7420 3638 2022 1739 1923 3292 6876 &lt;/PrevisaoVAZAO&gt;</t>
  </si>
  <si>
    <t>&lt;PrevisaoVAZAO Posto="276" MesReferencia="1"&gt; 5294 5892 8756 10820 9541 4151 1958 1117 941 995 1484 2833 &lt;/PrevisaoVAZAO&gt;</t>
  </si>
  <si>
    <t>&lt;PrevisaoVAZAO Posto="277" MesReferencia="1"&gt; 156 222 307 301 281 206 142 186 165 166 155 110 &lt;/PrevisaoVAZAO&gt;</t>
  </si>
  <si>
    <t>&lt;PrevisaoVAZAO Posto="278" MesReferencia="1"&gt; 120 284 287 281 143 78 71 63 69 86 156 403 &lt;/PrevisaoVAZAO&gt;</t>
  </si>
  <si>
    <t>&lt;PrevisaoVAZAO Posto="279" MesReferencia="1"&gt; 678 674 999 902 762 315 117 62 77 95 162 616 &lt;/PrevisaoVAZAO&gt;</t>
  </si>
  <si>
    <t>&lt;PrevisaoVAZAO Posto="280" MesReferencia="1"&gt; 281 881 1648 2009 2711 1616 1167 875 488 357 220 218 &lt;/PrevisaoVAZAO&gt;</t>
  </si>
  <si>
    <t>&lt;PrevisaoVAZAO Posto="281" MesReferencia="1"&gt; 90 94 97 93 91 80 75 74 76 65 81 120 &lt;/PrevisaoVAZAO&gt;</t>
  </si>
  <si>
    <t>&lt;PrevisaoVAZAO Posto="282" MesReferencia="1"&gt; 86 97 113 113 104 89 83 69 64 61 85 123 &lt;/PrevisaoVAZAO&gt;</t>
  </si>
  <si>
    <t>&lt;PrevisaoVAZAO Posto="283" MesReferencia="1"&gt; 24 23 33 20 28 25 25 33 15 28 133 106 &lt;/PrevisaoVAZAO&gt;</t>
  </si>
  <si>
    <t>&lt;PrevisaoVAZAO Posto="284" MesReferencia="1"&gt; 252 225 129 195 235 537 1036 359 744 640 197 196 &lt;/PrevisaoVAZAO&gt;</t>
  </si>
  <si>
    <t>&lt;PrevisaoVAZAO Posto="285" MesReferencia="1"&gt; 29787 35922 39994 33176 34444 28870 20211 10741 6138 5705 7902 16439 &lt;/PrevisaoVAZAO&gt;</t>
  </si>
  <si>
    <t>&lt;PrevisaoVAZAO Posto="286" MesReferencia="1"&gt; 132 73 52 41 73 167 238 103 170 195 56 47 &lt;/PrevisaoVAZAO&gt;</t>
  </si>
  <si>
    <t>&lt;PrevisaoVAZAO Posto="287" MesReferencia="1"&gt; 29863 36274 40743 33762 34970 29694 20675 11213 6223 5855 7804 16356 &lt;/PrevisaoVAZAO&gt;</t>
  </si>
  <si>
    <t>&lt;PrevisaoVAZAO Posto="288" MesReferencia="1"&gt; 8125 13406 18188 21466 15553 7399 2952 1429 983 1115 1908 3893 &lt;/PrevisaoVAZAO&gt;</t>
  </si>
  <si>
    <t>&lt;PrevisaoVAZAO Posto="289" MesReferencia="1"&gt; 56 64 74 74 69 59 55 45 42 40 56 81 &lt;/PrevisaoVAZAO&gt;</t>
  </si>
  <si>
    <t>&lt;PrevisaoVAZAO Posto="290" MesReferencia="1"&gt; 265 810 1595 1871 2438 1740 1170 1302 714 433 224 228 &lt;/PrevisaoVAZAO&gt;</t>
  </si>
  <si>
    <t>&lt;PrevisaoVAZAO Posto="291" MesReferencia="1"&gt; 208 468 815 707 477 252 131 80 55 41 93 206 &lt;/PrevisaoVAZAO&gt;</t>
  </si>
  <si>
    <t>&lt;PrevisaoVAZAO Posto="292" MesReferencia="1"&gt; 7025 11806 14929 15442 12640 5794 1850 622 312 428 1111 2993 &lt;/PrevisaoVAZAO&gt;</t>
  </si>
  <si>
    <t>&lt;PrevisaoVAZAO Posto="293" MesReferencia="1"&gt; 1669 2538 4532 7527 4002 2123 1308 907 740 765 931 1173 &lt;/PrevisaoVAZAO&gt;</t>
  </si>
  <si>
    <t>&lt;PrevisaoVAZAO Posto="294" MesReferencia="1"&gt; 140 179 249 216 187 142 135 112 112 92 141 232 &lt;/PrevisaoVAZAO&gt;</t>
  </si>
  <si>
    <t>&lt;PrevisaoVAZAO Posto="295" MesReferencia="1"&gt; 86 79 88 88 85 76 68 76 76 73 77 87 &lt;/PrevisaoVAZAO&gt;</t>
  </si>
  <si>
    <t>&lt;PrevisaoVAZAO Posto="296" MesReferencia="1"&gt; 39 37 39 43 41 37 34 35 35 34 36 39 &lt;/PrevisaoVAZAO&gt;</t>
  </si>
  <si>
    <t>&lt;PrevisaoVAZAO Posto="297" MesReferencia="1"&gt; 313 861 1663 2027 2735 1631 1177 938 501 375 229 238 &lt;/PrevisaoVAZAO&gt;</t>
  </si>
  <si>
    <t>&lt;PrevisaoVAZAO Posto="298" MesReferencia="1"&gt; 80 160 160 114 80 74 58 59 60 51 73 91 &lt;/PrevisaoVAZAO&gt;</t>
  </si>
  <si>
    <t>&lt;PrevisaoVAZAO Posto="299" MesReferencia="1"&gt; 171 319 305 247 177 152 133 148 122 103 175 204 &lt;/PrevisaoVAZAO&gt;</t>
  </si>
  <si>
    <t>&lt;PrevisaoVAZAO Posto="300" MesReferencia="1"&gt; 0 0 0 0 0 0 0 0 0 0 0 0 &lt;/PrevisaoVAZAO&gt;</t>
  </si>
  <si>
    <t>&lt;PrevisaoVAZAO Posto="301" MesReferencia="1"&gt; 20 33 29 16 20 17 17 13 16 11 12 28 &lt;/PrevisaoVAZAO&gt;</t>
  </si>
  <si>
    <t>&lt;PrevisaoVAZAO Posto="302" MesReferencia="1"&gt; 1232 2641 6228 10039 4806 1605 1101 807 671 687 797 900 &lt;/PrevisaoVAZAO&gt;</t>
  </si>
  <si>
    <t>&lt;PrevisaoVAZAO Posto="303" MesReferencia="1"&gt; 6 38 40 17 12 11 8 8 7 5 8 10 &lt;/PrevisaoVAZAO&gt;</t>
  </si>
  <si>
    <t>&lt;PrevisaoVAZAO Posto="304" MesReferencia="1"&gt; 0 0 0 0 0 0 0 0 0 0 0 0 &lt;/PrevisaoVAZAO&gt;</t>
  </si>
  <si>
    <t>&lt;PrevisaoVAZAO Posto="306" MesReferencia="1"&gt; 88 182 184 136 96 88 68 62 63 57 84 104 &lt;/PrevisaoVAZAO&gt;</t>
  </si>
  <si>
    <t>&lt;PrevisaoVAZAO Posto="313" MesReferencia="1"&gt; 320 358 362 280 196 154 129 124 126 142 184 258 &lt;/PrevisaoVAZAO&gt;</t>
  </si>
  <si>
    <t>&lt;PrevisaoVAZAO Posto="314" MesReferencia="1"&gt; 183 342 328 265 190 163 142 158 131 110 187 280 &lt;/PrevisaoVAZAO&gt;</t>
  </si>
  <si>
    <t>&lt;PrevisaoVAZAO Posto="315" MesReferencia="1"&gt; 82 165 167 119 84 77 60 61 63 52 76 94 &lt;/PrevisaoVAZAO&gt;</t>
  </si>
  <si>
    <t>&lt;PrevisaoVAZAO Posto="316" MesReferencia="1"&gt; 82 165 167 119 84 77 60 61 63 52 76 94 &lt;/PrevisaoVAZAO&gt;</t>
  </si>
  <si>
    <t>&lt;PrevisaoVAZAO Posto="317" MesReferencia="1"&gt; 0 0 0 0 0 0 0 0 0 0 0 0 &lt;/PrevisaoVAZAO&gt;</t>
  </si>
  <si>
    <t>&lt;PrevisaoVAZAO Posto="318" MesReferencia="1"&gt; 51 86 84 41 47 40 45 35 41 28 36 68 &lt;/PrevisaoVAZAO&gt;</t>
  </si>
  <si>
    <t>&lt;PrevisaoVAZAO Posto="319" MesReferencia="1"&gt; 47 78 77 38 43 36 41 32 37 26 34 62 &lt;/PrevisaoVAZAO&gt;</t>
  </si>
  <si>
    <t>&lt;PrevisaoVAZAO Posto="320" MesReferencia="1"&gt; 24 41 36 19 24 21 21 17 20 13 14 34 &lt;/PrevisaoVAZAO&gt;</t>
  </si>
  <si>
    <t>201508_ago_z_070815</t>
  </si>
  <si>
    <t>&lt;ExecutavelGERENCIADOR&gt;/opt/aplicacoes/newave/bin/&lt;/ExecutavelGERENCIADOR&gt;</t>
  </si>
  <si>
    <t>22</t>
  </si>
  <si>
    <t>/opt/aplicacoes/cpas_ctl/scripts/newave22</t>
  </si>
  <si>
    <t>/opt/aplicacoes/cpas_ctl/scripts/newdesp22</t>
  </si>
  <si>
    <t>/opt/aplicacoes/cpas_ctl/scripts/nwlistop22</t>
  </si>
  <si>
    <t>Usar Newdesp:</t>
  </si>
  <si>
    <t>Definir VolumePO:</t>
  </si>
  <si>
    <t>v: 2016-08-29 15:30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</si>
</sst>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mmm"/>
    <numFmt numFmtId="165" formatCode="0.0%"/>
    <numFmt numFmtId="166" formatCode="mmmm"/>
    <numFmt numFmtId="167" formatCode="#,##0.0"/>
    <numFmt numFmtId="168" formatCode="0.0000"/>
    <numFmt numFmtId="169" formatCode="#,##0.0000"/>
    <numFmt numFmtId="170" formatCode="_-* #,##0_-;\-* #,##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17" fontId="3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3" fillId="0" borderId="0" xfId="0" applyFont="1"/>
    <xf numFmtId="0" fontId="0" fillId="0" borderId="0" xfId="0" applyFill="1"/>
    <xf numFmtId="3" fontId="5" fillId="0" borderId="1" xfId="1" applyNumberFormat="1" applyFont="1" applyFill="1" applyBorder="1" applyAlignment="1">
      <alignment horizontal="center" vertical="center"/>
    </xf>
    <xf numFmtId="0" fontId="7" fillId="0" borderId="0" xfId="0" applyFont="1"/>
    <xf numFmtId="17" fontId="3" fillId="0" borderId="0" xfId="0" applyNumberFormat="1" applyFont="1" applyFill="1" applyBorder="1" applyAlignment="1">
      <alignment horizontal="center"/>
    </xf>
    <xf numFmtId="9" fontId="5" fillId="0" borderId="0" xfId="1" applyFont="1" applyFill="1" applyBorder="1" applyAlignment="1">
      <alignment horizontal="center" vertical="center"/>
    </xf>
    <xf numFmtId="165" fontId="8" fillId="0" borderId="0" xfId="1" applyNumberFormat="1" applyFont="1" applyFill="1" applyBorder="1" applyAlignment="1">
      <alignment horizontal="center"/>
    </xf>
    <xf numFmtId="2" fontId="0" fillId="0" borderId="0" xfId="0" applyNumberFormat="1"/>
    <xf numFmtId="0" fontId="3" fillId="0" borderId="0" xfId="0" applyFont="1" applyFill="1"/>
    <xf numFmtId="0" fontId="0" fillId="0" borderId="0" xfId="0" applyFill="1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0" fontId="3" fillId="0" borderId="1" xfId="0" applyFont="1" applyBorder="1"/>
    <xf numFmtId="0" fontId="3" fillId="0" borderId="1" xfId="0" applyFont="1" applyFill="1" applyBorder="1"/>
    <xf numFmtId="0" fontId="8" fillId="0" borderId="0" xfId="0" applyFont="1" applyFill="1"/>
    <xf numFmtId="0" fontId="3" fillId="0" borderId="0" xfId="0" applyFont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166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7" fontId="3" fillId="2" borderId="23" xfId="0" applyNumberFormat="1" applyFont="1" applyFill="1" applyBorder="1" applyAlignment="1">
      <alignment horizontal="center"/>
    </xf>
    <xf numFmtId="17" fontId="3" fillId="2" borderId="24" xfId="0" applyNumberFormat="1" applyFont="1" applyFill="1" applyBorder="1" applyAlignment="1">
      <alignment horizontal="center"/>
    </xf>
    <xf numFmtId="17" fontId="3" fillId="2" borderId="25" xfId="0" applyNumberFormat="1" applyFont="1" applyFill="1" applyBorder="1" applyAlignment="1">
      <alignment horizontal="center"/>
    </xf>
    <xf numFmtId="165" fontId="0" fillId="9" borderId="22" xfId="1" applyNumberFormat="1" applyFont="1" applyFill="1" applyBorder="1" applyAlignment="1">
      <alignment horizontal="center" vertical="center"/>
    </xf>
    <xf numFmtId="0" fontId="12" fillId="0" borderId="0" xfId="0" applyFont="1"/>
    <xf numFmtId="3" fontId="0" fillId="9" borderId="14" xfId="0" applyNumberFormat="1" applyFill="1" applyBorder="1"/>
    <xf numFmtId="0" fontId="3" fillId="0" borderId="35" xfId="0" applyFont="1" applyFill="1" applyBorder="1" applyAlignment="1">
      <alignment horizontal="center"/>
    </xf>
    <xf numFmtId="0" fontId="0" fillId="13" borderId="0" xfId="0" applyFill="1"/>
    <xf numFmtId="0" fontId="3" fillId="13" borderId="0" xfId="0" applyFont="1" applyFill="1"/>
    <xf numFmtId="0" fontId="3" fillId="0" borderId="36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168" fontId="0" fillId="13" borderId="0" xfId="0" applyNumberForma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1" fontId="17" fillId="13" borderId="0" xfId="0" applyNumberFormat="1" applyFont="1" applyFill="1" applyAlignment="1">
      <alignment horizontal="center"/>
    </xf>
    <xf numFmtId="9" fontId="0" fillId="13" borderId="0" xfId="0" applyNumberFormat="1" applyFill="1"/>
    <xf numFmtId="1" fontId="0" fillId="0" borderId="0" xfId="0" applyNumberFormat="1" applyFill="1" applyAlignment="1">
      <alignment horizontal="center"/>
    </xf>
    <xf numFmtId="1" fontId="0" fillId="13" borderId="0" xfId="0" applyNumberFormat="1" applyFill="1" applyBorder="1" applyAlignment="1">
      <alignment horizontal="center" vertical="center"/>
    </xf>
    <xf numFmtId="17" fontId="0" fillId="13" borderId="0" xfId="0" applyNumberFormat="1" applyFill="1"/>
    <xf numFmtId="17" fontId="3" fillId="11" borderId="34" xfId="0" applyNumberFormat="1" applyFont="1" applyFill="1" applyBorder="1" applyAlignment="1">
      <alignment horizontal="center" vertical="center"/>
    </xf>
    <xf numFmtId="17" fontId="3" fillId="10" borderId="34" xfId="0" applyNumberFormat="1" applyFont="1" applyFill="1" applyBorder="1" applyAlignment="1">
      <alignment horizontal="center" vertical="center"/>
    </xf>
    <xf numFmtId="17" fontId="3" fillId="14" borderId="34" xfId="0" applyNumberFormat="1" applyFont="1" applyFill="1" applyBorder="1" applyAlignment="1">
      <alignment horizontal="center" vertical="center"/>
    </xf>
    <xf numFmtId="0" fontId="3" fillId="15" borderId="38" xfId="0" applyFont="1" applyFill="1" applyBorder="1" applyAlignment="1">
      <alignment horizontal="center" vertical="center"/>
    </xf>
    <xf numFmtId="0" fontId="3" fillId="15" borderId="39" xfId="0" applyFont="1" applyFill="1" applyBorder="1" applyAlignment="1">
      <alignment horizontal="center"/>
    </xf>
    <xf numFmtId="0" fontId="3" fillId="15" borderId="40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169" fontId="0" fillId="0" borderId="0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 vertical="center"/>
    </xf>
    <xf numFmtId="169" fontId="0" fillId="0" borderId="32" xfId="0" applyNumberFormat="1" applyFill="1" applyBorder="1" applyAlignment="1">
      <alignment horizontal="center" vertical="center"/>
    </xf>
    <xf numFmtId="169" fontId="0" fillId="0" borderId="26" xfId="0" applyNumberFormat="1" applyFill="1" applyBorder="1" applyAlignment="1">
      <alignment horizontal="center"/>
    </xf>
    <xf numFmtId="169" fontId="0" fillId="0" borderId="26" xfId="0" applyNumberFormat="1" applyFill="1" applyBorder="1" applyAlignment="1">
      <alignment horizontal="center" vertical="center"/>
    </xf>
    <xf numFmtId="169" fontId="0" fillId="0" borderId="27" xfId="0" applyNumberFormat="1" applyFill="1" applyBorder="1" applyAlignment="1">
      <alignment horizontal="center" vertical="center"/>
    </xf>
    <xf numFmtId="168" fontId="0" fillId="13" borderId="0" xfId="0" applyNumberFormat="1" applyFill="1"/>
    <xf numFmtId="1" fontId="0" fillId="13" borderId="0" xfId="0" applyNumberFormat="1" applyFill="1"/>
    <xf numFmtId="0" fontId="6" fillId="0" borderId="0" xfId="0" applyNumberFormat="1" applyFont="1" applyBorder="1" applyAlignment="1">
      <alignment horizontal="center" vertical="center"/>
    </xf>
    <xf numFmtId="1" fontId="0" fillId="0" borderId="0" xfId="0" applyNumberFormat="1"/>
    <xf numFmtId="0" fontId="2" fillId="6" borderId="46" xfId="0" applyFont="1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2" fillId="2" borderId="4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49" fontId="20" fillId="0" borderId="0" xfId="0" applyNumberFormat="1" applyFont="1"/>
    <xf numFmtId="0" fontId="20" fillId="0" borderId="0" xfId="0" applyFont="1"/>
    <xf numFmtId="166" fontId="21" fillId="17" borderId="9" xfId="0" applyNumberFormat="1" applyFont="1" applyFill="1" applyBorder="1" applyAlignment="1">
      <alignment horizontal="center" vertical="center"/>
    </xf>
    <xf numFmtId="9" fontId="21" fillId="17" borderId="17" xfId="0" applyNumberFormat="1" applyFont="1" applyFill="1" applyBorder="1" applyAlignment="1">
      <alignment horizontal="center" vertical="center"/>
    </xf>
    <xf numFmtId="9" fontId="22" fillId="17" borderId="18" xfId="0" applyNumberFormat="1" applyFont="1" applyFill="1" applyBorder="1" applyAlignment="1">
      <alignment vertical="center"/>
    </xf>
    <xf numFmtId="0" fontId="22" fillId="17" borderId="5" xfId="0" applyFont="1" applyFill="1" applyBorder="1" applyAlignment="1">
      <alignment horizontal="center"/>
    </xf>
    <xf numFmtId="3" fontId="23" fillId="17" borderId="14" xfId="0" applyNumberFormat="1" applyFont="1" applyFill="1" applyBorder="1"/>
    <xf numFmtId="165" fontId="23" fillId="17" borderId="22" xfId="1" applyNumberFormat="1" applyFont="1" applyFill="1" applyBorder="1" applyAlignment="1">
      <alignment horizontal="center" vertical="center"/>
    </xf>
    <xf numFmtId="0" fontId="22" fillId="17" borderId="6" xfId="0" applyFont="1" applyFill="1" applyBorder="1" applyAlignment="1">
      <alignment horizontal="center"/>
    </xf>
    <xf numFmtId="3" fontId="23" fillId="17" borderId="11" xfId="0" applyNumberFormat="1" applyFont="1" applyFill="1" applyBorder="1"/>
    <xf numFmtId="0" fontId="22" fillId="17" borderId="7" xfId="0" applyFont="1" applyFill="1" applyBorder="1" applyAlignment="1">
      <alignment horizontal="center"/>
    </xf>
    <xf numFmtId="3" fontId="23" fillId="17" borderId="43" xfId="0" applyNumberFormat="1" applyFont="1" applyFill="1" applyBorder="1"/>
    <xf numFmtId="0" fontId="22" fillId="17" borderId="46" xfId="0" applyFont="1" applyFill="1" applyBorder="1" applyAlignment="1">
      <alignment horizontal="center"/>
    </xf>
    <xf numFmtId="3" fontId="23" fillId="17" borderId="12" xfId="0" applyNumberFormat="1" applyFont="1" applyFill="1" applyBorder="1"/>
    <xf numFmtId="0" fontId="0" fillId="0" borderId="0" xfId="0" applyFont="1"/>
    <xf numFmtId="0" fontId="0" fillId="9" borderId="0" xfId="0" applyFill="1"/>
    <xf numFmtId="0" fontId="7" fillId="0" borderId="15" xfId="0" applyFont="1" applyBorder="1"/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9" borderId="1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9" fontId="5" fillId="4" borderId="14" xfId="1" applyFont="1" applyFill="1" applyBorder="1" applyAlignment="1" applyProtection="1">
      <alignment horizontal="center" vertical="center"/>
      <protection locked="0"/>
    </xf>
    <xf numFmtId="9" fontId="5" fillId="4" borderId="15" xfId="1" applyNumberFormat="1" applyFont="1" applyFill="1" applyBorder="1" applyAlignment="1" applyProtection="1">
      <alignment horizontal="center" vertical="center"/>
      <protection locked="0"/>
    </xf>
    <xf numFmtId="9" fontId="5" fillId="4" borderId="15" xfId="1" applyFont="1" applyFill="1" applyBorder="1" applyAlignment="1" applyProtection="1">
      <alignment horizontal="center" vertical="center"/>
      <protection locked="0"/>
    </xf>
    <xf numFmtId="9" fontId="5" fillId="4" borderId="22" xfId="1" applyFont="1" applyFill="1" applyBorder="1" applyAlignment="1" applyProtection="1">
      <alignment horizontal="center" vertical="center"/>
      <protection locked="0"/>
    </xf>
    <xf numFmtId="9" fontId="5" fillId="4" borderId="11" xfId="1" applyFont="1" applyFill="1" applyBorder="1" applyAlignment="1" applyProtection="1">
      <alignment horizontal="center" vertical="center"/>
      <protection locked="0"/>
    </xf>
    <xf numFmtId="9" fontId="5" fillId="4" borderId="1" xfId="1" applyNumberFormat="1" applyFont="1" applyFill="1" applyBorder="1" applyAlignment="1" applyProtection="1">
      <alignment horizontal="center" vertical="center"/>
      <protection locked="0"/>
    </xf>
    <xf numFmtId="9" fontId="5" fillId="4" borderId="1" xfId="1" applyFont="1" applyFill="1" applyBorder="1" applyAlignment="1" applyProtection="1">
      <alignment horizontal="center" vertical="center"/>
      <protection locked="0"/>
    </xf>
    <xf numFmtId="9" fontId="5" fillId="4" borderId="20" xfId="1" applyFont="1" applyFill="1" applyBorder="1" applyAlignment="1" applyProtection="1">
      <alignment horizontal="center" vertical="center"/>
      <protection locked="0"/>
    </xf>
    <xf numFmtId="9" fontId="5" fillId="4" borderId="43" xfId="1" applyFont="1" applyFill="1" applyBorder="1" applyAlignment="1" applyProtection="1">
      <alignment horizontal="center" vertical="center"/>
      <protection locked="0"/>
    </xf>
    <xf numFmtId="9" fontId="5" fillId="4" borderId="44" xfId="1" applyNumberFormat="1" applyFont="1" applyFill="1" applyBorder="1" applyAlignment="1" applyProtection="1">
      <alignment horizontal="center" vertical="center"/>
      <protection locked="0"/>
    </xf>
    <xf numFmtId="9" fontId="5" fillId="4" borderId="44" xfId="1" applyFont="1" applyFill="1" applyBorder="1" applyAlignment="1" applyProtection="1">
      <alignment horizontal="center" vertical="center"/>
      <protection locked="0"/>
    </xf>
    <xf numFmtId="9" fontId="5" fillId="4" borderId="45" xfId="1" applyFont="1" applyFill="1" applyBorder="1" applyAlignment="1" applyProtection="1">
      <alignment horizontal="center" vertical="center"/>
      <protection locked="0"/>
    </xf>
    <xf numFmtId="9" fontId="5" fillId="4" borderId="12" xfId="1" applyFont="1" applyFill="1" applyBorder="1" applyAlignment="1" applyProtection="1">
      <alignment horizontal="center" vertical="center"/>
      <protection locked="0"/>
    </xf>
    <xf numFmtId="9" fontId="5" fillId="4" borderId="13" xfId="1" applyNumberFormat="1" applyFont="1" applyFill="1" applyBorder="1" applyAlignment="1" applyProtection="1">
      <alignment horizontal="center" vertical="center"/>
      <protection locked="0"/>
    </xf>
    <xf numFmtId="9" fontId="5" fillId="4" borderId="13" xfId="1" applyFont="1" applyFill="1" applyBorder="1" applyAlignment="1" applyProtection="1">
      <alignment horizontal="center" vertical="center"/>
      <protection locked="0"/>
    </xf>
    <xf numFmtId="9" fontId="5" fillId="4" borderId="21" xfId="1" applyFont="1" applyFill="1" applyBorder="1" applyAlignment="1" applyProtection="1">
      <alignment horizontal="center" vertical="center"/>
      <protection locked="0"/>
    </xf>
    <xf numFmtId="165" fontId="8" fillId="4" borderId="14" xfId="1" applyNumberFormat="1" applyFont="1" applyFill="1" applyBorder="1" applyAlignment="1" applyProtection="1">
      <alignment horizontal="center"/>
      <protection locked="0"/>
    </xf>
    <xf numFmtId="165" fontId="8" fillId="4" borderId="15" xfId="1" applyNumberFormat="1" applyFont="1" applyFill="1" applyBorder="1" applyAlignment="1" applyProtection="1">
      <alignment horizontal="center"/>
      <protection locked="0"/>
    </xf>
    <xf numFmtId="165" fontId="8" fillId="4" borderId="22" xfId="1" applyNumberFormat="1" applyFont="1" applyFill="1" applyBorder="1" applyAlignment="1" applyProtection="1">
      <alignment horizontal="center"/>
      <protection locked="0"/>
    </xf>
    <xf numFmtId="165" fontId="8" fillId="4" borderId="11" xfId="1" applyNumberFormat="1" applyFont="1" applyFill="1" applyBorder="1" applyAlignment="1" applyProtection="1">
      <alignment horizontal="center"/>
      <protection locked="0"/>
    </xf>
    <xf numFmtId="165" fontId="8" fillId="4" borderId="1" xfId="1" applyNumberFormat="1" applyFont="1" applyFill="1" applyBorder="1" applyAlignment="1" applyProtection="1">
      <alignment horizontal="center"/>
      <protection locked="0"/>
    </xf>
    <xf numFmtId="165" fontId="8" fillId="4" borderId="20" xfId="1" applyNumberFormat="1" applyFont="1" applyFill="1" applyBorder="1" applyAlignment="1" applyProtection="1">
      <alignment horizontal="center"/>
      <protection locked="0"/>
    </xf>
    <xf numFmtId="165" fontId="8" fillId="4" borderId="43" xfId="1" applyNumberFormat="1" applyFont="1" applyFill="1" applyBorder="1" applyAlignment="1" applyProtection="1">
      <alignment horizontal="center"/>
      <protection locked="0"/>
    </xf>
    <xf numFmtId="165" fontId="8" fillId="4" borderId="44" xfId="1" applyNumberFormat="1" applyFont="1" applyFill="1" applyBorder="1" applyAlignment="1" applyProtection="1">
      <alignment horizontal="center"/>
      <protection locked="0"/>
    </xf>
    <xf numFmtId="165" fontId="8" fillId="4" borderId="45" xfId="1" applyNumberFormat="1" applyFont="1" applyFill="1" applyBorder="1" applyAlignment="1" applyProtection="1">
      <alignment horizontal="center"/>
      <protection locked="0"/>
    </xf>
    <xf numFmtId="165" fontId="8" fillId="4" borderId="12" xfId="1" applyNumberFormat="1" applyFont="1" applyFill="1" applyBorder="1" applyAlignment="1" applyProtection="1">
      <alignment horizontal="center"/>
      <protection locked="0"/>
    </xf>
    <xf numFmtId="165" fontId="8" fillId="4" borderId="13" xfId="1" applyNumberFormat="1" applyFont="1" applyFill="1" applyBorder="1" applyAlignment="1" applyProtection="1">
      <alignment horizontal="center"/>
      <protection locked="0"/>
    </xf>
    <xf numFmtId="165" fontId="8" fillId="4" borderId="21" xfId="1" applyNumberFormat="1" applyFont="1" applyFill="1" applyBorder="1" applyAlignment="1" applyProtection="1">
      <alignment horizontal="center"/>
      <protection locked="0"/>
    </xf>
    <xf numFmtId="0" fontId="2" fillId="16" borderId="46" xfId="0" applyFont="1" applyFill="1" applyBorder="1" applyAlignment="1" applyProtection="1">
      <alignment horizontal="center"/>
      <protection locked="0"/>
    </xf>
    <xf numFmtId="170" fontId="8" fillId="4" borderId="43" xfId="4" applyNumberFormat="1" applyFont="1" applyFill="1" applyBorder="1" applyAlignment="1" applyProtection="1">
      <alignment horizontal="center"/>
      <protection locked="0"/>
    </xf>
    <xf numFmtId="170" fontId="8" fillId="4" borderId="44" xfId="4" applyNumberFormat="1" applyFont="1" applyFill="1" applyBorder="1" applyAlignment="1" applyProtection="1">
      <alignment horizontal="center"/>
      <protection locked="0"/>
    </xf>
    <xf numFmtId="170" fontId="8" fillId="4" borderId="45" xfId="4" applyNumberFormat="1" applyFont="1" applyFill="1" applyBorder="1" applyAlignment="1" applyProtection="1">
      <alignment horizont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6" borderId="5" xfId="0" applyFont="1" applyFill="1" applyBorder="1" applyAlignment="1" applyProtection="1">
      <alignment horizontal="center"/>
      <protection locked="0"/>
    </xf>
    <xf numFmtId="3" fontId="8" fillId="0" borderId="1" xfId="0" applyNumberFormat="1" applyFont="1" applyBorder="1" applyAlignment="1" applyProtection="1">
      <alignment horizontal="center" vertic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7" borderId="6" xfId="0" applyFont="1" applyFill="1" applyBorder="1" applyAlignment="1" applyProtection="1">
      <alignment horizontal="center"/>
      <protection locked="0"/>
    </xf>
    <xf numFmtId="0" fontId="2" fillId="8" borderId="7" xfId="0" applyFont="1" applyFill="1" applyBorder="1" applyAlignment="1" applyProtection="1">
      <alignment horizontal="center"/>
      <protection locked="0"/>
    </xf>
    <xf numFmtId="0" fontId="2" fillId="6" borderId="46" xfId="0" applyFont="1" applyFill="1" applyBorder="1" applyAlignment="1" applyProtection="1">
      <alignment horizontal="center"/>
      <protection locked="0"/>
    </xf>
    <xf numFmtId="0" fontId="2" fillId="8" borderId="46" xfId="0" applyFont="1" applyFill="1" applyBorder="1" applyAlignment="1" applyProtection="1">
      <alignment horizontal="center"/>
      <protection locked="0"/>
    </xf>
    <xf numFmtId="0" fontId="2" fillId="2" borderId="46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18" fillId="11" borderId="37" xfId="0" applyFont="1" applyFill="1" applyBorder="1" applyAlignment="1" applyProtection="1">
      <alignment vertical="center"/>
      <protection locked="0"/>
    </xf>
    <xf numFmtId="0" fontId="18" fillId="11" borderId="35" xfId="0" applyFont="1" applyFill="1" applyBorder="1" applyAlignment="1" applyProtection="1">
      <alignment vertical="center"/>
      <protection locked="0"/>
    </xf>
    <xf numFmtId="0" fontId="0" fillId="13" borderId="0" xfId="0" applyFill="1" applyBorder="1" applyAlignment="1" applyProtection="1">
      <alignment horizontal="center" vertical="center"/>
      <protection locked="0"/>
    </xf>
    <xf numFmtId="0" fontId="18" fillId="10" borderId="37" xfId="0" applyFont="1" applyFill="1" applyBorder="1" applyAlignment="1" applyProtection="1">
      <alignment vertical="center"/>
      <protection locked="0"/>
    </xf>
    <xf numFmtId="0" fontId="18" fillId="10" borderId="35" xfId="0" applyFont="1" applyFill="1" applyBorder="1" applyAlignment="1" applyProtection="1">
      <alignment vertical="center"/>
      <protection locked="0"/>
    </xf>
    <xf numFmtId="0" fontId="18" fillId="14" borderId="37" xfId="0" applyFont="1" applyFill="1" applyBorder="1" applyAlignment="1" applyProtection="1">
      <alignment vertical="center"/>
      <protection locked="0"/>
    </xf>
    <xf numFmtId="0" fontId="18" fillId="14" borderId="35" xfId="0" applyFont="1" applyFill="1" applyBorder="1" applyAlignment="1" applyProtection="1">
      <alignment vertical="center"/>
      <protection locked="0"/>
    </xf>
    <xf numFmtId="167" fontId="23" fillId="17" borderId="26" xfId="0" applyNumberFormat="1" applyFont="1" applyFill="1" applyBorder="1" applyAlignment="1">
      <alignment horizontal="center"/>
    </xf>
    <xf numFmtId="167" fontId="23" fillId="17" borderId="27" xfId="0" applyNumberFormat="1" applyFont="1" applyFill="1" applyBorder="1" applyAlignment="1">
      <alignment horizontal="center"/>
    </xf>
    <xf numFmtId="9" fontId="22" fillId="17" borderId="19" xfId="0" applyNumberFormat="1" applyFont="1" applyFill="1" applyBorder="1" applyAlignment="1">
      <alignment horizontal="center"/>
    </xf>
    <xf numFmtId="9" fontId="22" fillId="17" borderId="18" xfId="0" applyNumberFormat="1" applyFont="1" applyFill="1" applyBorder="1" applyAlignment="1">
      <alignment horizontal="center"/>
    </xf>
    <xf numFmtId="167" fontId="23" fillId="17" borderId="2" xfId="0" applyNumberFormat="1" applyFont="1" applyFill="1" applyBorder="1" applyAlignment="1">
      <alignment horizontal="center"/>
    </xf>
    <xf numFmtId="167" fontId="23" fillId="17" borderId="16" xfId="0" applyNumberFormat="1" applyFont="1" applyFill="1" applyBorder="1" applyAlignment="1">
      <alignment horizontal="center"/>
    </xf>
    <xf numFmtId="0" fontId="7" fillId="4" borderId="1" xfId="0" applyFont="1" applyFill="1" applyBorder="1" applyAlignment="1" applyProtection="1">
      <alignment horizontal="left"/>
      <protection locked="0"/>
    </xf>
    <xf numFmtId="0" fontId="15" fillId="11" borderId="28" xfId="0" applyFont="1" applyFill="1" applyBorder="1" applyAlignment="1">
      <alignment horizontal="center" vertical="center"/>
    </xf>
    <xf numFmtId="0" fontId="15" fillId="11" borderId="29" xfId="0" applyFont="1" applyFill="1" applyBorder="1" applyAlignment="1">
      <alignment horizontal="center" vertical="center"/>
    </xf>
    <xf numFmtId="0" fontId="15" fillId="11" borderId="30" xfId="0" applyFont="1" applyFill="1" applyBorder="1" applyAlignment="1">
      <alignment horizontal="center" vertical="center"/>
    </xf>
    <xf numFmtId="0" fontId="15" fillId="11" borderId="31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32" xfId="0" applyFont="1" applyFill="1" applyBorder="1" applyAlignment="1">
      <alignment horizontal="center" vertical="center"/>
    </xf>
    <xf numFmtId="0" fontId="15" fillId="11" borderId="33" xfId="0" applyFont="1" applyFill="1" applyBorder="1" applyAlignment="1">
      <alignment horizontal="center" vertical="center"/>
    </xf>
    <xf numFmtId="0" fontId="15" fillId="11" borderId="26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3" fillId="4" borderId="1" xfId="0" applyFont="1" applyFill="1" applyBorder="1" applyAlignment="1" applyProtection="1">
      <alignment horizontal="left"/>
      <protection locked="0"/>
    </xf>
    <xf numFmtId="0" fontId="7" fillId="4" borderId="3" xfId="0" applyFont="1" applyFill="1" applyBorder="1" applyAlignment="1" applyProtection="1">
      <alignment horizontal="left"/>
      <protection locked="0"/>
    </xf>
    <xf numFmtId="0" fontId="7" fillId="4" borderId="8" xfId="0" applyFont="1" applyFill="1" applyBorder="1" applyAlignment="1" applyProtection="1">
      <alignment horizontal="left"/>
      <protection locked="0"/>
    </xf>
    <xf numFmtId="0" fontId="7" fillId="4" borderId="4" xfId="0" applyFont="1" applyFill="1" applyBorder="1" applyAlignment="1" applyProtection="1">
      <alignment horizontal="left"/>
      <protection locked="0"/>
    </xf>
    <xf numFmtId="0" fontId="13" fillId="4" borderId="1" xfId="2" applyFill="1" applyBorder="1" applyAlignment="1" applyProtection="1">
      <alignment horizontal="left"/>
      <protection locked="0"/>
    </xf>
    <xf numFmtId="0" fontId="9" fillId="5" borderId="1" xfId="0" applyFont="1" applyFill="1" applyBorder="1" applyAlignment="1">
      <alignment horizontal="center"/>
    </xf>
    <xf numFmtId="166" fontId="9" fillId="5" borderId="1" xfId="0" applyNumberFormat="1" applyFont="1" applyFill="1" applyBorder="1" applyAlignment="1">
      <alignment horizontal="center"/>
    </xf>
    <xf numFmtId="167" fontId="0" fillId="0" borderId="26" xfId="0" applyNumberFormat="1" applyFill="1" applyBorder="1" applyAlignment="1">
      <alignment horizontal="center"/>
    </xf>
    <xf numFmtId="167" fontId="0" fillId="0" borderId="27" xfId="0" applyNumberFormat="1" applyFill="1" applyBorder="1" applyAlignment="1">
      <alignment horizontal="center"/>
    </xf>
    <xf numFmtId="167" fontId="0" fillId="0" borderId="2" xfId="0" applyNumberFormat="1" applyFill="1" applyBorder="1" applyAlignment="1">
      <alignment horizontal="center"/>
    </xf>
    <xf numFmtId="167" fontId="0" fillId="0" borderId="16" xfId="0" applyNumberFormat="1" applyFill="1" applyBorder="1" applyAlignment="1">
      <alignment horizontal="center"/>
    </xf>
    <xf numFmtId="0" fontId="16" fillId="10" borderId="28" xfId="0" applyFont="1" applyFill="1" applyBorder="1" applyAlignment="1">
      <alignment horizontal="center" vertical="center"/>
    </xf>
    <xf numFmtId="0" fontId="16" fillId="10" borderId="2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33" xfId="0" applyFont="1" applyFill="1" applyBorder="1" applyAlignment="1">
      <alignment horizontal="center" vertical="center"/>
    </xf>
    <xf numFmtId="0" fontId="16" fillId="10" borderId="26" xfId="0" applyFont="1" applyFill="1" applyBorder="1" applyAlignment="1">
      <alignment horizontal="center" vertical="center"/>
    </xf>
    <xf numFmtId="0" fontId="16" fillId="10" borderId="27" xfId="0" applyFont="1" applyFill="1" applyBorder="1" applyAlignment="1">
      <alignment horizontal="center" vertical="center"/>
    </xf>
    <xf numFmtId="0" fontId="13" fillId="9" borderId="1" xfId="2" applyFill="1" applyBorder="1" applyAlignment="1" applyProtection="1">
      <alignment horizontal="left"/>
      <protection locked="0"/>
    </xf>
    <xf numFmtId="0" fontId="7" fillId="9" borderId="1" xfId="0" applyFont="1" applyFill="1" applyBorder="1" applyAlignment="1" applyProtection="1">
      <alignment horizontal="left"/>
      <protection locked="0"/>
    </xf>
    <xf numFmtId="9" fontId="3" fillId="2" borderId="17" xfId="0" applyNumberFormat="1" applyFont="1" applyFill="1" applyBorder="1" applyAlignment="1">
      <alignment horizontal="center" vertical="center"/>
    </xf>
    <xf numFmtId="9" fontId="3" fillId="2" borderId="18" xfId="0" applyNumberFormat="1" applyFont="1" applyFill="1" applyBorder="1" applyAlignment="1">
      <alignment horizontal="center" vertical="center"/>
    </xf>
    <xf numFmtId="9" fontId="3" fillId="2" borderId="17" xfId="0" applyNumberFormat="1" applyFont="1" applyFill="1" applyBorder="1" applyAlignment="1">
      <alignment horizontal="center"/>
    </xf>
    <xf numFmtId="9" fontId="3" fillId="2" borderId="18" xfId="0" applyNumberFormat="1" applyFont="1" applyFill="1" applyBorder="1" applyAlignment="1">
      <alignment horizontal="center"/>
    </xf>
    <xf numFmtId="167" fontId="0" fillId="0" borderId="10" xfId="0" applyNumberFormat="1" applyFill="1" applyBorder="1" applyAlignment="1">
      <alignment horizontal="center"/>
    </xf>
    <xf numFmtId="167" fontId="0" fillId="0" borderId="47" xfId="0" applyNumberFormat="1" applyFill="1" applyBorder="1" applyAlignment="1">
      <alignment horizontal="center"/>
    </xf>
    <xf numFmtId="0" fontId="3" fillId="9" borderId="1" xfId="0" applyFont="1" applyFill="1" applyBorder="1" applyAlignment="1" applyProtection="1">
      <alignment horizontal="left"/>
      <protection locked="0"/>
    </xf>
    <xf numFmtId="0" fontId="16" fillId="12" borderId="28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30" xfId="0" applyFont="1" applyFill="1" applyBorder="1" applyAlignment="1">
      <alignment horizontal="center" vertical="center"/>
    </xf>
    <xf numFmtId="0" fontId="16" fillId="12" borderId="31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6" fillId="12" borderId="32" xfId="0" applyFont="1" applyFill="1" applyBorder="1" applyAlignment="1">
      <alignment horizontal="center" vertical="center"/>
    </xf>
    <xf numFmtId="0" fontId="16" fillId="12" borderId="33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</cellXfs>
  <cellStyles count="5">
    <cellStyle name="Hiperlink" xfId="2" builtinId="8"/>
    <cellStyle name="Normal" xfId="0" builtinId="0"/>
    <cellStyle name="Porcentagem" xfId="1" builtinId="5"/>
    <cellStyle name="Vírgula" xfId="4" builtinId="3"/>
    <cellStyle name="Vírgula 2 3" xfId="3"/>
  </cellStyles>
  <dxfs count="144"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base!$C$30</c:f>
              <c:strCache>
                <c:ptCount val="1"/>
                <c:pt idx="0">
                  <c:v>ENA_SE_b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base!$D$30:$O$30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seco!$C$30</c:f>
              <c:strCache>
                <c:ptCount val="1"/>
                <c:pt idx="0">
                  <c:v>ENA_SE_s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seco!$D$30:$O$30</c:f>
              <c:numCache>
                <c:formatCode>0%</c:formatCode>
                <c:ptCount val="1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umido!$C$30</c:f>
              <c:strCache>
                <c:ptCount val="1"/>
                <c:pt idx="0">
                  <c:v>ENA_SE_u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umido!$D$30:$O$30</c:f>
              <c:numCache>
                <c:formatCode>0%</c:formatCode>
                <c:ptCount val="12"/>
                <c:pt idx="0">
                  <c:v>1.1499999999999999</c:v>
                </c:pt>
                <c:pt idx="1">
                  <c:v>1.1499999999999999</c:v>
                </c:pt>
                <c:pt idx="2">
                  <c:v>1.1499999999999999</c:v>
                </c:pt>
                <c:pt idx="3">
                  <c:v>1.1499999999999999</c:v>
                </c:pt>
                <c:pt idx="4">
                  <c:v>1.1499999999999999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1.1499999999999999</c:v>
                </c:pt>
                <c:pt idx="8">
                  <c:v>1.1499999999999999</c:v>
                </c:pt>
                <c:pt idx="9">
                  <c:v>1.1499999999999999</c:v>
                </c:pt>
                <c:pt idx="10">
                  <c:v>1.1499999999999999</c:v>
                </c:pt>
                <c:pt idx="11">
                  <c:v>1.1499999999999999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894912"/>
        <c:axId val="101078080"/>
      </c:lineChart>
      <c:catAx>
        <c:axId val="729894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1078080"/>
        <c:crosses val="autoZero"/>
        <c:auto val="1"/>
        <c:lblAlgn val="ctr"/>
        <c:lblOffset val="100"/>
        <c:noMultiLvlLbl val="0"/>
      </c:catAx>
      <c:valAx>
        <c:axId val="1010780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729894912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base!$C$32</c:f>
              <c:strCache>
                <c:ptCount val="1"/>
                <c:pt idx="0">
                  <c:v>ENA_NE_b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seco!$C$32</c:f>
              <c:strCache>
                <c:ptCount val="1"/>
                <c:pt idx="0">
                  <c:v>ENA_NE_s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umido!$C$32</c:f>
              <c:strCache>
                <c:ptCount val="1"/>
                <c:pt idx="0">
                  <c:v>ENA_NE_u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328064"/>
        <c:axId val="101079808"/>
      </c:lineChart>
      <c:catAx>
        <c:axId val="7783280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01079808"/>
        <c:crosses val="autoZero"/>
        <c:auto val="1"/>
        <c:lblAlgn val="ctr"/>
        <c:lblOffset val="100"/>
        <c:noMultiLvlLbl val="0"/>
      </c:catAx>
      <c:valAx>
        <c:axId val="101079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77832806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6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base!$C$31</c:f>
              <c:strCache>
                <c:ptCount val="1"/>
                <c:pt idx="0">
                  <c:v>ENA_S_b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seco!$C$31</c:f>
              <c:strCache>
                <c:ptCount val="1"/>
                <c:pt idx="0">
                  <c:v>ENA_S_s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umido!$C$31</c:f>
              <c:strCache>
                <c:ptCount val="1"/>
                <c:pt idx="0">
                  <c:v>ENA_S_u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896960"/>
        <c:axId val="121352704"/>
      </c:lineChart>
      <c:catAx>
        <c:axId val="729896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21352704"/>
        <c:crosses val="autoZero"/>
        <c:auto val="1"/>
        <c:lblAlgn val="ctr"/>
        <c:lblOffset val="100"/>
        <c:noMultiLvlLbl val="0"/>
      </c:catAx>
      <c:valAx>
        <c:axId val="1213527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729896960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base!$C$33</c:f>
              <c:strCache>
                <c:ptCount val="1"/>
                <c:pt idx="0">
                  <c:v>ENA_N_b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seco!$C$33</c:f>
              <c:strCache>
                <c:ptCount val="1"/>
                <c:pt idx="0">
                  <c:v>ENA_N_s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umido!$C$33</c:f>
              <c:strCache>
                <c:ptCount val="1"/>
                <c:pt idx="0">
                  <c:v>ENA_N_u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898496"/>
        <c:axId val="141329536"/>
      </c:lineChart>
      <c:catAx>
        <c:axId val="729898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41329536"/>
        <c:crosses val="autoZero"/>
        <c:auto val="1"/>
        <c:lblAlgn val="ctr"/>
        <c:lblOffset val="100"/>
        <c:noMultiLvlLbl val="0"/>
      </c:catAx>
      <c:valAx>
        <c:axId val="1413295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729898496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base!$C$66</c:f>
              <c:strCache>
                <c:ptCount val="1"/>
                <c:pt idx="0">
                  <c:v>SE_b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base!$D$66:$O$66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seco!$C$66</c:f>
              <c:strCache>
                <c:ptCount val="1"/>
                <c:pt idx="0">
                  <c:v>SE_s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seco!$D$66:$O$66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umido!$C$66</c:f>
              <c:strCache>
                <c:ptCount val="1"/>
                <c:pt idx="0">
                  <c:v>SE_u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umido!$D$66:$O$66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887168"/>
        <c:axId val="141331840"/>
      </c:lineChart>
      <c:catAx>
        <c:axId val="738887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41331840"/>
        <c:crosses val="autoZero"/>
        <c:auto val="1"/>
        <c:lblAlgn val="ctr"/>
        <c:lblOffset val="100"/>
        <c:noMultiLvlLbl val="0"/>
      </c:catAx>
      <c:valAx>
        <c:axId val="14133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73888716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base!$C$68</c:f>
              <c:strCache>
                <c:ptCount val="1"/>
                <c:pt idx="0">
                  <c:v>NE_b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base!$D$68:$O$68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seco!$C$68</c:f>
              <c:strCache>
                <c:ptCount val="1"/>
                <c:pt idx="0">
                  <c:v>NE_s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seco!$D$68:$O$68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umido!$C$68</c:f>
              <c:strCache>
                <c:ptCount val="1"/>
                <c:pt idx="0">
                  <c:v>NE_u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umido!$D$68:$O$68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889216"/>
        <c:axId val="141333568"/>
      </c:lineChart>
      <c:catAx>
        <c:axId val="738889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41333568"/>
        <c:crosses val="autoZero"/>
        <c:auto val="1"/>
        <c:lblAlgn val="ctr"/>
        <c:lblOffset val="100"/>
        <c:noMultiLvlLbl val="0"/>
      </c:catAx>
      <c:valAx>
        <c:axId val="1413335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738889216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6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base!$C$67</c:f>
              <c:strCache>
                <c:ptCount val="1"/>
                <c:pt idx="0">
                  <c:v>S_b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base!$D$67:$O$67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seco!$C$67</c:f>
              <c:strCache>
                <c:ptCount val="1"/>
                <c:pt idx="0">
                  <c:v>S_s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seco!$D$67:$O$67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umido!$C$67</c:f>
              <c:strCache>
                <c:ptCount val="1"/>
                <c:pt idx="0">
                  <c:v>S_u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umido!$D$67:$O$67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615872"/>
        <c:axId val="141335872"/>
      </c:lineChart>
      <c:catAx>
        <c:axId val="7616158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41335872"/>
        <c:crosses val="autoZero"/>
        <c:auto val="1"/>
        <c:lblAlgn val="ctr"/>
        <c:lblOffset val="100"/>
        <c:noMultiLvlLbl val="0"/>
      </c:catAx>
      <c:valAx>
        <c:axId val="1413358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761615872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base!$C$69</c:f>
              <c:strCache>
                <c:ptCount val="1"/>
                <c:pt idx="0">
                  <c:v>N_b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base!$D$69:$O$69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seco!$C$69</c:f>
              <c:strCache>
                <c:ptCount val="1"/>
                <c:pt idx="0">
                  <c:v>N_s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seco!$D$69:$O$69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umido!$C$69</c:f>
              <c:strCache>
                <c:ptCount val="1"/>
                <c:pt idx="0">
                  <c:v>N_u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umido!$D$69:$O$69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617408"/>
        <c:axId val="659792448"/>
      </c:lineChart>
      <c:catAx>
        <c:axId val="761617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59792448"/>
        <c:crosses val="autoZero"/>
        <c:auto val="1"/>
        <c:lblAlgn val="ctr"/>
        <c:lblOffset val="100"/>
        <c:noMultiLvlLbl val="0"/>
      </c:catAx>
      <c:valAx>
        <c:axId val="659792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76161740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Sudeste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'consulta.nwd'!$W$8</c:f>
              <c:strCache>
                <c:ptCount val="1"/>
                <c:pt idx="0">
                  <c:v>SE_base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'consulta.nwd'!$X$8:$AI$8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'consulta.nwd'!$W$15</c:f>
              <c:strCache>
                <c:ptCount val="1"/>
                <c:pt idx="0">
                  <c:v>SE_seco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'consulta.nwd'!$X$15:$AI$15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'consulta.nwd'!$W$22</c:f>
              <c:strCache>
                <c:ptCount val="1"/>
                <c:pt idx="0">
                  <c:v>SE_umido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'consulta.nwd'!$X$22:$AI$22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9750144"/>
        <c:axId val="733619904"/>
      </c:lineChart>
      <c:catAx>
        <c:axId val="719750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33619904"/>
        <c:crosses val="autoZero"/>
        <c:auto val="1"/>
        <c:lblAlgn val="ctr"/>
        <c:lblOffset val="100"/>
        <c:noMultiLvlLbl val="0"/>
      </c:catAx>
      <c:valAx>
        <c:axId val="733619904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719750144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Sudeste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'consulta.nwd'!$W$9</c:f>
              <c:strCache>
                <c:ptCount val="1"/>
                <c:pt idx="0">
                  <c:v>S_base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'consulta.nwd'!$X$9:$AI$9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'consulta.nwd'!$W$16</c:f>
              <c:strCache>
                <c:ptCount val="1"/>
                <c:pt idx="0">
                  <c:v>S_seco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'consulta.nwd'!$X$16:$AI$16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'consulta.nwd'!$W$23</c:f>
              <c:strCache>
                <c:ptCount val="1"/>
                <c:pt idx="0">
                  <c:v>S_umido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'consulta.nwd'!$X$23:$AI$23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9751168"/>
        <c:axId val="733623360"/>
      </c:lineChart>
      <c:catAx>
        <c:axId val="7197511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33623360"/>
        <c:crosses val="autoZero"/>
        <c:auto val="1"/>
        <c:lblAlgn val="ctr"/>
        <c:lblOffset val="100"/>
        <c:noMultiLvlLbl val="0"/>
      </c:catAx>
      <c:valAx>
        <c:axId val="733623360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719751168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Nordeste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'consulta.nwd'!$W$10</c:f>
              <c:strCache>
                <c:ptCount val="1"/>
                <c:pt idx="0">
                  <c:v>NE_base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'consulta.nwd'!$X$10:$AI$10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'consulta.nwd'!$W$17</c:f>
              <c:strCache>
                <c:ptCount val="1"/>
                <c:pt idx="0">
                  <c:v>NE_seco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'consulta.nwd'!$X$17:$AI$17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'consulta.nwd'!$W$24</c:f>
              <c:strCache>
                <c:ptCount val="1"/>
                <c:pt idx="0">
                  <c:v>NE_umido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'consulta.nwd'!$X$24:$AI$24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9752704"/>
        <c:axId val="779296768"/>
      </c:lineChart>
      <c:catAx>
        <c:axId val="719752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79296768"/>
        <c:crosses val="autoZero"/>
        <c:auto val="1"/>
        <c:lblAlgn val="ctr"/>
        <c:lblOffset val="100"/>
        <c:noMultiLvlLbl val="0"/>
      </c:catAx>
      <c:valAx>
        <c:axId val="779296768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71975270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Norte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'consulta.nwd'!$W$11</c:f>
              <c:strCache>
                <c:ptCount val="1"/>
                <c:pt idx="0">
                  <c:v>N_base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'consulta.nwd'!$X$11:$AI$11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'consulta.nwd'!$W$18</c:f>
              <c:strCache>
                <c:ptCount val="1"/>
                <c:pt idx="0">
                  <c:v>N_seco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'consulta.nwd'!$X$18:$AI$18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'consulta.nwd'!$W$25</c:f>
              <c:strCache>
                <c:ptCount val="1"/>
                <c:pt idx="0">
                  <c:v>N_umido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'consulta.nwd'!$X$25:$AI$25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76208896"/>
        <c:axId val="779299648"/>
      </c:lineChart>
      <c:catAx>
        <c:axId val="776208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79299648"/>
        <c:crosses val="autoZero"/>
        <c:auto val="1"/>
        <c:lblAlgn val="ctr"/>
        <c:lblOffset val="100"/>
        <c:noMultiLvlLbl val="0"/>
      </c:catAx>
      <c:valAx>
        <c:axId val="779299648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77620889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3" name="Retângulo 2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5" name="Conector reto 4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10" name="Retângulo 9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11" name="Conector reto 10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5" name="Retângulo 4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6" name="Conector reto 5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7" name="Retângulo 6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8" name="Conector reto 7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47</xdr:row>
      <xdr:rowOff>38101</xdr:rowOff>
    </xdr:from>
    <xdr:to>
      <xdr:col>1</xdr:col>
      <xdr:colOff>1276350</xdr:colOff>
      <xdr:row>49</xdr:row>
      <xdr:rowOff>152401</xdr:rowOff>
    </xdr:to>
    <xdr:sp macro="[0]!buscaEarmMax" textlink="">
      <xdr:nvSpPr>
        <xdr:cNvPr id="12" name="Pentágono 11"/>
        <xdr:cNvSpPr/>
      </xdr:nvSpPr>
      <xdr:spPr>
        <a:xfrm>
          <a:off x="361950" y="9086851"/>
          <a:ext cx="1266825" cy="4953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Busca EARMáx</a:t>
          </a:r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5" name="Retângulo 4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6" name="Conector reto 5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7" name="Retângulo 6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8" name="Conector reto 7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47</xdr:row>
      <xdr:rowOff>38101</xdr:rowOff>
    </xdr:from>
    <xdr:to>
      <xdr:col>1</xdr:col>
      <xdr:colOff>1276350</xdr:colOff>
      <xdr:row>49</xdr:row>
      <xdr:rowOff>152401</xdr:rowOff>
    </xdr:to>
    <xdr:sp macro="[0]!buscaEarmMax" textlink="">
      <xdr:nvSpPr>
        <xdr:cNvPr id="11" name="Pentágono 10"/>
        <xdr:cNvSpPr/>
      </xdr:nvSpPr>
      <xdr:spPr>
        <a:xfrm>
          <a:off x="361950" y="9086851"/>
          <a:ext cx="1266825" cy="4953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Busca EARMáx</a:t>
          </a:r>
          <a:endParaRPr lang="pt-B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561975</xdr:colOff>
      <xdr:row>18</xdr:row>
      <xdr:rowOff>4763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13</xdr:col>
      <xdr:colOff>561975</xdr:colOff>
      <xdr:row>36</xdr:row>
      <xdr:rowOff>4763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561975</xdr:colOff>
      <xdr:row>18</xdr:row>
      <xdr:rowOff>4763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26</xdr:col>
      <xdr:colOff>561975</xdr:colOff>
      <xdr:row>36</xdr:row>
      <xdr:rowOff>4763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561975</xdr:colOff>
      <xdr:row>18</xdr:row>
      <xdr:rowOff>4763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13</xdr:col>
      <xdr:colOff>561975</xdr:colOff>
      <xdr:row>36</xdr:row>
      <xdr:rowOff>4763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561975</xdr:colOff>
      <xdr:row>18</xdr:row>
      <xdr:rowOff>4763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26</xdr:col>
      <xdr:colOff>561975</xdr:colOff>
      <xdr:row>36</xdr:row>
      <xdr:rowOff>4763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209550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5</xdr:row>
          <xdr:rowOff>209550</xdr:rowOff>
        </xdr:from>
        <xdr:to>
          <xdr:col>10</xdr:col>
          <xdr:colOff>0</xdr:colOff>
          <xdr:row>7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SECO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SECO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</xdr:row>
          <xdr:rowOff>209550</xdr:rowOff>
        </xdr:from>
        <xdr:to>
          <xdr:col>15</xdr:col>
          <xdr:colOff>990600</xdr:colOff>
          <xdr:row>7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ÚMIDO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142875</xdr:rowOff>
    </xdr:from>
    <xdr:to>
      <xdr:col>8</xdr:col>
      <xdr:colOff>276225</xdr:colOff>
      <xdr:row>5</xdr:row>
      <xdr:rowOff>38100</xdr:rowOff>
    </xdr:to>
    <xdr:sp macro="[0]!limpaCaminhosResultados" textlink="">
      <xdr:nvSpPr>
        <xdr:cNvPr id="2" name="Elipse 1"/>
        <xdr:cNvSpPr/>
      </xdr:nvSpPr>
      <xdr:spPr>
        <a:xfrm>
          <a:off x="5000625" y="142875"/>
          <a:ext cx="1371600" cy="9810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</a:t>
          </a:r>
          <a:r>
            <a:rPr lang="pt-BR" sz="1600" b="1" baseline="0"/>
            <a:t> CMO</a:t>
          </a:r>
          <a:endParaRPr lang="pt-BR" sz="1100" b="1"/>
        </a:p>
      </xdr:txBody>
    </xdr:sp>
    <xdr:clientData/>
  </xdr:twoCellAnchor>
  <xdr:twoCellAnchor>
    <xdr:from>
      <xdr:col>21</xdr:col>
      <xdr:colOff>238125</xdr:colOff>
      <xdr:row>26</xdr:row>
      <xdr:rowOff>71437</xdr:rowOff>
    </xdr:from>
    <xdr:to>
      <xdr:col>30</xdr:col>
      <xdr:colOff>19050</xdr:colOff>
      <xdr:row>39</xdr:row>
      <xdr:rowOff>47625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161925</xdr:colOff>
      <xdr:row>26</xdr:row>
      <xdr:rowOff>71437</xdr:rowOff>
    </xdr:from>
    <xdr:to>
      <xdr:col>39</xdr:col>
      <xdr:colOff>276225</xdr:colOff>
      <xdr:row>39</xdr:row>
      <xdr:rowOff>47625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39</xdr:row>
      <xdr:rowOff>142875</xdr:rowOff>
    </xdr:from>
    <xdr:to>
      <xdr:col>30</xdr:col>
      <xdr:colOff>57150</xdr:colOff>
      <xdr:row>52</xdr:row>
      <xdr:rowOff>119063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200025</xdr:colOff>
      <xdr:row>39</xdr:row>
      <xdr:rowOff>142875</xdr:rowOff>
    </xdr:from>
    <xdr:to>
      <xdr:col>39</xdr:col>
      <xdr:colOff>314325</xdr:colOff>
      <xdr:row>52</xdr:row>
      <xdr:rowOff>119063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_xml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2_xml/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2_xml/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1" tint="0.249977111117893"/>
  </sheetPr>
  <dimension ref="A1:AE403"/>
  <sheetViews>
    <sheetView showGridLines="0" tabSelected="1" zoomScale="85" zoomScaleNormal="85" workbookViewId="0">
      <selection activeCell="I17" sqref="I17"/>
    </sheetView>
  </sheetViews>
  <sheetFormatPr defaultRowHeight="15" x14ac:dyDescent="0.25"/>
  <cols>
    <col min="1" max="1" width="5.28515625" customWidth="1"/>
    <col min="2" max="2" width="22.85546875" customWidth="1"/>
    <col min="3" max="3" width="11" bestFit="1" customWidth="1"/>
    <col min="4" max="14" width="9.42578125" customWidth="1"/>
    <col min="15" max="15" width="10.5703125" bestFit="1" customWidth="1"/>
    <col min="16" max="16" width="2.5703125" style="7" customWidth="1"/>
    <col min="17" max="17" width="12.140625" bestFit="1" customWidth="1"/>
  </cols>
  <sheetData>
    <row r="1" spans="1:26" ht="15.75" thickBot="1" x14ac:dyDescent="0.3">
      <c r="A1" t="s">
        <v>557</v>
      </c>
    </row>
    <row r="2" spans="1:26" x14ac:dyDescent="0.25">
      <c r="B2" s="26" t="s">
        <v>58</v>
      </c>
      <c r="C2" s="93">
        <v>2016</v>
      </c>
      <c r="F2" s="155" t="s">
        <v>85</v>
      </c>
      <c r="G2" s="156"/>
      <c r="H2" s="156"/>
      <c r="I2" s="157"/>
      <c r="Q2" s="26" t="s">
        <v>119</v>
      </c>
      <c r="R2" s="93" t="s">
        <v>551</v>
      </c>
      <c r="V2" s="76"/>
      <c r="W2" s="77"/>
      <c r="X2" s="77"/>
      <c r="Y2" s="77"/>
      <c r="Z2" s="77"/>
    </row>
    <row r="3" spans="1:26" x14ac:dyDescent="0.25">
      <c r="F3" s="158"/>
      <c r="G3" s="159"/>
      <c r="H3" s="159"/>
      <c r="I3" s="160"/>
      <c r="V3" s="76" t="s">
        <v>551</v>
      </c>
      <c r="W3" s="77" t="s">
        <v>552</v>
      </c>
      <c r="X3" s="77" t="s">
        <v>553</v>
      </c>
      <c r="Y3" s="77" t="s">
        <v>554</v>
      </c>
      <c r="Z3" s="77"/>
    </row>
    <row r="4" spans="1:26" ht="15.75" thickBot="1" x14ac:dyDescent="0.3">
      <c r="B4" s="26" t="s">
        <v>84</v>
      </c>
      <c r="C4" s="93">
        <v>1</v>
      </c>
      <c r="D4" s="29" t="str">
        <f>nomeMes(C4)</f>
        <v>Jan</v>
      </c>
      <c r="F4" s="161"/>
      <c r="G4" s="162"/>
      <c r="H4" s="162"/>
      <c r="I4" s="163"/>
      <c r="V4" s="76"/>
      <c r="W4" s="77"/>
      <c r="X4" s="77"/>
      <c r="Y4" s="77"/>
      <c r="Z4" s="77"/>
    </row>
    <row r="6" spans="1:26" x14ac:dyDescent="0.25">
      <c r="B6" s="6"/>
      <c r="C6" s="164" t="s">
        <v>144</v>
      </c>
      <c r="D6" s="164"/>
      <c r="E6" s="164"/>
      <c r="F6" s="164"/>
      <c r="G6" s="164"/>
      <c r="H6" s="164"/>
      <c r="I6" s="164"/>
      <c r="J6" s="164"/>
    </row>
    <row r="7" spans="1:26" x14ac:dyDescent="0.25">
      <c r="B7" s="6"/>
      <c r="C7" s="7"/>
    </row>
    <row r="8" spans="1:26" x14ac:dyDescent="0.25">
      <c r="B8" s="6"/>
      <c r="C8" s="165" t="s">
        <v>145</v>
      </c>
      <c r="D8" s="166"/>
      <c r="E8" s="166"/>
      <c r="F8" s="166"/>
      <c r="G8" s="166"/>
      <c r="H8" s="166"/>
      <c r="I8" s="166"/>
      <c r="J8" s="167"/>
      <c r="K8" s="6"/>
      <c r="N8" s="6"/>
    </row>
    <row r="9" spans="1:26" x14ac:dyDescent="0.25">
      <c r="B9" s="6"/>
      <c r="C9" s="6"/>
    </row>
    <row r="10" spans="1:26" x14ac:dyDescent="0.25">
      <c r="B10" s="26" t="s">
        <v>75</v>
      </c>
      <c r="C10" s="94" t="str">
        <f>Apoio!C20</f>
        <v>822.83</v>
      </c>
    </row>
    <row r="11" spans="1:26" x14ac:dyDescent="0.25">
      <c r="B11" s="26" t="s">
        <v>76</v>
      </c>
      <c r="C11" s="94" t="str">
        <f>Apoio!C21</f>
        <v>15.62</v>
      </c>
    </row>
    <row r="13" spans="1:26" x14ac:dyDescent="0.25">
      <c r="B13" s="26" t="s">
        <v>44</v>
      </c>
      <c r="C13" s="96">
        <v>1</v>
      </c>
      <c r="D13" s="169" t="str">
        <f>IF(C13=0,"Não Simula NADA",IF(C13=1,"Simulação Sintética",IF(C13=2,"Simulação Histórica",IF(C13=3,"Checar consistência"))))</f>
        <v>Simulação Sintética</v>
      </c>
      <c r="E13" s="169"/>
      <c r="F13" s="169"/>
    </row>
    <row r="15" spans="1:26" x14ac:dyDescent="0.25">
      <c r="B15" s="26" t="s">
        <v>45</v>
      </c>
      <c r="C15" s="96">
        <v>11</v>
      </c>
      <c r="D15" s="170" t="str">
        <f>"Vai até -&gt; " &amp; IF((C15+C4)&gt;12,nomeMes(C15+C4-12),  nomeMes(C15+C4))</f>
        <v>Vai até -&gt; Dez</v>
      </c>
      <c r="E15" s="170"/>
      <c r="F15" s="170"/>
      <c r="I15" s="90"/>
    </row>
    <row r="16" spans="1:26" s="7" customFormat="1" x14ac:dyDescent="0.25">
      <c r="B16" s="14"/>
      <c r="C16" s="15"/>
      <c r="D16" s="16"/>
      <c r="E16" s="16"/>
    </row>
    <row r="17" spans="2:31" s="7" customFormat="1" x14ac:dyDescent="0.25">
      <c r="B17" s="26" t="s">
        <v>68</v>
      </c>
      <c r="C17" s="96">
        <v>0</v>
      </c>
      <c r="D17" s="169" t="str">
        <f>IF(C17=1,"Cria os decks","Cria e executa os decks")</f>
        <v>Cria e executa os decks</v>
      </c>
      <c r="E17" s="169"/>
      <c r="F17" s="169"/>
    </row>
    <row r="18" spans="2:31" s="7" customFormat="1" x14ac:dyDescent="0.25">
      <c r="B18" s="6"/>
      <c r="C18"/>
    </row>
    <row r="19" spans="2:31" s="7" customFormat="1" x14ac:dyDescent="0.25">
      <c r="B19" s="6"/>
      <c r="C19" s="24" t="s">
        <v>81</v>
      </c>
      <c r="D19" s="24" t="s">
        <v>82</v>
      </c>
      <c r="E19" s="25" t="s">
        <v>83</v>
      </c>
      <c r="F19" s="7" t="s">
        <v>110</v>
      </c>
      <c r="G19" s="7" t="s">
        <v>111</v>
      </c>
    </row>
    <row r="20" spans="2:31" s="7" customFormat="1" x14ac:dyDescent="0.25">
      <c r="B20" s="26" t="s">
        <v>80</v>
      </c>
      <c r="C20" s="96">
        <v>1</v>
      </c>
      <c r="D20" s="96">
        <v>1</v>
      </c>
      <c r="E20" s="96">
        <v>1</v>
      </c>
      <c r="F20" s="96">
        <v>0</v>
      </c>
      <c r="G20" s="96">
        <v>0</v>
      </c>
    </row>
    <row r="21" spans="2:31" s="7" customFormat="1" x14ac:dyDescent="0.25">
      <c r="B21" s="14"/>
      <c r="C21" s="15"/>
      <c r="D21" s="16"/>
      <c r="E21" s="16"/>
    </row>
    <row r="22" spans="2:31" s="7" customFormat="1" x14ac:dyDescent="0.25">
      <c r="B22" s="27" t="s">
        <v>77</v>
      </c>
      <c r="C22" s="154" t="str">
        <f>"saida_" &amp; MID(C8,38,50) &amp;".out"</f>
        <v>saida_201508_ago_z_070815.out</v>
      </c>
      <c r="D22" s="154"/>
      <c r="E22" s="154"/>
      <c r="F22" s="154"/>
      <c r="G22" s="154"/>
      <c r="H22" s="154"/>
      <c r="I22" s="154"/>
      <c r="J22" s="154"/>
    </row>
    <row r="23" spans="2:31" s="7" customFormat="1" x14ac:dyDescent="0.25"/>
    <row r="24" spans="2:31" s="7" customFormat="1" x14ac:dyDescent="0.25">
      <c r="B24" s="27" t="s">
        <v>78</v>
      </c>
      <c r="C24" s="168" t="str">
        <f>"\\192.168.0.10\PrevisaoPLD\2_xml\" &amp;RIGHT(C6,19)</f>
        <v>\\192.168.0.10\PrevisaoPLD\2_xml\201508_ago_z_070815</v>
      </c>
      <c r="D24" s="154"/>
      <c r="E24" s="154"/>
      <c r="F24" s="154"/>
      <c r="G24" s="154"/>
      <c r="H24" s="154"/>
      <c r="I24" s="154"/>
      <c r="J24" s="154"/>
    </row>
    <row r="25" spans="2:31" s="22" customFormat="1" x14ac:dyDescent="0.25">
      <c r="B25" s="21"/>
      <c r="C25" s="23"/>
      <c r="D25" s="23"/>
      <c r="E25" s="23"/>
      <c r="F25" s="23"/>
      <c r="G25" s="23"/>
      <c r="H25" s="23"/>
      <c r="I25" s="23"/>
      <c r="J25" s="23"/>
    </row>
    <row r="26" spans="2:31" s="7" customFormat="1" x14ac:dyDescent="0.25">
      <c r="B26" s="27" t="s">
        <v>79</v>
      </c>
      <c r="C26" s="154" t="str">
        <f>MID(C8,38,50)</f>
        <v>201508_ago_z_070815</v>
      </c>
      <c r="D26" s="154"/>
      <c r="E26" s="154"/>
      <c r="F26" s="154"/>
      <c r="G26" s="154"/>
      <c r="H26" s="154"/>
      <c r="I26" s="154"/>
      <c r="J26" s="154"/>
    </row>
    <row r="27" spans="2:31" s="7" customFormat="1" x14ac:dyDescent="0.25">
      <c r="B27" s="14"/>
      <c r="C27" s="15"/>
      <c r="D27" s="16"/>
      <c r="E27" s="16"/>
    </row>
    <row r="28" spans="2:31" ht="15.75" thickBot="1" x14ac:dyDescent="0.3"/>
    <row r="29" spans="2:31" ht="15.75" thickBot="1" x14ac:dyDescent="0.3">
      <c r="B29" s="6" t="s">
        <v>59</v>
      </c>
      <c r="D29" s="33" t="str">
        <f>"01/"&amp;$C$2</f>
        <v>01/2016</v>
      </c>
      <c r="E29" s="34" t="str">
        <f>"02/"&amp;$C$2</f>
        <v>02/2016</v>
      </c>
      <c r="F29" s="34" t="str">
        <f>"03/"&amp;$C$2</f>
        <v>03/2016</v>
      </c>
      <c r="G29" s="34" t="str">
        <f>"04/"&amp;$C$2</f>
        <v>04/2016</v>
      </c>
      <c r="H29" s="34" t="str">
        <f>"05/"&amp;$C$2</f>
        <v>05/2016</v>
      </c>
      <c r="I29" s="34" t="str">
        <f>"06/"&amp;$C$2</f>
        <v>06/2016</v>
      </c>
      <c r="J29" s="34" t="str">
        <f>"07/"&amp;$C$2</f>
        <v>07/2016</v>
      </c>
      <c r="K29" s="34" t="str">
        <f>"08/"&amp;$C$2</f>
        <v>08/2016</v>
      </c>
      <c r="L29" s="34" t="str">
        <f>"09/"&amp;$C$2</f>
        <v>09/2016</v>
      </c>
      <c r="M29" s="34" t="str">
        <f>"10/"&amp;$C$2</f>
        <v>10/2016</v>
      </c>
      <c r="N29" s="34" t="str">
        <f>"11/"&amp;$C$2</f>
        <v>11/2016</v>
      </c>
      <c r="O29" s="35" t="str">
        <f>"12/"&amp;$C$2</f>
        <v>12/2016</v>
      </c>
      <c r="P29" s="10"/>
      <c r="Q29" s="6" t="s">
        <v>60</v>
      </c>
      <c r="R29" s="4" t="str">
        <f>"01/"&amp;$C$2</f>
        <v>01/2016</v>
      </c>
      <c r="S29" s="4" t="str">
        <f>"02/"&amp;$C$2</f>
        <v>02/2016</v>
      </c>
      <c r="T29" s="4" t="str">
        <f>"03/"&amp;$C$2</f>
        <v>03/2016</v>
      </c>
      <c r="U29" s="4" t="str">
        <f>"04/"&amp;$C$2</f>
        <v>04/2016</v>
      </c>
      <c r="V29" s="4" t="str">
        <f>"05/"&amp;$C$2</f>
        <v>05/2016</v>
      </c>
      <c r="W29" s="4" t="str">
        <f>"06/"&amp;$C$2</f>
        <v>06/2016</v>
      </c>
      <c r="X29" s="4" t="str">
        <f>"07/"&amp;$C$2</f>
        <v>07/2016</v>
      </c>
      <c r="Y29" s="4" t="str">
        <f>"08/"&amp;$C$2</f>
        <v>08/2016</v>
      </c>
      <c r="Z29" s="4" t="str">
        <f>"09/"&amp;$C$2</f>
        <v>09/2016</v>
      </c>
      <c r="AA29" s="4" t="str">
        <f>"10/"&amp;$C$2</f>
        <v>10/2016</v>
      </c>
      <c r="AB29" s="4" t="str">
        <f>"11/"&amp;$C$2</f>
        <v>11/2016</v>
      </c>
      <c r="AC29" s="4" t="str">
        <f>"12/"&amp;$C$2</f>
        <v>12/2016</v>
      </c>
    </row>
    <row r="30" spans="2:31" x14ac:dyDescent="0.25">
      <c r="B30">
        <f>Apoio!A3</f>
        <v>1</v>
      </c>
      <c r="C30" s="17" t="str">
        <f>IF(Apoio!B3&lt;&gt;"","ENA_"&amp;Apoio!B3&amp;"_b","")</f>
        <v>ENA_SE_b</v>
      </c>
      <c r="D30" s="97">
        <v>1</v>
      </c>
      <c r="E30" s="98">
        <v>1</v>
      </c>
      <c r="F30" s="99">
        <v>1</v>
      </c>
      <c r="G30" s="99">
        <v>1</v>
      </c>
      <c r="H30" s="99">
        <v>1</v>
      </c>
      <c r="I30" s="99">
        <v>1</v>
      </c>
      <c r="J30" s="99">
        <v>1</v>
      </c>
      <c r="K30" s="99">
        <v>1</v>
      </c>
      <c r="L30" s="99">
        <v>1</v>
      </c>
      <c r="M30" s="99">
        <v>1</v>
      </c>
      <c r="N30" s="99">
        <v>1</v>
      </c>
      <c r="O30" s="100">
        <v>1</v>
      </c>
      <c r="P30" s="11"/>
      <c r="R30" s="8">
        <f>ROUND(D30*Apoio!C3,0)</f>
        <v>55958</v>
      </c>
      <c r="S30" s="8">
        <f>ROUND(E30*Apoio!D3,0)</f>
        <v>58546</v>
      </c>
      <c r="T30" s="8">
        <f>ROUND(F30*Apoio!E3,0)</f>
        <v>54671</v>
      </c>
      <c r="U30" s="8">
        <f>ROUND(G30*Apoio!F3,0)</f>
        <v>41439</v>
      </c>
      <c r="V30" s="8">
        <f>ROUND(H30*Apoio!G3,0)</f>
        <v>29902</v>
      </c>
      <c r="W30" s="8">
        <f>ROUND(I30*Apoio!H3,0)</f>
        <v>25526</v>
      </c>
      <c r="X30" s="8">
        <f>ROUND(J30*Apoio!I3,0)</f>
        <v>21177</v>
      </c>
      <c r="Y30" s="8">
        <f>ROUND(K30*Apoio!J3,0)</f>
        <v>17683</v>
      </c>
      <c r="Z30" s="8">
        <f>ROUND(L30*Apoio!K3,0)</f>
        <v>17538</v>
      </c>
      <c r="AA30" s="8">
        <f>ROUND(M30*Apoio!L3,0)</f>
        <v>21100</v>
      </c>
      <c r="AB30" s="8">
        <f>ROUND(N30*Apoio!M3,0)</f>
        <v>26982</v>
      </c>
      <c r="AC30" s="8">
        <f>ROUND(O30*Apoio!N3,0)</f>
        <v>40916</v>
      </c>
      <c r="AE30" s="28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55958 58546 54671 41439 29902 25526 21177 17683 17538 21100 26982 40916 &lt;/PrevisaoENA&gt;</v>
      </c>
    </row>
    <row r="31" spans="2:31" x14ac:dyDescent="0.25">
      <c r="B31">
        <f>Apoio!A4</f>
        <v>2</v>
      </c>
      <c r="C31" s="18" t="str">
        <f>IF(Apoio!B4&lt;&gt;"","ENA_"&amp;Apoio!B4&amp;"_b","")</f>
        <v>ENA_S_b</v>
      </c>
      <c r="D31" s="101">
        <v>1</v>
      </c>
      <c r="E31" s="102">
        <v>1</v>
      </c>
      <c r="F31" s="103">
        <v>1</v>
      </c>
      <c r="G31" s="103">
        <v>1</v>
      </c>
      <c r="H31" s="103">
        <v>1</v>
      </c>
      <c r="I31" s="103">
        <v>1</v>
      </c>
      <c r="J31" s="103">
        <v>1</v>
      </c>
      <c r="K31" s="103">
        <v>1</v>
      </c>
      <c r="L31" s="103">
        <v>1</v>
      </c>
      <c r="M31" s="103">
        <v>1</v>
      </c>
      <c r="N31" s="103">
        <v>1</v>
      </c>
      <c r="O31" s="104">
        <v>1</v>
      </c>
      <c r="P31" s="11"/>
      <c r="R31" s="8">
        <f>ROUND(D31*Apoio!C4,0)</f>
        <v>7271</v>
      </c>
      <c r="S31" s="8">
        <f>ROUND(E31*Apoio!D4,0)</f>
        <v>8350</v>
      </c>
      <c r="T31" s="8">
        <f>ROUND(F31*Apoio!E4,0)</f>
        <v>6999</v>
      </c>
      <c r="U31" s="8">
        <f>ROUND(G31*Apoio!F4,0)</f>
        <v>6584</v>
      </c>
      <c r="V31" s="8">
        <f>ROUND(H31*Apoio!G4,0)</f>
        <v>8561</v>
      </c>
      <c r="W31" s="8">
        <f>ROUND(I31*Apoio!H4,0)</f>
        <v>9928</v>
      </c>
      <c r="X31" s="8">
        <f>ROUND(J31*Apoio!I4,0)</f>
        <v>10915</v>
      </c>
      <c r="Y31" s="8">
        <f>ROUND(K31*Apoio!J4,0)</f>
        <v>10327</v>
      </c>
      <c r="Z31" s="8">
        <f>ROUND(L31*Apoio!K4,0)</f>
        <v>11999</v>
      </c>
      <c r="AA31" s="8">
        <f>ROUND(M31*Apoio!L4,0)</f>
        <v>13256</v>
      </c>
      <c r="AB31" s="8">
        <f>ROUND(N31*Apoio!M4,0)</f>
        <v>9358</v>
      </c>
      <c r="AC31" s="8">
        <f>ROUND(O31*Apoio!N4,0)</f>
        <v>7382</v>
      </c>
      <c r="AE31" s="28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19" t="str">
        <f>IF(Apoio!B5&lt;&gt;"","ENA_"&amp;Apoio!B5&amp;"_b","")</f>
        <v>ENA_NE_b</v>
      </c>
      <c r="D32" s="101">
        <v>0.55000000000000004</v>
      </c>
      <c r="E32" s="102">
        <v>0.55000000000000004</v>
      </c>
      <c r="F32" s="103">
        <v>0.55000000000000004</v>
      </c>
      <c r="G32" s="103">
        <v>0.55000000000000004</v>
      </c>
      <c r="H32" s="103">
        <v>0.55000000000000004</v>
      </c>
      <c r="I32" s="103">
        <v>0.55000000000000004</v>
      </c>
      <c r="J32" s="103">
        <v>0.55000000000000004</v>
      </c>
      <c r="K32" s="103">
        <v>0.55000000000000004</v>
      </c>
      <c r="L32" s="103">
        <v>0.55000000000000004</v>
      </c>
      <c r="M32" s="103">
        <v>0.55000000000000004</v>
      </c>
      <c r="N32" s="103">
        <v>0.55000000000000004</v>
      </c>
      <c r="O32" s="104">
        <v>0.55000000000000004</v>
      </c>
      <c r="P32" s="11"/>
      <c r="R32" s="8">
        <f>ROUND(D32*Apoio!C5,0)</f>
        <v>7788</v>
      </c>
      <c r="S32" s="8">
        <f>ROUND(E32*Apoio!D5,0)</f>
        <v>8191</v>
      </c>
      <c r="T32" s="8">
        <f>ROUND(F32*Apoio!E5,0)</f>
        <v>8156</v>
      </c>
      <c r="U32" s="8">
        <f>ROUND(G32*Apoio!F5,0)</f>
        <v>6641</v>
      </c>
      <c r="V32" s="8">
        <f>ROUND(H32*Apoio!G5,0)</f>
        <v>4022</v>
      </c>
      <c r="W32" s="8">
        <f>ROUND(I32*Apoio!H5,0)</f>
        <v>2653</v>
      </c>
      <c r="X32" s="8">
        <f>ROUND(J32*Apoio!I5,0)</f>
        <v>2186</v>
      </c>
      <c r="Y32" s="8">
        <f>ROUND(K32*Apoio!J5,0)</f>
        <v>1904</v>
      </c>
      <c r="Z32" s="8">
        <f>ROUND(L32*Apoio!K5,0)</f>
        <v>1702</v>
      </c>
      <c r="AA32" s="8">
        <f>ROUND(M32*Apoio!L5,0)</f>
        <v>1866</v>
      </c>
      <c r="AB32" s="8">
        <f>ROUND(N32*Apoio!M5,0)</f>
        <v>3054</v>
      </c>
      <c r="AC32" s="8">
        <f>ROUND(O32*Apoio!N5,0)</f>
        <v>5616</v>
      </c>
      <c r="AE32" s="28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0" t="str">
        <f>IF(Apoio!B6&lt;&gt;"","ENA_"&amp;Apoio!B6&amp;"_b","")</f>
        <v>ENA_N_b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1"/>
      <c r="R33" s="8">
        <f>ROUND(D33*Apoio!C6,0)</f>
        <v>10038</v>
      </c>
      <c r="S33" s="8">
        <f>ROUND(E33*Apoio!D6,0)</f>
        <v>13476</v>
      </c>
      <c r="T33" s="8">
        <f>ROUND(F33*Apoio!E6,0)</f>
        <v>15677</v>
      </c>
      <c r="U33" s="8">
        <f>ROUND(G33*Apoio!F6,0)</f>
        <v>15615</v>
      </c>
      <c r="V33" s="8">
        <f>ROUND(H33*Apoio!G6,0)</f>
        <v>10498</v>
      </c>
      <c r="W33" s="8">
        <f>ROUND(I33*Apoio!H6,0)</f>
        <v>5478</v>
      </c>
      <c r="X33" s="8">
        <f>ROUND(J33*Apoio!I6,0)</f>
        <v>3334</v>
      </c>
      <c r="Y33" s="8">
        <f>ROUND(K33*Apoio!J6,0)</f>
        <v>2337</v>
      </c>
      <c r="Z33" s="8">
        <f>ROUND(L33*Apoio!K6,0)</f>
        <v>1807</v>
      </c>
      <c r="AA33" s="8">
        <f>ROUND(M33*Apoio!L6,0)</f>
        <v>1932</v>
      </c>
      <c r="AB33" s="8">
        <f>ROUND(N33*Apoio!M6,0)</f>
        <v>3065</v>
      </c>
      <c r="AC33" s="8">
        <f>ROUND(O33*Apoio!N6,0)</f>
        <v>5855</v>
      </c>
      <c r="AE33" s="28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6</v>
      </c>
      <c r="C34" s="72" t="str">
        <f>IF(Apoio!B7&lt;&gt;"","ENA_"&amp;Apoio!B7&amp;"_b","")</f>
        <v>ENA_MD_b</v>
      </c>
      <c r="D34" s="105">
        <v>1</v>
      </c>
      <c r="E34" s="106">
        <v>1</v>
      </c>
      <c r="F34" s="107">
        <v>1</v>
      </c>
      <c r="G34" s="107">
        <v>1</v>
      </c>
      <c r="H34" s="107">
        <v>1</v>
      </c>
      <c r="I34" s="107">
        <v>1</v>
      </c>
      <c r="J34" s="107">
        <v>1</v>
      </c>
      <c r="K34" s="107">
        <v>1</v>
      </c>
      <c r="L34" s="107">
        <v>1</v>
      </c>
      <c r="M34" s="107">
        <v>1</v>
      </c>
      <c r="N34" s="107">
        <v>1</v>
      </c>
      <c r="O34" s="108">
        <v>1</v>
      </c>
      <c r="P34" s="11"/>
      <c r="R34" s="8">
        <f>ROUND(D34*Apoio!C7,0)</f>
        <v>0</v>
      </c>
      <c r="S34" s="8">
        <f>ROUND(E34*Apoio!D7,0)</f>
        <v>0</v>
      </c>
      <c r="T34" s="8">
        <f>ROUND(F34*Apoio!E7,0)</f>
        <v>0</v>
      </c>
      <c r="U34" s="8">
        <f>ROUND(G34*Apoio!F7,0)</f>
        <v>0</v>
      </c>
      <c r="V34" s="8">
        <f>ROUND(H34*Apoio!G7,0)</f>
        <v>0</v>
      </c>
      <c r="W34" s="8">
        <f>ROUND(I34*Apoio!H7,0)</f>
        <v>0</v>
      </c>
      <c r="X34" s="8">
        <f>ROUND(J34*Apoio!I7,0)</f>
        <v>0</v>
      </c>
      <c r="Y34" s="8">
        <f>ROUND(K34*Apoio!J7,0)</f>
        <v>0</v>
      </c>
      <c r="Z34" s="8">
        <f>ROUND(L34*Apoio!K7,0)</f>
        <v>0</v>
      </c>
      <c r="AA34" s="8">
        <f>ROUND(M34*Apoio!L7,0)</f>
        <v>0</v>
      </c>
      <c r="AB34" s="8">
        <f>ROUND(N34*Apoio!M7,0)</f>
        <v>0</v>
      </c>
      <c r="AC34" s="8">
        <f>ROUND(O34*Apoio!N7,0)</f>
        <v>0</v>
      </c>
      <c r="AE34" s="28" t="str">
        <f t="shared" si="0"/>
        <v>&lt;PrevisaoENA SubMercado="6" MesReferencia="1"&gt; 0 0 0 0 0 0 0 0 0 0 0 0 &lt;/PrevisaoENA&gt;</v>
      </c>
    </row>
    <row r="35" spans="2:31" x14ac:dyDescent="0.25">
      <c r="B35">
        <f>Apoio!A8</f>
        <v>8</v>
      </c>
      <c r="C35" s="73" t="str">
        <f>IF(Apoio!B8&lt;&gt;"","ENA_"&amp;Apoio!B8&amp;"_b","")</f>
        <v>ENA_BM_b</v>
      </c>
      <c r="D35" s="105">
        <v>1</v>
      </c>
      <c r="E35" s="106">
        <v>1</v>
      </c>
      <c r="F35" s="107">
        <v>1</v>
      </c>
      <c r="G35" s="107">
        <v>1</v>
      </c>
      <c r="H35" s="107">
        <v>1</v>
      </c>
      <c r="I35" s="107">
        <v>1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8">
        <v>1</v>
      </c>
      <c r="P35" s="11"/>
      <c r="R35" s="8">
        <f>ROUND(D35*Apoio!C8,0)</f>
        <v>0</v>
      </c>
      <c r="S35" s="8">
        <f>ROUND(E35*Apoio!D8,0)</f>
        <v>0</v>
      </c>
      <c r="T35" s="8">
        <f>ROUND(F35*Apoio!E8,0)</f>
        <v>0</v>
      </c>
      <c r="U35" s="8">
        <f>ROUND(G35*Apoio!F8,0)</f>
        <v>0</v>
      </c>
      <c r="V35" s="8">
        <f>ROUND(H35*Apoio!G8,0)</f>
        <v>0</v>
      </c>
      <c r="W35" s="8">
        <f>ROUND(I35*Apoio!H8,0)</f>
        <v>0</v>
      </c>
      <c r="X35" s="8">
        <f>ROUND(J35*Apoio!I8,0)</f>
        <v>0</v>
      </c>
      <c r="Y35" s="8">
        <f>ROUND(K35*Apoio!J8,0)</f>
        <v>0</v>
      </c>
      <c r="Z35" s="8">
        <f>ROUND(L35*Apoio!K8,0)</f>
        <v>0</v>
      </c>
      <c r="AA35" s="8">
        <f>ROUND(M35*Apoio!L8,0)</f>
        <v>0</v>
      </c>
      <c r="AB35" s="8">
        <f>ROUND(N35*Apoio!M8,0)</f>
        <v>0</v>
      </c>
      <c r="AC35" s="8">
        <f>ROUND(O35*Apoio!N8,0)</f>
        <v>0</v>
      </c>
      <c r="AE35" s="28" t="str">
        <f t="shared" si="0"/>
        <v>&lt;PrevisaoENA SubMercado="8" MesReferencia="1"&gt; 0 0 0 0 0 0 0 0 0 0 0 0 &lt;/PrevisaoENA&gt;</v>
      </c>
    </row>
    <row r="36" spans="2:31" x14ac:dyDescent="0.25">
      <c r="B36">
        <f>Apoio!A9</f>
        <v>0</v>
      </c>
      <c r="C36" s="74" t="str">
        <f>IF(Apoio!B9&lt;&gt;"","ENA_"&amp;Apoio!B9&amp;"_b","")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1"/>
      <c r="R36" s="8">
        <f>ROUND(D36*Apoio!C9,0)</f>
        <v>0</v>
      </c>
      <c r="S36" s="8">
        <f>ROUND(E36*Apoio!D9,0)</f>
        <v>0</v>
      </c>
      <c r="T36" s="8">
        <f>ROUND(F36*Apoio!E9,0)</f>
        <v>0</v>
      </c>
      <c r="U36" s="8">
        <f>ROUND(G36*Apoio!F9,0)</f>
        <v>0</v>
      </c>
      <c r="V36" s="8">
        <f>ROUND(H36*Apoio!G9,0)</f>
        <v>0</v>
      </c>
      <c r="W36" s="8">
        <f>ROUND(I36*Apoio!H9,0)</f>
        <v>0</v>
      </c>
      <c r="X36" s="8">
        <f>ROUND(J36*Apoio!I9,0)</f>
        <v>0</v>
      </c>
      <c r="Y36" s="8">
        <f>ROUND(K36*Apoio!J9,0)</f>
        <v>0</v>
      </c>
      <c r="Z36" s="8">
        <f>ROUND(L36*Apoio!K9,0)</f>
        <v>0</v>
      </c>
      <c r="AA36" s="8">
        <f>ROUND(M36*Apoio!L9,0)</f>
        <v>0</v>
      </c>
      <c r="AB36" s="8">
        <f>ROUND(N36*Apoio!M9,0)</f>
        <v>0</v>
      </c>
      <c r="AC36" s="8">
        <f>ROUND(O36*Apoio!N9,0)</f>
        <v>0</v>
      </c>
      <c r="AE36" s="28" t="str">
        <f t="shared" si="0"/>
        <v/>
      </c>
    </row>
    <row r="37" spans="2:31" x14ac:dyDescent="0.25">
      <c r="B37">
        <f>Apoio!A10</f>
        <v>0</v>
      </c>
      <c r="C37" s="74" t="str">
        <f>IF(Apoio!B10&lt;&gt;"","ENA_"&amp;Apoio!B10&amp;"_b","")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1"/>
      <c r="R37" s="8">
        <f>ROUND(D37*Apoio!C10,0)</f>
        <v>0</v>
      </c>
      <c r="S37" s="8">
        <f>ROUND(E37*Apoio!D10,0)</f>
        <v>0</v>
      </c>
      <c r="T37" s="8">
        <f>ROUND(F37*Apoio!E10,0)</f>
        <v>0</v>
      </c>
      <c r="U37" s="8">
        <f>ROUND(G37*Apoio!F10,0)</f>
        <v>0</v>
      </c>
      <c r="V37" s="8">
        <f>ROUND(H37*Apoio!G10,0)</f>
        <v>0</v>
      </c>
      <c r="W37" s="8">
        <f>ROUND(I37*Apoio!H10,0)</f>
        <v>0</v>
      </c>
      <c r="X37" s="8">
        <f>ROUND(J37*Apoio!I10,0)</f>
        <v>0</v>
      </c>
      <c r="Y37" s="8">
        <f>ROUND(K37*Apoio!J10,0)</f>
        <v>0</v>
      </c>
      <c r="Z37" s="8">
        <f>ROUND(L37*Apoio!K10,0)</f>
        <v>0</v>
      </c>
      <c r="AA37" s="8">
        <f>ROUND(M37*Apoio!L10,0)</f>
        <v>0</v>
      </c>
      <c r="AB37" s="8">
        <f>ROUND(N37*Apoio!M10,0)</f>
        <v>0</v>
      </c>
      <c r="AC37" s="8">
        <f>ROUND(O37*Apoio!N10,0)</f>
        <v>0</v>
      </c>
      <c r="AE37" s="28" t="str">
        <f t="shared" si="0"/>
        <v/>
      </c>
    </row>
    <row r="38" spans="2:31" x14ac:dyDescent="0.25">
      <c r="B38">
        <f>Apoio!A11</f>
        <v>0</v>
      </c>
      <c r="C38" s="74" t="str">
        <f>IF(Apoio!B11&lt;&gt;"","ENA_"&amp;Apoio!B11&amp;"_b","")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1"/>
      <c r="R38" s="8">
        <f>ROUND(D38*Apoio!C11,0)</f>
        <v>0</v>
      </c>
      <c r="S38" s="8">
        <f>ROUND(E38*Apoio!D11,0)</f>
        <v>0</v>
      </c>
      <c r="T38" s="8">
        <f>ROUND(F38*Apoio!E11,0)</f>
        <v>0</v>
      </c>
      <c r="U38" s="8">
        <f>ROUND(G38*Apoio!F11,0)</f>
        <v>0</v>
      </c>
      <c r="V38" s="8">
        <f>ROUND(H38*Apoio!G11,0)</f>
        <v>0</v>
      </c>
      <c r="W38" s="8">
        <f>ROUND(I38*Apoio!H11,0)</f>
        <v>0</v>
      </c>
      <c r="X38" s="8">
        <f>ROUND(J38*Apoio!I11,0)</f>
        <v>0</v>
      </c>
      <c r="Y38" s="8">
        <f>ROUND(K38*Apoio!J11,0)</f>
        <v>0</v>
      </c>
      <c r="Z38" s="8">
        <f>ROUND(L38*Apoio!K11,0)</f>
        <v>0</v>
      </c>
      <c r="AA38" s="8">
        <f>ROUND(M38*Apoio!L11,0)</f>
        <v>0</v>
      </c>
      <c r="AB38" s="8">
        <f>ROUND(N38*Apoio!M11,0)</f>
        <v>0</v>
      </c>
      <c r="AC38" s="8">
        <f>ROUND(O38*Apoio!N11,0)</f>
        <v>0</v>
      </c>
      <c r="AE38" s="28" t="str">
        <f t="shared" si="0"/>
        <v/>
      </c>
    </row>
    <row r="39" spans="2:31" x14ac:dyDescent="0.25">
      <c r="B39">
        <f>Apoio!A12</f>
        <v>0</v>
      </c>
      <c r="C39" s="74" t="str">
        <f>IF(Apoio!B12&lt;&gt;"","ENA_"&amp;Apoio!B12&amp;"_b","")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1"/>
      <c r="R39" s="8">
        <f>ROUND(D39*Apoio!C12,0)</f>
        <v>0</v>
      </c>
      <c r="S39" s="8">
        <f>ROUND(E39*Apoio!D12,0)</f>
        <v>0</v>
      </c>
      <c r="T39" s="8">
        <f>ROUND(F39*Apoio!E12,0)</f>
        <v>0</v>
      </c>
      <c r="U39" s="8">
        <f>ROUND(G39*Apoio!F12,0)</f>
        <v>0</v>
      </c>
      <c r="V39" s="8">
        <f>ROUND(H39*Apoio!G12,0)</f>
        <v>0</v>
      </c>
      <c r="W39" s="8">
        <f>ROUND(I39*Apoio!H12,0)</f>
        <v>0</v>
      </c>
      <c r="X39" s="8">
        <f>ROUND(J39*Apoio!I12,0)</f>
        <v>0</v>
      </c>
      <c r="Y39" s="8">
        <f>ROUND(K39*Apoio!J12,0)</f>
        <v>0</v>
      </c>
      <c r="Z39" s="8">
        <f>ROUND(L39*Apoio!K12,0)</f>
        <v>0</v>
      </c>
      <c r="AA39" s="8">
        <f>ROUND(M39*Apoio!L12,0)</f>
        <v>0</v>
      </c>
      <c r="AB39" s="8">
        <f>ROUND(N39*Apoio!M12,0)</f>
        <v>0</v>
      </c>
      <c r="AC39" s="8">
        <f>ROUND(O39*Apoio!N12,0)</f>
        <v>0</v>
      </c>
      <c r="AE39" s="28" t="str">
        <f t="shared" si="0"/>
        <v/>
      </c>
    </row>
    <row r="40" spans="2:31" x14ac:dyDescent="0.25">
      <c r="B40">
        <f>Apoio!A13</f>
        <v>0</v>
      </c>
      <c r="C40" s="74" t="str">
        <f>IF(Apoio!B13&lt;&gt;"","ENA_"&amp;Apoio!B13&amp;"_b","")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1"/>
      <c r="R40" s="8">
        <f>ROUND(D40*Apoio!C13,0)</f>
        <v>0</v>
      </c>
      <c r="S40" s="8">
        <f>ROUND(E40*Apoio!D13,0)</f>
        <v>0</v>
      </c>
      <c r="T40" s="8">
        <f>ROUND(F40*Apoio!E13,0)</f>
        <v>0</v>
      </c>
      <c r="U40" s="8">
        <f>ROUND(G40*Apoio!F13,0)</f>
        <v>0</v>
      </c>
      <c r="V40" s="8">
        <f>ROUND(H40*Apoio!G13,0)</f>
        <v>0</v>
      </c>
      <c r="W40" s="8">
        <f>ROUND(I40*Apoio!H13,0)</f>
        <v>0</v>
      </c>
      <c r="X40" s="8">
        <f>ROUND(J40*Apoio!I13,0)</f>
        <v>0</v>
      </c>
      <c r="Y40" s="8">
        <f>ROUND(K40*Apoio!J13,0)</f>
        <v>0</v>
      </c>
      <c r="Z40" s="8">
        <f>ROUND(L40*Apoio!K13,0)</f>
        <v>0</v>
      </c>
      <c r="AA40" s="8">
        <f>ROUND(M40*Apoio!L13,0)</f>
        <v>0</v>
      </c>
      <c r="AB40" s="8">
        <f>ROUND(N40*Apoio!M13,0)</f>
        <v>0</v>
      </c>
      <c r="AC40" s="8">
        <f>ROUND(O40*Apoio!N13,0)</f>
        <v>0</v>
      </c>
      <c r="AE40" s="28" t="str">
        <f t="shared" si="0"/>
        <v/>
      </c>
    </row>
    <row r="41" spans="2:31" x14ac:dyDescent="0.25">
      <c r="B41">
        <f>Apoio!A14</f>
        <v>0</v>
      </c>
      <c r="C41" s="74" t="str">
        <f>IF(Apoio!B14&lt;&gt;"","ENA_"&amp;Apoio!B14&amp;"_b","")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"/>
      <c r="R41" s="8">
        <f>ROUND(D41*Apoio!C14,0)</f>
        <v>0</v>
      </c>
      <c r="S41" s="8">
        <f>ROUND(E41*Apoio!D14,0)</f>
        <v>0</v>
      </c>
      <c r="T41" s="8">
        <f>ROUND(F41*Apoio!E14,0)</f>
        <v>0</v>
      </c>
      <c r="U41" s="8">
        <f>ROUND(G41*Apoio!F14,0)</f>
        <v>0</v>
      </c>
      <c r="V41" s="8">
        <f>ROUND(H41*Apoio!G14,0)</f>
        <v>0</v>
      </c>
      <c r="W41" s="8">
        <f>ROUND(I41*Apoio!H14,0)</f>
        <v>0</v>
      </c>
      <c r="X41" s="8">
        <f>ROUND(J41*Apoio!I14,0)</f>
        <v>0</v>
      </c>
      <c r="Y41" s="8">
        <f>ROUND(K41*Apoio!J14,0)</f>
        <v>0</v>
      </c>
      <c r="Z41" s="8">
        <f>ROUND(L41*Apoio!K14,0)</f>
        <v>0</v>
      </c>
      <c r="AA41" s="8">
        <f>ROUND(M41*Apoio!L14,0)</f>
        <v>0</v>
      </c>
      <c r="AB41" s="8">
        <f>ROUND(N41*Apoio!M14,0)</f>
        <v>0</v>
      </c>
      <c r="AC41" s="8">
        <f>ROUND(O41*Apoio!N14,0)</f>
        <v>0</v>
      </c>
      <c r="AE41" s="28" t="str">
        <f t="shared" si="0"/>
        <v/>
      </c>
    </row>
    <row r="42" spans="2:31" x14ac:dyDescent="0.25">
      <c r="B42">
        <f>Apoio!A15</f>
        <v>0</v>
      </c>
      <c r="C42" s="74" t="str">
        <f>IF(Apoio!B15&lt;&gt;"","ENA_"&amp;Apoio!B15&amp;"_b","")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1"/>
      <c r="R42" s="8">
        <f>ROUND(D42*Apoio!C15,0)</f>
        <v>0</v>
      </c>
      <c r="S42" s="8">
        <f>ROUND(E42*Apoio!D15,0)</f>
        <v>0</v>
      </c>
      <c r="T42" s="8">
        <f>ROUND(F42*Apoio!E15,0)</f>
        <v>0</v>
      </c>
      <c r="U42" s="8">
        <f>ROUND(G42*Apoio!F15,0)</f>
        <v>0</v>
      </c>
      <c r="V42" s="8">
        <f>ROUND(H42*Apoio!G15,0)</f>
        <v>0</v>
      </c>
      <c r="W42" s="8">
        <f>ROUND(I42*Apoio!H15,0)</f>
        <v>0</v>
      </c>
      <c r="X42" s="8">
        <f>ROUND(J42*Apoio!I15,0)</f>
        <v>0</v>
      </c>
      <c r="Y42" s="8">
        <f>ROUND(K42*Apoio!J15,0)</f>
        <v>0</v>
      </c>
      <c r="Z42" s="8">
        <f>ROUND(L42*Apoio!K15,0)</f>
        <v>0</v>
      </c>
      <c r="AA42" s="8">
        <f>ROUND(M42*Apoio!L15,0)</f>
        <v>0</v>
      </c>
      <c r="AB42" s="8">
        <f>ROUND(N42*Apoio!M15,0)</f>
        <v>0</v>
      </c>
      <c r="AC42" s="8">
        <f>ROUND(O42*Apoio!N15,0)</f>
        <v>0</v>
      </c>
      <c r="AE42" s="28" t="str">
        <f t="shared" si="0"/>
        <v/>
      </c>
    </row>
    <row r="43" spans="2:31" x14ac:dyDescent="0.25">
      <c r="B43">
        <f>Apoio!A16</f>
        <v>0</v>
      </c>
      <c r="C43" s="74" t="str">
        <f>IF(Apoio!B16&lt;&gt;"","ENA_"&amp;Apoio!B16&amp;"_b","")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1"/>
      <c r="R43" s="8">
        <f>ROUND(D43*Apoio!C16,0)</f>
        <v>0</v>
      </c>
      <c r="S43" s="8">
        <f>ROUND(E43*Apoio!D16,0)</f>
        <v>0</v>
      </c>
      <c r="T43" s="8">
        <f>ROUND(F43*Apoio!E16,0)</f>
        <v>0</v>
      </c>
      <c r="U43" s="8">
        <f>ROUND(G43*Apoio!F16,0)</f>
        <v>0</v>
      </c>
      <c r="V43" s="8">
        <f>ROUND(H43*Apoio!G16,0)</f>
        <v>0</v>
      </c>
      <c r="W43" s="8">
        <f>ROUND(I43*Apoio!H16,0)</f>
        <v>0</v>
      </c>
      <c r="X43" s="8">
        <f>ROUND(J43*Apoio!I16,0)</f>
        <v>0</v>
      </c>
      <c r="Y43" s="8">
        <f>ROUND(K43*Apoio!J16,0)</f>
        <v>0</v>
      </c>
      <c r="Z43" s="8">
        <f>ROUND(L43*Apoio!K16,0)</f>
        <v>0</v>
      </c>
      <c r="AA43" s="8">
        <f>ROUND(M43*Apoio!L16,0)</f>
        <v>0</v>
      </c>
      <c r="AB43" s="8">
        <f>ROUND(N43*Apoio!M16,0)</f>
        <v>0</v>
      </c>
      <c r="AC43" s="8">
        <f>ROUND(O43*Apoio!N16,0)</f>
        <v>0</v>
      </c>
      <c r="AE43" s="28" t="str">
        <f t="shared" si="0"/>
        <v/>
      </c>
    </row>
    <row r="44" spans="2:31" ht="15.75" thickBot="1" x14ac:dyDescent="0.3">
      <c r="B44">
        <f>Apoio!A17</f>
        <v>0</v>
      </c>
      <c r="C44" s="75" t="str">
        <f>IF(Apoio!B17&lt;&gt;"","ENA_"&amp;Apoio!B17&amp;"_b","")</f>
        <v/>
      </c>
      <c r="D44" s="109"/>
      <c r="E44" s="110"/>
      <c r="F44" s="111"/>
      <c r="G44" s="111"/>
      <c r="H44" s="111"/>
      <c r="I44" s="111"/>
      <c r="J44" s="111"/>
      <c r="K44" s="111"/>
      <c r="L44" s="111"/>
      <c r="M44" s="111"/>
      <c r="N44" s="111"/>
      <c r="O44" s="112"/>
      <c r="P44" s="11"/>
      <c r="R44" s="8">
        <f>ROUND(D44*Apoio!C17,0)</f>
        <v>0</v>
      </c>
      <c r="S44" s="8">
        <f>ROUND(E44*Apoio!D17,0)</f>
        <v>0</v>
      </c>
      <c r="T44" s="8">
        <f>ROUND(F44*Apoio!E17,0)</f>
        <v>0</v>
      </c>
      <c r="U44" s="8">
        <f>ROUND(G44*Apoio!F17,0)</f>
        <v>0</v>
      </c>
      <c r="V44" s="8">
        <f>ROUND(H44*Apoio!G17,0)</f>
        <v>0</v>
      </c>
      <c r="W44" s="8">
        <f>ROUND(I44*Apoio!H17,0)</f>
        <v>0</v>
      </c>
      <c r="X44" s="8">
        <f>ROUND(J44*Apoio!I17,0)</f>
        <v>0</v>
      </c>
      <c r="Y44" s="8">
        <f>ROUND(K44*Apoio!J17,0)</f>
        <v>0</v>
      </c>
      <c r="Z44" s="8">
        <f>ROUND(L44*Apoio!K17,0)</f>
        <v>0</v>
      </c>
      <c r="AA44" s="8">
        <f>ROUND(M44*Apoio!L17,0)</f>
        <v>0</v>
      </c>
      <c r="AB44" s="8">
        <f>ROUND(N44*Apoio!M17,0)</f>
        <v>0</v>
      </c>
      <c r="AC44" s="8">
        <f>ROUND(O44*Apoio!N17,0)</f>
        <v>0</v>
      </c>
      <c r="AE44" s="28" t="str">
        <f t="shared" si="0"/>
        <v/>
      </c>
    </row>
    <row r="45" spans="2:31" hidden="1" x14ac:dyDescent="0.25"/>
    <row r="46" spans="2:31" ht="16.5" hidden="1" thickBot="1" x14ac:dyDescent="0.3">
      <c r="B46" s="6"/>
      <c r="C46" s="70"/>
      <c r="E46" s="32"/>
    </row>
    <row r="47" spans="2:31" ht="16.5" hidden="1" thickBot="1" x14ac:dyDescent="0.3">
      <c r="C47" s="78" t="str">
        <f>nomeMes(C4-1)</f>
        <v/>
      </c>
      <c r="D47" s="79" t="s">
        <v>88</v>
      </c>
      <c r="E47" s="80" t="s">
        <v>65</v>
      </c>
      <c r="F47" s="150" t="s">
        <v>66</v>
      </c>
      <c r="G47" s="151"/>
      <c r="L47" s="37"/>
    </row>
    <row r="48" spans="2:31" hidden="1" x14ac:dyDescent="0.25">
      <c r="C48" s="81"/>
      <c r="D48" s="82">
        <v>0</v>
      </c>
      <c r="E48" s="83">
        <f>INDEX($D$66:$O$80,ROW()-ROW($C$47),$C$4-1)</f>
        <v>0</v>
      </c>
      <c r="F48" s="152">
        <f>ROUND(D48*E48,1)</f>
        <v>0</v>
      </c>
      <c r="G48" s="153"/>
      <c r="AE48" t="str">
        <f>IF(C30="","","&lt;VolumeInicial SubMercado="""&amp;B48&amp;"""&gt; " &amp;F48&amp; " &lt;/VolumeInicial&gt;")</f>
        <v>&lt;VolumeInicial SubMercado=""&gt; 0 &lt;/VolumeInicial&gt;</v>
      </c>
    </row>
    <row r="49" spans="2:31" hidden="1" x14ac:dyDescent="0.25">
      <c r="C49" s="84"/>
      <c r="D49" s="85">
        <v>0</v>
      </c>
      <c r="E49" s="83">
        <f t="shared" ref="E49:E62" si="1">INDEX($D$66:$O$80,ROW()-ROW($C$47),$C$4-1)</f>
        <v>0</v>
      </c>
      <c r="F49" s="152">
        <f t="shared" ref="F49:F62" si="2">ROUND(D49*E49,1)</f>
        <v>0</v>
      </c>
      <c r="G49" s="153"/>
      <c r="AE49" t="str">
        <f t="shared" ref="AE49:AE62" si="3">IF(C31="","","&lt;VolumeInicial SubMercado="""&amp;B49&amp;"""&gt; " &amp;F49&amp; " &lt;/VolumeInicial&gt;")</f>
        <v>&lt;VolumeInicial SubMercado=""&gt; 0 &lt;/VolumeInicial&gt;</v>
      </c>
    </row>
    <row r="50" spans="2:31" hidden="1" x14ac:dyDescent="0.25">
      <c r="C50" s="84"/>
      <c r="D50" s="85">
        <v>0</v>
      </c>
      <c r="E50" s="83">
        <f t="shared" si="1"/>
        <v>0</v>
      </c>
      <c r="F50" s="152">
        <f t="shared" si="2"/>
        <v>0</v>
      </c>
      <c r="G50" s="153"/>
      <c r="AE50" t="str">
        <f t="shared" si="3"/>
        <v>&lt;VolumeInicial SubMercado=""&gt; 0 &lt;/VolumeInicial&gt;</v>
      </c>
    </row>
    <row r="51" spans="2:31" ht="15.75" hidden="1" thickBot="1" x14ac:dyDescent="0.3">
      <c r="C51" s="86"/>
      <c r="D51" s="87">
        <v>0</v>
      </c>
      <c r="E51" s="83">
        <f t="shared" si="1"/>
        <v>0</v>
      </c>
      <c r="F51" s="152">
        <f t="shared" ref="F51:F61" si="4">ROUND(D51*E51,1)</f>
        <v>0</v>
      </c>
      <c r="G51" s="153"/>
      <c r="AE51" t="str">
        <f t="shared" si="3"/>
        <v>&lt;VolumeInicial SubMercado=""&gt; 0 &lt;/VolumeInicial&gt;</v>
      </c>
    </row>
    <row r="52" spans="2:31" hidden="1" x14ac:dyDescent="0.25">
      <c r="C52" s="88"/>
      <c r="D52" s="87">
        <v>0</v>
      </c>
      <c r="E52" s="83">
        <f t="shared" si="1"/>
        <v>0</v>
      </c>
      <c r="F52" s="152">
        <f t="shared" si="4"/>
        <v>0</v>
      </c>
      <c r="G52" s="153"/>
      <c r="AE52" t="str">
        <f t="shared" si="3"/>
        <v>&lt;VolumeInicial SubMercado=""&gt; 0 &lt;/VolumeInicial&gt;</v>
      </c>
    </row>
    <row r="53" spans="2:31" hidden="1" x14ac:dyDescent="0.25">
      <c r="C53" s="88"/>
      <c r="D53" s="87">
        <v>0</v>
      </c>
      <c r="E53" s="83">
        <f t="shared" si="1"/>
        <v>0</v>
      </c>
      <c r="F53" s="152">
        <f t="shared" si="4"/>
        <v>0</v>
      </c>
      <c r="G53" s="153"/>
      <c r="AE53" t="str">
        <f t="shared" si="3"/>
        <v>&lt;VolumeInicial SubMercado=""&gt; 0 &lt;/VolumeInicial&gt;</v>
      </c>
    </row>
    <row r="54" spans="2:31" hidden="1" x14ac:dyDescent="0.25">
      <c r="C54" s="88"/>
      <c r="D54" s="87"/>
      <c r="E54" s="83">
        <f t="shared" si="1"/>
        <v>0</v>
      </c>
      <c r="F54" s="152">
        <f t="shared" si="4"/>
        <v>0</v>
      </c>
      <c r="G54" s="153"/>
      <c r="AE54" t="str">
        <f t="shared" si="3"/>
        <v/>
      </c>
    </row>
    <row r="55" spans="2:31" hidden="1" x14ac:dyDescent="0.25">
      <c r="C55" s="88"/>
      <c r="D55" s="87"/>
      <c r="E55" s="83">
        <f t="shared" si="1"/>
        <v>0</v>
      </c>
      <c r="F55" s="152">
        <f t="shared" si="4"/>
        <v>0</v>
      </c>
      <c r="G55" s="153"/>
      <c r="AE55" t="str">
        <f t="shared" si="3"/>
        <v/>
      </c>
    </row>
    <row r="56" spans="2:31" hidden="1" x14ac:dyDescent="0.25">
      <c r="C56" s="88" t="str">
        <f>IF(Apoio!B11&lt;&gt;"",Apoio!B11,"")</f>
        <v/>
      </c>
      <c r="D56" s="87"/>
      <c r="E56" s="83">
        <f t="shared" si="1"/>
        <v>0</v>
      </c>
      <c r="F56" s="152">
        <f t="shared" si="4"/>
        <v>0</v>
      </c>
      <c r="G56" s="153"/>
      <c r="AE56" t="str">
        <f t="shared" si="3"/>
        <v/>
      </c>
    </row>
    <row r="57" spans="2:31" hidden="1" x14ac:dyDescent="0.25">
      <c r="C57" s="88" t="str">
        <f>IF(Apoio!B12&lt;&gt;"",Apoio!B12,"")</f>
        <v/>
      </c>
      <c r="D57" s="87"/>
      <c r="E57" s="83">
        <f t="shared" si="1"/>
        <v>0</v>
      </c>
      <c r="F57" s="152">
        <f t="shared" si="4"/>
        <v>0</v>
      </c>
      <c r="G57" s="153"/>
      <c r="AE57" t="str">
        <f t="shared" si="3"/>
        <v/>
      </c>
    </row>
    <row r="58" spans="2:31" hidden="1" x14ac:dyDescent="0.25">
      <c r="C58" s="88" t="str">
        <f>IF(Apoio!B13&lt;&gt;"",Apoio!B13,"")</f>
        <v/>
      </c>
      <c r="D58" s="87"/>
      <c r="E58" s="83">
        <f t="shared" si="1"/>
        <v>0</v>
      </c>
      <c r="F58" s="152">
        <f t="shared" si="4"/>
        <v>0</v>
      </c>
      <c r="G58" s="153"/>
      <c r="AE58" t="str">
        <f t="shared" si="3"/>
        <v/>
      </c>
    </row>
    <row r="59" spans="2:31" hidden="1" x14ac:dyDescent="0.25">
      <c r="C59" s="88" t="str">
        <f>IF(Apoio!B14&lt;&gt;"",Apoio!B14,"")</f>
        <v/>
      </c>
      <c r="D59" s="87"/>
      <c r="E59" s="83">
        <f t="shared" si="1"/>
        <v>0</v>
      </c>
      <c r="F59" s="152">
        <f t="shared" si="4"/>
        <v>0</v>
      </c>
      <c r="G59" s="153"/>
      <c r="AE59" t="str">
        <f t="shared" si="3"/>
        <v/>
      </c>
    </row>
    <row r="60" spans="2:31" hidden="1" x14ac:dyDescent="0.25">
      <c r="C60" s="88" t="str">
        <f>IF(Apoio!B15&lt;&gt;"",Apoio!B15,"")</f>
        <v/>
      </c>
      <c r="D60" s="87"/>
      <c r="E60" s="83">
        <f t="shared" si="1"/>
        <v>0</v>
      </c>
      <c r="F60" s="152">
        <f t="shared" si="4"/>
        <v>0</v>
      </c>
      <c r="G60" s="153"/>
      <c r="AE60" t="str">
        <f t="shared" si="3"/>
        <v/>
      </c>
    </row>
    <row r="61" spans="2:31" hidden="1" x14ac:dyDescent="0.25">
      <c r="C61" s="88" t="str">
        <f>IF(Apoio!B16&lt;&gt;"",Apoio!B16,"")</f>
        <v/>
      </c>
      <c r="D61" s="87"/>
      <c r="E61" s="83">
        <f t="shared" si="1"/>
        <v>0</v>
      </c>
      <c r="F61" s="152">
        <f t="shared" si="4"/>
        <v>0</v>
      </c>
      <c r="G61" s="153"/>
      <c r="AE61" t="str">
        <f t="shared" si="3"/>
        <v/>
      </c>
    </row>
    <row r="62" spans="2:31" ht="15.75" hidden="1" thickBot="1" x14ac:dyDescent="0.3">
      <c r="C62" s="86" t="str">
        <f>IF(Apoio!B17&lt;&gt;"",Apoio!B17,"")</f>
        <v/>
      </c>
      <c r="D62" s="89"/>
      <c r="E62" s="83">
        <f t="shared" si="1"/>
        <v>0</v>
      </c>
      <c r="F62" s="148">
        <f t="shared" si="2"/>
        <v>0</v>
      </c>
      <c r="G62" s="149"/>
      <c r="AE62" t="str">
        <f t="shared" si="3"/>
        <v/>
      </c>
    </row>
    <row r="63" spans="2:31" x14ac:dyDescent="0.25">
      <c r="B63" s="26" t="s">
        <v>555</v>
      </c>
      <c r="C63" s="96">
        <v>1</v>
      </c>
    </row>
    <row r="64" spans="2:31" ht="15.75" thickBot="1" x14ac:dyDescent="0.3">
      <c r="B64" s="26" t="s">
        <v>556</v>
      </c>
      <c r="C64" s="96">
        <v>1</v>
      </c>
    </row>
    <row r="65" spans="2:31" ht="15.75" thickBot="1" x14ac:dyDescent="0.3">
      <c r="B65" s="92" t="s">
        <v>67</v>
      </c>
      <c r="D65" s="33" t="str">
        <f>"01/"&amp;$C$2</f>
        <v>01/2016</v>
      </c>
      <c r="E65" s="34" t="str">
        <f>"02/"&amp;$C$2</f>
        <v>02/2016</v>
      </c>
      <c r="F65" s="34" t="str">
        <f>"03/"&amp;$C$2</f>
        <v>03/2016</v>
      </c>
      <c r="G65" s="34" t="str">
        <f>"04/"&amp;$C$2</f>
        <v>04/2016</v>
      </c>
      <c r="H65" s="34" t="str">
        <f>"05/"&amp;$C$2</f>
        <v>05/2016</v>
      </c>
      <c r="I65" s="34" t="str">
        <f>"06/"&amp;$C$2</f>
        <v>06/2016</v>
      </c>
      <c r="J65" s="34" t="str">
        <f>"07/"&amp;$C$2</f>
        <v>07/2016</v>
      </c>
      <c r="K65" s="34" t="str">
        <f>"08/"&amp;$C$2</f>
        <v>08/2016</v>
      </c>
      <c r="L65" s="34" t="str">
        <f>"09/"&amp;$C$2</f>
        <v>09/2016</v>
      </c>
      <c r="M65" s="34" t="str">
        <f>"10/"&amp;$C$2</f>
        <v>10/2016</v>
      </c>
      <c r="N65" s="34" t="str">
        <f>"11/"&amp;$C$2</f>
        <v>11/2016</v>
      </c>
      <c r="O65" s="35" t="str">
        <f>"12/"&amp;$C$2</f>
        <v>12/2016</v>
      </c>
      <c r="P65" s="10"/>
      <c r="R65" s="4" t="str">
        <f>"01/"&amp;$C$2</f>
        <v>01/2016</v>
      </c>
      <c r="S65" s="4" t="str">
        <f>"02/"&amp;$C$2</f>
        <v>02/2016</v>
      </c>
      <c r="T65" s="4" t="str">
        <f>"03/"&amp;$C$2</f>
        <v>03/2016</v>
      </c>
      <c r="U65" s="4" t="str">
        <f>"04/"&amp;$C$2</f>
        <v>04/2016</v>
      </c>
      <c r="V65" s="4" t="str">
        <f>"05/"&amp;$C$2</f>
        <v>05/2016</v>
      </c>
      <c r="W65" s="4" t="str">
        <f>"06/"&amp;$C$2</f>
        <v>06/2016</v>
      </c>
      <c r="X65" s="4" t="str">
        <f>"07/"&amp;$C$2</f>
        <v>07/2016</v>
      </c>
      <c r="Y65" s="4" t="str">
        <f>"08/"&amp;$C$2</f>
        <v>08/2016</v>
      </c>
      <c r="Z65" s="4" t="str">
        <f>"09/"&amp;$C$2</f>
        <v>09/2016</v>
      </c>
      <c r="AA65" s="4" t="str">
        <f>"10/"&amp;$C$2</f>
        <v>10/2016</v>
      </c>
      <c r="AB65" s="4" t="str">
        <f>"11/"&amp;$C$2</f>
        <v>11/2016</v>
      </c>
      <c r="AC65" s="4" t="str">
        <f>"12/"&amp;$C$2</f>
        <v>12/2016</v>
      </c>
    </row>
    <row r="66" spans="2:31" x14ac:dyDescent="0.25">
      <c r="B66">
        <f>Apoio!A3</f>
        <v>1</v>
      </c>
      <c r="C66" s="17" t="str">
        <f>IF(Apoio!B3&lt;&gt;"",Apoio!B3&amp;"_b","")</f>
        <v>SE_b</v>
      </c>
      <c r="D66" s="113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5">
        <v>0</v>
      </c>
      <c r="P66" s="12"/>
      <c r="R66" s="1" t="str">
        <f>virgPonto(D66)</f>
        <v>0.0</v>
      </c>
      <c r="S66" s="1" t="str">
        <f t="shared" ref="S66:S68" si="5">virgPonto(E66)</f>
        <v>0.0</v>
      </c>
      <c r="T66" s="1" t="str">
        <f t="shared" ref="T66:T68" si="6">virgPonto(F66)</f>
        <v>0.0</v>
      </c>
      <c r="U66" s="1" t="str">
        <f t="shared" ref="U66:U68" si="7">virgPonto(G66)</f>
        <v>0.0</v>
      </c>
      <c r="V66" s="1" t="str">
        <f t="shared" ref="V66:V68" si="8">virgPonto(H66)</f>
        <v>0.0</v>
      </c>
      <c r="W66" s="1" t="str">
        <f t="shared" ref="W66:W68" si="9">virgPonto(I66)</f>
        <v>0.0</v>
      </c>
      <c r="X66" s="1" t="str">
        <f t="shared" ref="X66:X68" si="10">virgPonto(J66)</f>
        <v>0.0</v>
      </c>
      <c r="Y66" s="1" t="str">
        <f t="shared" ref="Y66:Y68" si="11">virgPonto(K66)</f>
        <v>0.0</v>
      </c>
      <c r="Z66" s="1" t="str">
        <f t="shared" ref="Z66:Z68" si="12">virgPonto(L66)</f>
        <v>0.0</v>
      </c>
      <c r="AA66" s="1" t="str">
        <f t="shared" ref="AA66:AA68" si="13">virgPonto(M66)</f>
        <v>0.0</v>
      </c>
      <c r="AB66" s="1" t="str">
        <f t="shared" ref="AB66:AB68" si="14">virgPonto(N66)</f>
        <v>0.0</v>
      </c>
      <c r="AC66" s="1" t="str">
        <f t="shared" ref="AC66:AC68" si="15">virgPonto(O66)</f>
        <v>0.0</v>
      </c>
      <c r="AE66" s="28" t="str">
        <f>IF(C66="","",CONCATENATE("&lt;VolumePO SubMercado=""",B30,""" MesReferencia=""1""&gt; ",R66," ",S66," ",T66," ",U66," ",V66," ",W66," ",X66," ",Y66," ",Z66," ",AA66," ",AB66," ",AC66," &lt;/VolumePO&gt;"))</f>
        <v>&lt;VolumePO SubMercado="1" MesReferencia="1"&gt; 0.0 0.0 0.0 0.0 0.0 0.0 0.0 0.0 0.0 0.0 0.0 0.0 &lt;/VolumePO&gt;</v>
      </c>
    </row>
    <row r="67" spans="2:31" x14ac:dyDescent="0.25">
      <c r="B67">
        <f>Apoio!A4</f>
        <v>2</v>
      </c>
      <c r="C67" s="18" t="str">
        <f>IF(Apoio!B4&lt;&gt;"",Apoio!B4&amp;"_b","")</f>
        <v>S_b</v>
      </c>
      <c r="D67" s="116">
        <v>0</v>
      </c>
      <c r="E67" s="117">
        <v>0</v>
      </c>
      <c r="F67" s="117">
        <v>0</v>
      </c>
      <c r="G67" s="117">
        <v>0</v>
      </c>
      <c r="H67" s="117">
        <v>0</v>
      </c>
      <c r="I67" s="117">
        <v>0</v>
      </c>
      <c r="J67" s="117">
        <v>0</v>
      </c>
      <c r="K67" s="117">
        <v>0</v>
      </c>
      <c r="L67" s="117">
        <v>0</v>
      </c>
      <c r="M67" s="117">
        <v>0</v>
      </c>
      <c r="N67" s="117">
        <v>0</v>
      </c>
      <c r="O67" s="118">
        <v>0</v>
      </c>
      <c r="P67" s="12"/>
      <c r="R67" s="1" t="str">
        <f t="shared" ref="R67:R68" si="16">virgPonto(D67)</f>
        <v>0.0</v>
      </c>
      <c r="S67" s="1" t="str">
        <f t="shared" si="5"/>
        <v>0.0</v>
      </c>
      <c r="T67" s="1" t="str">
        <f t="shared" si="6"/>
        <v>0.0</v>
      </c>
      <c r="U67" s="1" t="str">
        <f t="shared" si="7"/>
        <v>0.0</v>
      </c>
      <c r="V67" s="1" t="str">
        <f t="shared" si="8"/>
        <v>0.0</v>
      </c>
      <c r="W67" s="1" t="str">
        <f t="shared" si="9"/>
        <v>0.0</v>
      </c>
      <c r="X67" s="1" t="str">
        <f t="shared" si="10"/>
        <v>0.0</v>
      </c>
      <c r="Y67" s="1" t="str">
        <f t="shared" si="11"/>
        <v>0.0</v>
      </c>
      <c r="Z67" s="1" t="str">
        <f t="shared" si="12"/>
        <v>0.0</v>
      </c>
      <c r="AA67" s="1" t="str">
        <f t="shared" si="13"/>
        <v>0.0</v>
      </c>
      <c r="AB67" s="1" t="str">
        <f t="shared" si="14"/>
        <v>0.0</v>
      </c>
      <c r="AC67" s="1" t="str">
        <f t="shared" si="15"/>
        <v>0.0</v>
      </c>
      <c r="AE67" s="28" t="str">
        <f t="shared" ref="AE67:AE80" si="17">IF(C67="","",CONCATENATE("&lt;VolumePO SubMercado=""",B31,""" MesReferencia=""1""&gt; ",R67," ",S67," ",T67," ",U67," ",V67," ",W67," ",X67," ",Y67," ",Z67," ",AA67," ",AB67," ",AC67," &lt;/VolumePO&gt;"))</f>
        <v>&lt;VolumePO SubMercado="2" MesReferencia="1"&gt; 0.0 0.0 0.0 0.0 0.0 0.0 0.0 0.0 0.0 0.0 0.0 0.0 &lt;/VolumePO&gt;</v>
      </c>
    </row>
    <row r="68" spans="2:31" x14ac:dyDescent="0.25">
      <c r="B68">
        <f>Apoio!A5</f>
        <v>3</v>
      </c>
      <c r="C68" s="19" t="str">
        <f>IF(Apoio!B5&lt;&gt;"",Apoio!B5&amp;"_b","")</f>
        <v>NE_b</v>
      </c>
      <c r="D68" s="116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8">
        <v>0</v>
      </c>
      <c r="P68" s="12"/>
      <c r="R68" s="1" t="str">
        <f t="shared" si="16"/>
        <v>0.0</v>
      </c>
      <c r="S68" s="1" t="str">
        <f t="shared" si="5"/>
        <v>0.0</v>
      </c>
      <c r="T68" s="1" t="str">
        <f t="shared" si="6"/>
        <v>0.0</v>
      </c>
      <c r="U68" s="1" t="str">
        <f t="shared" si="7"/>
        <v>0.0</v>
      </c>
      <c r="V68" s="1" t="str">
        <f t="shared" si="8"/>
        <v>0.0</v>
      </c>
      <c r="W68" s="1" t="str">
        <f t="shared" si="9"/>
        <v>0.0</v>
      </c>
      <c r="X68" s="1" t="str">
        <f t="shared" si="10"/>
        <v>0.0</v>
      </c>
      <c r="Y68" s="1" t="str">
        <f t="shared" si="11"/>
        <v>0.0</v>
      </c>
      <c r="Z68" s="1" t="str">
        <f t="shared" si="12"/>
        <v>0.0</v>
      </c>
      <c r="AA68" s="1" t="str">
        <f t="shared" si="13"/>
        <v>0.0</v>
      </c>
      <c r="AB68" s="1" t="str">
        <f t="shared" si="14"/>
        <v>0.0</v>
      </c>
      <c r="AC68" s="1" t="str">
        <f t="shared" si="15"/>
        <v>0.0</v>
      </c>
      <c r="AE68" s="28" t="str">
        <f t="shared" si="17"/>
        <v>&lt;VolumePO SubMercado="3" MesReferencia="1"&gt; 0.0 0.0 0.0 0.0 0.0 0.0 0.0 0.0 0.0 0.0 0.0 0.0 &lt;/VolumePO&gt;</v>
      </c>
    </row>
    <row r="69" spans="2:31" ht="15.75" thickBot="1" x14ac:dyDescent="0.3">
      <c r="B69">
        <f>Apoio!A6</f>
        <v>4</v>
      </c>
      <c r="C69" s="20" t="str">
        <f>IF(Apoio!B6&lt;&gt;"",Apoio!B6&amp;"_b","")</f>
        <v>N_b</v>
      </c>
      <c r="D69" s="119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1">
        <v>0</v>
      </c>
      <c r="P69" s="12"/>
      <c r="R69" s="1" t="str">
        <f t="shared" ref="R69:R80" si="18">virgPonto(D69)</f>
        <v>0.0</v>
      </c>
      <c r="S69" s="1" t="str">
        <f t="shared" ref="S69:S80" si="19">virgPonto(E69)</f>
        <v>0.0</v>
      </c>
      <c r="T69" s="1" t="str">
        <f t="shared" ref="T69:T80" si="20">virgPonto(F69)</f>
        <v>0.0</v>
      </c>
      <c r="U69" s="1" t="str">
        <f t="shared" ref="U69:U80" si="21">virgPonto(G69)</f>
        <v>0.0</v>
      </c>
      <c r="V69" s="1" t="str">
        <f t="shared" ref="V69:V80" si="22">virgPonto(H69)</f>
        <v>0.0</v>
      </c>
      <c r="W69" s="1" t="str">
        <f t="shared" ref="W69:W80" si="23">virgPonto(I69)</f>
        <v>0.0</v>
      </c>
      <c r="X69" s="1" t="str">
        <f t="shared" ref="X69:X80" si="24">virgPonto(J69)</f>
        <v>0.0</v>
      </c>
      <c r="Y69" s="1" t="str">
        <f t="shared" ref="Y69:Y80" si="25">virgPonto(K69)</f>
        <v>0.0</v>
      </c>
      <c r="Z69" s="1" t="str">
        <f t="shared" ref="Z69:Z80" si="26">virgPonto(L69)</f>
        <v>0.0</v>
      </c>
      <c r="AA69" s="1" t="str">
        <f t="shared" ref="AA69:AA80" si="27">virgPonto(M69)</f>
        <v>0.0</v>
      </c>
      <c r="AB69" s="1" t="str">
        <f t="shared" ref="AB69:AB80" si="28">virgPonto(N69)</f>
        <v>0.0</v>
      </c>
      <c r="AC69" s="1" t="str">
        <f t="shared" ref="AC69:AC80" si="29">virgPonto(O69)</f>
        <v>0.0</v>
      </c>
      <c r="AE69" s="28" t="str">
        <f t="shared" si="17"/>
        <v>&lt;VolumePO SubMercado="4" MesReferencia="1"&gt; 0.0 0.0 0.0 0.0 0.0 0.0 0.0 0.0 0.0 0.0 0.0 0.0 &lt;/VolumePO&gt;</v>
      </c>
    </row>
    <row r="70" spans="2:31" x14ac:dyDescent="0.25">
      <c r="B70">
        <f>Apoio!A7</f>
        <v>6</v>
      </c>
      <c r="C70" s="72" t="str">
        <f>IF(Apoio!B7&lt;&gt;"",Apoio!B7&amp;"_b","")</f>
        <v>MD_b</v>
      </c>
      <c r="D70" s="119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1">
        <v>0</v>
      </c>
      <c r="P70" s="12"/>
      <c r="R70" s="1" t="str">
        <f t="shared" si="18"/>
        <v>0.0</v>
      </c>
      <c r="S70" s="1" t="str">
        <f t="shared" si="19"/>
        <v>0.0</v>
      </c>
      <c r="T70" s="1" t="str">
        <f t="shared" si="20"/>
        <v>0.0</v>
      </c>
      <c r="U70" s="1" t="str">
        <f t="shared" si="21"/>
        <v>0.0</v>
      </c>
      <c r="V70" s="1" t="str">
        <f t="shared" si="22"/>
        <v>0.0</v>
      </c>
      <c r="W70" s="1" t="str">
        <f t="shared" si="23"/>
        <v>0.0</v>
      </c>
      <c r="X70" s="1" t="str">
        <f t="shared" si="24"/>
        <v>0.0</v>
      </c>
      <c r="Y70" s="1" t="str">
        <f t="shared" si="25"/>
        <v>0.0</v>
      </c>
      <c r="Z70" s="1" t="str">
        <f t="shared" si="26"/>
        <v>0.0</v>
      </c>
      <c r="AA70" s="1" t="str">
        <f t="shared" si="27"/>
        <v>0.0</v>
      </c>
      <c r="AB70" s="1" t="str">
        <f t="shared" si="28"/>
        <v>0.0</v>
      </c>
      <c r="AC70" s="1" t="str">
        <f t="shared" si="29"/>
        <v>0.0</v>
      </c>
      <c r="AE70" s="28" t="str">
        <f t="shared" si="17"/>
        <v>&lt;VolumePO SubMercado="6" MesReferencia="1"&gt; 0.0 0.0 0.0 0.0 0.0 0.0 0.0 0.0 0.0 0.0 0.0 0.0 &lt;/VolumePO&gt;</v>
      </c>
    </row>
    <row r="71" spans="2:31" x14ac:dyDescent="0.25">
      <c r="B71">
        <f>Apoio!A8</f>
        <v>8</v>
      </c>
      <c r="C71" s="73" t="str">
        <f>IF(Apoio!B8&lt;&gt;"",Apoio!B8&amp;"_b","")</f>
        <v>BM_b</v>
      </c>
      <c r="D71" s="119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1">
        <v>0</v>
      </c>
      <c r="P71" s="12"/>
      <c r="R71" s="1" t="str">
        <f t="shared" si="18"/>
        <v>0.0</v>
      </c>
      <c r="S71" s="1" t="str">
        <f t="shared" si="19"/>
        <v>0.0</v>
      </c>
      <c r="T71" s="1" t="str">
        <f t="shared" si="20"/>
        <v>0.0</v>
      </c>
      <c r="U71" s="1" t="str">
        <f t="shared" si="21"/>
        <v>0.0</v>
      </c>
      <c r="V71" s="1" t="str">
        <f t="shared" si="22"/>
        <v>0.0</v>
      </c>
      <c r="W71" s="1" t="str">
        <f t="shared" si="23"/>
        <v>0.0</v>
      </c>
      <c r="X71" s="1" t="str">
        <f t="shared" si="24"/>
        <v>0.0</v>
      </c>
      <c r="Y71" s="1" t="str">
        <f t="shared" si="25"/>
        <v>0.0</v>
      </c>
      <c r="Z71" s="1" t="str">
        <f t="shared" si="26"/>
        <v>0.0</v>
      </c>
      <c r="AA71" s="1" t="str">
        <f t="shared" si="27"/>
        <v>0.0</v>
      </c>
      <c r="AB71" s="1" t="str">
        <f t="shared" si="28"/>
        <v>0.0</v>
      </c>
      <c r="AC71" s="1" t="str">
        <f t="shared" si="29"/>
        <v>0.0</v>
      </c>
      <c r="AE71" s="28" t="str">
        <f t="shared" si="17"/>
        <v>&lt;VolumePO SubMercado="8" MesReferencia="1"&gt; 0.0 0.0 0.0 0.0 0.0 0.0 0.0 0.0 0.0 0.0 0.0 0.0 &lt;/VolumePO&gt;</v>
      </c>
    </row>
    <row r="72" spans="2:31" x14ac:dyDescent="0.25">
      <c r="B72">
        <f>Apoio!A9</f>
        <v>0</v>
      </c>
      <c r="C72" s="74" t="str">
        <f>IF(Apoio!B9&lt;&gt;"",Apoio!B9&amp;"_b","")</f>
        <v/>
      </c>
      <c r="D72" s="119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1"/>
      <c r="P72" s="12"/>
      <c r="R72" s="1" t="str">
        <f t="shared" si="18"/>
        <v>0.0</v>
      </c>
      <c r="S72" s="1" t="str">
        <f t="shared" si="19"/>
        <v>0.0</v>
      </c>
      <c r="T72" s="1" t="str">
        <f t="shared" si="20"/>
        <v>0.0</v>
      </c>
      <c r="U72" s="1" t="str">
        <f t="shared" si="21"/>
        <v>0.0</v>
      </c>
      <c r="V72" s="1" t="str">
        <f t="shared" si="22"/>
        <v>0.0</v>
      </c>
      <c r="W72" s="1" t="str">
        <f t="shared" si="23"/>
        <v>0.0</v>
      </c>
      <c r="X72" s="1" t="str">
        <f t="shared" si="24"/>
        <v>0.0</v>
      </c>
      <c r="Y72" s="1" t="str">
        <f t="shared" si="25"/>
        <v>0.0</v>
      </c>
      <c r="Z72" s="1" t="str">
        <f t="shared" si="26"/>
        <v>0.0</v>
      </c>
      <c r="AA72" s="1" t="str">
        <f t="shared" si="27"/>
        <v>0.0</v>
      </c>
      <c r="AB72" s="1" t="str">
        <f t="shared" si="28"/>
        <v>0.0</v>
      </c>
      <c r="AC72" s="1" t="str">
        <f t="shared" si="29"/>
        <v>0.0</v>
      </c>
      <c r="AE72" s="28" t="str">
        <f t="shared" si="17"/>
        <v/>
      </c>
    </row>
    <row r="73" spans="2:31" x14ac:dyDescent="0.25">
      <c r="B73">
        <f>Apoio!A10</f>
        <v>0</v>
      </c>
      <c r="C73" s="74" t="str">
        <f>IF(Apoio!B10&lt;&gt;"",Apoio!B10&amp;"_b","")</f>
        <v/>
      </c>
      <c r="D73" s="119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1"/>
      <c r="P73" s="12"/>
      <c r="R73" s="1" t="str">
        <f t="shared" si="18"/>
        <v>0.0</v>
      </c>
      <c r="S73" s="1" t="str">
        <f t="shared" si="19"/>
        <v>0.0</v>
      </c>
      <c r="T73" s="1" t="str">
        <f t="shared" si="20"/>
        <v>0.0</v>
      </c>
      <c r="U73" s="1" t="str">
        <f t="shared" si="21"/>
        <v>0.0</v>
      </c>
      <c r="V73" s="1" t="str">
        <f t="shared" si="22"/>
        <v>0.0</v>
      </c>
      <c r="W73" s="1" t="str">
        <f t="shared" si="23"/>
        <v>0.0</v>
      </c>
      <c r="X73" s="1" t="str">
        <f t="shared" si="24"/>
        <v>0.0</v>
      </c>
      <c r="Y73" s="1" t="str">
        <f t="shared" si="25"/>
        <v>0.0</v>
      </c>
      <c r="Z73" s="1" t="str">
        <f t="shared" si="26"/>
        <v>0.0</v>
      </c>
      <c r="AA73" s="1" t="str">
        <f t="shared" si="27"/>
        <v>0.0</v>
      </c>
      <c r="AB73" s="1" t="str">
        <f t="shared" si="28"/>
        <v>0.0</v>
      </c>
      <c r="AC73" s="1" t="str">
        <f t="shared" si="29"/>
        <v>0.0</v>
      </c>
      <c r="AE73" s="28" t="str">
        <f t="shared" si="17"/>
        <v/>
      </c>
    </row>
    <row r="74" spans="2:31" x14ac:dyDescent="0.25">
      <c r="B74">
        <f>Apoio!A11</f>
        <v>0</v>
      </c>
      <c r="C74" s="74" t="str">
        <f>IF(Apoio!B11&lt;&gt;"",Apoio!B11&amp;"_b","")</f>
        <v/>
      </c>
      <c r="D74" s="119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1"/>
      <c r="P74" s="12"/>
      <c r="R74" s="1" t="str">
        <f t="shared" si="18"/>
        <v>0.0</v>
      </c>
      <c r="S74" s="1" t="str">
        <f t="shared" si="19"/>
        <v>0.0</v>
      </c>
      <c r="T74" s="1" t="str">
        <f t="shared" si="20"/>
        <v>0.0</v>
      </c>
      <c r="U74" s="1" t="str">
        <f t="shared" si="21"/>
        <v>0.0</v>
      </c>
      <c r="V74" s="1" t="str">
        <f t="shared" si="22"/>
        <v>0.0</v>
      </c>
      <c r="W74" s="1" t="str">
        <f t="shared" si="23"/>
        <v>0.0</v>
      </c>
      <c r="X74" s="1" t="str">
        <f t="shared" si="24"/>
        <v>0.0</v>
      </c>
      <c r="Y74" s="1" t="str">
        <f t="shared" si="25"/>
        <v>0.0</v>
      </c>
      <c r="Z74" s="1" t="str">
        <f t="shared" si="26"/>
        <v>0.0</v>
      </c>
      <c r="AA74" s="1" t="str">
        <f t="shared" si="27"/>
        <v>0.0</v>
      </c>
      <c r="AB74" s="1" t="str">
        <f t="shared" si="28"/>
        <v>0.0</v>
      </c>
      <c r="AC74" s="1" t="str">
        <f t="shared" si="29"/>
        <v>0.0</v>
      </c>
      <c r="AE74" s="28" t="str">
        <f t="shared" si="17"/>
        <v/>
      </c>
    </row>
    <row r="75" spans="2:31" x14ac:dyDescent="0.25">
      <c r="B75">
        <f>Apoio!A12</f>
        <v>0</v>
      </c>
      <c r="C75" s="74" t="str">
        <f>IF(Apoio!B12&lt;&gt;"",Apoio!B12&amp;"_b","")</f>
        <v/>
      </c>
      <c r="D75" s="119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1"/>
      <c r="P75" s="12"/>
      <c r="R75" s="1" t="str">
        <f t="shared" si="18"/>
        <v>0.0</v>
      </c>
      <c r="S75" s="1" t="str">
        <f t="shared" si="19"/>
        <v>0.0</v>
      </c>
      <c r="T75" s="1" t="str">
        <f t="shared" si="20"/>
        <v>0.0</v>
      </c>
      <c r="U75" s="1" t="str">
        <f t="shared" si="21"/>
        <v>0.0</v>
      </c>
      <c r="V75" s="1" t="str">
        <f t="shared" si="22"/>
        <v>0.0</v>
      </c>
      <c r="W75" s="1" t="str">
        <f t="shared" si="23"/>
        <v>0.0</v>
      </c>
      <c r="X75" s="1" t="str">
        <f t="shared" si="24"/>
        <v>0.0</v>
      </c>
      <c r="Y75" s="1" t="str">
        <f t="shared" si="25"/>
        <v>0.0</v>
      </c>
      <c r="Z75" s="1" t="str">
        <f t="shared" si="26"/>
        <v>0.0</v>
      </c>
      <c r="AA75" s="1" t="str">
        <f t="shared" si="27"/>
        <v>0.0</v>
      </c>
      <c r="AB75" s="1" t="str">
        <f t="shared" si="28"/>
        <v>0.0</v>
      </c>
      <c r="AC75" s="1" t="str">
        <f t="shared" si="29"/>
        <v>0.0</v>
      </c>
      <c r="AE75" s="28" t="str">
        <f t="shared" si="17"/>
        <v/>
      </c>
    </row>
    <row r="76" spans="2:31" x14ac:dyDescent="0.25">
      <c r="B76">
        <f>Apoio!A13</f>
        <v>0</v>
      </c>
      <c r="C76" s="74" t="str">
        <f>IF(Apoio!B13&lt;&gt;"",Apoio!B13&amp;"_b","")</f>
        <v/>
      </c>
      <c r="D76" s="119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1"/>
      <c r="P76" s="12"/>
      <c r="R76" s="1" t="str">
        <f t="shared" si="18"/>
        <v>0.0</v>
      </c>
      <c r="S76" s="1" t="str">
        <f t="shared" si="19"/>
        <v>0.0</v>
      </c>
      <c r="T76" s="1" t="str">
        <f t="shared" si="20"/>
        <v>0.0</v>
      </c>
      <c r="U76" s="1" t="str">
        <f t="shared" si="21"/>
        <v>0.0</v>
      </c>
      <c r="V76" s="1" t="str">
        <f t="shared" si="22"/>
        <v>0.0</v>
      </c>
      <c r="W76" s="1" t="str">
        <f t="shared" si="23"/>
        <v>0.0</v>
      </c>
      <c r="X76" s="1" t="str">
        <f t="shared" si="24"/>
        <v>0.0</v>
      </c>
      <c r="Y76" s="1" t="str">
        <f t="shared" si="25"/>
        <v>0.0</v>
      </c>
      <c r="Z76" s="1" t="str">
        <f t="shared" si="26"/>
        <v>0.0</v>
      </c>
      <c r="AA76" s="1" t="str">
        <f t="shared" si="27"/>
        <v>0.0</v>
      </c>
      <c r="AB76" s="1" t="str">
        <f t="shared" si="28"/>
        <v>0.0</v>
      </c>
      <c r="AC76" s="1" t="str">
        <f t="shared" si="29"/>
        <v>0.0</v>
      </c>
      <c r="AE76" s="28" t="str">
        <f t="shared" si="17"/>
        <v/>
      </c>
    </row>
    <row r="77" spans="2:31" x14ac:dyDescent="0.25">
      <c r="B77">
        <f>Apoio!A14</f>
        <v>0</v>
      </c>
      <c r="C77" s="74" t="str">
        <f>IF(Apoio!B14&lt;&gt;"",Apoio!B14&amp;"_b","")</f>
        <v/>
      </c>
      <c r="D77" s="119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1"/>
      <c r="P77" s="12"/>
      <c r="R77" s="1" t="str">
        <f t="shared" si="18"/>
        <v>0.0</v>
      </c>
      <c r="S77" s="1" t="str">
        <f t="shared" si="19"/>
        <v>0.0</v>
      </c>
      <c r="T77" s="1" t="str">
        <f t="shared" si="20"/>
        <v>0.0</v>
      </c>
      <c r="U77" s="1" t="str">
        <f t="shared" si="21"/>
        <v>0.0</v>
      </c>
      <c r="V77" s="1" t="str">
        <f t="shared" si="22"/>
        <v>0.0</v>
      </c>
      <c r="W77" s="1" t="str">
        <f t="shared" si="23"/>
        <v>0.0</v>
      </c>
      <c r="X77" s="1" t="str">
        <f t="shared" si="24"/>
        <v>0.0</v>
      </c>
      <c r="Y77" s="1" t="str">
        <f t="shared" si="25"/>
        <v>0.0</v>
      </c>
      <c r="Z77" s="1" t="str">
        <f t="shared" si="26"/>
        <v>0.0</v>
      </c>
      <c r="AA77" s="1" t="str">
        <f t="shared" si="27"/>
        <v>0.0</v>
      </c>
      <c r="AB77" s="1" t="str">
        <f t="shared" si="28"/>
        <v>0.0</v>
      </c>
      <c r="AC77" s="1" t="str">
        <f t="shared" si="29"/>
        <v>0.0</v>
      </c>
      <c r="AE77" s="28" t="str">
        <f t="shared" si="17"/>
        <v/>
      </c>
    </row>
    <row r="78" spans="2:31" x14ac:dyDescent="0.25">
      <c r="B78">
        <f>Apoio!A15</f>
        <v>0</v>
      </c>
      <c r="C78" s="74" t="str">
        <f>IF(Apoio!B15&lt;&gt;"",Apoio!B15&amp;"_b","")</f>
        <v/>
      </c>
      <c r="D78" s="119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1"/>
      <c r="P78" s="12"/>
      <c r="R78" s="1" t="str">
        <f t="shared" si="18"/>
        <v>0.0</v>
      </c>
      <c r="S78" s="1" t="str">
        <f t="shared" si="19"/>
        <v>0.0</v>
      </c>
      <c r="T78" s="1" t="str">
        <f t="shared" si="20"/>
        <v>0.0</v>
      </c>
      <c r="U78" s="1" t="str">
        <f t="shared" si="21"/>
        <v>0.0</v>
      </c>
      <c r="V78" s="1" t="str">
        <f t="shared" si="22"/>
        <v>0.0</v>
      </c>
      <c r="W78" s="1" t="str">
        <f t="shared" si="23"/>
        <v>0.0</v>
      </c>
      <c r="X78" s="1" t="str">
        <f t="shared" si="24"/>
        <v>0.0</v>
      </c>
      <c r="Y78" s="1" t="str">
        <f t="shared" si="25"/>
        <v>0.0</v>
      </c>
      <c r="Z78" s="1" t="str">
        <f t="shared" si="26"/>
        <v>0.0</v>
      </c>
      <c r="AA78" s="1" t="str">
        <f t="shared" si="27"/>
        <v>0.0</v>
      </c>
      <c r="AB78" s="1" t="str">
        <f t="shared" si="28"/>
        <v>0.0</v>
      </c>
      <c r="AC78" s="1" t="str">
        <f t="shared" si="29"/>
        <v>0.0</v>
      </c>
      <c r="AE78" s="28" t="str">
        <f t="shared" si="17"/>
        <v/>
      </c>
    </row>
    <row r="79" spans="2:31" x14ac:dyDescent="0.25">
      <c r="B79">
        <f>Apoio!A16</f>
        <v>0</v>
      </c>
      <c r="C79" s="74" t="str">
        <f>IF(Apoio!B16&lt;&gt;"",Apoio!B16&amp;"_b","")</f>
        <v/>
      </c>
      <c r="D79" s="119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1"/>
      <c r="P79" s="12"/>
      <c r="R79" s="1" t="str">
        <f t="shared" si="18"/>
        <v>0.0</v>
      </c>
      <c r="S79" s="1" t="str">
        <f t="shared" si="19"/>
        <v>0.0</v>
      </c>
      <c r="T79" s="1" t="str">
        <f t="shared" si="20"/>
        <v>0.0</v>
      </c>
      <c r="U79" s="1" t="str">
        <f t="shared" si="21"/>
        <v>0.0</v>
      </c>
      <c r="V79" s="1" t="str">
        <f t="shared" si="22"/>
        <v>0.0</v>
      </c>
      <c r="W79" s="1" t="str">
        <f t="shared" si="23"/>
        <v>0.0</v>
      </c>
      <c r="X79" s="1" t="str">
        <f t="shared" si="24"/>
        <v>0.0</v>
      </c>
      <c r="Y79" s="1" t="str">
        <f t="shared" si="25"/>
        <v>0.0</v>
      </c>
      <c r="Z79" s="1" t="str">
        <f t="shared" si="26"/>
        <v>0.0</v>
      </c>
      <c r="AA79" s="1" t="str">
        <f t="shared" si="27"/>
        <v>0.0</v>
      </c>
      <c r="AB79" s="1" t="str">
        <f t="shared" si="28"/>
        <v>0.0</v>
      </c>
      <c r="AC79" s="1" t="str">
        <f t="shared" si="29"/>
        <v>0.0</v>
      </c>
      <c r="AE79" s="28" t="str">
        <f t="shared" si="17"/>
        <v/>
      </c>
    </row>
    <row r="80" spans="2:31" ht="15.75" thickBot="1" x14ac:dyDescent="0.3">
      <c r="B80">
        <f>Apoio!A17</f>
        <v>0</v>
      </c>
      <c r="C80" s="75" t="str">
        <f>IF(Apoio!B17&lt;&gt;"",Apoio!B17&amp;"_b","")</f>
        <v/>
      </c>
      <c r="D80" s="122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4"/>
      <c r="P80" s="12"/>
      <c r="R80" s="1" t="str">
        <f t="shared" si="18"/>
        <v>0.0</v>
      </c>
      <c r="S80" s="1" t="str">
        <f t="shared" si="19"/>
        <v>0.0</v>
      </c>
      <c r="T80" s="1" t="str">
        <f t="shared" si="20"/>
        <v>0.0</v>
      </c>
      <c r="U80" s="1" t="str">
        <f t="shared" si="21"/>
        <v>0.0</v>
      </c>
      <c r="V80" s="1" t="str">
        <f t="shared" si="22"/>
        <v>0.0</v>
      </c>
      <c r="W80" s="1" t="str">
        <f t="shared" si="23"/>
        <v>0.0</v>
      </c>
      <c r="X80" s="1" t="str">
        <f t="shared" si="24"/>
        <v>0.0</v>
      </c>
      <c r="Y80" s="1" t="str">
        <f t="shared" si="25"/>
        <v>0.0</v>
      </c>
      <c r="Z80" s="1" t="str">
        <f t="shared" si="26"/>
        <v>0.0</v>
      </c>
      <c r="AA80" s="1" t="str">
        <f t="shared" si="27"/>
        <v>0.0</v>
      </c>
      <c r="AB80" s="1" t="str">
        <f t="shared" si="28"/>
        <v>0.0</v>
      </c>
      <c r="AC80" s="1" t="str">
        <f t="shared" si="29"/>
        <v>0.0</v>
      </c>
      <c r="AE80" s="28" t="str">
        <f t="shared" si="17"/>
        <v/>
      </c>
    </row>
    <row r="82" spans="1:31" ht="15.75" thickBot="1" x14ac:dyDescent="0.3">
      <c r="A82" s="6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31" ht="15.75" thickBot="1" x14ac:dyDescent="0.3">
      <c r="B83" s="33" t="s">
        <v>120</v>
      </c>
      <c r="C83" s="33" t="s">
        <v>121</v>
      </c>
      <c r="D83" s="33" t="str">
        <f>"01/"&amp;$C$2</f>
        <v>01/2016</v>
      </c>
      <c r="E83" s="34" t="str">
        <f>"02/"&amp;$C$2</f>
        <v>02/2016</v>
      </c>
      <c r="F83" s="34" t="str">
        <f>"03/"&amp;$C$2</f>
        <v>03/2016</v>
      </c>
      <c r="G83" s="34" t="str">
        <f>"04/"&amp;$C$2</f>
        <v>04/2016</v>
      </c>
      <c r="H83" s="34" t="str">
        <f>"05/"&amp;$C$2</f>
        <v>05/2016</v>
      </c>
      <c r="I83" s="34" t="str">
        <f>"06/"&amp;$C$2</f>
        <v>06/2016</v>
      </c>
      <c r="J83" s="34" t="str">
        <f>"07/"&amp;$C$2</f>
        <v>07/2016</v>
      </c>
      <c r="K83" s="34" t="str">
        <f>"08/"&amp;$C$2</f>
        <v>08/2016</v>
      </c>
      <c r="L83" s="34" t="str">
        <f>"09/"&amp;$C$2</f>
        <v>09/2016</v>
      </c>
      <c r="M83" s="34" t="str">
        <f>"10/"&amp;$C$2</f>
        <v>10/2016</v>
      </c>
      <c r="N83" s="34" t="str">
        <f>"11/"&amp;$C$2</f>
        <v>11/2016</v>
      </c>
      <c r="O83" s="35" t="str">
        <f>"12/"&amp;$C$2</f>
        <v>12/2016</v>
      </c>
    </row>
    <row r="84" spans="1:31" x14ac:dyDescent="0.25">
      <c r="B84" s="125">
        <v>1</v>
      </c>
      <c r="C84" s="125" t="s">
        <v>146</v>
      </c>
      <c r="D84" s="126">
        <v>49</v>
      </c>
      <c r="E84" s="127">
        <v>100</v>
      </c>
      <c r="F84" s="127">
        <v>99</v>
      </c>
      <c r="G84" s="127">
        <v>72</v>
      </c>
      <c r="H84" s="127">
        <v>51</v>
      </c>
      <c r="I84" s="127">
        <v>38</v>
      </c>
      <c r="J84" s="127">
        <v>31</v>
      </c>
      <c r="K84" s="127">
        <v>35</v>
      </c>
      <c r="L84" s="127">
        <v>29</v>
      </c>
      <c r="M84" s="127">
        <v>24</v>
      </c>
      <c r="N84" s="127">
        <v>56</v>
      </c>
      <c r="O84" s="128">
        <v>69</v>
      </c>
      <c r="AE84" s="28" t="str">
        <f>IF(B84="","",CONCATENATE("&lt;PrevisaoVAZAO Posto=""",B84,""" MesReferencia=""1""&gt; ",D84," ",E84," ",F84," ",G84," ",H84," ",I84," ",J84," ",K84," ",L84," ",M84," ",N84," ",O84," &lt;/PrevisaoVAZAO&gt;"))</f>
        <v>&lt;PrevisaoVAZAO Posto="1" MesReferencia="1"&gt; 49 100 99 72 51 38 31 35 29 24 56 69 &lt;/PrevisaoVAZAO&gt;</v>
      </c>
    </row>
    <row r="85" spans="1:31" x14ac:dyDescent="0.25">
      <c r="B85" s="125">
        <v>2</v>
      </c>
      <c r="C85" s="125" t="s">
        <v>147</v>
      </c>
      <c r="D85" s="126">
        <v>49</v>
      </c>
      <c r="E85" s="127">
        <v>100</v>
      </c>
      <c r="F85" s="127">
        <v>99</v>
      </c>
      <c r="G85" s="127">
        <v>72</v>
      </c>
      <c r="H85" s="127">
        <v>51</v>
      </c>
      <c r="I85" s="127">
        <v>38</v>
      </c>
      <c r="J85" s="127">
        <v>31</v>
      </c>
      <c r="K85" s="127">
        <v>35</v>
      </c>
      <c r="L85" s="127">
        <v>29</v>
      </c>
      <c r="M85" s="127">
        <v>24</v>
      </c>
      <c r="N85" s="127">
        <v>56</v>
      </c>
      <c r="O85" s="128">
        <v>69</v>
      </c>
      <c r="AE85" s="28" t="str">
        <f t="shared" ref="AE85:AE148" si="30">IF(B85="","",CONCATENATE("&lt;PrevisaoVAZAO Posto=""",B85,""" MesReferencia=""1""&gt; ",D85," ",E85," ",F85," ",G85," ",H85," ",I85," ",J85," ",K85," ",L85," ",M85," ",N85," ",O85," &lt;/PrevisaoVAZAO&gt;"))</f>
        <v>&lt;PrevisaoVAZAO Posto="2" MesReferencia="1"&gt; 49 100 99 72 51 38 31 35 29 24 56 69 &lt;/PrevisaoVAZAO&gt;</v>
      </c>
    </row>
    <row r="86" spans="1:31" x14ac:dyDescent="0.25">
      <c r="B86" s="125">
        <v>6</v>
      </c>
      <c r="C86" s="125" t="s">
        <v>148</v>
      </c>
      <c r="D86" s="126">
        <v>307</v>
      </c>
      <c r="E86" s="127">
        <v>596</v>
      </c>
      <c r="F86" s="127">
        <v>804</v>
      </c>
      <c r="G86" s="127">
        <v>527</v>
      </c>
      <c r="H86" s="127">
        <v>389</v>
      </c>
      <c r="I86" s="127">
        <v>328</v>
      </c>
      <c r="J86" s="127">
        <v>257</v>
      </c>
      <c r="K86" s="127">
        <v>224</v>
      </c>
      <c r="L86" s="127">
        <v>154</v>
      </c>
      <c r="M86" s="127">
        <v>100</v>
      </c>
      <c r="N86" s="127">
        <v>294</v>
      </c>
      <c r="O86" s="128">
        <v>544</v>
      </c>
      <c r="AE86" s="28" t="str">
        <f t="shared" si="30"/>
        <v>&lt;PrevisaoVAZAO Posto="6" MesReferencia="1"&gt; 307 596 804 527 389 328 257 224 154 100 294 544 &lt;/PrevisaoVAZAO&gt;</v>
      </c>
    </row>
    <row r="87" spans="1:31" x14ac:dyDescent="0.25">
      <c r="B87" s="125">
        <v>7</v>
      </c>
      <c r="C87" s="125" t="s">
        <v>149</v>
      </c>
      <c r="D87" s="126">
        <v>363</v>
      </c>
      <c r="E87" s="127">
        <v>702</v>
      </c>
      <c r="F87" s="127">
        <v>945</v>
      </c>
      <c r="G87" s="127">
        <v>662</v>
      </c>
      <c r="H87" s="127">
        <v>470</v>
      </c>
      <c r="I87" s="127">
        <v>379</v>
      </c>
      <c r="J87" s="127">
        <v>289</v>
      </c>
      <c r="K87" s="127">
        <v>242</v>
      </c>
      <c r="L87" s="127">
        <v>167</v>
      </c>
      <c r="M87" s="127">
        <v>111</v>
      </c>
      <c r="N87" s="127">
        <v>308</v>
      </c>
      <c r="O87" s="128">
        <v>667</v>
      </c>
      <c r="AE87" s="28" t="str">
        <f t="shared" si="30"/>
        <v>&lt;PrevisaoVAZAO Posto="7" MesReferencia="1"&gt; 363 702 945 662 470 379 289 242 167 111 308 667 &lt;/PrevisaoVAZAO&gt;</v>
      </c>
    </row>
    <row r="88" spans="1:31" x14ac:dyDescent="0.25">
      <c r="B88" s="125">
        <v>8</v>
      </c>
      <c r="C88" s="125" t="s">
        <v>150</v>
      </c>
      <c r="D88" s="126">
        <v>376</v>
      </c>
      <c r="E88" s="127">
        <v>727</v>
      </c>
      <c r="F88" s="127">
        <v>977</v>
      </c>
      <c r="G88" s="127">
        <v>695</v>
      </c>
      <c r="H88" s="127">
        <v>489</v>
      </c>
      <c r="I88" s="127">
        <v>392</v>
      </c>
      <c r="J88" s="127">
        <v>296</v>
      </c>
      <c r="K88" s="127">
        <v>248</v>
      </c>
      <c r="L88" s="127">
        <v>172</v>
      </c>
      <c r="M88" s="127">
        <v>113</v>
      </c>
      <c r="N88" s="127">
        <v>310</v>
      </c>
      <c r="O88" s="128">
        <v>695</v>
      </c>
      <c r="AE88" s="28" t="str">
        <f t="shared" si="30"/>
        <v>&lt;PrevisaoVAZAO Posto="8" MesReferencia="1"&gt; 376 727 977 695 489 392 296 248 172 113 310 695 &lt;/PrevisaoVAZAO&gt;</v>
      </c>
    </row>
    <row r="89" spans="1:31" x14ac:dyDescent="0.25">
      <c r="B89" s="125">
        <v>9</v>
      </c>
      <c r="C89" s="125" t="s">
        <v>151</v>
      </c>
      <c r="D89" s="126">
        <v>382</v>
      </c>
      <c r="E89" s="127">
        <v>736</v>
      </c>
      <c r="F89" s="127">
        <v>989</v>
      </c>
      <c r="G89" s="127">
        <v>709</v>
      </c>
      <c r="H89" s="127">
        <v>497</v>
      </c>
      <c r="I89" s="127">
        <v>397</v>
      </c>
      <c r="J89" s="127">
        <v>299</v>
      </c>
      <c r="K89" s="127">
        <v>251</v>
      </c>
      <c r="L89" s="127">
        <v>173</v>
      </c>
      <c r="M89" s="127">
        <v>114</v>
      </c>
      <c r="N89" s="127">
        <v>309</v>
      </c>
      <c r="O89" s="128">
        <v>707</v>
      </c>
      <c r="AE89" s="28" t="str">
        <f t="shared" si="30"/>
        <v>&lt;PrevisaoVAZAO Posto="9" MesReferencia="1"&gt; 382 736 989 709 497 397 299 251 173 114 309 707 &lt;/PrevisaoVAZAO&gt;</v>
      </c>
    </row>
    <row r="90" spans="1:31" x14ac:dyDescent="0.25">
      <c r="B90" s="125">
        <v>10</v>
      </c>
      <c r="C90" s="125" t="s">
        <v>152</v>
      </c>
      <c r="D90" s="126">
        <v>399</v>
      </c>
      <c r="E90" s="127">
        <v>764</v>
      </c>
      <c r="F90" s="127">
        <v>1025</v>
      </c>
      <c r="G90" s="127">
        <v>749</v>
      </c>
      <c r="H90" s="127">
        <v>521</v>
      </c>
      <c r="I90" s="127">
        <v>411</v>
      </c>
      <c r="J90" s="127">
        <v>308</v>
      </c>
      <c r="K90" s="127">
        <v>258</v>
      </c>
      <c r="L90" s="127">
        <v>177</v>
      </c>
      <c r="M90" s="127">
        <v>117</v>
      </c>
      <c r="N90" s="127">
        <v>310</v>
      </c>
      <c r="O90" s="128">
        <v>740</v>
      </c>
      <c r="AE90" s="28" t="str">
        <f t="shared" si="30"/>
        <v>&lt;PrevisaoVAZAO Posto="10" MesReferencia="1"&gt; 399 764 1025 749 521 411 308 258 177 117 310 740 &lt;/PrevisaoVAZAO&gt;</v>
      </c>
    </row>
    <row r="91" spans="1:31" x14ac:dyDescent="0.25">
      <c r="B91" s="125">
        <v>11</v>
      </c>
      <c r="C91" s="125" t="s">
        <v>153</v>
      </c>
      <c r="D91" s="126">
        <v>435</v>
      </c>
      <c r="E91" s="127">
        <v>826</v>
      </c>
      <c r="F91" s="127">
        <v>1111</v>
      </c>
      <c r="G91" s="127">
        <v>832</v>
      </c>
      <c r="H91" s="127">
        <v>571</v>
      </c>
      <c r="I91" s="127">
        <v>443</v>
      </c>
      <c r="J91" s="127">
        <v>327</v>
      </c>
      <c r="K91" s="127">
        <v>269</v>
      </c>
      <c r="L91" s="127">
        <v>185</v>
      </c>
      <c r="M91" s="127">
        <v>124</v>
      </c>
      <c r="N91" s="127">
        <v>322</v>
      </c>
      <c r="O91" s="128">
        <v>807</v>
      </c>
      <c r="AE91" s="28" t="str">
        <f t="shared" si="30"/>
        <v>&lt;PrevisaoVAZAO Posto="11" MesReferencia="1"&gt; 435 826 1111 832 571 443 327 269 185 124 322 807 &lt;/PrevisaoVAZAO&gt;</v>
      </c>
    </row>
    <row r="92" spans="1:31" x14ac:dyDescent="0.25">
      <c r="B92" s="125">
        <v>12</v>
      </c>
      <c r="C92" s="125" t="s">
        <v>154</v>
      </c>
      <c r="D92" s="126">
        <v>511</v>
      </c>
      <c r="E92" s="127">
        <v>943</v>
      </c>
      <c r="F92" s="127">
        <v>1261</v>
      </c>
      <c r="G92" s="127">
        <v>991</v>
      </c>
      <c r="H92" s="127">
        <v>687</v>
      </c>
      <c r="I92" s="127">
        <v>526</v>
      </c>
      <c r="J92" s="127">
        <v>387</v>
      </c>
      <c r="K92" s="127">
        <v>301</v>
      </c>
      <c r="L92" s="127">
        <v>209</v>
      </c>
      <c r="M92" s="127">
        <v>141</v>
      </c>
      <c r="N92" s="127">
        <v>357</v>
      </c>
      <c r="O92" s="128">
        <v>925</v>
      </c>
      <c r="AE92" s="28" t="str">
        <f t="shared" si="30"/>
        <v>&lt;PrevisaoVAZAO Posto="12" MesReferencia="1"&gt; 511 943 1261 991 687 526 387 301 209 141 357 925 &lt;/PrevisaoVAZAO&gt;</v>
      </c>
    </row>
    <row r="93" spans="1:31" x14ac:dyDescent="0.25">
      <c r="B93" s="125">
        <v>14</v>
      </c>
      <c r="C93" s="125" t="s">
        <v>155</v>
      </c>
      <c r="D93" s="126">
        <v>23</v>
      </c>
      <c r="E93" s="127">
        <v>31</v>
      </c>
      <c r="F93" s="127">
        <v>42</v>
      </c>
      <c r="G93" s="127">
        <v>30</v>
      </c>
      <c r="H93" s="127">
        <v>23</v>
      </c>
      <c r="I93" s="127">
        <v>20</v>
      </c>
      <c r="J93" s="127">
        <v>17</v>
      </c>
      <c r="K93" s="127">
        <v>13</v>
      </c>
      <c r="L93" s="127">
        <v>13</v>
      </c>
      <c r="M93" s="127">
        <v>8</v>
      </c>
      <c r="N93" s="127">
        <v>18</v>
      </c>
      <c r="O93" s="128">
        <v>45</v>
      </c>
      <c r="AE93" s="28" t="str">
        <f t="shared" si="30"/>
        <v>&lt;PrevisaoVAZAO Posto="14" MesReferencia="1"&gt; 23 31 42 30 23 20 17 13 13 8 18 45 &lt;/PrevisaoVAZAO&gt;</v>
      </c>
    </row>
    <row r="94" spans="1:31" x14ac:dyDescent="0.25">
      <c r="B94" s="125">
        <v>15</v>
      </c>
      <c r="C94" s="125" t="s">
        <v>156</v>
      </c>
      <c r="D94" s="126">
        <v>39</v>
      </c>
      <c r="E94" s="127">
        <v>50</v>
      </c>
      <c r="F94" s="127">
        <v>69</v>
      </c>
      <c r="G94" s="127">
        <v>50</v>
      </c>
      <c r="H94" s="127">
        <v>38</v>
      </c>
      <c r="I94" s="127">
        <v>32</v>
      </c>
      <c r="J94" s="127">
        <v>28</v>
      </c>
      <c r="K94" s="127">
        <v>21</v>
      </c>
      <c r="L94" s="127">
        <v>21</v>
      </c>
      <c r="M94" s="127">
        <v>14</v>
      </c>
      <c r="N94" s="127">
        <v>28</v>
      </c>
      <c r="O94" s="128">
        <v>73</v>
      </c>
      <c r="AE94" s="28" t="str">
        <f t="shared" si="30"/>
        <v>&lt;PrevisaoVAZAO Posto="15" MesReferencia="1"&gt; 39 50 69 50 38 32 28 21 21 14 28 73 &lt;/PrevisaoVAZAO&gt;</v>
      </c>
    </row>
    <row r="95" spans="1:31" x14ac:dyDescent="0.25">
      <c r="B95" s="125">
        <v>16</v>
      </c>
      <c r="C95" s="125" t="s">
        <v>157</v>
      </c>
      <c r="D95" s="126">
        <v>39</v>
      </c>
      <c r="E95" s="127">
        <v>50</v>
      </c>
      <c r="F95" s="127">
        <v>70</v>
      </c>
      <c r="G95" s="127">
        <v>50</v>
      </c>
      <c r="H95" s="127">
        <v>39</v>
      </c>
      <c r="I95" s="127">
        <v>33</v>
      </c>
      <c r="J95" s="127">
        <v>29</v>
      </c>
      <c r="K95" s="127">
        <v>21</v>
      </c>
      <c r="L95" s="127">
        <v>22</v>
      </c>
      <c r="M95" s="127">
        <v>14</v>
      </c>
      <c r="N95" s="127">
        <v>29</v>
      </c>
      <c r="O95" s="128">
        <v>74</v>
      </c>
      <c r="AE95" s="28" t="str">
        <f t="shared" si="30"/>
        <v>&lt;PrevisaoVAZAO Posto="16" MesReferencia="1"&gt; 39 50 70 50 39 33 29 21 22 14 29 74 &lt;/PrevisaoVAZAO&gt;</v>
      </c>
    </row>
    <row r="96" spans="1:31" x14ac:dyDescent="0.25">
      <c r="B96" s="125">
        <v>17</v>
      </c>
      <c r="C96" s="125" t="s">
        <v>158</v>
      </c>
      <c r="D96" s="126">
        <v>774</v>
      </c>
      <c r="E96" s="127">
        <v>1305</v>
      </c>
      <c r="F96" s="127">
        <v>1762</v>
      </c>
      <c r="G96" s="127">
        <v>1434</v>
      </c>
      <c r="H96" s="127">
        <v>1024</v>
      </c>
      <c r="I96" s="127">
        <v>839</v>
      </c>
      <c r="J96" s="127">
        <v>658</v>
      </c>
      <c r="K96" s="127">
        <v>498</v>
      </c>
      <c r="L96" s="127">
        <v>362</v>
      </c>
      <c r="M96" s="127">
        <v>240</v>
      </c>
      <c r="N96" s="127">
        <v>503</v>
      </c>
      <c r="O96" s="128">
        <v>1304</v>
      </c>
      <c r="AE96" s="28" t="str">
        <f t="shared" si="30"/>
        <v>&lt;PrevisaoVAZAO Posto="17" MesReferencia="1"&gt; 774 1305 1762 1434 1024 839 658 498 362 240 503 1304 &lt;/PrevisaoVAZAO&gt;</v>
      </c>
    </row>
    <row r="97" spans="2:31" x14ac:dyDescent="0.25">
      <c r="B97" s="125">
        <v>18</v>
      </c>
      <c r="C97" s="125" t="s">
        <v>159</v>
      </c>
      <c r="D97" s="126">
        <v>996</v>
      </c>
      <c r="E97" s="127">
        <v>1562</v>
      </c>
      <c r="F97" s="127">
        <v>2024</v>
      </c>
      <c r="G97" s="127">
        <v>1695</v>
      </c>
      <c r="H97" s="127">
        <v>1207</v>
      </c>
      <c r="I97" s="127">
        <v>977</v>
      </c>
      <c r="J97" s="127">
        <v>785</v>
      </c>
      <c r="K97" s="127">
        <v>658</v>
      </c>
      <c r="L97" s="127">
        <v>499</v>
      </c>
      <c r="M97" s="127">
        <v>360</v>
      </c>
      <c r="N97" s="127">
        <v>645</v>
      </c>
      <c r="O97" s="128">
        <v>1585</v>
      </c>
      <c r="AE97" s="28" t="str">
        <f t="shared" si="30"/>
        <v>&lt;PrevisaoVAZAO Posto="18" MesReferencia="1"&gt; 996 1562 2024 1695 1207 977 785 658 499 360 645 1585 &lt;/PrevisaoVAZAO&gt;</v>
      </c>
    </row>
    <row r="98" spans="2:31" x14ac:dyDescent="0.25">
      <c r="B98" s="125">
        <v>20</v>
      </c>
      <c r="C98" s="125" t="s">
        <v>160</v>
      </c>
      <c r="D98" s="126">
        <v>78</v>
      </c>
      <c r="E98" s="127">
        <v>170</v>
      </c>
      <c r="F98" s="127">
        <v>244</v>
      </c>
      <c r="G98" s="127">
        <v>211</v>
      </c>
      <c r="H98" s="127">
        <v>157</v>
      </c>
      <c r="I98" s="127">
        <v>97</v>
      </c>
      <c r="J98" s="127">
        <v>71</v>
      </c>
      <c r="K98" s="127">
        <v>42</v>
      </c>
      <c r="L98" s="127">
        <v>30</v>
      </c>
      <c r="M98" s="127">
        <v>18</v>
      </c>
      <c r="N98" s="127">
        <v>72</v>
      </c>
      <c r="O98" s="128">
        <v>188</v>
      </c>
      <c r="AE98" s="28" t="str">
        <f t="shared" si="30"/>
        <v>&lt;PrevisaoVAZAO Posto="20" MesReferencia="1"&gt; 78 170 244 211 157 97 71 42 30 18 72 188 &lt;/PrevisaoVAZAO&gt;</v>
      </c>
    </row>
    <row r="99" spans="2:31" x14ac:dyDescent="0.25">
      <c r="B99" s="125">
        <v>22</v>
      </c>
      <c r="C99" s="125" t="s">
        <v>161</v>
      </c>
      <c r="D99" s="126">
        <v>57</v>
      </c>
      <c r="E99" s="127">
        <v>80</v>
      </c>
      <c r="F99" s="127">
        <v>169</v>
      </c>
      <c r="G99" s="127">
        <v>154</v>
      </c>
      <c r="H99" s="127">
        <v>102</v>
      </c>
      <c r="I99" s="127">
        <v>59</v>
      </c>
      <c r="J99" s="127">
        <v>42</v>
      </c>
      <c r="K99" s="127">
        <v>25</v>
      </c>
      <c r="L99" s="127">
        <v>21</v>
      </c>
      <c r="M99" s="127">
        <v>8</v>
      </c>
      <c r="N99" s="127">
        <v>45</v>
      </c>
      <c r="O99" s="128">
        <v>125</v>
      </c>
      <c r="AE99" s="28" t="str">
        <f t="shared" si="30"/>
        <v>&lt;PrevisaoVAZAO Posto="22" MesReferencia="1"&gt; 57 80 169 154 102 59 42 25 21 8 45 125 &lt;/PrevisaoVAZAO&gt;</v>
      </c>
    </row>
    <row r="100" spans="2:31" x14ac:dyDescent="0.25">
      <c r="B100" s="125">
        <v>23</v>
      </c>
      <c r="C100" s="125" t="s">
        <v>162</v>
      </c>
      <c r="D100" s="126">
        <v>74</v>
      </c>
      <c r="E100" s="127">
        <v>112</v>
      </c>
      <c r="F100" s="127">
        <v>214</v>
      </c>
      <c r="G100" s="127">
        <v>240</v>
      </c>
      <c r="H100" s="127">
        <v>144</v>
      </c>
      <c r="I100" s="127">
        <v>89</v>
      </c>
      <c r="J100" s="127">
        <v>68</v>
      </c>
      <c r="K100" s="127">
        <v>64</v>
      </c>
      <c r="L100" s="127">
        <v>51</v>
      </c>
      <c r="M100" s="127">
        <v>35</v>
      </c>
      <c r="N100" s="127">
        <v>78</v>
      </c>
      <c r="O100" s="128">
        <v>157</v>
      </c>
      <c r="AE100" s="28" t="str">
        <f t="shared" si="30"/>
        <v>&lt;PrevisaoVAZAO Posto="23" MesReferencia="1"&gt; 74 112 214 240 144 89 68 64 51 35 78 157 &lt;/PrevisaoVAZAO&gt;</v>
      </c>
    </row>
    <row r="101" spans="2:31" x14ac:dyDescent="0.25">
      <c r="B101" s="125">
        <v>24</v>
      </c>
      <c r="C101" s="125" t="s">
        <v>163</v>
      </c>
      <c r="D101" s="126">
        <v>220</v>
      </c>
      <c r="E101" s="127">
        <v>483</v>
      </c>
      <c r="F101" s="127">
        <v>692</v>
      </c>
      <c r="G101" s="127">
        <v>599</v>
      </c>
      <c r="H101" s="127">
        <v>444</v>
      </c>
      <c r="I101" s="127">
        <v>274</v>
      </c>
      <c r="J101" s="127">
        <v>200</v>
      </c>
      <c r="K101" s="127">
        <v>133</v>
      </c>
      <c r="L101" s="127">
        <v>92</v>
      </c>
      <c r="M101" s="127">
        <v>50</v>
      </c>
      <c r="N101" s="127">
        <v>204</v>
      </c>
      <c r="O101" s="128">
        <v>532</v>
      </c>
      <c r="AE101" s="28" t="str">
        <f t="shared" si="30"/>
        <v>&lt;PrevisaoVAZAO Posto="24" MesReferencia="1"&gt; 220 483 692 599 444 274 200 133 92 50 204 532 &lt;/PrevisaoVAZAO&gt;</v>
      </c>
    </row>
    <row r="102" spans="2:31" x14ac:dyDescent="0.25">
      <c r="B102" s="125">
        <v>25</v>
      </c>
      <c r="C102" s="125" t="s">
        <v>164</v>
      </c>
      <c r="D102" s="126">
        <v>113</v>
      </c>
      <c r="E102" s="127">
        <v>289</v>
      </c>
      <c r="F102" s="127">
        <v>383</v>
      </c>
      <c r="G102" s="127">
        <v>304</v>
      </c>
      <c r="H102" s="127">
        <v>243</v>
      </c>
      <c r="I102" s="127">
        <v>177</v>
      </c>
      <c r="J102" s="127">
        <v>131</v>
      </c>
      <c r="K102" s="127">
        <v>89</v>
      </c>
      <c r="L102" s="127">
        <v>54</v>
      </c>
      <c r="M102" s="127">
        <v>40</v>
      </c>
      <c r="N102" s="127">
        <v>143</v>
      </c>
      <c r="O102" s="128">
        <v>268</v>
      </c>
      <c r="AE102" s="28" t="str">
        <f t="shared" si="30"/>
        <v>&lt;PrevisaoVAZAO Posto="25" MesReferencia="1"&gt; 113 289 383 304 243 177 131 89 54 40 143 268 &lt;/PrevisaoVAZAO&gt;</v>
      </c>
    </row>
    <row r="103" spans="2:31" x14ac:dyDescent="0.25">
      <c r="B103" s="125">
        <v>28</v>
      </c>
      <c r="C103" s="125" t="s">
        <v>165</v>
      </c>
      <c r="D103" s="126">
        <v>123</v>
      </c>
      <c r="E103" s="127">
        <v>303</v>
      </c>
      <c r="F103" s="127">
        <v>404</v>
      </c>
      <c r="G103" s="127">
        <v>334</v>
      </c>
      <c r="H103" s="127">
        <v>259</v>
      </c>
      <c r="I103" s="127">
        <v>188</v>
      </c>
      <c r="J103" s="127">
        <v>140</v>
      </c>
      <c r="K103" s="127">
        <v>97</v>
      </c>
      <c r="L103" s="127">
        <v>58</v>
      </c>
      <c r="M103" s="127">
        <v>42</v>
      </c>
      <c r="N103" s="127">
        <v>135</v>
      </c>
      <c r="O103" s="128">
        <v>305</v>
      </c>
      <c r="AE103" s="28" t="str">
        <f t="shared" si="30"/>
        <v>&lt;PrevisaoVAZAO Posto="28" MesReferencia="1"&gt; 123 303 404 334 259 188 140 97 58 42 135 305 &lt;/PrevisaoVAZAO&gt;</v>
      </c>
    </row>
    <row r="104" spans="2:31" x14ac:dyDescent="0.25">
      <c r="B104" s="125">
        <v>31</v>
      </c>
      <c r="C104" s="125" t="s">
        <v>166</v>
      </c>
      <c r="D104" s="126">
        <v>738</v>
      </c>
      <c r="E104" s="127">
        <v>1373</v>
      </c>
      <c r="F104" s="127">
        <v>2118</v>
      </c>
      <c r="G104" s="127">
        <v>1999</v>
      </c>
      <c r="H104" s="127">
        <v>1369</v>
      </c>
      <c r="I104" s="127">
        <v>897</v>
      </c>
      <c r="J104" s="127">
        <v>675</v>
      </c>
      <c r="K104" s="127">
        <v>510</v>
      </c>
      <c r="L104" s="127">
        <v>353</v>
      </c>
      <c r="M104" s="127">
        <v>232</v>
      </c>
      <c r="N104" s="127">
        <v>695</v>
      </c>
      <c r="O104" s="128">
        <v>1687</v>
      </c>
      <c r="AE104" s="28" t="str">
        <f t="shared" si="30"/>
        <v>&lt;PrevisaoVAZAO Posto="31" MesReferencia="1"&gt; 738 1373 2118 1999 1369 897 675 510 353 232 695 1687 &lt;/PrevisaoVAZAO&gt;</v>
      </c>
    </row>
    <row r="105" spans="2:31" x14ac:dyDescent="0.25">
      <c r="B105" s="125">
        <v>32</v>
      </c>
      <c r="C105" s="125" t="s">
        <v>167</v>
      </c>
      <c r="D105" s="126">
        <v>792</v>
      </c>
      <c r="E105" s="127">
        <v>1462</v>
      </c>
      <c r="F105" s="127">
        <v>2243</v>
      </c>
      <c r="G105" s="127">
        <v>2134</v>
      </c>
      <c r="H105" s="127">
        <v>1467</v>
      </c>
      <c r="I105" s="127">
        <v>963</v>
      </c>
      <c r="J105" s="127">
        <v>729</v>
      </c>
      <c r="K105" s="127">
        <v>560</v>
      </c>
      <c r="L105" s="127">
        <v>390</v>
      </c>
      <c r="M105" s="127">
        <v>253</v>
      </c>
      <c r="N105" s="127">
        <v>720</v>
      </c>
      <c r="O105" s="128">
        <v>1807</v>
      </c>
      <c r="AE105" s="28" t="str">
        <f t="shared" si="30"/>
        <v>&lt;PrevisaoVAZAO Posto="32" MesReferencia="1"&gt; 792 1462 2243 2134 1467 963 729 560 390 253 720 1807 &lt;/PrevisaoVAZAO&gt;</v>
      </c>
    </row>
    <row r="106" spans="2:31" x14ac:dyDescent="0.25">
      <c r="B106" s="125">
        <v>33</v>
      </c>
      <c r="C106" s="125" t="s">
        <v>168</v>
      </c>
      <c r="D106" s="126">
        <v>1300</v>
      </c>
      <c r="E106" s="127">
        <v>2357</v>
      </c>
      <c r="F106" s="127">
        <v>3555</v>
      </c>
      <c r="G106" s="127">
        <v>3406</v>
      </c>
      <c r="H106" s="127">
        <v>2371</v>
      </c>
      <c r="I106" s="127">
        <v>1585</v>
      </c>
      <c r="J106" s="127">
        <v>1244</v>
      </c>
      <c r="K106" s="127">
        <v>1017</v>
      </c>
      <c r="L106" s="127">
        <v>739</v>
      </c>
      <c r="M106" s="127">
        <v>472</v>
      </c>
      <c r="N106" s="127">
        <v>1106</v>
      </c>
      <c r="O106" s="128">
        <v>2902</v>
      </c>
      <c r="AE106" s="28" t="str">
        <f t="shared" si="30"/>
        <v>&lt;PrevisaoVAZAO Posto="33" MesReferencia="1"&gt; 1300 2357 3555 3406 2371 1585 1244 1017 739 472 1106 2902 &lt;/PrevisaoVAZAO&gt;</v>
      </c>
    </row>
    <row r="107" spans="2:31" x14ac:dyDescent="0.25">
      <c r="B107" s="125">
        <v>34</v>
      </c>
      <c r="C107" s="125" t="s">
        <v>169</v>
      </c>
      <c r="D107" s="126">
        <v>3018</v>
      </c>
      <c r="E107" s="127">
        <v>4910</v>
      </c>
      <c r="F107" s="127">
        <v>6832</v>
      </c>
      <c r="G107" s="127">
        <v>6222</v>
      </c>
      <c r="H107" s="127">
        <v>4648</v>
      </c>
      <c r="I107" s="127">
        <v>3305</v>
      </c>
      <c r="J107" s="127">
        <v>2685</v>
      </c>
      <c r="K107" s="127">
        <v>2170</v>
      </c>
      <c r="L107" s="127">
        <v>1666</v>
      </c>
      <c r="M107" s="127">
        <v>1205</v>
      </c>
      <c r="N107" s="127">
        <v>2314</v>
      </c>
      <c r="O107" s="128">
        <v>5601</v>
      </c>
      <c r="AE107" s="28" t="str">
        <f t="shared" si="30"/>
        <v>&lt;PrevisaoVAZAO Posto="34" MesReferencia="1"&gt; 3018 4910 6832 6222 4648 3305 2685 2170 1666 1205 2314 5601 &lt;/PrevisaoVAZAO&gt;</v>
      </c>
    </row>
    <row r="108" spans="2:31" x14ac:dyDescent="0.25">
      <c r="B108" s="125">
        <v>37</v>
      </c>
      <c r="C108" s="125" t="s">
        <v>170</v>
      </c>
      <c r="D108" s="126">
        <v>221</v>
      </c>
      <c r="E108" s="127">
        <v>595</v>
      </c>
      <c r="F108" s="127">
        <v>568</v>
      </c>
      <c r="G108" s="127">
        <v>248</v>
      </c>
      <c r="H108" s="127">
        <v>211</v>
      </c>
      <c r="I108" s="127">
        <v>184</v>
      </c>
      <c r="J108" s="127">
        <v>226</v>
      </c>
      <c r="K108" s="127">
        <v>116</v>
      </c>
      <c r="L108" s="127">
        <v>161</v>
      </c>
      <c r="M108" s="127">
        <v>88</v>
      </c>
      <c r="N108" s="127">
        <v>181</v>
      </c>
      <c r="O108" s="128">
        <v>296</v>
      </c>
      <c r="AE108" s="28" t="str">
        <f t="shared" si="30"/>
        <v>&lt;PrevisaoVAZAO Posto="37" MesReferencia="1"&gt; 221 595 568 248 211 184 226 116 161 88 181 296 &lt;/PrevisaoVAZAO&gt;</v>
      </c>
    </row>
    <row r="109" spans="2:31" x14ac:dyDescent="0.25">
      <c r="B109" s="125">
        <v>38</v>
      </c>
      <c r="C109" s="125" t="s">
        <v>171</v>
      </c>
      <c r="D109" s="126">
        <v>271</v>
      </c>
      <c r="E109" s="127">
        <v>647</v>
      </c>
      <c r="F109" s="127">
        <v>631</v>
      </c>
      <c r="G109" s="127">
        <v>292</v>
      </c>
      <c r="H109" s="127">
        <v>249</v>
      </c>
      <c r="I109" s="127">
        <v>225</v>
      </c>
      <c r="J109" s="127">
        <v>268</v>
      </c>
      <c r="K109" s="127">
        <v>144</v>
      </c>
      <c r="L109" s="127">
        <v>187</v>
      </c>
      <c r="M109" s="127">
        <v>108</v>
      </c>
      <c r="N109" s="127">
        <v>217</v>
      </c>
      <c r="O109" s="128">
        <v>343</v>
      </c>
      <c r="AE109" s="28" t="str">
        <f t="shared" si="30"/>
        <v>&lt;PrevisaoVAZAO Posto="38" MesReferencia="1"&gt; 271 647 631 292 249 225 268 144 187 108 217 343 &lt;/PrevisaoVAZAO&gt;</v>
      </c>
    </row>
    <row r="110" spans="2:31" x14ac:dyDescent="0.25">
      <c r="B110" s="125">
        <v>39</v>
      </c>
      <c r="C110" s="125" t="s">
        <v>172</v>
      </c>
      <c r="D110" s="126">
        <v>364</v>
      </c>
      <c r="E110" s="127">
        <v>751</v>
      </c>
      <c r="F110" s="127">
        <v>749</v>
      </c>
      <c r="G110" s="127">
        <v>372</v>
      </c>
      <c r="H110" s="127">
        <v>325</v>
      </c>
      <c r="I110" s="127">
        <v>301</v>
      </c>
      <c r="J110" s="127">
        <v>350</v>
      </c>
      <c r="K110" s="127">
        <v>197</v>
      </c>
      <c r="L110" s="127">
        <v>240</v>
      </c>
      <c r="M110" s="127">
        <v>146</v>
      </c>
      <c r="N110" s="127">
        <v>285</v>
      </c>
      <c r="O110" s="128">
        <v>440</v>
      </c>
      <c r="AE110" s="28" t="str">
        <f t="shared" si="30"/>
        <v>&lt;PrevisaoVAZAO Posto="39" MesReferencia="1"&gt; 364 751 749 372 325 301 350 197 240 146 285 440 &lt;/PrevisaoVAZAO&gt;</v>
      </c>
    </row>
    <row r="111" spans="2:31" x14ac:dyDescent="0.25">
      <c r="B111" s="125">
        <v>40</v>
      </c>
      <c r="C111" s="125" t="s">
        <v>173</v>
      </c>
      <c r="D111" s="126">
        <v>430</v>
      </c>
      <c r="E111" s="127">
        <v>876</v>
      </c>
      <c r="F111" s="127">
        <v>869</v>
      </c>
      <c r="G111" s="127">
        <v>455</v>
      </c>
      <c r="H111" s="127">
        <v>424</v>
      </c>
      <c r="I111" s="127">
        <v>395</v>
      </c>
      <c r="J111" s="127">
        <v>452</v>
      </c>
      <c r="K111" s="127">
        <v>242</v>
      </c>
      <c r="L111" s="127">
        <v>284</v>
      </c>
      <c r="M111" s="127">
        <v>190</v>
      </c>
      <c r="N111" s="127">
        <v>352</v>
      </c>
      <c r="O111" s="128">
        <v>569</v>
      </c>
      <c r="AE111" s="28" t="str">
        <f t="shared" si="30"/>
        <v>&lt;PrevisaoVAZAO Posto="40" MesReferencia="1"&gt; 430 876 869 455 424 395 452 242 284 190 352 569 &lt;/PrevisaoVAZAO&gt;</v>
      </c>
    </row>
    <row r="112" spans="2:31" x14ac:dyDescent="0.25">
      <c r="B112" s="125">
        <v>42</v>
      </c>
      <c r="C112" s="125" t="s">
        <v>174</v>
      </c>
      <c r="D112" s="126">
        <v>455</v>
      </c>
      <c r="E112" s="127">
        <v>929</v>
      </c>
      <c r="F112" s="127">
        <v>915</v>
      </c>
      <c r="G112" s="127">
        <v>488</v>
      </c>
      <c r="H112" s="127">
        <v>464</v>
      </c>
      <c r="I112" s="127">
        <v>432</v>
      </c>
      <c r="J112" s="127">
        <v>484</v>
      </c>
      <c r="K112" s="127">
        <v>261</v>
      </c>
      <c r="L112" s="127">
        <v>299</v>
      </c>
      <c r="M112" s="127">
        <v>208</v>
      </c>
      <c r="N112" s="127">
        <v>374</v>
      </c>
      <c r="O112" s="128">
        <v>622</v>
      </c>
      <c r="AE112" s="28" t="str">
        <f t="shared" si="30"/>
        <v>&lt;PrevisaoVAZAO Posto="42" MesReferencia="1"&gt; 455 929 915 488 464 432 484 261 299 208 374 622 &lt;/PrevisaoVAZAO&gt;</v>
      </c>
    </row>
    <row r="113" spans="2:31" x14ac:dyDescent="0.25">
      <c r="B113" s="125">
        <v>43</v>
      </c>
      <c r="C113" s="125" t="s">
        <v>175</v>
      </c>
      <c r="D113" s="126">
        <v>475</v>
      </c>
      <c r="E113" s="127">
        <v>967</v>
      </c>
      <c r="F113" s="127">
        <v>960</v>
      </c>
      <c r="G113" s="127">
        <v>526</v>
      </c>
      <c r="H113" s="127">
        <v>493</v>
      </c>
      <c r="I113" s="127">
        <v>458</v>
      </c>
      <c r="J113" s="127">
        <v>502</v>
      </c>
      <c r="K113" s="127">
        <v>278</v>
      </c>
      <c r="L113" s="127">
        <v>294</v>
      </c>
      <c r="M113" s="127">
        <v>230</v>
      </c>
      <c r="N113" s="127">
        <v>361</v>
      </c>
      <c r="O113" s="128">
        <v>649</v>
      </c>
      <c r="AE113" s="28" t="str">
        <f t="shared" si="30"/>
        <v>&lt;PrevisaoVAZAO Posto="43" MesReferencia="1"&gt; 475 967 960 526 493 458 502 278 294 230 361 649 &lt;/PrevisaoVAZAO&gt;</v>
      </c>
    </row>
    <row r="114" spans="2:31" x14ac:dyDescent="0.25">
      <c r="B114" s="125">
        <v>44</v>
      </c>
      <c r="C114" s="125" t="s">
        <v>176</v>
      </c>
      <c r="D114" s="126">
        <v>3493</v>
      </c>
      <c r="E114" s="127">
        <v>5877</v>
      </c>
      <c r="F114" s="127">
        <v>7792</v>
      </c>
      <c r="G114" s="127">
        <v>6748</v>
      </c>
      <c r="H114" s="127">
        <v>5141</v>
      </c>
      <c r="I114" s="127">
        <v>3763</v>
      </c>
      <c r="J114" s="127">
        <v>3187</v>
      </c>
      <c r="K114" s="127">
        <v>2448</v>
      </c>
      <c r="L114" s="127">
        <v>1960</v>
      </c>
      <c r="M114" s="127">
        <v>1436</v>
      </c>
      <c r="N114" s="127">
        <v>2675</v>
      </c>
      <c r="O114" s="128">
        <v>6250</v>
      </c>
      <c r="AE114" s="28" t="str">
        <f t="shared" si="30"/>
        <v>&lt;PrevisaoVAZAO Posto="44" MesReferencia="1"&gt; 3493 5877 7792 6748 5141 3763 3187 2448 1960 1436 2675 6250 &lt;/PrevisaoVAZAO&gt;</v>
      </c>
    </row>
    <row r="115" spans="2:31" x14ac:dyDescent="0.25">
      <c r="B115" s="125">
        <v>45</v>
      </c>
      <c r="C115" s="125" t="s">
        <v>177</v>
      </c>
      <c r="D115" s="126">
        <v>3879</v>
      </c>
      <c r="E115" s="127">
        <v>6426</v>
      </c>
      <c r="F115" s="127">
        <v>8413</v>
      </c>
      <c r="G115" s="127">
        <v>7364</v>
      </c>
      <c r="H115" s="127">
        <v>5688</v>
      </c>
      <c r="I115" s="127">
        <v>4336</v>
      </c>
      <c r="J115" s="127">
        <v>3625</v>
      </c>
      <c r="K115" s="127">
        <v>2804</v>
      </c>
      <c r="L115" s="127">
        <v>2305</v>
      </c>
      <c r="M115" s="127">
        <v>1726</v>
      </c>
      <c r="N115" s="127">
        <v>3181</v>
      </c>
      <c r="O115" s="128">
        <v>6939</v>
      </c>
      <c r="AE115" s="28" t="str">
        <f t="shared" si="30"/>
        <v>&lt;PrevisaoVAZAO Posto="45" MesReferencia="1"&gt; 3879 6426 8413 7364 5688 4336 3625 2804 2305 1726 3181 6939 &lt;/PrevisaoVAZAO&gt;</v>
      </c>
    </row>
    <row r="116" spans="2:31" x14ac:dyDescent="0.25">
      <c r="B116" s="125">
        <v>46</v>
      </c>
      <c r="C116" s="125" t="s">
        <v>178</v>
      </c>
      <c r="D116" s="126">
        <v>4866</v>
      </c>
      <c r="E116" s="127">
        <v>7274</v>
      </c>
      <c r="F116" s="127">
        <v>9324</v>
      </c>
      <c r="G116" s="127">
        <v>8344</v>
      </c>
      <c r="H116" s="127">
        <v>6729</v>
      </c>
      <c r="I116" s="127">
        <v>5247</v>
      </c>
      <c r="J116" s="127">
        <v>4640</v>
      </c>
      <c r="K116" s="127">
        <v>3839</v>
      </c>
      <c r="L116" s="127">
        <v>3218</v>
      </c>
      <c r="M116" s="127">
        <v>2404</v>
      </c>
      <c r="N116" s="127">
        <v>3806</v>
      </c>
      <c r="O116" s="128">
        <v>7839</v>
      </c>
      <c r="AE116" s="28" t="str">
        <f t="shared" si="30"/>
        <v>&lt;PrevisaoVAZAO Posto="46" MesReferencia="1"&gt; 4866 7274 9324 8344 6729 5247 4640 3839 3218 2404 3806 7839 &lt;/PrevisaoVAZAO&gt;</v>
      </c>
    </row>
    <row r="117" spans="2:31" x14ac:dyDescent="0.25">
      <c r="B117" s="125">
        <v>47</v>
      </c>
      <c r="C117" s="125" t="s">
        <v>179</v>
      </c>
      <c r="D117" s="126">
        <v>170</v>
      </c>
      <c r="E117" s="127">
        <v>326</v>
      </c>
      <c r="F117" s="127">
        <v>357</v>
      </c>
      <c r="G117" s="127">
        <v>203</v>
      </c>
      <c r="H117" s="127">
        <v>201</v>
      </c>
      <c r="I117" s="127">
        <v>154</v>
      </c>
      <c r="J117" s="127">
        <v>242</v>
      </c>
      <c r="K117" s="127">
        <v>127</v>
      </c>
      <c r="L117" s="127">
        <v>141</v>
      </c>
      <c r="M117" s="127">
        <v>108</v>
      </c>
      <c r="N117" s="127">
        <v>149</v>
      </c>
      <c r="O117" s="128">
        <v>229</v>
      </c>
      <c r="AE117" s="28" t="str">
        <f t="shared" si="30"/>
        <v>&lt;PrevisaoVAZAO Posto="47" MesReferencia="1"&gt; 170 326 357 203 201 154 242 127 141 108 149 229 &lt;/PrevisaoVAZAO&gt;</v>
      </c>
    </row>
    <row r="118" spans="2:31" x14ac:dyDescent="0.25">
      <c r="B118" s="125">
        <v>48</v>
      </c>
      <c r="C118" s="125" t="s">
        <v>180</v>
      </c>
      <c r="D118" s="126">
        <v>175</v>
      </c>
      <c r="E118" s="127">
        <v>334</v>
      </c>
      <c r="F118" s="127">
        <v>365</v>
      </c>
      <c r="G118" s="127">
        <v>208</v>
      </c>
      <c r="H118" s="127">
        <v>206</v>
      </c>
      <c r="I118" s="127">
        <v>158</v>
      </c>
      <c r="J118" s="127">
        <v>252</v>
      </c>
      <c r="K118" s="127">
        <v>131</v>
      </c>
      <c r="L118" s="127">
        <v>147</v>
      </c>
      <c r="M118" s="127">
        <v>113</v>
      </c>
      <c r="N118" s="127">
        <v>151</v>
      </c>
      <c r="O118" s="128">
        <v>234</v>
      </c>
      <c r="AE118" s="28" t="str">
        <f t="shared" si="30"/>
        <v>&lt;PrevisaoVAZAO Posto="48" MesReferencia="1"&gt; 175 334 365 208 206 158 252 131 147 113 151 234 &lt;/PrevisaoVAZAO&gt;</v>
      </c>
    </row>
    <row r="119" spans="2:31" x14ac:dyDescent="0.25">
      <c r="B119" s="125">
        <v>49</v>
      </c>
      <c r="C119" s="125" t="s">
        <v>181</v>
      </c>
      <c r="D119" s="126">
        <v>263</v>
      </c>
      <c r="E119" s="127">
        <v>506</v>
      </c>
      <c r="F119" s="127">
        <v>518</v>
      </c>
      <c r="G119" s="127">
        <v>306</v>
      </c>
      <c r="H119" s="127">
        <v>311</v>
      </c>
      <c r="I119" s="127">
        <v>234</v>
      </c>
      <c r="J119" s="127">
        <v>465</v>
      </c>
      <c r="K119" s="127">
        <v>199</v>
      </c>
      <c r="L119" s="127">
        <v>284</v>
      </c>
      <c r="M119" s="127">
        <v>197</v>
      </c>
      <c r="N119" s="127">
        <v>208</v>
      </c>
      <c r="O119" s="128">
        <v>328</v>
      </c>
      <c r="AE119" s="28" t="str">
        <f t="shared" si="30"/>
        <v>&lt;PrevisaoVAZAO Posto="49" MesReferencia="1"&gt; 263 506 518 306 311 234 465 199 284 197 208 328 &lt;/PrevisaoVAZAO&gt;</v>
      </c>
    </row>
    <row r="120" spans="2:31" x14ac:dyDescent="0.25">
      <c r="B120" s="125">
        <v>50</v>
      </c>
      <c r="C120" s="125" t="s">
        <v>182</v>
      </c>
      <c r="D120" s="126">
        <v>358</v>
      </c>
      <c r="E120" s="127">
        <v>642</v>
      </c>
      <c r="F120" s="127">
        <v>665</v>
      </c>
      <c r="G120" s="127">
        <v>426</v>
      </c>
      <c r="H120" s="127">
        <v>416</v>
      </c>
      <c r="I120" s="127">
        <v>337</v>
      </c>
      <c r="J120" s="127">
        <v>587</v>
      </c>
      <c r="K120" s="127">
        <v>271</v>
      </c>
      <c r="L120" s="127">
        <v>367</v>
      </c>
      <c r="M120" s="127">
        <v>262</v>
      </c>
      <c r="N120" s="127">
        <v>277</v>
      </c>
      <c r="O120" s="128">
        <v>451</v>
      </c>
      <c r="AE120" s="28" t="str">
        <f t="shared" si="30"/>
        <v>&lt;PrevisaoVAZAO Posto="50" MesReferencia="1"&gt; 358 642 665 426 416 337 587 271 367 262 277 451 &lt;/PrevisaoVAZAO&gt;</v>
      </c>
    </row>
    <row r="121" spans="2:31" x14ac:dyDescent="0.25">
      <c r="B121" s="125">
        <v>51</v>
      </c>
      <c r="C121" s="125" t="s">
        <v>183</v>
      </c>
      <c r="D121" s="126">
        <v>365</v>
      </c>
      <c r="E121" s="127">
        <v>652</v>
      </c>
      <c r="F121" s="127">
        <v>676</v>
      </c>
      <c r="G121" s="127">
        <v>437</v>
      </c>
      <c r="H121" s="127">
        <v>425</v>
      </c>
      <c r="I121" s="127">
        <v>345</v>
      </c>
      <c r="J121" s="127">
        <v>597</v>
      </c>
      <c r="K121" s="127">
        <v>278</v>
      </c>
      <c r="L121" s="127">
        <v>373</v>
      </c>
      <c r="M121" s="127">
        <v>268</v>
      </c>
      <c r="N121" s="127">
        <v>282</v>
      </c>
      <c r="O121" s="128">
        <v>460</v>
      </c>
      <c r="AE121" s="28" t="str">
        <f t="shared" si="30"/>
        <v>&lt;PrevisaoVAZAO Posto="51" MesReferencia="1"&gt; 365 652 676 437 425 345 597 278 373 268 282 460 &lt;/PrevisaoVAZAO&gt;</v>
      </c>
    </row>
    <row r="122" spans="2:31" x14ac:dyDescent="0.25">
      <c r="B122" s="125">
        <v>52</v>
      </c>
      <c r="C122" s="125" t="s">
        <v>184</v>
      </c>
      <c r="D122" s="126">
        <v>381</v>
      </c>
      <c r="E122" s="127">
        <v>673</v>
      </c>
      <c r="F122" s="127">
        <v>700</v>
      </c>
      <c r="G122" s="127">
        <v>457</v>
      </c>
      <c r="H122" s="127">
        <v>442</v>
      </c>
      <c r="I122" s="127">
        <v>364</v>
      </c>
      <c r="J122" s="127">
        <v>619</v>
      </c>
      <c r="K122" s="127">
        <v>290</v>
      </c>
      <c r="L122" s="127">
        <v>386</v>
      </c>
      <c r="M122" s="127">
        <v>280</v>
      </c>
      <c r="N122" s="127">
        <v>293</v>
      </c>
      <c r="O122" s="128">
        <v>479</v>
      </c>
      <c r="AE122" s="28" t="str">
        <f t="shared" si="30"/>
        <v>&lt;PrevisaoVAZAO Posto="52" MesReferencia="1"&gt; 381 673 700 457 442 364 619 290 386 280 293 479 &lt;/PrevisaoVAZAO&gt;</v>
      </c>
    </row>
    <row r="123" spans="2:31" x14ac:dyDescent="0.25">
      <c r="B123" s="125">
        <v>57</v>
      </c>
      <c r="C123" s="125" t="s">
        <v>185</v>
      </c>
      <c r="D123" s="126">
        <v>388</v>
      </c>
      <c r="E123" s="127">
        <v>293</v>
      </c>
      <c r="F123" s="127">
        <v>334</v>
      </c>
      <c r="G123" s="127">
        <v>236</v>
      </c>
      <c r="H123" s="127">
        <v>355</v>
      </c>
      <c r="I123" s="127">
        <v>361</v>
      </c>
      <c r="J123" s="127">
        <v>987</v>
      </c>
      <c r="K123" s="127">
        <v>242</v>
      </c>
      <c r="L123" s="127">
        <v>434</v>
      </c>
      <c r="M123" s="127">
        <v>385</v>
      </c>
      <c r="N123" s="127">
        <v>210</v>
      </c>
      <c r="O123" s="128">
        <v>336</v>
      </c>
      <c r="AE123" s="28" t="str">
        <f t="shared" si="30"/>
        <v>&lt;PrevisaoVAZAO Posto="57" MesReferencia="1"&gt; 388 293 334 236 355 361 987 242 434 385 210 336 &lt;/PrevisaoVAZAO&gt;</v>
      </c>
    </row>
    <row r="124" spans="2:31" x14ac:dyDescent="0.25">
      <c r="B124" s="125">
        <v>58</v>
      </c>
      <c r="C124" s="125" t="s">
        <v>186</v>
      </c>
      <c r="D124" s="126">
        <v>401</v>
      </c>
      <c r="E124" s="127">
        <v>447</v>
      </c>
      <c r="F124" s="127">
        <v>437</v>
      </c>
      <c r="G124" s="127">
        <v>315</v>
      </c>
      <c r="H124" s="127">
        <v>399</v>
      </c>
      <c r="I124" s="127">
        <v>320</v>
      </c>
      <c r="J124" s="127">
        <v>989</v>
      </c>
      <c r="K124" s="127">
        <v>200</v>
      </c>
      <c r="L124" s="127">
        <v>371</v>
      </c>
      <c r="M124" s="127">
        <v>401</v>
      </c>
      <c r="N124" s="127">
        <v>250</v>
      </c>
      <c r="O124" s="128">
        <v>366</v>
      </c>
      <c r="AE124" s="28" t="str">
        <f t="shared" si="30"/>
        <v>&lt;PrevisaoVAZAO Posto="58" MesReferencia="1"&gt; 401 447 437 315 399 320 989 200 371 401 250 366 &lt;/PrevisaoVAZAO&gt;</v>
      </c>
    </row>
    <row r="125" spans="2:31" x14ac:dyDescent="0.25">
      <c r="B125" s="125">
        <v>61</v>
      </c>
      <c r="C125" s="125" t="s">
        <v>187</v>
      </c>
      <c r="D125" s="126">
        <v>1148</v>
      </c>
      <c r="E125" s="127">
        <v>1529</v>
      </c>
      <c r="F125" s="127">
        <v>1536</v>
      </c>
      <c r="G125" s="127">
        <v>1060</v>
      </c>
      <c r="H125" s="127">
        <v>1206</v>
      </c>
      <c r="I125" s="127">
        <v>977</v>
      </c>
      <c r="J125" s="127">
        <v>2512</v>
      </c>
      <c r="K125" s="127">
        <v>784</v>
      </c>
      <c r="L125" s="127">
        <v>1295</v>
      </c>
      <c r="M125" s="127">
        <v>1047</v>
      </c>
      <c r="N125" s="127">
        <v>771</v>
      </c>
      <c r="O125" s="128">
        <v>1180</v>
      </c>
      <c r="AE125" s="28" t="str">
        <f t="shared" si="30"/>
        <v>&lt;PrevisaoVAZAO Posto="61" MesReferencia="1"&gt; 1148 1529 1536 1060 1206 977 2512 784 1295 1047 771 1180 &lt;/PrevisaoVAZAO&gt;</v>
      </c>
    </row>
    <row r="126" spans="2:31" x14ac:dyDescent="0.25">
      <c r="B126" s="125">
        <v>62</v>
      </c>
      <c r="C126" s="125" t="s">
        <v>188</v>
      </c>
      <c r="D126" s="126">
        <v>1193</v>
      </c>
      <c r="E126" s="127">
        <v>1572</v>
      </c>
      <c r="F126" s="127">
        <v>1572</v>
      </c>
      <c r="G126" s="127">
        <v>1105</v>
      </c>
      <c r="H126" s="127">
        <v>1236</v>
      </c>
      <c r="I126" s="127">
        <v>1015</v>
      </c>
      <c r="J126" s="127">
        <v>2575</v>
      </c>
      <c r="K126" s="127">
        <v>832</v>
      </c>
      <c r="L126" s="127">
        <v>1303</v>
      </c>
      <c r="M126" s="127">
        <v>1100</v>
      </c>
      <c r="N126" s="127">
        <v>801</v>
      </c>
      <c r="O126" s="128">
        <v>1217</v>
      </c>
      <c r="AE126" s="28" t="str">
        <f t="shared" si="30"/>
        <v>&lt;PrevisaoVAZAO Posto="62" MesReferencia="1"&gt; 1193 1572 1572 1105 1236 1015 2575 832 1303 1100 801 1217 &lt;/PrevisaoVAZAO&gt;</v>
      </c>
    </row>
    <row r="127" spans="2:31" x14ac:dyDescent="0.25">
      <c r="B127" s="125">
        <v>63</v>
      </c>
      <c r="C127" s="125" t="s">
        <v>189</v>
      </c>
      <c r="D127" s="126">
        <v>1318</v>
      </c>
      <c r="E127" s="127">
        <v>1711</v>
      </c>
      <c r="F127" s="127">
        <v>1721</v>
      </c>
      <c r="G127" s="127">
        <v>1237</v>
      </c>
      <c r="H127" s="127">
        <v>1353</v>
      </c>
      <c r="I127" s="127">
        <v>1126</v>
      </c>
      <c r="J127" s="127">
        <v>2801</v>
      </c>
      <c r="K127" s="127">
        <v>945</v>
      </c>
      <c r="L127" s="127">
        <v>1354</v>
      </c>
      <c r="M127" s="127">
        <v>1224</v>
      </c>
      <c r="N127" s="127">
        <v>885</v>
      </c>
      <c r="O127" s="128">
        <v>1319</v>
      </c>
      <c r="AE127" s="28" t="str">
        <f t="shared" si="30"/>
        <v>&lt;PrevisaoVAZAO Posto="63" MesReferencia="1"&gt; 1318 1711 1721 1237 1353 1126 2801 945 1354 1224 885 1319 &lt;/PrevisaoVAZAO&gt;</v>
      </c>
    </row>
    <row r="128" spans="2:31" x14ac:dyDescent="0.25">
      <c r="B128" s="125">
        <v>65</v>
      </c>
      <c r="C128" s="125" t="s">
        <v>190</v>
      </c>
      <c r="D128" s="126">
        <v>192</v>
      </c>
      <c r="E128" s="127">
        <v>115</v>
      </c>
      <c r="F128" s="127">
        <v>118</v>
      </c>
      <c r="G128" s="127">
        <v>54</v>
      </c>
      <c r="H128" s="127">
        <v>76</v>
      </c>
      <c r="I128" s="127">
        <v>141</v>
      </c>
      <c r="J128" s="127">
        <v>405</v>
      </c>
      <c r="K128" s="127">
        <v>57</v>
      </c>
      <c r="L128" s="127">
        <v>180</v>
      </c>
      <c r="M128" s="127">
        <v>243</v>
      </c>
      <c r="N128" s="127">
        <v>98</v>
      </c>
      <c r="O128" s="128">
        <v>51</v>
      </c>
      <c r="AE128" s="28" t="str">
        <f t="shared" si="30"/>
        <v>&lt;PrevisaoVAZAO Posto="65" MesReferencia="1"&gt; 192 115 118 54 76 141 405 57 180 243 98 51 &lt;/PrevisaoVAZAO&gt;</v>
      </c>
    </row>
    <row r="129" spans="2:31" x14ac:dyDescent="0.25">
      <c r="B129" s="125">
        <v>66</v>
      </c>
      <c r="C129" s="125" t="s">
        <v>191</v>
      </c>
      <c r="D129" s="126">
        <v>9099</v>
      </c>
      <c r="E129" s="127">
        <v>11875</v>
      </c>
      <c r="F129" s="127">
        <v>13895</v>
      </c>
      <c r="G129" s="127">
        <v>12489</v>
      </c>
      <c r="H129" s="127">
        <v>11375</v>
      </c>
      <c r="I129" s="127">
        <v>9572</v>
      </c>
      <c r="J129" s="127">
        <v>15403</v>
      </c>
      <c r="K129" s="127">
        <v>7614</v>
      </c>
      <c r="L129" s="127">
        <v>7662</v>
      </c>
      <c r="M129" s="127">
        <v>7440</v>
      </c>
      <c r="N129" s="127">
        <v>6967</v>
      </c>
      <c r="O129" s="128">
        <v>11406</v>
      </c>
      <c r="AE129" s="28" t="str">
        <f t="shared" si="30"/>
        <v>&lt;PrevisaoVAZAO Posto="66" MesReferencia="1"&gt; 9099 11875 13895 12489 11375 9572 15403 7614 7662 7440 6967 11406 &lt;/PrevisaoVAZAO&gt;</v>
      </c>
    </row>
    <row r="130" spans="2:31" x14ac:dyDescent="0.25">
      <c r="B130" s="125">
        <v>70</v>
      </c>
      <c r="C130" s="125" t="s">
        <v>192</v>
      </c>
      <c r="D130" s="126">
        <v>12</v>
      </c>
      <c r="E130" s="127">
        <v>12</v>
      </c>
      <c r="F130" s="127">
        <v>10</v>
      </c>
      <c r="G130" s="127">
        <v>10</v>
      </c>
      <c r="H130" s="127">
        <v>10</v>
      </c>
      <c r="I130" s="127">
        <v>12</v>
      </c>
      <c r="J130" s="127">
        <v>260</v>
      </c>
      <c r="K130" s="127">
        <v>16</v>
      </c>
      <c r="L130" s="127">
        <v>56</v>
      </c>
      <c r="M130" s="127">
        <v>64</v>
      </c>
      <c r="N130" s="127">
        <v>10</v>
      </c>
      <c r="O130" s="128">
        <v>10</v>
      </c>
      <c r="AE130" s="28" t="str">
        <f t="shared" si="30"/>
        <v>&lt;PrevisaoVAZAO Posto="70" MesReferencia="1"&gt; 12 12 10 10 10 12 260 16 56 64 10 10 &lt;/PrevisaoVAZAO&gt;</v>
      </c>
    </row>
    <row r="131" spans="2:31" x14ac:dyDescent="0.25">
      <c r="B131" s="125">
        <v>71</v>
      </c>
      <c r="C131" s="125" t="s">
        <v>193</v>
      </c>
      <c r="D131" s="126">
        <v>130</v>
      </c>
      <c r="E131" s="127">
        <v>146</v>
      </c>
      <c r="F131" s="127">
        <v>118</v>
      </c>
      <c r="G131" s="127">
        <v>73</v>
      </c>
      <c r="H131" s="127">
        <v>92</v>
      </c>
      <c r="I131" s="127">
        <v>127</v>
      </c>
      <c r="J131" s="127">
        <v>343</v>
      </c>
      <c r="K131" s="127">
        <v>94</v>
      </c>
      <c r="L131" s="127">
        <v>228</v>
      </c>
      <c r="M131" s="127">
        <v>179</v>
      </c>
      <c r="N131" s="127">
        <v>92</v>
      </c>
      <c r="O131" s="128">
        <v>57</v>
      </c>
      <c r="AE131" s="28" t="str">
        <f t="shared" si="30"/>
        <v>&lt;PrevisaoVAZAO Posto="71" MesReferencia="1"&gt; 130 146 118 73 92 127 343 94 228 179 92 57 &lt;/PrevisaoVAZAO&gt;</v>
      </c>
    </row>
    <row r="132" spans="2:31" x14ac:dyDescent="0.25">
      <c r="B132" s="125">
        <v>72</v>
      </c>
      <c r="C132" s="125" t="s">
        <v>194</v>
      </c>
      <c r="D132" s="126">
        <v>141</v>
      </c>
      <c r="E132" s="127">
        <v>154</v>
      </c>
      <c r="F132" s="127">
        <v>125</v>
      </c>
      <c r="G132" s="127">
        <v>78</v>
      </c>
      <c r="H132" s="127">
        <v>99</v>
      </c>
      <c r="I132" s="127">
        <v>139</v>
      </c>
      <c r="J132" s="127">
        <v>361</v>
      </c>
      <c r="K132" s="127">
        <v>103</v>
      </c>
      <c r="L132" s="127">
        <v>245</v>
      </c>
      <c r="M132" s="127">
        <v>192</v>
      </c>
      <c r="N132" s="127">
        <v>97</v>
      </c>
      <c r="O132" s="128">
        <v>61</v>
      </c>
      <c r="AE132" s="28" t="str">
        <f t="shared" si="30"/>
        <v>&lt;PrevisaoVAZAO Posto="72" MesReferencia="1"&gt; 141 154 125 78 99 139 361 103 245 192 97 61 &lt;/PrevisaoVAZAO&gt;</v>
      </c>
    </row>
    <row r="133" spans="2:31" x14ac:dyDescent="0.25">
      <c r="B133" s="125">
        <v>73</v>
      </c>
      <c r="C133" s="125" t="s">
        <v>192</v>
      </c>
      <c r="D133" s="126">
        <v>186</v>
      </c>
      <c r="E133" s="127">
        <v>185</v>
      </c>
      <c r="F133" s="127">
        <v>154</v>
      </c>
      <c r="G133" s="127">
        <v>99</v>
      </c>
      <c r="H133" s="127">
        <v>127</v>
      </c>
      <c r="I133" s="127">
        <v>185</v>
      </c>
      <c r="J133" s="127">
        <v>433</v>
      </c>
      <c r="K133" s="127">
        <v>139</v>
      </c>
      <c r="L133" s="127">
        <v>326</v>
      </c>
      <c r="M133" s="127">
        <v>237</v>
      </c>
      <c r="N133" s="127">
        <v>120</v>
      </c>
      <c r="O133" s="128">
        <v>77</v>
      </c>
      <c r="AE133" s="28" t="str">
        <f t="shared" si="30"/>
        <v>&lt;PrevisaoVAZAO Posto="73" MesReferencia="1"&gt; 186 185 154 99 127 185 433 139 326 237 120 77 &lt;/PrevisaoVAZAO&gt;</v>
      </c>
    </row>
    <row r="134" spans="2:31" x14ac:dyDescent="0.25">
      <c r="B134" s="125">
        <v>74</v>
      </c>
      <c r="C134" s="125" t="s">
        <v>195</v>
      </c>
      <c r="D134" s="126">
        <v>1031</v>
      </c>
      <c r="E134" s="127">
        <v>837</v>
      </c>
      <c r="F134" s="127">
        <v>639</v>
      </c>
      <c r="G134" s="127">
        <v>518</v>
      </c>
      <c r="H134" s="127">
        <v>475</v>
      </c>
      <c r="I134" s="127">
        <v>945</v>
      </c>
      <c r="J134" s="127">
        <v>1600</v>
      </c>
      <c r="K134" s="127">
        <v>593</v>
      </c>
      <c r="L134" s="127">
        <v>1312</v>
      </c>
      <c r="M134" s="127">
        <v>1088</v>
      </c>
      <c r="N134" s="127">
        <v>569</v>
      </c>
      <c r="O134" s="128">
        <v>592</v>
      </c>
      <c r="AE134" s="28" t="str">
        <f t="shared" si="30"/>
        <v>&lt;PrevisaoVAZAO Posto="74" MesReferencia="1"&gt; 1031 837 639 518 475 945 1600 593 1312 1088 569 592 &lt;/PrevisaoVAZAO&gt;</v>
      </c>
    </row>
    <row r="135" spans="2:31" x14ac:dyDescent="0.25">
      <c r="B135" s="125">
        <v>75</v>
      </c>
      <c r="C135" s="125" t="s">
        <v>196</v>
      </c>
      <c r="D135" s="126">
        <v>1448</v>
      </c>
      <c r="E135" s="127">
        <v>1162</v>
      </c>
      <c r="F135" s="127">
        <v>931</v>
      </c>
      <c r="G135" s="127">
        <v>723</v>
      </c>
      <c r="H135" s="127">
        <v>725</v>
      </c>
      <c r="I135" s="127">
        <v>1360</v>
      </c>
      <c r="J135" s="127">
        <v>2130</v>
      </c>
      <c r="K135" s="127">
        <v>904</v>
      </c>
      <c r="L135" s="127">
        <v>1941</v>
      </c>
      <c r="M135" s="127">
        <v>1528</v>
      </c>
      <c r="N135" s="127">
        <v>791</v>
      </c>
      <c r="O135" s="128">
        <v>726</v>
      </c>
      <c r="AE135" s="28" t="str">
        <f t="shared" si="30"/>
        <v>&lt;PrevisaoVAZAO Posto="75" MesReferencia="1"&gt; 1448 1162 931 723 725 1360 2130 904 1941 1528 791 726 &lt;/PrevisaoVAZAO&gt;</v>
      </c>
    </row>
    <row r="136" spans="2:31" x14ac:dyDescent="0.25">
      <c r="B136" s="125">
        <v>76</v>
      </c>
      <c r="C136" s="125" t="s">
        <v>196</v>
      </c>
      <c r="D136" s="126">
        <v>1274</v>
      </c>
      <c r="E136" s="127">
        <v>988</v>
      </c>
      <c r="F136" s="127">
        <v>787</v>
      </c>
      <c r="G136" s="127">
        <v>634</v>
      </c>
      <c r="H136" s="127">
        <v>608</v>
      </c>
      <c r="I136" s="127">
        <v>1186</v>
      </c>
      <c r="J136" s="127">
        <v>1956</v>
      </c>
      <c r="K136" s="127">
        <v>780</v>
      </c>
      <c r="L136" s="127">
        <v>1671</v>
      </c>
      <c r="M136" s="127">
        <v>1355</v>
      </c>
      <c r="N136" s="127">
        <v>681</v>
      </c>
      <c r="O136" s="128">
        <v>659</v>
      </c>
      <c r="AE136" s="28" t="str">
        <f t="shared" si="30"/>
        <v>&lt;PrevisaoVAZAO Posto="76" MesReferencia="1"&gt; 1274 988 787 634 608 1186 1956 780 1671 1355 681 659 &lt;/PrevisaoVAZAO&gt;</v>
      </c>
    </row>
    <row r="137" spans="2:31" x14ac:dyDescent="0.25">
      <c r="B137" s="125">
        <v>77</v>
      </c>
      <c r="C137" s="125" t="s">
        <v>197</v>
      </c>
      <c r="D137" s="126">
        <v>1690</v>
      </c>
      <c r="E137" s="127">
        <v>1294</v>
      </c>
      <c r="F137" s="127">
        <v>1074</v>
      </c>
      <c r="G137" s="127">
        <v>802</v>
      </c>
      <c r="H137" s="127">
        <v>812</v>
      </c>
      <c r="I137" s="127">
        <v>1532</v>
      </c>
      <c r="J137" s="127">
        <v>2837</v>
      </c>
      <c r="K137" s="127">
        <v>1021</v>
      </c>
      <c r="L137" s="127">
        <v>2252</v>
      </c>
      <c r="M137" s="127">
        <v>1905</v>
      </c>
      <c r="N137" s="127">
        <v>908</v>
      </c>
      <c r="O137" s="128">
        <v>780</v>
      </c>
      <c r="AE137" s="28" t="str">
        <f t="shared" si="30"/>
        <v>&lt;PrevisaoVAZAO Posto="77" MesReferencia="1"&gt; 1690 1294 1074 802 812 1532 2837 1021 2252 1905 908 780 &lt;/PrevisaoVAZAO&gt;</v>
      </c>
    </row>
    <row r="138" spans="2:31" x14ac:dyDescent="0.25">
      <c r="B138" s="125">
        <v>78</v>
      </c>
      <c r="C138" s="125" t="s">
        <v>198</v>
      </c>
      <c r="D138" s="126">
        <v>1786</v>
      </c>
      <c r="E138" s="127">
        <v>1337</v>
      </c>
      <c r="F138" s="127">
        <v>1129</v>
      </c>
      <c r="G138" s="127">
        <v>836</v>
      </c>
      <c r="H138" s="127">
        <v>834</v>
      </c>
      <c r="I138" s="127">
        <v>1600</v>
      </c>
      <c r="J138" s="127">
        <v>3006</v>
      </c>
      <c r="K138" s="127">
        <v>1066</v>
      </c>
      <c r="L138" s="127">
        <v>2286</v>
      </c>
      <c r="M138" s="127">
        <v>2070</v>
      </c>
      <c r="N138" s="127">
        <v>949</v>
      </c>
      <c r="O138" s="128">
        <v>790</v>
      </c>
      <c r="AE138" s="28" t="str">
        <f t="shared" si="30"/>
        <v>&lt;PrevisaoVAZAO Posto="78" MesReferencia="1"&gt; 1786 1337 1129 836 834 1600 3006 1066 2286 2070 949 790 &lt;/PrevisaoVAZAO&gt;</v>
      </c>
    </row>
    <row r="139" spans="2:31" x14ac:dyDescent="0.25">
      <c r="B139" s="125">
        <v>80</v>
      </c>
      <c r="C139" s="125" t="s">
        <v>199</v>
      </c>
      <c r="D139" s="126">
        <v>123</v>
      </c>
      <c r="E139" s="127">
        <v>74</v>
      </c>
      <c r="F139" s="127">
        <v>76</v>
      </c>
      <c r="G139" s="127">
        <v>35</v>
      </c>
      <c r="H139" s="127">
        <v>49</v>
      </c>
      <c r="I139" s="127">
        <v>90</v>
      </c>
      <c r="J139" s="127">
        <v>260</v>
      </c>
      <c r="K139" s="127">
        <v>37</v>
      </c>
      <c r="L139" s="127">
        <v>116</v>
      </c>
      <c r="M139" s="127">
        <v>156</v>
      </c>
      <c r="N139" s="127">
        <v>63</v>
      </c>
      <c r="O139" s="128">
        <v>33</v>
      </c>
      <c r="AE139" s="28" t="str">
        <f t="shared" si="30"/>
        <v>&lt;PrevisaoVAZAO Posto="80" MesReferencia="1"&gt; 123 74 76 35 49 90 260 37 116 156 63 33 &lt;/PrevisaoVAZAO&gt;</v>
      </c>
    </row>
    <row r="140" spans="2:31" x14ac:dyDescent="0.25">
      <c r="B140" s="125">
        <v>81</v>
      </c>
      <c r="C140" s="125" t="s">
        <v>200</v>
      </c>
      <c r="D140" s="126">
        <v>2509</v>
      </c>
      <c r="E140" s="127">
        <v>1790</v>
      </c>
      <c r="F140" s="127">
        <v>1576</v>
      </c>
      <c r="G140" s="127">
        <v>1066</v>
      </c>
      <c r="H140" s="127">
        <v>1130</v>
      </c>
      <c r="I140" s="127">
        <v>2153</v>
      </c>
      <c r="J140" s="127">
        <v>4467</v>
      </c>
      <c r="K140" s="127">
        <v>1422</v>
      </c>
      <c r="L140" s="127">
        <v>3318</v>
      </c>
      <c r="M140" s="127">
        <v>2967</v>
      </c>
      <c r="N140" s="127">
        <v>1320</v>
      </c>
      <c r="O140" s="128">
        <v>882</v>
      </c>
      <c r="AE140" s="28" t="str">
        <f t="shared" si="30"/>
        <v>&lt;PrevisaoVAZAO Posto="81" MesReferencia="1"&gt; 2509 1790 1576 1066 1130 2153 4467 1422 3318 2967 1320 882 &lt;/PrevisaoVAZAO&gt;</v>
      </c>
    </row>
    <row r="141" spans="2:31" x14ac:dyDescent="0.25">
      <c r="B141" s="125">
        <v>83</v>
      </c>
      <c r="C141" s="125" t="s">
        <v>201</v>
      </c>
      <c r="D141" s="126">
        <v>132</v>
      </c>
      <c r="E141" s="127">
        <v>79</v>
      </c>
      <c r="F141" s="127">
        <v>81</v>
      </c>
      <c r="G141" s="127">
        <v>37</v>
      </c>
      <c r="H141" s="127">
        <v>52</v>
      </c>
      <c r="I141" s="127">
        <v>97</v>
      </c>
      <c r="J141" s="127">
        <v>278</v>
      </c>
      <c r="K141" s="127">
        <v>39</v>
      </c>
      <c r="L141" s="127">
        <v>124</v>
      </c>
      <c r="M141" s="127">
        <v>166</v>
      </c>
      <c r="N141" s="127">
        <v>67</v>
      </c>
      <c r="O141" s="128">
        <v>35</v>
      </c>
      <c r="AE141" s="28" t="str">
        <f t="shared" si="30"/>
        <v>&lt;PrevisaoVAZAO Posto="83" MesReferencia="1"&gt; 132 79 81 37 52 97 278 39 124 166 67 35 &lt;/PrevisaoVAZAO&gt;</v>
      </c>
    </row>
    <row r="142" spans="2:31" x14ac:dyDescent="0.25">
      <c r="B142" s="125">
        <v>85</v>
      </c>
      <c r="C142" s="125" t="s">
        <v>202</v>
      </c>
      <c r="D142" s="126">
        <v>186</v>
      </c>
      <c r="E142" s="127">
        <v>154</v>
      </c>
      <c r="F142" s="127">
        <v>108</v>
      </c>
      <c r="G142" s="127">
        <v>105</v>
      </c>
      <c r="H142" s="127">
        <v>82</v>
      </c>
      <c r="I142" s="127">
        <v>201</v>
      </c>
      <c r="J142" s="127">
        <v>497</v>
      </c>
      <c r="K142" s="127">
        <v>106</v>
      </c>
      <c r="L142" s="127">
        <v>244</v>
      </c>
      <c r="M142" s="127">
        <v>301</v>
      </c>
      <c r="N142" s="127">
        <v>109</v>
      </c>
      <c r="O142" s="128">
        <v>142</v>
      </c>
      <c r="AE142" s="28" t="str">
        <f t="shared" si="30"/>
        <v>&lt;PrevisaoVAZAO Posto="85" MesReferencia="1"&gt; 186 154 108 105 82 201 497 106 244 301 109 142 &lt;/PrevisaoVAZAO&gt;</v>
      </c>
    </row>
    <row r="143" spans="2:31" x14ac:dyDescent="0.25">
      <c r="B143" s="125">
        <v>88</v>
      </c>
      <c r="C143" s="125" t="s">
        <v>203</v>
      </c>
      <c r="D143" s="126">
        <v>485</v>
      </c>
      <c r="E143" s="127">
        <v>376</v>
      </c>
      <c r="F143" s="127">
        <v>168</v>
      </c>
      <c r="G143" s="127">
        <v>145</v>
      </c>
      <c r="H143" s="127">
        <v>100</v>
      </c>
      <c r="I143" s="127">
        <v>332</v>
      </c>
      <c r="J143" s="127">
        <v>748</v>
      </c>
      <c r="K143" s="127">
        <v>218</v>
      </c>
      <c r="L143" s="127">
        <v>390</v>
      </c>
      <c r="M143" s="127">
        <v>500</v>
      </c>
      <c r="N143" s="127">
        <v>269</v>
      </c>
      <c r="O143" s="128">
        <v>158</v>
      </c>
      <c r="AE143" s="28" t="str">
        <f t="shared" si="30"/>
        <v>&lt;PrevisaoVAZAO Posto="88" MesReferencia="1"&gt; 485 376 168 145 100 332 748 218 390 500 269 158 &lt;/PrevisaoVAZAO&gt;</v>
      </c>
    </row>
    <row r="144" spans="2:31" x14ac:dyDescent="0.25">
      <c r="B144" s="125">
        <v>89</v>
      </c>
      <c r="C144" s="125" t="s">
        <v>204</v>
      </c>
      <c r="D144" s="126">
        <v>562</v>
      </c>
      <c r="E144" s="127">
        <v>442</v>
      </c>
      <c r="F144" s="127">
        <v>197</v>
      </c>
      <c r="G144" s="127">
        <v>176</v>
      </c>
      <c r="H144" s="127">
        <v>125</v>
      </c>
      <c r="I144" s="127">
        <v>404</v>
      </c>
      <c r="J144" s="127">
        <v>868</v>
      </c>
      <c r="K144" s="127">
        <v>282</v>
      </c>
      <c r="L144" s="127">
        <v>484</v>
      </c>
      <c r="M144" s="127">
        <v>609</v>
      </c>
      <c r="N144" s="127">
        <v>326</v>
      </c>
      <c r="O144" s="128">
        <v>255</v>
      </c>
      <c r="AE144" s="28" t="str">
        <f t="shared" si="30"/>
        <v>&lt;PrevisaoVAZAO Posto="89" MesReferencia="1"&gt; 562 442 197 176 125 404 868 282 484 609 326 255 &lt;/PrevisaoVAZAO&gt;</v>
      </c>
    </row>
    <row r="145" spans="2:31" x14ac:dyDescent="0.25">
      <c r="B145" s="125">
        <v>92</v>
      </c>
      <c r="C145" s="125" t="s">
        <v>205</v>
      </c>
      <c r="D145" s="126">
        <v>1933</v>
      </c>
      <c r="E145" s="127">
        <v>1340</v>
      </c>
      <c r="F145" s="127">
        <v>703</v>
      </c>
      <c r="G145" s="127">
        <v>667</v>
      </c>
      <c r="H145" s="127">
        <v>531</v>
      </c>
      <c r="I145" s="127">
        <v>1454</v>
      </c>
      <c r="J145" s="127">
        <v>3547</v>
      </c>
      <c r="K145" s="127">
        <v>1214</v>
      </c>
      <c r="L145" s="127">
        <v>2280</v>
      </c>
      <c r="M145" s="127">
        <v>2108</v>
      </c>
      <c r="N145" s="127">
        <v>947</v>
      </c>
      <c r="O145" s="128">
        <v>862</v>
      </c>
      <c r="AE145" s="28" t="str">
        <f t="shared" si="30"/>
        <v>&lt;PrevisaoVAZAO Posto="92" MesReferencia="1"&gt; 1933 1340 703 667 531 1454 3547 1214 2280 2108 947 862 &lt;/PrevisaoVAZAO&gt;</v>
      </c>
    </row>
    <row r="146" spans="2:31" x14ac:dyDescent="0.25">
      <c r="B146" s="125">
        <v>93</v>
      </c>
      <c r="C146" s="125" t="s">
        <v>206</v>
      </c>
      <c r="D146" s="126">
        <v>112</v>
      </c>
      <c r="E146" s="127">
        <v>52</v>
      </c>
      <c r="F146" s="127">
        <v>22</v>
      </c>
      <c r="G146" s="127">
        <v>31</v>
      </c>
      <c r="H146" s="127">
        <v>36</v>
      </c>
      <c r="I146" s="127">
        <v>61</v>
      </c>
      <c r="J146" s="127">
        <v>210</v>
      </c>
      <c r="K146" s="127">
        <v>83</v>
      </c>
      <c r="L146" s="127">
        <v>122</v>
      </c>
      <c r="M146" s="127">
        <v>77</v>
      </c>
      <c r="N146" s="127">
        <v>41</v>
      </c>
      <c r="O146" s="128">
        <v>31</v>
      </c>
      <c r="AE146" s="28" t="str">
        <f t="shared" si="30"/>
        <v>&lt;PrevisaoVAZAO Posto="93" MesReferencia="1"&gt; 112 52 22 31 36 61 210 83 122 77 41 31 &lt;/PrevisaoVAZAO&gt;</v>
      </c>
    </row>
    <row r="147" spans="2:31" x14ac:dyDescent="0.25">
      <c r="B147" s="125">
        <v>94</v>
      </c>
      <c r="C147" s="125" t="s">
        <v>207</v>
      </c>
      <c r="D147" s="126">
        <v>2620</v>
      </c>
      <c r="E147" s="127">
        <v>1654</v>
      </c>
      <c r="F147" s="127">
        <v>858</v>
      </c>
      <c r="G147" s="127">
        <v>812</v>
      </c>
      <c r="H147" s="127">
        <v>695</v>
      </c>
      <c r="I147" s="127">
        <v>1839</v>
      </c>
      <c r="J147" s="127">
        <v>4741</v>
      </c>
      <c r="K147" s="127">
        <v>1585</v>
      </c>
      <c r="L147" s="127">
        <v>2874</v>
      </c>
      <c r="M147" s="127">
        <v>2823</v>
      </c>
      <c r="N147" s="127">
        <v>1201</v>
      </c>
      <c r="O147" s="128">
        <v>968</v>
      </c>
      <c r="AE147" s="28" t="str">
        <f t="shared" si="30"/>
        <v>&lt;PrevisaoVAZAO Posto="94" MesReferencia="1"&gt; 2620 1654 858 812 695 1839 4741 1585 2874 2823 1201 968 &lt;/PrevisaoVAZAO&gt;</v>
      </c>
    </row>
    <row r="148" spans="2:31" x14ac:dyDescent="0.25">
      <c r="B148" s="125">
        <v>97</v>
      </c>
      <c r="C148" s="125" t="s">
        <v>208</v>
      </c>
      <c r="D148" s="126">
        <v>240</v>
      </c>
      <c r="E148" s="127">
        <v>217</v>
      </c>
      <c r="F148" s="127">
        <v>124</v>
      </c>
      <c r="G148" s="127">
        <v>184</v>
      </c>
      <c r="H148" s="127">
        <v>226</v>
      </c>
      <c r="I148" s="127">
        <v>512</v>
      </c>
      <c r="J148" s="127">
        <v>992</v>
      </c>
      <c r="K148" s="127">
        <v>342</v>
      </c>
      <c r="L148" s="127">
        <v>719</v>
      </c>
      <c r="M148" s="127">
        <v>599</v>
      </c>
      <c r="N148" s="127">
        <v>186</v>
      </c>
      <c r="O148" s="128">
        <v>185</v>
      </c>
      <c r="AE148" s="28" t="str">
        <f t="shared" si="30"/>
        <v>&lt;PrevisaoVAZAO Posto="97" MesReferencia="1"&gt; 240 217 124 184 226 512 992 342 719 599 186 185 &lt;/PrevisaoVAZAO&gt;</v>
      </c>
    </row>
    <row r="149" spans="2:31" x14ac:dyDescent="0.25">
      <c r="B149" s="125">
        <v>98</v>
      </c>
      <c r="C149" s="125" t="s">
        <v>209</v>
      </c>
      <c r="D149" s="126">
        <v>142</v>
      </c>
      <c r="E149" s="127">
        <v>149</v>
      </c>
      <c r="F149" s="127">
        <v>86</v>
      </c>
      <c r="G149" s="127">
        <v>100</v>
      </c>
      <c r="H149" s="127">
        <v>146</v>
      </c>
      <c r="I149" s="127">
        <v>325</v>
      </c>
      <c r="J149" s="127">
        <v>643</v>
      </c>
      <c r="K149" s="127">
        <v>204</v>
      </c>
      <c r="L149" s="127">
        <v>412</v>
      </c>
      <c r="M149" s="127">
        <v>352</v>
      </c>
      <c r="N149" s="127">
        <v>104</v>
      </c>
      <c r="O149" s="128">
        <v>92</v>
      </c>
      <c r="AE149" s="28" t="str">
        <f t="shared" ref="AE149:AE212" si="31">IF(B149="","",CONCATENATE("&lt;PrevisaoVAZAO Posto=""",B149,""" MesReferencia=""1""&gt; ",D149," ",E149," ",F149," ",G149," ",H149," ",I149," ",J149," ",K149," ",L149," ",M149," ",N149," ",O149," &lt;/PrevisaoVAZAO&gt;"))</f>
        <v>&lt;PrevisaoVAZAO Posto="98" MesReferencia="1"&gt; 142 149 86 100 146 325 643 204 412 352 104 92 &lt;/PrevisaoVAZAO&gt;</v>
      </c>
    </row>
    <row r="150" spans="2:31" x14ac:dyDescent="0.25">
      <c r="B150" s="125">
        <v>99</v>
      </c>
      <c r="C150" s="125" t="s">
        <v>210</v>
      </c>
      <c r="D150" s="126">
        <v>70</v>
      </c>
      <c r="E150" s="127">
        <v>79</v>
      </c>
      <c r="F150" s="127">
        <v>92</v>
      </c>
      <c r="G150" s="127">
        <v>92</v>
      </c>
      <c r="H150" s="127">
        <v>85</v>
      </c>
      <c r="I150" s="127">
        <v>73</v>
      </c>
      <c r="J150" s="127">
        <v>68</v>
      </c>
      <c r="K150" s="127">
        <v>62</v>
      </c>
      <c r="L150" s="127">
        <v>57</v>
      </c>
      <c r="M150" s="127">
        <v>50</v>
      </c>
      <c r="N150" s="127">
        <v>69</v>
      </c>
      <c r="O150" s="128">
        <v>100</v>
      </c>
      <c r="AE150" s="28" t="str">
        <f t="shared" si="31"/>
        <v>&lt;PrevisaoVAZAO Posto="99" MesReferencia="1"&gt; 70 79 92 92 85 73 68 62 57 50 69 100 &lt;/PrevisaoVAZAO&gt;</v>
      </c>
    </row>
    <row r="151" spans="2:31" x14ac:dyDescent="0.25">
      <c r="B151" s="125">
        <v>100</v>
      </c>
      <c r="C151" s="125" t="s">
        <v>211</v>
      </c>
      <c r="D151" s="126">
        <v>5</v>
      </c>
      <c r="E151" s="127">
        <v>6</v>
      </c>
      <c r="F151" s="127">
        <v>6</v>
      </c>
      <c r="G151" s="127">
        <v>5</v>
      </c>
      <c r="H151" s="127">
        <v>4</v>
      </c>
      <c r="I151" s="127">
        <v>4</v>
      </c>
      <c r="J151" s="127">
        <v>4</v>
      </c>
      <c r="K151" s="127">
        <v>3</v>
      </c>
      <c r="L151" s="127">
        <v>4</v>
      </c>
      <c r="M151" s="127">
        <v>5</v>
      </c>
      <c r="N151" s="127">
        <v>5</v>
      </c>
      <c r="O151" s="128">
        <v>5</v>
      </c>
      <c r="AE151" s="28" t="str">
        <f t="shared" si="31"/>
        <v>&lt;PrevisaoVAZAO Posto="100" MesReferencia="1"&gt; 5 6 6 5 4 4 4 3 4 5 5 5 &lt;/PrevisaoVAZAO&gt;</v>
      </c>
    </row>
    <row r="152" spans="2:31" x14ac:dyDescent="0.25">
      <c r="B152" s="125">
        <v>101</v>
      </c>
      <c r="C152" s="125" t="s">
        <v>212</v>
      </c>
      <c r="D152" s="126">
        <v>187</v>
      </c>
      <c r="E152" s="127">
        <v>163</v>
      </c>
      <c r="F152" s="127">
        <v>84</v>
      </c>
      <c r="G152" s="127">
        <v>70</v>
      </c>
      <c r="H152" s="127">
        <v>72</v>
      </c>
      <c r="I152" s="127">
        <v>146</v>
      </c>
      <c r="J152" s="127">
        <v>224</v>
      </c>
      <c r="K152" s="127">
        <v>125</v>
      </c>
      <c r="L152" s="127">
        <v>203</v>
      </c>
      <c r="M152" s="127">
        <v>225</v>
      </c>
      <c r="N152" s="127">
        <v>94</v>
      </c>
      <c r="O152" s="128">
        <v>107</v>
      </c>
      <c r="AE152" s="28" t="str">
        <f t="shared" si="31"/>
        <v>&lt;PrevisaoVAZAO Posto="101" MesReferencia="1"&gt; 187 163 84 70 72 146 224 125 203 225 94 107 &lt;/PrevisaoVAZAO&gt;</v>
      </c>
    </row>
    <row r="153" spans="2:31" x14ac:dyDescent="0.25">
      <c r="B153" s="125">
        <v>102</v>
      </c>
      <c r="C153" s="125" t="s">
        <v>213</v>
      </c>
      <c r="D153" s="126">
        <v>563</v>
      </c>
      <c r="E153" s="127">
        <v>282</v>
      </c>
      <c r="F153" s="127">
        <v>148</v>
      </c>
      <c r="G153" s="127">
        <v>237</v>
      </c>
      <c r="H153" s="127">
        <v>270</v>
      </c>
      <c r="I153" s="127">
        <v>451</v>
      </c>
      <c r="J153" s="127">
        <v>754</v>
      </c>
      <c r="K153" s="127">
        <v>407</v>
      </c>
      <c r="L153" s="127">
        <v>740</v>
      </c>
      <c r="M153" s="127">
        <v>656</v>
      </c>
      <c r="N153" s="127">
        <v>357</v>
      </c>
      <c r="O153" s="128">
        <v>253</v>
      </c>
      <c r="AE153" s="28" t="str">
        <f t="shared" si="31"/>
        <v>&lt;PrevisaoVAZAO Posto="102" MesReferencia="1"&gt; 563 282 148 237 270 451 754 407 740 656 357 253 &lt;/PrevisaoVAZAO&gt;</v>
      </c>
    </row>
    <row r="154" spans="2:31" x14ac:dyDescent="0.25">
      <c r="B154" s="125">
        <v>103</v>
      </c>
      <c r="C154" s="125" t="s">
        <v>214</v>
      </c>
      <c r="D154" s="126">
        <v>588</v>
      </c>
      <c r="E154" s="127">
        <v>293</v>
      </c>
      <c r="F154" s="127">
        <v>155</v>
      </c>
      <c r="G154" s="127">
        <v>245</v>
      </c>
      <c r="H154" s="127">
        <v>276</v>
      </c>
      <c r="I154" s="127">
        <v>464</v>
      </c>
      <c r="J154" s="127">
        <v>787</v>
      </c>
      <c r="K154" s="127">
        <v>424</v>
      </c>
      <c r="L154" s="127">
        <v>743</v>
      </c>
      <c r="M154" s="127">
        <v>691</v>
      </c>
      <c r="N154" s="127">
        <v>374</v>
      </c>
      <c r="O154" s="128">
        <v>257</v>
      </c>
      <c r="AE154" s="28" t="str">
        <f t="shared" si="31"/>
        <v>&lt;PrevisaoVAZAO Posto="103" MesReferencia="1"&gt; 588 293 155 245 276 464 787 424 743 691 374 257 &lt;/PrevisaoVAZAO&gt;</v>
      </c>
    </row>
    <row r="155" spans="2:31" x14ac:dyDescent="0.25">
      <c r="B155" s="125">
        <v>104</v>
      </c>
      <c r="C155" s="125" t="s">
        <v>215</v>
      </c>
      <c r="D155" s="126">
        <v>37</v>
      </c>
      <c r="E155" s="127">
        <v>62</v>
      </c>
      <c r="F155" s="127">
        <v>64</v>
      </c>
      <c r="G155" s="127">
        <v>34</v>
      </c>
      <c r="H155" s="127">
        <v>40</v>
      </c>
      <c r="I155" s="127">
        <v>34</v>
      </c>
      <c r="J155" s="127">
        <v>37</v>
      </c>
      <c r="K155" s="127">
        <v>30</v>
      </c>
      <c r="L155" s="127">
        <v>34</v>
      </c>
      <c r="M155" s="127">
        <v>25</v>
      </c>
      <c r="N155" s="127">
        <v>29</v>
      </c>
      <c r="O155" s="128">
        <v>53</v>
      </c>
      <c r="AE155" s="28" t="str">
        <f t="shared" si="31"/>
        <v>&lt;PrevisaoVAZAO Posto="104" MesReferencia="1"&gt; 37 62 64 34 40 34 37 30 34 25 29 53 &lt;/PrevisaoVAZAO&gt;</v>
      </c>
    </row>
    <row r="156" spans="2:31" x14ac:dyDescent="0.25">
      <c r="B156" s="125">
        <v>109</v>
      </c>
      <c r="C156" s="125" t="s">
        <v>216</v>
      </c>
      <c r="D156" s="126">
        <v>20</v>
      </c>
      <c r="E156" s="127">
        <v>33</v>
      </c>
      <c r="F156" s="127">
        <v>29</v>
      </c>
      <c r="G156" s="127">
        <v>16</v>
      </c>
      <c r="H156" s="127">
        <v>20</v>
      </c>
      <c r="I156" s="127">
        <v>17</v>
      </c>
      <c r="J156" s="127">
        <v>17</v>
      </c>
      <c r="K156" s="127">
        <v>13</v>
      </c>
      <c r="L156" s="127">
        <v>16</v>
      </c>
      <c r="M156" s="127">
        <v>11</v>
      </c>
      <c r="N156" s="127">
        <v>12</v>
      </c>
      <c r="O156" s="128">
        <v>28</v>
      </c>
      <c r="AE156" s="28" t="str">
        <f t="shared" si="31"/>
        <v>&lt;PrevisaoVAZAO Posto="109" MesReferencia="1"&gt; 20 33 29 16 20 17 17 13 16 11 12 28 &lt;/PrevisaoVAZAO&gt;</v>
      </c>
    </row>
    <row r="157" spans="2:31" x14ac:dyDescent="0.25">
      <c r="B157" s="125">
        <v>110</v>
      </c>
      <c r="C157" s="125" t="s">
        <v>217</v>
      </c>
      <c r="D157" s="126">
        <v>70</v>
      </c>
      <c r="E157" s="127">
        <v>44</v>
      </c>
      <c r="F157" s="127">
        <v>23</v>
      </c>
      <c r="G157" s="127">
        <v>49</v>
      </c>
      <c r="H157" s="127">
        <v>46</v>
      </c>
      <c r="I157" s="127">
        <v>64</v>
      </c>
      <c r="J157" s="127">
        <v>113</v>
      </c>
      <c r="K157" s="127">
        <v>53</v>
      </c>
      <c r="L157" s="127">
        <v>115</v>
      </c>
      <c r="M157" s="127">
        <v>85</v>
      </c>
      <c r="N157" s="127">
        <v>47</v>
      </c>
      <c r="O157" s="128">
        <v>49</v>
      </c>
      <c r="AE157" s="28" t="str">
        <f t="shared" si="31"/>
        <v>&lt;PrevisaoVAZAO Posto="110" MesReferencia="1"&gt; 70 44 23 49 46 64 113 53 115 85 47 49 &lt;/PrevisaoVAZAO&gt;</v>
      </c>
    </row>
    <row r="158" spans="2:31" x14ac:dyDescent="0.25">
      <c r="B158" s="125">
        <v>111</v>
      </c>
      <c r="C158" s="125" t="s">
        <v>218</v>
      </c>
      <c r="D158" s="126">
        <v>322</v>
      </c>
      <c r="E158" s="127">
        <v>209</v>
      </c>
      <c r="F158" s="127">
        <v>108</v>
      </c>
      <c r="G158" s="127">
        <v>227</v>
      </c>
      <c r="H158" s="127">
        <v>222</v>
      </c>
      <c r="I158" s="127">
        <v>388</v>
      </c>
      <c r="J158" s="127">
        <v>699</v>
      </c>
      <c r="K158" s="127">
        <v>437</v>
      </c>
      <c r="L158" s="127">
        <v>660</v>
      </c>
      <c r="M158" s="127">
        <v>563</v>
      </c>
      <c r="N158" s="127">
        <v>239</v>
      </c>
      <c r="O158" s="128">
        <v>190</v>
      </c>
      <c r="AE158" s="28" t="str">
        <f t="shared" si="31"/>
        <v>&lt;PrevisaoVAZAO Posto="111" MesReferencia="1"&gt; 322 209 108 227 222 388 699 437 660 563 239 190 &lt;/PrevisaoVAZAO&gt;</v>
      </c>
    </row>
    <row r="159" spans="2:31" x14ac:dyDescent="0.25">
      <c r="B159" s="125">
        <v>112</v>
      </c>
      <c r="C159" s="125" t="s">
        <v>219</v>
      </c>
      <c r="D159" s="126">
        <v>327</v>
      </c>
      <c r="E159" s="127">
        <v>212</v>
      </c>
      <c r="F159" s="127">
        <v>110</v>
      </c>
      <c r="G159" s="127">
        <v>229</v>
      </c>
      <c r="H159" s="127">
        <v>224</v>
      </c>
      <c r="I159" s="127">
        <v>393</v>
      </c>
      <c r="J159" s="127">
        <v>707</v>
      </c>
      <c r="K159" s="127">
        <v>440</v>
      </c>
      <c r="L159" s="127">
        <v>668</v>
      </c>
      <c r="M159" s="127">
        <v>571</v>
      </c>
      <c r="N159" s="127">
        <v>242</v>
      </c>
      <c r="O159" s="128">
        <v>194</v>
      </c>
      <c r="AE159" s="28" t="str">
        <f t="shared" si="31"/>
        <v>&lt;PrevisaoVAZAO Posto="112" MesReferencia="1"&gt; 327 212 110 229 224 393 707 440 668 571 242 194 &lt;/PrevisaoVAZAO&gt;</v>
      </c>
    </row>
    <row r="160" spans="2:31" x14ac:dyDescent="0.25">
      <c r="B160" s="125">
        <v>113</v>
      </c>
      <c r="C160" s="125" t="s">
        <v>220</v>
      </c>
      <c r="D160" s="126">
        <v>458</v>
      </c>
      <c r="E160" s="127">
        <v>275</v>
      </c>
      <c r="F160" s="127">
        <v>135</v>
      </c>
      <c r="G160" s="127">
        <v>297</v>
      </c>
      <c r="H160" s="127">
        <v>270</v>
      </c>
      <c r="I160" s="127">
        <v>524</v>
      </c>
      <c r="J160" s="127">
        <v>891</v>
      </c>
      <c r="K160" s="127">
        <v>521</v>
      </c>
      <c r="L160" s="127">
        <v>899</v>
      </c>
      <c r="M160" s="127">
        <v>717</v>
      </c>
      <c r="N160" s="127">
        <v>310</v>
      </c>
      <c r="O160" s="128">
        <v>308</v>
      </c>
      <c r="AE160" s="28" t="str">
        <f t="shared" si="31"/>
        <v>&lt;PrevisaoVAZAO Posto="113" MesReferencia="1"&gt; 458 275 135 297 270 524 891 521 899 717 310 308 &lt;/PrevisaoVAZAO&gt;</v>
      </c>
    </row>
    <row r="161" spans="2:31" x14ac:dyDescent="0.25">
      <c r="B161" s="125">
        <v>114</v>
      </c>
      <c r="C161" s="125" t="s">
        <v>221</v>
      </c>
      <c r="D161" s="126">
        <v>602</v>
      </c>
      <c r="E161" s="127">
        <v>344</v>
      </c>
      <c r="F161" s="127">
        <v>164</v>
      </c>
      <c r="G161" s="127">
        <v>373</v>
      </c>
      <c r="H161" s="127">
        <v>321</v>
      </c>
      <c r="I161" s="127">
        <v>673</v>
      </c>
      <c r="J161" s="127">
        <v>1094</v>
      </c>
      <c r="K161" s="127">
        <v>610</v>
      </c>
      <c r="L161" s="127">
        <v>1170</v>
      </c>
      <c r="M161" s="127">
        <v>871</v>
      </c>
      <c r="N161" s="127">
        <v>385</v>
      </c>
      <c r="O161" s="128">
        <v>435</v>
      </c>
      <c r="AE161" s="28" t="str">
        <f t="shared" si="31"/>
        <v>&lt;PrevisaoVAZAO Posto="114" MesReferencia="1"&gt; 602 344 164 373 321 673 1094 610 1170 871 385 435 &lt;/PrevisaoVAZAO&gt;</v>
      </c>
    </row>
    <row r="162" spans="2:31" x14ac:dyDescent="0.25">
      <c r="B162" s="125">
        <v>115</v>
      </c>
      <c r="C162" s="125" t="s">
        <v>222</v>
      </c>
      <c r="D162" s="126">
        <v>26</v>
      </c>
      <c r="E162" s="127">
        <v>31</v>
      </c>
      <c r="F162" s="127">
        <v>27</v>
      </c>
      <c r="G162" s="127">
        <v>20</v>
      </c>
      <c r="H162" s="127">
        <v>21</v>
      </c>
      <c r="I162" s="127">
        <v>17</v>
      </c>
      <c r="J162" s="127">
        <v>20</v>
      </c>
      <c r="K162" s="127">
        <v>27</v>
      </c>
      <c r="L162" s="127">
        <v>36</v>
      </c>
      <c r="M162" s="127">
        <v>21</v>
      </c>
      <c r="N162" s="127">
        <v>19</v>
      </c>
      <c r="O162" s="128">
        <v>24</v>
      </c>
      <c r="AE162" s="28" t="str">
        <f t="shared" si="31"/>
        <v>&lt;PrevisaoVAZAO Posto="115" MesReferencia="1"&gt; 26 31 27 20 21 17 20 27 36 21 19 24 &lt;/PrevisaoVAZAO&gt;</v>
      </c>
    </row>
    <row r="163" spans="2:31" x14ac:dyDescent="0.25">
      <c r="B163" s="125">
        <v>116</v>
      </c>
      <c r="C163" s="125" t="s">
        <v>223</v>
      </c>
      <c r="D163" s="126">
        <v>4</v>
      </c>
      <c r="E163" s="127">
        <v>8</v>
      </c>
      <c r="F163" s="127">
        <v>7</v>
      </c>
      <c r="G163" s="127">
        <v>3</v>
      </c>
      <c r="H163" s="127">
        <v>4</v>
      </c>
      <c r="I163" s="127">
        <v>4</v>
      </c>
      <c r="J163" s="127">
        <v>4</v>
      </c>
      <c r="K163" s="127">
        <v>3</v>
      </c>
      <c r="L163" s="127">
        <v>3</v>
      </c>
      <c r="M163" s="127">
        <v>2</v>
      </c>
      <c r="N163" s="127">
        <v>2</v>
      </c>
      <c r="O163" s="128">
        <v>6</v>
      </c>
      <c r="AE163" s="28" t="str">
        <f t="shared" si="31"/>
        <v>&lt;PrevisaoVAZAO Posto="116" MesReferencia="1"&gt; 4 8 7 3 4 4 4 3 3 2 2 6 &lt;/PrevisaoVAZAO&gt;</v>
      </c>
    </row>
    <row r="164" spans="2:31" x14ac:dyDescent="0.25">
      <c r="B164" s="125">
        <v>117</v>
      </c>
      <c r="C164" s="125" t="s">
        <v>224</v>
      </c>
      <c r="D164" s="126">
        <v>17</v>
      </c>
      <c r="E164" s="127">
        <v>29</v>
      </c>
      <c r="F164" s="127">
        <v>35</v>
      </c>
      <c r="G164" s="127">
        <v>18</v>
      </c>
      <c r="H164" s="127">
        <v>20</v>
      </c>
      <c r="I164" s="127">
        <v>17</v>
      </c>
      <c r="J164" s="127">
        <v>20</v>
      </c>
      <c r="K164" s="127">
        <v>17</v>
      </c>
      <c r="L164" s="127">
        <v>18</v>
      </c>
      <c r="M164" s="127">
        <v>14</v>
      </c>
      <c r="N164" s="127">
        <v>17</v>
      </c>
      <c r="O164" s="128">
        <v>25</v>
      </c>
      <c r="AE164" s="28" t="str">
        <f t="shared" si="31"/>
        <v>&lt;PrevisaoVAZAO Posto="117" MesReferencia="1"&gt; 17 29 35 18 20 17 20 17 18 14 17 25 &lt;/PrevisaoVAZAO&gt;</v>
      </c>
    </row>
    <row r="165" spans="2:31" x14ac:dyDescent="0.25">
      <c r="B165" s="125">
        <v>118</v>
      </c>
      <c r="C165" s="125" t="s">
        <v>225</v>
      </c>
      <c r="D165" s="126">
        <v>20</v>
      </c>
      <c r="E165" s="127">
        <v>33</v>
      </c>
      <c r="F165" s="127">
        <v>29</v>
      </c>
      <c r="G165" s="127">
        <v>16</v>
      </c>
      <c r="H165" s="127">
        <v>20</v>
      </c>
      <c r="I165" s="127">
        <v>17</v>
      </c>
      <c r="J165" s="127">
        <v>17</v>
      </c>
      <c r="K165" s="127">
        <v>13</v>
      </c>
      <c r="L165" s="127">
        <v>16</v>
      </c>
      <c r="M165" s="127">
        <v>11</v>
      </c>
      <c r="N165" s="127">
        <v>12</v>
      </c>
      <c r="O165" s="128">
        <v>28</v>
      </c>
      <c r="AE165" s="28" t="str">
        <f t="shared" si="31"/>
        <v>&lt;PrevisaoVAZAO Posto="118" MesReferencia="1"&gt; 20 33 29 16 20 17 17 13 16 11 12 28 &lt;/PrevisaoVAZAO&gt;</v>
      </c>
    </row>
    <row r="166" spans="2:31" x14ac:dyDescent="0.25">
      <c r="B166" s="125">
        <v>119</v>
      </c>
      <c r="C166" s="125" t="s">
        <v>225</v>
      </c>
      <c r="D166" s="126">
        <v>24</v>
      </c>
      <c r="E166" s="127">
        <v>41</v>
      </c>
      <c r="F166" s="127">
        <v>36</v>
      </c>
      <c r="G166" s="127">
        <v>19</v>
      </c>
      <c r="H166" s="127">
        <v>24</v>
      </c>
      <c r="I166" s="127">
        <v>21</v>
      </c>
      <c r="J166" s="127">
        <v>21</v>
      </c>
      <c r="K166" s="127">
        <v>17</v>
      </c>
      <c r="L166" s="127">
        <v>20</v>
      </c>
      <c r="M166" s="127">
        <v>13</v>
      </c>
      <c r="N166" s="127">
        <v>14</v>
      </c>
      <c r="O166" s="128">
        <v>34</v>
      </c>
      <c r="AE166" s="28" t="str">
        <f t="shared" si="31"/>
        <v>&lt;PrevisaoVAZAO Posto="119" MesReferencia="1"&gt; 24 41 36 19 24 21 21 17 20 13 14 34 &lt;/PrevisaoVAZAO&gt;</v>
      </c>
    </row>
    <row r="167" spans="2:31" x14ac:dyDescent="0.25">
      <c r="B167" s="125">
        <v>120</v>
      </c>
      <c r="C167" s="125" t="s">
        <v>226</v>
      </c>
      <c r="D167" s="126">
        <v>9</v>
      </c>
      <c r="E167" s="127">
        <v>34</v>
      </c>
      <c r="F167" s="127">
        <v>33</v>
      </c>
      <c r="G167" s="127">
        <v>15</v>
      </c>
      <c r="H167" s="127">
        <v>13</v>
      </c>
      <c r="I167" s="127">
        <v>13</v>
      </c>
      <c r="J167" s="127">
        <v>11</v>
      </c>
      <c r="K167" s="127">
        <v>9</v>
      </c>
      <c r="L167" s="127">
        <v>10</v>
      </c>
      <c r="M167" s="127">
        <v>5</v>
      </c>
      <c r="N167" s="127">
        <v>11</v>
      </c>
      <c r="O167" s="128">
        <v>14</v>
      </c>
      <c r="AE167" s="28" t="str">
        <f t="shared" si="31"/>
        <v>&lt;PrevisaoVAZAO Posto="120" MesReferencia="1"&gt; 9 34 33 15 13 13 11 9 10 5 11 14 &lt;/PrevisaoVAZAO&gt;</v>
      </c>
    </row>
    <row r="168" spans="2:31" x14ac:dyDescent="0.25">
      <c r="B168" s="125">
        <v>121</v>
      </c>
      <c r="C168" s="125" t="s">
        <v>227</v>
      </c>
      <c r="D168" s="126">
        <v>29</v>
      </c>
      <c r="E168" s="127">
        <v>74</v>
      </c>
      <c r="F168" s="127">
        <v>62</v>
      </c>
      <c r="G168" s="127">
        <v>44</v>
      </c>
      <c r="H168" s="127">
        <v>38</v>
      </c>
      <c r="I168" s="127">
        <v>39</v>
      </c>
      <c r="J168" s="127">
        <v>31</v>
      </c>
      <c r="K168" s="127">
        <v>29</v>
      </c>
      <c r="L168" s="127">
        <v>31</v>
      </c>
      <c r="M168" s="127">
        <v>22</v>
      </c>
      <c r="N168" s="127">
        <v>27</v>
      </c>
      <c r="O168" s="128">
        <v>33</v>
      </c>
      <c r="AE168" s="28" t="str">
        <f t="shared" si="31"/>
        <v>&lt;PrevisaoVAZAO Posto="121" MesReferencia="1"&gt; 29 74 62 44 38 39 31 29 31 22 27 33 &lt;/PrevisaoVAZAO&gt;</v>
      </c>
    </row>
    <row r="169" spans="2:31" x14ac:dyDescent="0.25">
      <c r="B169" s="125">
        <v>122</v>
      </c>
      <c r="C169" s="125" t="s">
        <v>228</v>
      </c>
      <c r="D169" s="126">
        <v>33</v>
      </c>
      <c r="E169" s="127">
        <v>85</v>
      </c>
      <c r="F169" s="127">
        <v>75</v>
      </c>
      <c r="G169" s="127">
        <v>52</v>
      </c>
      <c r="H169" s="127">
        <v>43</v>
      </c>
      <c r="I169" s="127">
        <v>43</v>
      </c>
      <c r="J169" s="127">
        <v>35</v>
      </c>
      <c r="K169" s="127">
        <v>32</v>
      </c>
      <c r="L169" s="127">
        <v>32</v>
      </c>
      <c r="M169" s="127">
        <v>24</v>
      </c>
      <c r="N169" s="127">
        <v>31</v>
      </c>
      <c r="O169" s="128">
        <v>38</v>
      </c>
      <c r="AE169" s="28" t="str">
        <f t="shared" si="31"/>
        <v>&lt;PrevisaoVAZAO Posto="122" MesReferencia="1"&gt; 33 85 75 52 43 43 35 32 32 24 31 38 &lt;/PrevisaoVAZAO&gt;</v>
      </c>
    </row>
    <row r="170" spans="2:31" x14ac:dyDescent="0.25">
      <c r="B170" s="125">
        <v>123</v>
      </c>
      <c r="C170" s="125" t="s">
        <v>229</v>
      </c>
      <c r="D170" s="126">
        <v>90</v>
      </c>
      <c r="E170" s="127">
        <v>234</v>
      </c>
      <c r="F170" s="127">
        <v>235</v>
      </c>
      <c r="G170" s="127">
        <v>145</v>
      </c>
      <c r="H170" s="127">
        <v>107</v>
      </c>
      <c r="I170" s="127">
        <v>101</v>
      </c>
      <c r="J170" s="127">
        <v>81</v>
      </c>
      <c r="K170" s="127">
        <v>68</v>
      </c>
      <c r="L170" s="127">
        <v>62</v>
      </c>
      <c r="M170" s="127">
        <v>44</v>
      </c>
      <c r="N170" s="127">
        <v>75</v>
      </c>
      <c r="O170" s="128">
        <v>105</v>
      </c>
      <c r="AE170" s="28" t="str">
        <f t="shared" si="31"/>
        <v>&lt;PrevisaoVAZAO Posto="123" MesReferencia="1"&gt; 90 234 235 145 107 101 81 68 62 44 75 105 &lt;/PrevisaoVAZAO&gt;</v>
      </c>
    </row>
    <row r="171" spans="2:31" x14ac:dyDescent="0.25">
      <c r="B171" s="125">
        <v>125</v>
      </c>
      <c r="C171" s="125" t="s">
        <v>230</v>
      </c>
      <c r="D171" s="126">
        <v>128</v>
      </c>
      <c r="E171" s="127">
        <v>282</v>
      </c>
      <c r="F171" s="127">
        <v>277</v>
      </c>
      <c r="G171" s="127">
        <v>182</v>
      </c>
      <c r="H171" s="127">
        <v>128</v>
      </c>
      <c r="I171" s="127">
        <v>118</v>
      </c>
      <c r="J171" s="127">
        <v>93</v>
      </c>
      <c r="K171" s="127">
        <v>94</v>
      </c>
      <c r="L171" s="127">
        <v>97</v>
      </c>
      <c r="M171" s="127">
        <v>82</v>
      </c>
      <c r="N171" s="127">
        <v>116</v>
      </c>
      <c r="O171" s="128">
        <v>146</v>
      </c>
      <c r="AE171" s="28" t="str">
        <f t="shared" si="31"/>
        <v>&lt;PrevisaoVAZAO Posto="125" MesReferencia="1"&gt; 128 282 277 182 128 118 93 94 97 82 116 146 &lt;/PrevisaoVAZAO&gt;</v>
      </c>
    </row>
    <row r="172" spans="2:31" x14ac:dyDescent="0.25">
      <c r="B172" s="125">
        <v>126</v>
      </c>
      <c r="C172" s="125" t="s">
        <v>231</v>
      </c>
      <c r="D172" s="126">
        <v>63</v>
      </c>
      <c r="E172" s="127">
        <v>199</v>
      </c>
      <c r="F172" s="127">
        <v>185</v>
      </c>
      <c r="G172" s="127">
        <v>124</v>
      </c>
      <c r="H172" s="127">
        <v>62</v>
      </c>
      <c r="I172" s="127">
        <v>38</v>
      </c>
      <c r="J172" s="127">
        <v>20</v>
      </c>
      <c r="K172" s="127">
        <v>25</v>
      </c>
      <c r="L172" s="127">
        <v>3</v>
      </c>
      <c r="M172" s="127">
        <v>0</v>
      </c>
      <c r="N172" s="127">
        <v>61</v>
      </c>
      <c r="O172" s="128">
        <v>84</v>
      </c>
      <c r="AE172" s="28" t="str">
        <f t="shared" si="31"/>
        <v>&lt;PrevisaoVAZAO Posto="126" MesReferencia="1"&gt; 63 199 185 124 62 38 20 25 3 0 61 84 &lt;/PrevisaoVAZAO&gt;</v>
      </c>
    </row>
    <row r="173" spans="2:31" x14ac:dyDescent="0.25">
      <c r="B173" s="125">
        <v>127</v>
      </c>
      <c r="C173" s="125" t="s">
        <v>232</v>
      </c>
      <c r="D173" s="126">
        <v>153</v>
      </c>
      <c r="E173" s="127">
        <v>289</v>
      </c>
      <c r="F173" s="127">
        <v>275</v>
      </c>
      <c r="G173" s="127">
        <v>214</v>
      </c>
      <c r="H173" s="127">
        <v>152</v>
      </c>
      <c r="I173" s="127">
        <v>128</v>
      </c>
      <c r="J173" s="127">
        <v>110</v>
      </c>
      <c r="K173" s="127">
        <v>125</v>
      </c>
      <c r="L173" s="127">
        <v>102</v>
      </c>
      <c r="M173" s="127">
        <v>89</v>
      </c>
      <c r="N173" s="127">
        <v>151</v>
      </c>
      <c r="O173" s="128">
        <v>174</v>
      </c>
      <c r="AE173" s="28" t="str">
        <f t="shared" si="31"/>
        <v>&lt;PrevisaoVAZAO Posto="127" MesReferencia="1"&gt; 153 289 275 214 152 128 110 125 102 89 151 174 &lt;/PrevisaoVAZAO&gt;</v>
      </c>
    </row>
    <row r="174" spans="2:31" x14ac:dyDescent="0.25">
      <c r="B174" s="125">
        <v>129</v>
      </c>
      <c r="C174" s="125" t="s">
        <v>233</v>
      </c>
      <c r="D174" s="126">
        <v>239</v>
      </c>
      <c r="E174" s="127">
        <v>466</v>
      </c>
      <c r="F174" s="127">
        <v>457</v>
      </c>
      <c r="G174" s="127">
        <v>345</v>
      </c>
      <c r="H174" s="127">
        <v>245</v>
      </c>
      <c r="I174" s="127">
        <v>213</v>
      </c>
      <c r="J174" s="127">
        <v>176</v>
      </c>
      <c r="K174" s="127">
        <v>191</v>
      </c>
      <c r="L174" s="127">
        <v>169</v>
      </c>
      <c r="M174" s="127">
        <v>145</v>
      </c>
      <c r="N174" s="127">
        <v>233</v>
      </c>
      <c r="O174" s="128">
        <v>275</v>
      </c>
      <c r="AE174" s="28" t="str">
        <f t="shared" si="31"/>
        <v>&lt;PrevisaoVAZAO Posto="129" MesReferencia="1"&gt; 239 466 457 345 245 213 176 191 169 145 233 275 &lt;/PrevisaoVAZAO&gt;</v>
      </c>
    </row>
    <row r="175" spans="2:31" x14ac:dyDescent="0.25">
      <c r="B175" s="125">
        <v>130</v>
      </c>
      <c r="C175" s="125" t="s">
        <v>234</v>
      </c>
      <c r="D175" s="126">
        <v>257</v>
      </c>
      <c r="E175" s="127">
        <v>496</v>
      </c>
      <c r="F175" s="127">
        <v>487</v>
      </c>
      <c r="G175" s="127">
        <v>378</v>
      </c>
      <c r="H175" s="127">
        <v>270</v>
      </c>
      <c r="I175" s="127">
        <v>237</v>
      </c>
      <c r="J175" s="127">
        <v>199</v>
      </c>
      <c r="K175" s="127">
        <v>215</v>
      </c>
      <c r="L175" s="127">
        <v>189</v>
      </c>
      <c r="M175" s="127">
        <v>159</v>
      </c>
      <c r="N175" s="127">
        <v>257</v>
      </c>
      <c r="O175" s="128">
        <v>305</v>
      </c>
      <c r="AE175" s="28" t="str">
        <f t="shared" si="31"/>
        <v>&lt;PrevisaoVAZAO Posto="130" MesReferencia="1"&gt; 257 496 487 378 270 237 199 215 189 159 257 305 &lt;/PrevisaoVAZAO&gt;</v>
      </c>
    </row>
    <row r="176" spans="2:31" x14ac:dyDescent="0.25">
      <c r="B176" s="125">
        <v>131</v>
      </c>
      <c r="C176" s="125" t="s">
        <v>235</v>
      </c>
      <c r="D176" s="126">
        <v>82</v>
      </c>
      <c r="E176" s="127">
        <v>144</v>
      </c>
      <c r="F176" s="127">
        <v>144</v>
      </c>
      <c r="G176" s="127">
        <v>119</v>
      </c>
      <c r="H176" s="127">
        <v>84</v>
      </c>
      <c r="I176" s="127">
        <v>77</v>
      </c>
      <c r="J176" s="127">
        <v>60</v>
      </c>
      <c r="K176" s="127">
        <v>61</v>
      </c>
      <c r="L176" s="127">
        <v>63</v>
      </c>
      <c r="M176" s="127">
        <v>52</v>
      </c>
      <c r="N176" s="127">
        <v>76</v>
      </c>
      <c r="O176" s="128">
        <v>94</v>
      </c>
      <c r="AE176" s="28" t="str">
        <f t="shared" si="31"/>
        <v>&lt;PrevisaoVAZAO Posto="131" MesReferencia="1"&gt; 82 144 144 119 84 77 60 61 63 52 76 94 &lt;/PrevisaoVAZAO&gt;</v>
      </c>
    </row>
    <row r="177" spans="2:31" x14ac:dyDescent="0.25">
      <c r="B177" s="125">
        <v>132</v>
      </c>
      <c r="C177" s="125" t="s">
        <v>236</v>
      </c>
      <c r="D177" s="126">
        <v>6</v>
      </c>
      <c r="E177" s="127">
        <v>17</v>
      </c>
      <c r="F177" s="127">
        <v>21</v>
      </c>
      <c r="G177" s="127">
        <v>17</v>
      </c>
      <c r="H177" s="127">
        <v>12</v>
      </c>
      <c r="I177" s="127">
        <v>11</v>
      </c>
      <c r="J177" s="127">
        <v>8</v>
      </c>
      <c r="K177" s="127">
        <v>8</v>
      </c>
      <c r="L177" s="127">
        <v>7</v>
      </c>
      <c r="M177" s="127">
        <v>5</v>
      </c>
      <c r="N177" s="127">
        <v>8</v>
      </c>
      <c r="O177" s="128">
        <v>10</v>
      </c>
      <c r="AE177" s="28" t="str">
        <f t="shared" si="31"/>
        <v>&lt;PrevisaoVAZAO Posto="132" MesReferencia="1"&gt; 6 17 21 17 12 11 8 8 7 5 8 10 &lt;/PrevisaoVAZAO&gt;</v>
      </c>
    </row>
    <row r="178" spans="2:31" x14ac:dyDescent="0.25">
      <c r="B178" s="125">
        <v>134</v>
      </c>
      <c r="C178" s="125" t="s">
        <v>237</v>
      </c>
      <c r="D178" s="126">
        <v>40</v>
      </c>
      <c r="E178" s="127">
        <v>99</v>
      </c>
      <c r="F178" s="127">
        <v>85</v>
      </c>
      <c r="G178" s="127">
        <v>86</v>
      </c>
      <c r="H178" s="127">
        <v>70</v>
      </c>
      <c r="I178" s="127">
        <v>50</v>
      </c>
      <c r="J178" s="127">
        <v>37</v>
      </c>
      <c r="K178" s="127">
        <v>39</v>
      </c>
      <c r="L178" s="127">
        <v>29</v>
      </c>
      <c r="M178" s="127">
        <v>39</v>
      </c>
      <c r="N178" s="127">
        <v>98</v>
      </c>
      <c r="O178" s="128">
        <v>141</v>
      </c>
      <c r="AE178" s="28" t="str">
        <f t="shared" si="31"/>
        <v>&lt;PrevisaoVAZAO Posto="134" MesReferencia="1"&gt; 40 99 85 86 70 50 37 39 29 39 98 141 &lt;/PrevisaoVAZAO&gt;</v>
      </c>
    </row>
    <row r="179" spans="2:31" x14ac:dyDescent="0.25">
      <c r="B179" s="125">
        <v>141</v>
      </c>
      <c r="C179" s="125" t="s">
        <v>238</v>
      </c>
      <c r="D179" s="126">
        <v>144</v>
      </c>
      <c r="E179" s="127">
        <v>291</v>
      </c>
      <c r="F179" s="127">
        <v>264</v>
      </c>
      <c r="G179" s="127">
        <v>245</v>
      </c>
      <c r="H179" s="127">
        <v>226</v>
      </c>
      <c r="I179" s="127">
        <v>171</v>
      </c>
      <c r="J179" s="127">
        <v>131</v>
      </c>
      <c r="K179" s="127">
        <v>169</v>
      </c>
      <c r="L179" s="127">
        <v>128</v>
      </c>
      <c r="M179" s="127">
        <v>126</v>
      </c>
      <c r="N179" s="127">
        <v>282</v>
      </c>
      <c r="O179" s="128">
        <v>463</v>
      </c>
      <c r="AE179" s="28" t="str">
        <f t="shared" si="31"/>
        <v>&lt;PrevisaoVAZAO Posto="141" MesReferencia="1"&gt; 144 291 264 245 226 171 131 169 128 126 282 463 &lt;/PrevisaoVAZAO&gt;</v>
      </c>
    </row>
    <row r="180" spans="2:31" x14ac:dyDescent="0.25">
      <c r="B180" s="125">
        <v>144</v>
      </c>
      <c r="C180" s="125" t="s">
        <v>239</v>
      </c>
      <c r="D180" s="126">
        <v>217</v>
      </c>
      <c r="E180" s="127">
        <v>428</v>
      </c>
      <c r="F180" s="127">
        <v>366</v>
      </c>
      <c r="G180" s="127">
        <v>356</v>
      </c>
      <c r="H180" s="127">
        <v>362</v>
      </c>
      <c r="I180" s="127">
        <v>278</v>
      </c>
      <c r="J180" s="127">
        <v>195</v>
      </c>
      <c r="K180" s="127">
        <v>291</v>
      </c>
      <c r="L180" s="127">
        <v>210</v>
      </c>
      <c r="M180" s="127">
        <v>192</v>
      </c>
      <c r="N180" s="127">
        <v>429</v>
      </c>
      <c r="O180" s="128">
        <v>745</v>
      </c>
      <c r="AE180" s="28" t="str">
        <f t="shared" si="31"/>
        <v>&lt;PrevisaoVAZAO Posto="144" MesReferencia="1"&gt; 217 428 366 356 362 278 195 291 210 192 429 745 &lt;/PrevisaoVAZAO&gt;</v>
      </c>
    </row>
    <row r="181" spans="2:31" x14ac:dyDescent="0.25">
      <c r="B181" s="125">
        <v>145</v>
      </c>
      <c r="C181" s="125" t="s">
        <v>240</v>
      </c>
      <c r="D181" s="126">
        <v>133</v>
      </c>
      <c r="E181" s="127">
        <v>161</v>
      </c>
      <c r="F181" s="127">
        <v>171</v>
      </c>
      <c r="G181" s="127">
        <v>159</v>
      </c>
      <c r="H181" s="127">
        <v>131</v>
      </c>
      <c r="I181" s="127">
        <v>80</v>
      </c>
      <c r="J181" s="127">
        <v>62</v>
      </c>
      <c r="K181" s="127">
        <v>61</v>
      </c>
      <c r="L181" s="127">
        <v>70</v>
      </c>
      <c r="M181" s="127">
        <v>73</v>
      </c>
      <c r="N181" s="127">
        <v>124</v>
      </c>
      <c r="O181" s="128">
        <v>142</v>
      </c>
      <c r="AE181" s="28" t="str">
        <f t="shared" si="31"/>
        <v>&lt;PrevisaoVAZAO Posto="145" MesReferencia="1"&gt; 133 161 171 159 131 80 62 61 70 73 124 142 &lt;/PrevisaoVAZAO&gt;</v>
      </c>
    </row>
    <row r="182" spans="2:31" x14ac:dyDescent="0.25">
      <c r="B182" s="125">
        <v>148</v>
      </c>
      <c r="C182" s="125" t="s">
        <v>241</v>
      </c>
      <c r="D182" s="126">
        <v>193</v>
      </c>
      <c r="E182" s="127">
        <v>382</v>
      </c>
      <c r="F182" s="127">
        <v>332</v>
      </c>
      <c r="G182" s="127">
        <v>319</v>
      </c>
      <c r="H182" s="127">
        <v>317</v>
      </c>
      <c r="I182" s="127">
        <v>242</v>
      </c>
      <c r="J182" s="127">
        <v>173</v>
      </c>
      <c r="K182" s="127">
        <v>250</v>
      </c>
      <c r="L182" s="127">
        <v>183</v>
      </c>
      <c r="M182" s="127">
        <v>169</v>
      </c>
      <c r="N182" s="127">
        <v>375</v>
      </c>
      <c r="O182" s="128">
        <v>655</v>
      </c>
      <c r="AE182" s="28" t="str">
        <f t="shared" si="31"/>
        <v>&lt;PrevisaoVAZAO Posto="148" MesReferencia="1"&gt; 193 382 332 319 317 242 173 250 183 169 375 655 &lt;/PrevisaoVAZAO&gt;</v>
      </c>
    </row>
    <row r="183" spans="2:31" x14ac:dyDescent="0.25">
      <c r="B183" s="125">
        <v>149</v>
      </c>
      <c r="C183" s="125" t="s">
        <v>242</v>
      </c>
      <c r="D183" s="126">
        <v>50</v>
      </c>
      <c r="E183" s="127">
        <v>87</v>
      </c>
      <c r="F183" s="127">
        <v>89</v>
      </c>
      <c r="G183" s="127">
        <v>70</v>
      </c>
      <c r="H183" s="127">
        <v>59</v>
      </c>
      <c r="I183" s="127">
        <v>47</v>
      </c>
      <c r="J183" s="127">
        <v>43</v>
      </c>
      <c r="K183" s="127">
        <v>51</v>
      </c>
      <c r="L183" s="127">
        <v>42</v>
      </c>
      <c r="M183" s="127">
        <v>39</v>
      </c>
      <c r="N183" s="127">
        <v>80</v>
      </c>
      <c r="O183" s="128">
        <v>117</v>
      </c>
      <c r="AE183" s="28" t="str">
        <f t="shared" si="31"/>
        <v>&lt;PrevisaoVAZAO Posto="149" MesReferencia="1"&gt; 50 87 89 70 59 47 43 51 42 39 80 117 &lt;/PrevisaoVAZAO&gt;</v>
      </c>
    </row>
    <row r="184" spans="2:31" x14ac:dyDescent="0.25">
      <c r="B184" s="125">
        <v>155</v>
      </c>
      <c r="C184" s="125" t="s">
        <v>243</v>
      </c>
      <c r="D184" s="126">
        <v>24</v>
      </c>
      <c r="E184" s="127">
        <v>91</v>
      </c>
      <c r="F184" s="127">
        <v>132</v>
      </c>
      <c r="G184" s="127">
        <v>59</v>
      </c>
      <c r="H184" s="127">
        <v>42</v>
      </c>
      <c r="I184" s="127">
        <v>32</v>
      </c>
      <c r="J184" s="127">
        <v>22</v>
      </c>
      <c r="K184" s="127">
        <v>35</v>
      </c>
      <c r="L184" s="127">
        <v>15</v>
      </c>
      <c r="M184" s="127">
        <v>11</v>
      </c>
      <c r="N184" s="127">
        <v>32</v>
      </c>
      <c r="O184" s="128">
        <v>65</v>
      </c>
      <c r="AE184" s="28" t="str">
        <f t="shared" si="31"/>
        <v>&lt;PrevisaoVAZAO Posto="155" MesReferencia="1"&gt; 24 91 132 59 42 32 22 35 15 11 32 65 &lt;/PrevisaoVAZAO&gt;</v>
      </c>
    </row>
    <row r="185" spans="2:31" x14ac:dyDescent="0.25">
      <c r="B185" s="125">
        <v>156</v>
      </c>
      <c r="C185" s="125" t="s">
        <v>244</v>
      </c>
      <c r="D185" s="126">
        <v>148</v>
      </c>
      <c r="E185" s="127">
        <v>563</v>
      </c>
      <c r="F185" s="127">
        <v>828</v>
      </c>
      <c r="G185" s="127">
        <v>460</v>
      </c>
      <c r="H185" s="127">
        <v>289</v>
      </c>
      <c r="I185" s="127">
        <v>192</v>
      </c>
      <c r="J185" s="127">
        <v>138</v>
      </c>
      <c r="K185" s="127">
        <v>84</v>
      </c>
      <c r="L185" s="127">
        <v>52</v>
      </c>
      <c r="M185" s="127">
        <v>35</v>
      </c>
      <c r="N185" s="127">
        <v>218</v>
      </c>
      <c r="O185" s="128">
        <v>460</v>
      </c>
      <c r="AE185" s="28" t="str">
        <f t="shared" si="31"/>
        <v>&lt;PrevisaoVAZAO Posto="156" MesReferencia="1"&gt; 148 563 828 460 289 192 138 84 52 35 218 460 &lt;/PrevisaoVAZAO&gt;</v>
      </c>
    </row>
    <row r="186" spans="2:31" x14ac:dyDescent="0.25">
      <c r="B186" s="125">
        <v>158</v>
      </c>
      <c r="C186" s="125" t="s">
        <v>245</v>
      </c>
      <c r="D186" s="126">
        <v>19</v>
      </c>
      <c r="E186" s="127">
        <v>28</v>
      </c>
      <c r="F186" s="127">
        <v>49</v>
      </c>
      <c r="G186" s="127">
        <v>73</v>
      </c>
      <c r="H186" s="127">
        <v>53</v>
      </c>
      <c r="I186" s="127">
        <v>37</v>
      </c>
      <c r="J186" s="127">
        <v>30</v>
      </c>
      <c r="K186" s="127">
        <v>21</v>
      </c>
      <c r="L186" s="127">
        <v>18</v>
      </c>
      <c r="M186" s="127">
        <v>13</v>
      </c>
      <c r="N186" s="127">
        <v>24</v>
      </c>
      <c r="O186" s="128">
        <v>36</v>
      </c>
      <c r="AE186" s="28" t="str">
        <f t="shared" si="31"/>
        <v>&lt;PrevisaoVAZAO Posto="158" MesReferencia="1"&gt; 19 28 49 73 53 37 30 21 18 13 24 36 &lt;/PrevisaoVAZAO&gt;</v>
      </c>
    </row>
    <row r="187" spans="2:31" x14ac:dyDescent="0.25">
      <c r="B187" s="125">
        <v>160</v>
      </c>
      <c r="C187" s="125" t="s">
        <v>246</v>
      </c>
      <c r="D187" s="126">
        <v>10</v>
      </c>
      <c r="E187" s="127">
        <v>11</v>
      </c>
      <c r="F187" s="127">
        <v>7</v>
      </c>
      <c r="G187" s="127">
        <v>7</v>
      </c>
      <c r="H187" s="127">
        <v>6</v>
      </c>
      <c r="I187" s="127">
        <v>7</v>
      </c>
      <c r="J187" s="127">
        <v>5</v>
      </c>
      <c r="K187" s="127">
        <v>8</v>
      </c>
      <c r="L187" s="127">
        <v>9</v>
      </c>
      <c r="M187" s="127">
        <v>7</v>
      </c>
      <c r="N187" s="127">
        <v>7</v>
      </c>
      <c r="O187" s="128">
        <v>9</v>
      </c>
      <c r="AE187" s="28" t="str">
        <f t="shared" si="31"/>
        <v>&lt;PrevisaoVAZAO Posto="160" MesReferencia="1"&gt; 10 11 7 7 6 7 5 8 9 7 7 9 &lt;/PrevisaoVAZAO&gt;</v>
      </c>
    </row>
    <row r="188" spans="2:31" x14ac:dyDescent="0.25">
      <c r="B188" s="125">
        <v>161</v>
      </c>
      <c r="C188" s="125" t="s">
        <v>247</v>
      </c>
      <c r="D188" s="126">
        <v>133</v>
      </c>
      <c r="E188" s="127">
        <v>222</v>
      </c>
      <c r="F188" s="127">
        <v>192</v>
      </c>
      <c r="G188" s="127">
        <v>77</v>
      </c>
      <c r="H188" s="127">
        <v>71</v>
      </c>
      <c r="I188" s="127">
        <v>56</v>
      </c>
      <c r="J188" s="127">
        <v>74</v>
      </c>
      <c r="K188" s="127">
        <v>53</v>
      </c>
      <c r="L188" s="127">
        <v>70</v>
      </c>
      <c r="M188" s="127">
        <v>30</v>
      </c>
      <c r="N188" s="127">
        <v>81</v>
      </c>
      <c r="O188" s="128">
        <v>144</v>
      </c>
      <c r="AE188" s="28" t="str">
        <f t="shared" si="31"/>
        <v>&lt;PrevisaoVAZAO Posto="161" MesReferencia="1"&gt; 133 222 192 77 71 56 74 53 70 30 81 144 &lt;/PrevisaoVAZAO&gt;</v>
      </c>
    </row>
    <row r="189" spans="2:31" x14ac:dyDescent="0.25">
      <c r="B189" s="125">
        <v>164</v>
      </c>
      <c r="C189" s="125" t="s">
        <v>247</v>
      </c>
      <c r="D189" s="126">
        <v>96</v>
      </c>
      <c r="E189" s="127">
        <v>160</v>
      </c>
      <c r="F189" s="127">
        <v>128</v>
      </c>
      <c r="G189" s="127">
        <v>43</v>
      </c>
      <c r="H189" s="127">
        <v>31</v>
      </c>
      <c r="I189" s="127">
        <v>22</v>
      </c>
      <c r="J189" s="127">
        <v>37</v>
      </c>
      <c r="K189" s="127">
        <v>23</v>
      </c>
      <c r="L189" s="127">
        <v>36</v>
      </c>
      <c r="M189" s="127">
        <v>5</v>
      </c>
      <c r="N189" s="127">
        <v>52</v>
      </c>
      <c r="O189" s="128">
        <v>91</v>
      </c>
      <c r="AE189" s="28" t="str">
        <f t="shared" si="31"/>
        <v>&lt;PrevisaoVAZAO Posto="164" MesReferencia="1"&gt; 96 160 128 43 31 22 37 23 36 5 52 91 &lt;/PrevisaoVAZAO&gt;</v>
      </c>
    </row>
    <row r="190" spans="2:31" x14ac:dyDescent="0.25">
      <c r="B190" s="125">
        <v>168</v>
      </c>
      <c r="C190" s="125" t="s">
        <v>248</v>
      </c>
      <c r="D190" s="126">
        <v>906</v>
      </c>
      <c r="E190" s="127">
        <v>1028</v>
      </c>
      <c r="F190" s="127">
        <v>1182</v>
      </c>
      <c r="G190" s="127">
        <v>1367</v>
      </c>
      <c r="H190" s="127">
        <v>1044</v>
      </c>
      <c r="I190" s="127">
        <v>567</v>
      </c>
      <c r="J190" s="127">
        <v>458</v>
      </c>
      <c r="K190" s="127">
        <v>494</v>
      </c>
      <c r="L190" s="127">
        <v>436</v>
      </c>
      <c r="M190" s="127">
        <v>351</v>
      </c>
      <c r="N190" s="127">
        <v>626</v>
      </c>
      <c r="O190" s="128">
        <v>1668</v>
      </c>
      <c r="AE190" s="28" t="str">
        <f t="shared" si="31"/>
        <v>&lt;PrevisaoVAZAO Posto="168" MesReferencia="1"&gt; 906 1028 1182 1367 1044 567 458 494 436 351 626 1668 &lt;/PrevisaoVAZAO&gt;</v>
      </c>
    </row>
    <row r="191" spans="2:31" x14ac:dyDescent="0.25">
      <c r="B191" s="125">
        <v>169</v>
      </c>
      <c r="C191" s="125" t="s">
        <v>248</v>
      </c>
      <c r="D191" s="126">
        <v>1106</v>
      </c>
      <c r="E191" s="127">
        <v>1523</v>
      </c>
      <c r="F191" s="127">
        <v>1788</v>
      </c>
      <c r="G191" s="127">
        <v>2209</v>
      </c>
      <c r="H191" s="127">
        <v>1425</v>
      </c>
      <c r="I191" s="127">
        <v>816</v>
      </c>
      <c r="J191" s="127">
        <v>639</v>
      </c>
      <c r="K191" s="127">
        <v>611</v>
      </c>
      <c r="L191" s="127">
        <v>512</v>
      </c>
      <c r="M191" s="127">
        <v>395</v>
      </c>
      <c r="N191" s="127">
        <v>753</v>
      </c>
      <c r="O191" s="128">
        <v>2207</v>
      </c>
      <c r="AE191" s="28" t="str">
        <f t="shared" si="31"/>
        <v>&lt;PrevisaoVAZAO Posto="169" MesReferencia="1"&gt; 1106 1523 1788 2209 1425 816 639 611 512 395 753 2207 &lt;/PrevisaoVAZAO&gt;</v>
      </c>
    </row>
    <row r="192" spans="2:31" x14ac:dyDescent="0.25">
      <c r="B192" s="125">
        <v>171</v>
      </c>
      <c r="C192" s="125" t="s">
        <v>249</v>
      </c>
      <c r="D192" s="126">
        <v>0</v>
      </c>
      <c r="E192" s="127">
        <v>0</v>
      </c>
      <c r="F192" s="127">
        <v>0</v>
      </c>
      <c r="G192" s="127">
        <v>0</v>
      </c>
      <c r="H192" s="127">
        <v>0</v>
      </c>
      <c r="I192" s="127">
        <v>0</v>
      </c>
      <c r="J192" s="127">
        <v>0</v>
      </c>
      <c r="K192" s="127">
        <v>0</v>
      </c>
      <c r="L192" s="127">
        <v>0</v>
      </c>
      <c r="M192" s="127">
        <v>0</v>
      </c>
      <c r="N192" s="127">
        <v>0</v>
      </c>
      <c r="O192" s="128">
        <v>0</v>
      </c>
      <c r="AE192" s="28" t="str">
        <f t="shared" si="31"/>
        <v>&lt;PrevisaoVAZAO Posto="171" MesReferencia="1"&gt; 0 0 0 0 0 0 0 0 0 0 0 0 &lt;/PrevisaoVAZAO&gt;</v>
      </c>
    </row>
    <row r="193" spans="2:31" x14ac:dyDescent="0.25">
      <c r="B193" s="125">
        <v>172</v>
      </c>
      <c r="C193" s="125" t="s">
        <v>250</v>
      </c>
      <c r="D193" s="126">
        <v>1216</v>
      </c>
      <c r="E193" s="127">
        <v>1422</v>
      </c>
      <c r="F193" s="127">
        <v>1787</v>
      </c>
      <c r="G193" s="127">
        <v>2292</v>
      </c>
      <c r="H193" s="127">
        <v>1447</v>
      </c>
      <c r="I193" s="127">
        <v>840</v>
      </c>
      <c r="J193" s="127">
        <v>645</v>
      </c>
      <c r="K193" s="127">
        <v>615</v>
      </c>
      <c r="L193" s="127">
        <v>519</v>
      </c>
      <c r="M193" s="127">
        <v>403</v>
      </c>
      <c r="N193" s="127">
        <v>706</v>
      </c>
      <c r="O193" s="128">
        <v>2149</v>
      </c>
      <c r="AE193" s="28" t="str">
        <f t="shared" si="31"/>
        <v>&lt;PrevisaoVAZAO Posto="172" MesReferencia="1"&gt; 1216 1422 1787 2292 1447 840 645 615 519 403 706 2149 &lt;/PrevisaoVAZAO&gt;</v>
      </c>
    </row>
    <row r="194" spans="2:31" x14ac:dyDescent="0.25">
      <c r="B194" s="125">
        <v>173</v>
      </c>
      <c r="C194" s="125" t="s">
        <v>251</v>
      </c>
      <c r="D194" s="126">
        <v>1216</v>
      </c>
      <c r="E194" s="127">
        <v>1422</v>
      </c>
      <c r="F194" s="127">
        <v>1787</v>
      </c>
      <c r="G194" s="127">
        <v>2292</v>
      </c>
      <c r="H194" s="127">
        <v>1447</v>
      </c>
      <c r="I194" s="127">
        <v>840</v>
      </c>
      <c r="J194" s="127">
        <v>645</v>
      </c>
      <c r="K194" s="127">
        <v>599</v>
      </c>
      <c r="L194" s="127">
        <v>509</v>
      </c>
      <c r="M194" s="127">
        <v>403</v>
      </c>
      <c r="N194" s="127">
        <v>702</v>
      </c>
      <c r="O194" s="128">
        <v>2242</v>
      </c>
      <c r="AE194" s="28" t="str">
        <f t="shared" si="31"/>
        <v>&lt;PrevisaoVAZAO Posto="173" MesReferencia="1"&gt; 1216 1422 1787 2292 1447 840 645 599 509 403 702 2242 &lt;/PrevisaoVAZAO&gt;</v>
      </c>
    </row>
    <row r="195" spans="2:31" x14ac:dyDescent="0.25">
      <c r="B195" s="125">
        <v>175</v>
      </c>
      <c r="C195" s="125" t="s">
        <v>252</v>
      </c>
      <c r="D195" s="126">
        <v>1216</v>
      </c>
      <c r="E195" s="127">
        <v>1422</v>
      </c>
      <c r="F195" s="127">
        <v>1787</v>
      </c>
      <c r="G195" s="127">
        <v>2292</v>
      </c>
      <c r="H195" s="127">
        <v>1447</v>
      </c>
      <c r="I195" s="127">
        <v>840</v>
      </c>
      <c r="J195" s="127">
        <v>645</v>
      </c>
      <c r="K195" s="127">
        <v>599</v>
      </c>
      <c r="L195" s="127">
        <v>509</v>
      </c>
      <c r="M195" s="127">
        <v>403</v>
      </c>
      <c r="N195" s="127">
        <v>702</v>
      </c>
      <c r="O195" s="128">
        <v>2242</v>
      </c>
      <c r="AE195" s="28" t="str">
        <f t="shared" si="31"/>
        <v>&lt;PrevisaoVAZAO Posto="175" MesReferencia="1"&gt; 1216 1422 1787 2292 1447 840 645 599 509 403 702 2242 &lt;/PrevisaoVAZAO&gt;</v>
      </c>
    </row>
    <row r="196" spans="2:31" x14ac:dyDescent="0.25">
      <c r="B196" s="125">
        <v>176</v>
      </c>
      <c r="C196" s="125" t="s">
        <v>253</v>
      </c>
      <c r="D196" s="126">
        <v>1216</v>
      </c>
      <c r="E196" s="127">
        <v>1422</v>
      </c>
      <c r="F196" s="127">
        <v>1787</v>
      </c>
      <c r="G196" s="127">
        <v>2292</v>
      </c>
      <c r="H196" s="127">
        <v>1447</v>
      </c>
      <c r="I196" s="127">
        <v>840</v>
      </c>
      <c r="J196" s="127">
        <v>645</v>
      </c>
      <c r="K196" s="127">
        <v>599</v>
      </c>
      <c r="L196" s="127">
        <v>509</v>
      </c>
      <c r="M196" s="127">
        <v>403</v>
      </c>
      <c r="N196" s="127">
        <v>702</v>
      </c>
      <c r="O196" s="128">
        <v>2242</v>
      </c>
      <c r="AE196" s="28" t="str">
        <f t="shared" si="31"/>
        <v>&lt;PrevisaoVAZAO Posto="176" MesReferencia="1"&gt; 1216 1422 1787 2292 1447 840 645 599 509 403 702 2242 &lt;/PrevisaoVAZAO&gt;</v>
      </c>
    </row>
    <row r="197" spans="2:31" x14ac:dyDescent="0.25">
      <c r="B197" s="125">
        <v>178</v>
      </c>
      <c r="C197" s="125" t="s">
        <v>254</v>
      </c>
      <c r="D197" s="126">
        <v>1279</v>
      </c>
      <c r="E197" s="127">
        <v>1356</v>
      </c>
      <c r="F197" s="127">
        <v>1786</v>
      </c>
      <c r="G197" s="127">
        <v>2323</v>
      </c>
      <c r="H197" s="127">
        <v>1456</v>
      </c>
      <c r="I197" s="127">
        <v>855</v>
      </c>
      <c r="J197" s="127">
        <v>648</v>
      </c>
      <c r="K197" s="127">
        <v>601</v>
      </c>
      <c r="L197" s="127">
        <v>512</v>
      </c>
      <c r="M197" s="127">
        <v>407</v>
      </c>
      <c r="N197" s="127">
        <v>671</v>
      </c>
      <c r="O197" s="128">
        <v>2116</v>
      </c>
      <c r="AE197" s="28" t="str">
        <f t="shared" si="31"/>
        <v>&lt;PrevisaoVAZAO Posto="178" MesReferencia="1"&gt; 1279 1356 1786 2323 1456 855 648 601 512 407 671 2116 &lt;/PrevisaoVAZAO&gt;</v>
      </c>
    </row>
    <row r="198" spans="2:31" x14ac:dyDescent="0.25">
      <c r="B198" s="125">
        <v>183</v>
      </c>
      <c r="C198" s="125" t="s">
        <v>255</v>
      </c>
      <c r="D198" s="126">
        <v>21</v>
      </c>
      <c r="E198" s="127">
        <v>45</v>
      </c>
      <c r="F198" s="127">
        <v>46</v>
      </c>
      <c r="G198" s="127">
        <v>38</v>
      </c>
      <c r="H198" s="127">
        <v>37</v>
      </c>
      <c r="I198" s="127">
        <v>26</v>
      </c>
      <c r="J198" s="127">
        <v>20</v>
      </c>
      <c r="K198" s="127">
        <v>25</v>
      </c>
      <c r="L198" s="127">
        <v>20</v>
      </c>
      <c r="M198" s="127">
        <v>21</v>
      </c>
      <c r="N198" s="127">
        <v>47</v>
      </c>
      <c r="O198" s="128">
        <v>70</v>
      </c>
      <c r="AE198" s="28" t="str">
        <f t="shared" si="31"/>
        <v>&lt;PrevisaoVAZAO Posto="183" MesReferencia="1"&gt; 21 45 46 38 37 26 20 25 20 21 47 70 &lt;/PrevisaoVAZAO&gt;</v>
      </c>
    </row>
    <row r="199" spans="2:31" x14ac:dyDescent="0.25">
      <c r="B199" s="125">
        <v>187</v>
      </c>
      <c r="C199" s="125" t="s">
        <v>256</v>
      </c>
      <c r="D199" s="126">
        <v>122</v>
      </c>
      <c r="E199" s="127">
        <v>123</v>
      </c>
      <c r="F199" s="127">
        <v>122</v>
      </c>
      <c r="G199" s="127">
        <v>101</v>
      </c>
      <c r="H199" s="127">
        <v>87</v>
      </c>
      <c r="I199" s="127">
        <v>77</v>
      </c>
      <c r="J199" s="127">
        <v>68</v>
      </c>
      <c r="K199" s="127">
        <v>62</v>
      </c>
      <c r="L199" s="127">
        <v>61</v>
      </c>
      <c r="M199" s="127">
        <v>68</v>
      </c>
      <c r="N199" s="127">
        <v>86</v>
      </c>
      <c r="O199" s="128">
        <v>112</v>
      </c>
      <c r="AE199" s="28" t="str">
        <f t="shared" si="31"/>
        <v>&lt;PrevisaoVAZAO Posto="187" MesReferencia="1"&gt; 122 123 122 101 87 77 68 62 61 68 86 112 &lt;/PrevisaoVAZAO&gt;</v>
      </c>
    </row>
    <row r="200" spans="2:31" x14ac:dyDescent="0.25">
      <c r="B200" s="125">
        <v>188</v>
      </c>
      <c r="C200" s="125" t="s">
        <v>257</v>
      </c>
      <c r="D200" s="126">
        <v>52</v>
      </c>
      <c r="E200" s="127">
        <v>150</v>
      </c>
      <c r="F200" s="127">
        <v>128</v>
      </c>
      <c r="G200" s="127">
        <v>117</v>
      </c>
      <c r="H200" s="127">
        <v>84</v>
      </c>
      <c r="I200" s="127">
        <v>57</v>
      </c>
      <c r="J200" s="127">
        <v>50</v>
      </c>
      <c r="K200" s="127">
        <v>44</v>
      </c>
      <c r="L200" s="127">
        <v>23</v>
      </c>
      <c r="M200" s="127">
        <v>25</v>
      </c>
      <c r="N200" s="127">
        <v>248</v>
      </c>
      <c r="O200" s="128">
        <v>301</v>
      </c>
      <c r="AE200" s="28" t="str">
        <f t="shared" si="31"/>
        <v>&lt;PrevisaoVAZAO Posto="188" MesReferencia="1"&gt; 52 150 128 117 84 57 50 44 23 25 248 301 &lt;/PrevisaoVAZAO&gt;</v>
      </c>
    </row>
    <row r="201" spans="2:31" x14ac:dyDescent="0.25">
      <c r="B201" s="125">
        <v>190</v>
      </c>
      <c r="C201" s="125" t="s">
        <v>258</v>
      </c>
      <c r="D201" s="126">
        <v>307</v>
      </c>
      <c r="E201" s="127">
        <v>511</v>
      </c>
      <c r="F201" s="127">
        <v>513</v>
      </c>
      <c r="G201" s="127">
        <v>412</v>
      </c>
      <c r="H201" s="127">
        <v>418</v>
      </c>
      <c r="I201" s="127">
        <v>259</v>
      </c>
      <c r="J201" s="127">
        <v>231</v>
      </c>
      <c r="K201" s="127">
        <v>193</v>
      </c>
      <c r="L201" s="127">
        <v>181</v>
      </c>
      <c r="M201" s="127">
        <v>190</v>
      </c>
      <c r="N201" s="127">
        <v>299</v>
      </c>
      <c r="O201" s="128">
        <v>402</v>
      </c>
      <c r="AE201" s="28" t="str">
        <f t="shared" si="31"/>
        <v>&lt;PrevisaoVAZAO Posto="190" MesReferencia="1"&gt; 307 511 513 412 418 259 231 193 181 190 299 402 &lt;/PrevisaoVAZAO&gt;</v>
      </c>
    </row>
    <row r="202" spans="2:31" x14ac:dyDescent="0.25">
      <c r="B202" s="125">
        <v>191</v>
      </c>
      <c r="C202" s="125" t="s">
        <v>259</v>
      </c>
      <c r="D202" s="126">
        <v>399</v>
      </c>
      <c r="E202" s="127">
        <v>900</v>
      </c>
      <c r="F202" s="127">
        <v>1032</v>
      </c>
      <c r="G202" s="127">
        <v>988</v>
      </c>
      <c r="H202" s="127">
        <v>674</v>
      </c>
      <c r="I202" s="127">
        <v>363</v>
      </c>
      <c r="J202" s="127">
        <v>263</v>
      </c>
      <c r="K202" s="127">
        <v>178</v>
      </c>
      <c r="L202" s="127">
        <v>153</v>
      </c>
      <c r="M202" s="127">
        <v>137</v>
      </c>
      <c r="N202" s="127">
        <v>407</v>
      </c>
      <c r="O202" s="128">
        <v>943</v>
      </c>
      <c r="AE202" s="28" t="str">
        <f t="shared" si="31"/>
        <v>&lt;PrevisaoVAZAO Posto="191" MesReferencia="1"&gt; 399 900 1032 988 674 363 263 178 153 137 407 943 &lt;/PrevisaoVAZAO&gt;</v>
      </c>
    </row>
    <row r="203" spans="2:31" x14ac:dyDescent="0.25">
      <c r="B203" s="125">
        <v>196</v>
      </c>
      <c r="C203" s="125" t="s">
        <v>260</v>
      </c>
      <c r="D203" s="126">
        <v>6</v>
      </c>
      <c r="E203" s="127">
        <v>8</v>
      </c>
      <c r="F203" s="127">
        <v>15</v>
      </c>
      <c r="G203" s="127">
        <v>14</v>
      </c>
      <c r="H203" s="127">
        <v>23</v>
      </c>
      <c r="I203" s="127">
        <v>16</v>
      </c>
      <c r="J203" s="127">
        <v>11</v>
      </c>
      <c r="K203" s="127">
        <v>12</v>
      </c>
      <c r="L203" s="127">
        <v>9</v>
      </c>
      <c r="M203" s="127">
        <v>9</v>
      </c>
      <c r="N203" s="127">
        <v>24</v>
      </c>
      <c r="O203" s="128">
        <v>26</v>
      </c>
      <c r="AE203" s="28" t="str">
        <f t="shared" si="31"/>
        <v>&lt;PrevisaoVAZAO Posto="196" MesReferencia="1"&gt; 6 8 15 14 23 16 11 12 9 9 24 26 &lt;/PrevisaoVAZAO&gt;</v>
      </c>
    </row>
    <row r="204" spans="2:31" x14ac:dyDescent="0.25">
      <c r="B204" s="125">
        <v>197</v>
      </c>
      <c r="C204" s="125" t="s">
        <v>261</v>
      </c>
      <c r="D204" s="126">
        <v>15</v>
      </c>
      <c r="E204" s="127">
        <v>31</v>
      </c>
      <c r="F204" s="127">
        <v>28</v>
      </c>
      <c r="G204" s="127">
        <v>21</v>
      </c>
      <c r="H204" s="127">
        <v>16</v>
      </c>
      <c r="I204" s="127">
        <v>13</v>
      </c>
      <c r="J204" s="127">
        <v>10</v>
      </c>
      <c r="K204" s="127">
        <v>13</v>
      </c>
      <c r="L204" s="127">
        <v>11</v>
      </c>
      <c r="M204" s="127">
        <v>10</v>
      </c>
      <c r="N204" s="127">
        <v>21</v>
      </c>
      <c r="O204" s="128">
        <v>18</v>
      </c>
      <c r="AE204" s="28" t="str">
        <f t="shared" si="31"/>
        <v>&lt;PrevisaoVAZAO Posto="197" MesReferencia="1"&gt; 15 31 28 21 16 13 10 13 11 10 21 18 &lt;/PrevisaoVAZAO&gt;</v>
      </c>
    </row>
    <row r="205" spans="2:31" x14ac:dyDescent="0.25">
      <c r="B205" s="125">
        <v>198</v>
      </c>
      <c r="C205" s="125" t="s">
        <v>262</v>
      </c>
      <c r="D205" s="126">
        <v>31</v>
      </c>
      <c r="E205" s="127">
        <v>52</v>
      </c>
      <c r="F205" s="127">
        <v>52</v>
      </c>
      <c r="G205" s="127">
        <v>42</v>
      </c>
      <c r="H205" s="127">
        <v>32</v>
      </c>
      <c r="I205" s="127">
        <v>27</v>
      </c>
      <c r="J205" s="127">
        <v>25</v>
      </c>
      <c r="K205" s="127">
        <v>34</v>
      </c>
      <c r="L205" s="127">
        <v>29</v>
      </c>
      <c r="M205" s="127">
        <v>21</v>
      </c>
      <c r="N205" s="127">
        <v>45</v>
      </c>
      <c r="O205" s="128">
        <v>38</v>
      </c>
      <c r="AE205" s="28" t="str">
        <f t="shared" si="31"/>
        <v>&lt;PrevisaoVAZAO Posto="198" MesReferencia="1"&gt; 31 52 52 42 32 27 25 34 29 21 45 38 &lt;/PrevisaoVAZAO&gt;</v>
      </c>
    </row>
    <row r="206" spans="2:31" x14ac:dyDescent="0.25">
      <c r="B206" s="125">
        <v>199</v>
      </c>
      <c r="C206" s="125" t="s">
        <v>263</v>
      </c>
      <c r="D206" s="126">
        <v>269</v>
      </c>
      <c r="E206" s="127">
        <v>519</v>
      </c>
      <c r="F206" s="127">
        <v>510</v>
      </c>
      <c r="G206" s="127">
        <v>396</v>
      </c>
      <c r="H206" s="127">
        <v>283</v>
      </c>
      <c r="I206" s="127">
        <v>248</v>
      </c>
      <c r="J206" s="127">
        <v>208</v>
      </c>
      <c r="K206" s="127">
        <v>225</v>
      </c>
      <c r="L206" s="127">
        <v>198</v>
      </c>
      <c r="M206" s="127">
        <v>166</v>
      </c>
      <c r="N206" s="127">
        <v>269</v>
      </c>
      <c r="O206" s="128">
        <v>381</v>
      </c>
      <c r="AE206" s="28" t="str">
        <f t="shared" si="31"/>
        <v>&lt;PrevisaoVAZAO Posto="199" MesReferencia="1"&gt; 269 519 510 396 283 248 208 225 198 166 269 381 &lt;/PrevisaoVAZAO&gt;</v>
      </c>
    </row>
    <row r="207" spans="2:31" x14ac:dyDescent="0.25">
      <c r="B207" s="125">
        <v>201</v>
      </c>
      <c r="C207" s="125" t="s">
        <v>264</v>
      </c>
      <c r="D207" s="126">
        <v>4</v>
      </c>
      <c r="E207" s="127">
        <v>12</v>
      </c>
      <c r="F207" s="127">
        <v>15</v>
      </c>
      <c r="G207" s="127">
        <v>12</v>
      </c>
      <c r="H207" s="127">
        <v>9</v>
      </c>
      <c r="I207" s="127">
        <v>8</v>
      </c>
      <c r="J207" s="127">
        <v>6</v>
      </c>
      <c r="K207" s="127">
        <v>6</v>
      </c>
      <c r="L207" s="127">
        <v>4</v>
      </c>
      <c r="M207" s="127">
        <v>4</v>
      </c>
      <c r="N207" s="127">
        <v>6</v>
      </c>
      <c r="O207" s="128">
        <v>7</v>
      </c>
      <c r="AE207" s="28" t="str">
        <f t="shared" si="31"/>
        <v>&lt;PrevisaoVAZAO Posto="201" MesReferencia="1"&gt; 4 12 15 12 9 8 6 6 4 4 6 7 &lt;/PrevisaoVAZAO&gt;</v>
      </c>
    </row>
    <row r="208" spans="2:31" x14ac:dyDescent="0.25">
      <c r="B208" s="125">
        <v>202</v>
      </c>
      <c r="C208" s="125" t="s">
        <v>236</v>
      </c>
      <c r="D208" s="126">
        <v>2</v>
      </c>
      <c r="E208" s="127">
        <v>5</v>
      </c>
      <c r="F208" s="127">
        <v>6</v>
      </c>
      <c r="G208" s="127">
        <v>5</v>
      </c>
      <c r="H208" s="127">
        <v>3</v>
      </c>
      <c r="I208" s="127">
        <v>3</v>
      </c>
      <c r="J208" s="127">
        <v>2</v>
      </c>
      <c r="K208" s="127">
        <v>2</v>
      </c>
      <c r="L208" s="127">
        <v>2</v>
      </c>
      <c r="M208" s="127">
        <v>1</v>
      </c>
      <c r="N208" s="127">
        <v>2</v>
      </c>
      <c r="O208" s="128">
        <v>3</v>
      </c>
      <c r="AE208" s="28" t="str">
        <f t="shared" si="31"/>
        <v>&lt;PrevisaoVAZAO Posto="202" MesReferencia="1"&gt; 2 5 6 5 3 3 2 2 2 1 2 3 &lt;/PrevisaoVAZAO&gt;</v>
      </c>
    </row>
    <row r="209" spans="2:31" x14ac:dyDescent="0.25">
      <c r="B209" s="125">
        <v>203</v>
      </c>
      <c r="C209" s="125" t="s">
        <v>265</v>
      </c>
      <c r="D209" s="126">
        <v>6</v>
      </c>
      <c r="E209" s="127">
        <v>17</v>
      </c>
      <c r="F209" s="127">
        <v>22</v>
      </c>
      <c r="G209" s="127">
        <v>17</v>
      </c>
      <c r="H209" s="127">
        <v>13</v>
      </c>
      <c r="I209" s="127">
        <v>11</v>
      </c>
      <c r="J209" s="127">
        <v>8</v>
      </c>
      <c r="K209" s="127">
        <v>8</v>
      </c>
      <c r="L209" s="127">
        <v>7</v>
      </c>
      <c r="M209" s="127">
        <v>5</v>
      </c>
      <c r="N209" s="127">
        <v>9</v>
      </c>
      <c r="O209" s="128">
        <v>10</v>
      </c>
      <c r="AE209" s="28" t="str">
        <f t="shared" si="31"/>
        <v>&lt;PrevisaoVAZAO Posto="203" MesReferencia="1"&gt; 6 17 22 17 13 11 8 8 7 5 9 10 &lt;/PrevisaoVAZAO&gt;</v>
      </c>
    </row>
    <row r="210" spans="2:31" x14ac:dyDescent="0.25">
      <c r="B210" s="125">
        <v>204</v>
      </c>
      <c r="C210" s="125" t="s">
        <v>266</v>
      </c>
      <c r="D210" s="126">
        <v>280</v>
      </c>
      <c r="E210" s="127">
        <v>878</v>
      </c>
      <c r="F210" s="127">
        <v>1643</v>
      </c>
      <c r="G210" s="127">
        <v>2003</v>
      </c>
      <c r="H210" s="127">
        <v>2703</v>
      </c>
      <c r="I210" s="127">
        <v>1611</v>
      </c>
      <c r="J210" s="127">
        <v>1163</v>
      </c>
      <c r="K210" s="127">
        <v>872</v>
      </c>
      <c r="L210" s="127">
        <v>486</v>
      </c>
      <c r="M210" s="127">
        <v>356</v>
      </c>
      <c r="N210" s="127">
        <v>219</v>
      </c>
      <c r="O210" s="128">
        <v>218</v>
      </c>
      <c r="AE210" s="28" t="str">
        <f t="shared" si="31"/>
        <v>&lt;PrevisaoVAZAO Posto="204" MesReferencia="1"&gt; 280 878 1643 2003 2703 1611 1163 872 486 356 219 218 &lt;/PrevisaoVAZAO&gt;</v>
      </c>
    </row>
    <row r="211" spans="2:31" x14ac:dyDescent="0.25">
      <c r="B211" s="125">
        <v>205</v>
      </c>
      <c r="C211" s="125" t="s">
        <v>267</v>
      </c>
      <c r="D211" s="126">
        <v>56</v>
      </c>
      <c r="E211" s="127">
        <v>92</v>
      </c>
      <c r="F211" s="127">
        <v>174</v>
      </c>
      <c r="G211" s="127">
        <v>192</v>
      </c>
      <c r="H211" s="127">
        <v>113</v>
      </c>
      <c r="I211" s="127">
        <v>69</v>
      </c>
      <c r="J211" s="127">
        <v>53</v>
      </c>
      <c r="K211" s="127">
        <v>51</v>
      </c>
      <c r="L211" s="127">
        <v>41</v>
      </c>
      <c r="M211" s="127">
        <v>29</v>
      </c>
      <c r="N211" s="127">
        <v>63</v>
      </c>
      <c r="O211" s="128">
        <v>123</v>
      </c>
      <c r="AE211" s="28" t="str">
        <f t="shared" si="31"/>
        <v>&lt;PrevisaoVAZAO Posto="205" MesReferencia="1"&gt; 56 92 174 192 113 69 53 51 41 29 63 123 &lt;/PrevisaoVAZAO&gt;</v>
      </c>
    </row>
    <row r="212" spans="2:31" x14ac:dyDescent="0.25">
      <c r="B212" s="125">
        <v>206</v>
      </c>
      <c r="C212" s="125" t="s">
        <v>268</v>
      </c>
      <c r="D212" s="126">
        <v>120</v>
      </c>
      <c r="E212" s="127">
        <v>300</v>
      </c>
      <c r="F212" s="127">
        <v>400</v>
      </c>
      <c r="G212" s="127">
        <v>323</v>
      </c>
      <c r="H212" s="127">
        <v>253</v>
      </c>
      <c r="I212" s="127">
        <v>184</v>
      </c>
      <c r="J212" s="127">
        <v>137</v>
      </c>
      <c r="K212" s="127">
        <v>93</v>
      </c>
      <c r="L212" s="127">
        <v>57</v>
      </c>
      <c r="M212" s="127">
        <v>42</v>
      </c>
      <c r="N212" s="127">
        <v>143</v>
      </c>
      <c r="O212" s="128">
        <v>290</v>
      </c>
      <c r="AE212" s="28" t="str">
        <f t="shared" si="31"/>
        <v>&lt;PrevisaoVAZAO Posto="206" MesReferencia="1"&gt; 120 300 400 323 253 184 137 93 57 42 143 290 &lt;/PrevisaoVAZAO&gt;</v>
      </c>
    </row>
    <row r="213" spans="2:31" x14ac:dyDescent="0.25">
      <c r="B213" s="125">
        <v>207</v>
      </c>
      <c r="C213" s="125" t="s">
        <v>165</v>
      </c>
      <c r="D213" s="126">
        <v>121</v>
      </c>
      <c r="E213" s="127">
        <v>301</v>
      </c>
      <c r="F213" s="127">
        <v>401</v>
      </c>
      <c r="G213" s="127">
        <v>326</v>
      </c>
      <c r="H213" s="127">
        <v>255</v>
      </c>
      <c r="I213" s="127">
        <v>186</v>
      </c>
      <c r="J213" s="127">
        <v>138</v>
      </c>
      <c r="K213" s="127">
        <v>94</v>
      </c>
      <c r="L213" s="127">
        <v>57</v>
      </c>
      <c r="M213" s="127">
        <v>42</v>
      </c>
      <c r="N213" s="127">
        <v>140</v>
      </c>
      <c r="O213" s="128">
        <v>294</v>
      </c>
      <c r="AE213" s="28" t="str">
        <f t="shared" ref="AE213:AE276" si="32">IF(B213="","",CONCATENATE("&lt;PrevisaoVAZAO Posto=""",B213,""" MesReferencia=""1""&gt; ",D213," ",E213," ",F213," ",G213," ",H213," ",I213," ",J213," ",K213," ",L213," ",M213," ",N213," ",O213," &lt;/PrevisaoVAZAO&gt;"))</f>
        <v>&lt;PrevisaoVAZAO Posto="207" MesReferencia="1"&gt; 121 301 401 326 255 186 138 94 57 42 140 294 &lt;/PrevisaoVAZAO&gt;</v>
      </c>
    </row>
    <row r="214" spans="2:31" x14ac:dyDescent="0.25">
      <c r="B214" s="125">
        <v>209</v>
      </c>
      <c r="C214" s="125" t="s">
        <v>269</v>
      </c>
      <c r="D214" s="126">
        <v>233</v>
      </c>
      <c r="E214" s="127">
        <v>297</v>
      </c>
      <c r="F214" s="127">
        <v>591</v>
      </c>
      <c r="G214" s="127">
        <v>657</v>
      </c>
      <c r="H214" s="127">
        <v>421</v>
      </c>
      <c r="I214" s="127">
        <v>262</v>
      </c>
      <c r="J214" s="127">
        <v>200</v>
      </c>
      <c r="K214" s="127">
        <v>179</v>
      </c>
      <c r="L214" s="127">
        <v>135</v>
      </c>
      <c r="M214" s="127">
        <v>97</v>
      </c>
      <c r="N214" s="127">
        <v>218</v>
      </c>
      <c r="O214" s="128">
        <v>462</v>
      </c>
      <c r="AE214" s="28" t="str">
        <f t="shared" si="32"/>
        <v>&lt;PrevisaoVAZAO Posto="209" MesReferencia="1"&gt; 233 297 591 657 421 262 200 179 135 97 218 462 &lt;/PrevisaoVAZAO&gt;</v>
      </c>
    </row>
    <row r="215" spans="2:31" x14ac:dyDescent="0.25">
      <c r="B215" s="125">
        <v>211</v>
      </c>
      <c r="C215" s="125" t="s">
        <v>270</v>
      </c>
      <c r="D215" s="126">
        <v>114</v>
      </c>
      <c r="E215" s="127">
        <v>236</v>
      </c>
      <c r="F215" s="127">
        <v>283</v>
      </c>
      <c r="G215" s="127">
        <v>191</v>
      </c>
      <c r="H215" s="127">
        <v>135</v>
      </c>
      <c r="I215" s="127">
        <v>102</v>
      </c>
      <c r="J215" s="127">
        <v>81</v>
      </c>
      <c r="K215" s="127">
        <v>81</v>
      </c>
      <c r="L215" s="127">
        <v>63</v>
      </c>
      <c r="M215" s="127">
        <v>47</v>
      </c>
      <c r="N215" s="127">
        <v>144</v>
      </c>
      <c r="O215" s="128">
        <v>180</v>
      </c>
      <c r="AE215" s="28" t="str">
        <f t="shared" si="32"/>
        <v>&lt;PrevisaoVAZAO Posto="211" MesReferencia="1"&gt; 114 236 283 191 135 102 81 81 63 47 144 180 &lt;/PrevisaoVAZAO&gt;</v>
      </c>
    </row>
    <row r="216" spans="2:31" x14ac:dyDescent="0.25">
      <c r="B216" s="125">
        <v>215</v>
      </c>
      <c r="C216" s="125" t="s">
        <v>271</v>
      </c>
      <c r="D216" s="126">
        <v>349</v>
      </c>
      <c r="E216" s="127">
        <v>290</v>
      </c>
      <c r="F216" s="127">
        <v>202</v>
      </c>
      <c r="G216" s="127">
        <v>197</v>
      </c>
      <c r="H216" s="127">
        <v>154</v>
      </c>
      <c r="I216" s="127">
        <v>377</v>
      </c>
      <c r="J216" s="127">
        <v>933</v>
      </c>
      <c r="K216" s="127">
        <v>312</v>
      </c>
      <c r="L216" s="127">
        <v>716</v>
      </c>
      <c r="M216" s="127">
        <v>566</v>
      </c>
      <c r="N216" s="127">
        <v>204</v>
      </c>
      <c r="O216" s="128">
        <v>267</v>
      </c>
      <c r="AE216" s="28" t="str">
        <f t="shared" si="32"/>
        <v>&lt;PrevisaoVAZAO Posto="215" MesReferencia="1"&gt; 349 290 202 197 154 377 933 312 716 566 204 267 &lt;/PrevisaoVAZAO&gt;</v>
      </c>
    </row>
    <row r="217" spans="2:31" x14ac:dyDescent="0.25">
      <c r="B217" s="125">
        <v>216</v>
      </c>
      <c r="C217" s="125" t="s">
        <v>272</v>
      </c>
      <c r="D217" s="126">
        <v>605</v>
      </c>
      <c r="E217" s="127">
        <v>500</v>
      </c>
      <c r="F217" s="127">
        <v>238</v>
      </c>
      <c r="G217" s="127">
        <v>201</v>
      </c>
      <c r="H217" s="127">
        <v>146</v>
      </c>
      <c r="I217" s="127">
        <v>450</v>
      </c>
      <c r="J217" s="127">
        <v>1001</v>
      </c>
      <c r="K217" s="127">
        <v>332</v>
      </c>
      <c r="L217" s="127">
        <v>520</v>
      </c>
      <c r="M217" s="127">
        <v>681</v>
      </c>
      <c r="N217" s="127">
        <v>371</v>
      </c>
      <c r="O217" s="128">
        <v>281</v>
      </c>
      <c r="AE217" s="28" t="str">
        <f t="shared" si="32"/>
        <v>&lt;PrevisaoVAZAO Posto="216" MesReferencia="1"&gt; 605 500 238 201 146 450 1001 332 520 681 371 281 &lt;/PrevisaoVAZAO&gt;</v>
      </c>
    </row>
    <row r="218" spans="2:31" x14ac:dyDescent="0.25">
      <c r="B218" s="125">
        <v>217</v>
      </c>
      <c r="C218" s="125" t="s">
        <v>273</v>
      </c>
      <c r="D218" s="126">
        <v>1288</v>
      </c>
      <c r="E218" s="127">
        <v>1011</v>
      </c>
      <c r="F218" s="127">
        <v>560</v>
      </c>
      <c r="G218" s="127">
        <v>542</v>
      </c>
      <c r="H218" s="127">
        <v>392</v>
      </c>
      <c r="I218" s="127">
        <v>1023</v>
      </c>
      <c r="J218" s="127">
        <v>2371</v>
      </c>
      <c r="K218" s="127">
        <v>897</v>
      </c>
      <c r="L218" s="127">
        <v>1531</v>
      </c>
      <c r="M218" s="127">
        <v>1541</v>
      </c>
      <c r="N218" s="127">
        <v>756</v>
      </c>
      <c r="O218" s="128">
        <v>697</v>
      </c>
      <c r="AE218" s="28" t="str">
        <f t="shared" si="32"/>
        <v>&lt;PrevisaoVAZAO Posto="217" MesReferencia="1"&gt; 1288 1011 560 542 392 1023 2371 897 1531 1541 756 697 &lt;/PrevisaoVAZAO&gt;</v>
      </c>
    </row>
    <row r="219" spans="2:31" x14ac:dyDescent="0.25">
      <c r="B219" s="125">
        <v>220</v>
      </c>
      <c r="C219" s="125" t="s">
        <v>274</v>
      </c>
      <c r="D219" s="126">
        <v>193</v>
      </c>
      <c r="E219" s="127">
        <v>88</v>
      </c>
      <c r="F219" s="127">
        <v>38</v>
      </c>
      <c r="G219" s="127">
        <v>53</v>
      </c>
      <c r="H219" s="127">
        <v>62</v>
      </c>
      <c r="I219" s="127">
        <v>104</v>
      </c>
      <c r="J219" s="127">
        <v>362</v>
      </c>
      <c r="K219" s="127">
        <v>142</v>
      </c>
      <c r="L219" s="127">
        <v>206</v>
      </c>
      <c r="M219" s="127">
        <v>136</v>
      </c>
      <c r="N219" s="127">
        <v>71</v>
      </c>
      <c r="O219" s="128">
        <v>52</v>
      </c>
      <c r="AE219" s="28" t="str">
        <f t="shared" si="32"/>
        <v>&lt;PrevisaoVAZAO Posto="220" MesReferencia="1"&gt; 193 88 38 53 62 104 362 142 206 136 71 52 &lt;/PrevisaoVAZAO&gt;</v>
      </c>
    </row>
    <row r="220" spans="2:31" x14ac:dyDescent="0.25">
      <c r="B220" s="125">
        <v>222</v>
      </c>
      <c r="C220" s="125" t="s">
        <v>275</v>
      </c>
      <c r="D220" s="126">
        <v>2321</v>
      </c>
      <c r="E220" s="127">
        <v>1656</v>
      </c>
      <c r="F220" s="127">
        <v>1458</v>
      </c>
      <c r="G220" s="127">
        <v>986</v>
      </c>
      <c r="H220" s="127">
        <v>1045</v>
      </c>
      <c r="I220" s="127">
        <v>1992</v>
      </c>
      <c r="J220" s="127">
        <v>4133</v>
      </c>
      <c r="K220" s="127">
        <v>1316</v>
      </c>
      <c r="L220" s="127">
        <v>3070</v>
      </c>
      <c r="M220" s="127">
        <v>2745</v>
      </c>
      <c r="N220" s="127">
        <v>1221</v>
      </c>
      <c r="O220" s="128">
        <v>933</v>
      </c>
      <c r="AE220" s="28" t="str">
        <f t="shared" si="32"/>
        <v>&lt;PrevisaoVAZAO Posto="222" MesReferencia="1"&gt; 2321 1656 1458 986 1045 1992 4133 1316 3070 2745 1221 933 &lt;/PrevisaoVAZAO&gt;</v>
      </c>
    </row>
    <row r="221" spans="2:31" x14ac:dyDescent="0.25">
      <c r="B221" s="125">
        <v>225</v>
      </c>
      <c r="C221" s="125" t="s">
        <v>276</v>
      </c>
      <c r="D221" s="126">
        <v>379</v>
      </c>
      <c r="E221" s="127">
        <v>470</v>
      </c>
      <c r="F221" s="127">
        <v>506</v>
      </c>
      <c r="G221" s="127">
        <v>370</v>
      </c>
      <c r="H221" s="127">
        <v>183</v>
      </c>
      <c r="I221" s="127">
        <v>72</v>
      </c>
      <c r="J221" s="127">
        <v>39</v>
      </c>
      <c r="K221" s="127">
        <v>25</v>
      </c>
      <c r="L221" s="127">
        <v>20</v>
      </c>
      <c r="M221" s="127">
        <v>31</v>
      </c>
      <c r="N221" s="127">
        <v>76</v>
      </c>
      <c r="O221" s="128">
        <v>212</v>
      </c>
      <c r="AE221" s="28" t="str">
        <f t="shared" si="32"/>
        <v>&lt;PrevisaoVAZAO Posto="225" MesReferencia="1"&gt; 379 470 506 370 183 72 39 25 20 31 76 212 &lt;/PrevisaoVAZAO&gt;</v>
      </c>
    </row>
    <row r="222" spans="2:31" x14ac:dyDescent="0.25">
      <c r="B222" s="125">
        <v>227</v>
      </c>
      <c r="C222" s="125" t="s">
        <v>277</v>
      </c>
      <c r="D222" s="126">
        <v>1154</v>
      </c>
      <c r="E222" s="127">
        <v>1452</v>
      </c>
      <c r="F222" s="127">
        <v>1667</v>
      </c>
      <c r="G222" s="127">
        <v>1496</v>
      </c>
      <c r="H222" s="127">
        <v>1193</v>
      </c>
      <c r="I222" s="127">
        <v>739</v>
      </c>
      <c r="J222" s="127">
        <v>560</v>
      </c>
      <c r="K222" s="127">
        <v>454</v>
      </c>
      <c r="L222" s="127">
        <v>435</v>
      </c>
      <c r="M222" s="127">
        <v>484</v>
      </c>
      <c r="N222" s="127">
        <v>592</v>
      </c>
      <c r="O222" s="128">
        <v>1066</v>
      </c>
      <c r="AE222" s="28" t="str">
        <f t="shared" si="32"/>
        <v>&lt;PrevisaoVAZAO Posto="227" MesReferencia="1"&gt; 1154 1452 1667 1496 1193 739 560 454 435 484 592 1066 &lt;/PrevisaoVAZAO&gt;</v>
      </c>
    </row>
    <row r="223" spans="2:31" x14ac:dyDescent="0.25">
      <c r="B223" s="125">
        <v>228</v>
      </c>
      <c r="C223" s="125" t="s">
        <v>278</v>
      </c>
      <c r="D223" s="126">
        <v>1262</v>
      </c>
      <c r="E223" s="127">
        <v>1584</v>
      </c>
      <c r="F223" s="127">
        <v>1821</v>
      </c>
      <c r="G223" s="127">
        <v>1633</v>
      </c>
      <c r="H223" s="127">
        <v>1299</v>
      </c>
      <c r="I223" s="127">
        <v>807</v>
      </c>
      <c r="J223" s="127">
        <v>610</v>
      </c>
      <c r="K223" s="127">
        <v>496</v>
      </c>
      <c r="L223" s="127">
        <v>476</v>
      </c>
      <c r="M223" s="127">
        <v>530</v>
      </c>
      <c r="N223" s="127">
        <v>646</v>
      </c>
      <c r="O223" s="128">
        <v>1164</v>
      </c>
      <c r="AE223" s="28" t="str">
        <f t="shared" si="32"/>
        <v>&lt;PrevisaoVAZAO Posto="228" MesReferencia="1"&gt; 1262 1584 1821 1633 1299 807 610 496 476 530 646 1164 &lt;/PrevisaoVAZAO&gt;</v>
      </c>
    </row>
    <row r="224" spans="2:31" x14ac:dyDescent="0.25">
      <c r="B224" s="125">
        <v>229</v>
      </c>
      <c r="C224" s="125" t="s">
        <v>279</v>
      </c>
      <c r="D224" s="126">
        <v>2736</v>
      </c>
      <c r="E224" s="127">
        <v>3807</v>
      </c>
      <c r="F224" s="127">
        <v>4659</v>
      </c>
      <c r="G224" s="127">
        <v>4374</v>
      </c>
      <c r="H224" s="127">
        <v>3497</v>
      </c>
      <c r="I224" s="127">
        <v>1717</v>
      </c>
      <c r="J224" s="127">
        <v>1140</v>
      </c>
      <c r="K224" s="127">
        <v>877</v>
      </c>
      <c r="L224" s="127">
        <v>812</v>
      </c>
      <c r="M224" s="127">
        <v>897</v>
      </c>
      <c r="N224" s="127">
        <v>1111</v>
      </c>
      <c r="O224" s="128">
        <v>2488</v>
      </c>
      <c r="AE224" s="28" t="str">
        <f t="shared" si="32"/>
        <v>&lt;PrevisaoVAZAO Posto="229" MesReferencia="1"&gt; 2736 3807 4659 4374 3497 1717 1140 877 812 897 1111 2488 &lt;/PrevisaoVAZAO&gt;</v>
      </c>
    </row>
    <row r="225" spans="2:31" x14ac:dyDescent="0.25">
      <c r="B225" s="125">
        <v>230</v>
      </c>
      <c r="C225" s="125" t="s">
        <v>280</v>
      </c>
      <c r="D225" s="126">
        <v>2760</v>
      </c>
      <c r="E225" s="127">
        <v>3841</v>
      </c>
      <c r="F225" s="127">
        <v>4701</v>
      </c>
      <c r="G225" s="127">
        <v>4414</v>
      </c>
      <c r="H225" s="127">
        <v>3528</v>
      </c>
      <c r="I225" s="127">
        <v>1732</v>
      </c>
      <c r="J225" s="127">
        <v>1150</v>
      </c>
      <c r="K225" s="127">
        <v>885</v>
      </c>
      <c r="L225" s="127">
        <v>820</v>
      </c>
      <c r="M225" s="127">
        <v>905</v>
      </c>
      <c r="N225" s="127">
        <v>1120</v>
      </c>
      <c r="O225" s="128">
        <v>2510</v>
      </c>
      <c r="AE225" s="28" t="str">
        <f t="shared" si="32"/>
        <v>&lt;PrevisaoVAZAO Posto="230" MesReferencia="1"&gt; 2760 3841 4701 4414 3528 1732 1150 885 820 905 1120 2510 &lt;/PrevisaoVAZAO&gt;</v>
      </c>
    </row>
    <row r="226" spans="2:31" x14ac:dyDescent="0.25">
      <c r="B226" s="125">
        <v>237</v>
      </c>
      <c r="C226" s="125" t="s">
        <v>170</v>
      </c>
      <c r="D226" s="126">
        <v>268</v>
      </c>
      <c r="E226" s="127">
        <v>673</v>
      </c>
      <c r="F226" s="127">
        <v>645</v>
      </c>
      <c r="G226" s="127">
        <v>286</v>
      </c>
      <c r="H226" s="127">
        <v>254</v>
      </c>
      <c r="I226" s="127">
        <v>220</v>
      </c>
      <c r="J226" s="127">
        <v>267</v>
      </c>
      <c r="K226" s="127">
        <v>148</v>
      </c>
      <c r="L226" s="127">
        <v>198</v>
      </c>
      <c r="M226" s="127">
        <v>113</v>
      </c>
      <c r="N226" s="127">
        <v>215</v>
      </c>
      <c r="O226" s="128">
        <v>358</v>
      </c>
      <c r="AE226" s="28" t="str">
        <f t="shared" si="32"/>
        <v>&lt;PrevisaoVAZAO Posto="237" MesReferencia="1"&gt; 268 673 645 286 254 220 267 148 198 113 215 358 &lt;/PrevisaoVAZAO&gt;</v>
      </c>
    </row>
    <row r="227" spans="2:31" x14ac:dyDescent="0.25">
      <c r="B227" s="125">
        <v>238</v>
      </c>
      <c r="C227" s="125" t="s">
        <v>171</v>
      </c>
      <c r="D227" s="126">
        <v>318</v>
      </c>
      <c r="E227" s="127">
        <v>725</v>
      </c>
      <c r="F227" s="127">
        <v>708</v>
      </c>
      <c r="G227" s="127">
        <v>330</v>
      </c>
      <c r="H227" s="127">
        <v>292</v>
      </c>
      <c r="I227" s="127">
        <v>261</v>
      </c>
      <c r="J227" s="127">
        <v>309</v>
      </c>
      <c r="K227" s="127">
        <v>176</v>
      </c>
      <c r="L227" s="127">
        <v>224</v>
      </c>
      <c r="M227" s="127">
        <v>134</v>
      </c>
      <c r="N227" s="127">
        <v>251</v>
      </c>
      <c r="O227" s="128">
        <v>405</v>
      </c>
      <c r="AE227" s="28" t="str">
        <f t="shared" si="32"/>
        <v>&lt;PrevisaoVAZAO Posto="238" MesReferencia="1"&gt; 318 725 708 330 292 261 309 176 224 134 251 405 &lt;/PrevisaoVAZAO&gt;</v>
      </c>
    </row>
    <row r="228" spans="2:31" x14ac:dyDescent="0.25">
      <c r="B228" s="125">
        <v>239</v>
      </c>
      <c r="C228" s="125" t="s">
        <v>172</v>
      </c>
      <c r="D228" s="126">
        <v>411</v>
      </c>
      <c r="E228" s="127">
        <v>829</v>
      </c>
      <c r="F228" s="127">
        <v>826</v>
      </c>
      <c r="G228" s="127">
        <v>410</v>
      </c>
      <c r="H228" s="127">
        <v>368</v>
      </c>
      <c r="I228" s="127">
        <v>337</v>
      </c>
      <c r="J228" s="127">
        <v>391</v>
      </c>
      <c r="K228" s="127">
        <v>229</v>
      </c>
      <c r="L228" s="127">
        <v>277</v>
      </c>
      <c r="M228" s="127">
        <v>171</v>
      </c>
      <c r="N228" s="127">
        <v>319</v>
      </c>
      <c r="O228" s="128">
        <v>502</v>
      </c>
      <c r="AE228" s="28" t="str">
        <f t="shared" si="32"/>
        <v>&lt;PrevisaoVAZAO Posto="239" MesReferencia="1"&gt; 411 829 826 410 368 337 391 229 277 171 319 502 &lt;/PrevisaoVAZAO&gt;</v>
      </c>
    </row>
    <row r="229" spans="2:31" x14ac:dyDescent="0.25">
      <c r="B229" s="125">
        <v>240</v>
      </c>
      <c r="C229" s="125" t="s">
        <v>173</v>
      </c>
      <c r="D229" s="126">
        <v>477</v>
      </c>
      <c r="E229" s="127">
        <v>954</v>
      </c>
      <c r="F229" s="127">
        <v>946</v>
      </c>
      <c r="G229" s="127">
        <v>493</v>
      </c>
      <c r="H229" s="127">
        <v>467</v>
      </c>
      <c r="I229" s="127">
        <v>431</v>
      </c>
      <c r="J229" s="127">
        <v>493</v>
      </c>
      <c r="K229" s="127">
        <v>274</v>
      </c>
      <c r="L229" s="127">
        <v>321</v>
      </c>
      <c r="M229" s="127">
        <v>215</v>
      </c>
      <c r="N229" s="127">
        <v>386</v>
      </c>
      <c r="O229" s="128">
        <v>631</v>
      </c>
      <c r="AE229" s="28" t="str">
        <f t="shared" si="32"/>
        <v>&lt;PrevisaoVAZAO Posto="240" MesReferencia="1"&gt; 477 954 946 493 467 431 493 274 321 215 386 631 &lt;/PrevisaoVAZAO&gt;</v>
      </c>
    </row>
    <row r="230" spans="2:31" x14ac:dyDescent="0.25">
      <c r="B230" s="125">
        <v>241</v>
      </c>
      <c r="C230" s="125" t="s">
        <v>281</v>
      </c>
      <c r="D230" s="126">
        <v>153</v>
      </c>
      <c r="E230" s="127">
        <v>193</v>
      </c>
      <c r="F230" s="127">
        <v>267</v>
      </c>
      <c r="G230" s="127">
        <v>238</v>
      </c>
      <c r="H230" s="127">
        <v>205</v>
      </c>
      <c r="I230" s="127">
        <v>156</v>
      </c>
      <c r="J230" s="127">
        <v>147</v>
      </c>
      <c r="K230" s="127">
        <v>124</v>
      </c>
      <c r="L230" s="127">
        <v>120</v>
      </c>
      <c r="M230" s="127">
        <v>101</v>
      </c>
      <c r="N230" s="127">
        <v>149</v>
      </c>
      <c r="O230" s="128">
        <v>255</v>
      </c>
      <c r="AE230" s="28" t="str">
        <f t="shared" si="32"/>
        <v>&lt;PrevisaoVAZAO Posto="241" MesReferencia="1"&gt; 153 193 267 238 205 156 147 124 120 101 149 255 &lt;/PrevisaoVAZAO&gt;</v>
      </c>
    </row>
    <row r="231" spans="2:31" x14ac:dyDescent="0.25">
      <c r="B231" s="125">
        <v>242</v>
      </c>
      <c r="C231" s="125" t="s">
        <v>174</v>
      </c>
      <c r="D231" s="126">
        <v>502</v>
      </c>
      <c r="E231" s="127">
        <v>1007</v>
      </c>
      <c r="F231" s="127">
        <v>992</v>
      </c>
      <c r="G231" s="127">
        <v>526</v>
      </c>
      <c r="H231" s="127">
        <v>507</v>
      </c>
      <c r="I231" s="127">
        <v>468</v>
      </c>
      <c r="J231" s="127">
        <v>525</v>
      </c>
      <c r="K231" s="127">
        <v>293</v>
      </c>
      <c r="L231" s="127">
        <v>336</v>
      </c>
      <c r="M231" s="127">
        <v>233</v>
      </c>
      <c r="N231" s="127">
        <v>408</v>
      </c>
      <c r="O231" s="128">
        <v>684</v>
      </c>
      <c r="AE231" s="28" t="str">
        <f t="shared" si="32"/>
        <v>&lt;PrevisaoVAZAO Posto="242" MesReferencia="1"&gt; 502 1007 992 526 507 468 525 293 336 233 408 684 &lt;/PrevisaoVAZAO&gt;</v>
      </c>
    </row>
    <row r="232" spans="2:31" x14ac:dyDescent="0.25">
      <c r="B232" s="125">
        <v>243</v>
      </c>
      <c r="C232" s="125" t="s">
        <v>175</v>
      </c>
      <c r="D232" s="126">
        <v>522</v>
      </c>
      <c r="E232" s="127">
        <v>1045</v>
      </c>
      <c r="F232" s="127">
        <v>1037</v>
      </c>
      <c r="G232" s="127">
        <v>564</v>
      </c>
      <c r="H232" s="127">
        <v>536</v>
      </c>
      <c r="I232" s="127">
        <v>494</v>
      </c>
      <c r="J232" s="127">
        <v>543</v>
      </c>
      <c r="K232" s="127">
        <v>310</v>
      </c>
      <c r="L232" s="127">
        <v>331</v>
      </c>
      <c r="M232" s="127">
        <v>256</v>
      </c>
      <c r="N232" s="127">
        <v>395</v>
      </c>
      <c r="O232" s="128">
        <v>711</v>
      </c>
      <c r="AE232" s="28" t="str">
        <f t="shared" si="32"/>
        <v>&lt;PrevisaoVAZAO Posto="243" MesReferencia="1"&gt; 522 1045 1037 564 536 494 543 310 331 256 395 711 &lt;/PrevisaoVAZAO&gt;</v>
      </c>
    </row>
    <row r="233" spans="2:31" x14ac:dyDescent="0.25">
      <c r="B233" s="125">
        <v>244</v>
      </c>
      <c r="C233" s="125" t="s">
        <v>176</v>
      </c>
      <c r="D233" s="126">
        <v>3540</v>
      </c>
      <c r="E233" s="127">
        <v>5955</v>
      </c>
      <c r="F233" s="127">
        <v>7869</v>
      </c>
      <c r="G233" s="127">
        <v>6786</v>
      </c>
      <c r="H233" s="127">
        <v>5184</v>
      </c>
      <c r="I233" s="127">
        <v>3799</v>
      </c>
      <c r="J233" s="127">
        <v>3228</v>
      </c>
      <c r="K233" s="127">
        <v>2480</v>
      </c>
      <c r="L233" s="127">
        <v>1997</v>
      </c>
      <c r="M233" s="127">
        <v>1461</v>
      </c>
      <c r="N233" s="127">
        <v>2709</v>
      </c>
      <c r="O233" s="128">
        <v>6312</v>
      </c>
      <c r="AE233" s="28" t="str">
        <f t="shared" si="32"/>
        <v>&lt;PrevisaoVAZAO Posto="244" MesReferencia="1"&gt; 3540 5955 7869 6786 5184 3799 3228 2480 1997 1461 2709 6312 &lt;/PrevisaoVAZAO&gt;</v>
      </c>
    </row>
    <row r="234" spans="2:31" x14ac:dyDescent="0.25">
      <c r="B234" s="125">
        <v>245</v>
      </c>
      <c r="C234" s="125" t="s">
        <v>177</v>
      </c>
      <c r="D234" s="126">
        <v>3926</v>
      </c>
      <c r="E234" s="127">
        <v>6504</v>
      </c>
      <c r="F234" s="127">
        <v>8490</v>
      </c>
      <c r="G234" s="127">
        <v>7402</v>
      </c>
      <c r="H234" s="127">
        <v>5731</v>
      </c>
      <c r="I234" s="127">
        <v>4372</v>
      </c>
      <c r="J234" s="127">
        <v>3666</v>
      </c>
      <c r="K234" s="127">
        <v>2836</v>
      </c>
      <c r="L234" s="127">
        <v>2342</v>
      </c>
      <c r="M234" s="127">
        <v>1751</v>
      </c>
      <c r="N234" s="127">
        <v>3215</v>
      </c>
      <c r="O234" s="128">
        <v>7001</v>
      </c>
      <c r="AE234" s="28" t="str">
        <f t="shared" si="32"/>
        <v>&lt;PrevisaoVAZAO Posto="245" MesReferencia="1"&gt; 3926 6504 8490 7402 5731 4372 3666 2836 2342 1751 3215 7001 &lt;/PrevisaoVAZAO&gt;</v>
      </c>
    </row>
    <row r="235" spans="2:31" x14ac:dyDescent="0.25">
      <c r="B235" s="125">
        <v>246</v>
      </c>
      <c r="C235" s="125" t="s">
        <v>178</v>
      </c>
      <c r="D235" s="126">
        <v>4913</v>
      </c>
      <c r="E235" s="127">
        <v>7352</v>
      </c>
      <c r="F235" s="127">
        <v>9401</v>
      </c>
      <c r="G235" s="127">
        <v>8382</v>
      </c>
      <c r="H235" s="127">
        <v>6772</v>
      </c>
      <c r="I235" s="127">
        <v>5283</v>
      </c>
      <c r="J235" s="127">
        <v>4681</v>
      </c>
      <c r="K235" s="127">
        <v>3871</v>
      </c>
      <c r="L235" s="127">
        <v>3255</v>
      </c>
      <c r="M235" s="127">
        <v>2429</v>
      </c>
      <c r="N235" s="127">
        <v>3840</v>
      </c>
      <c r="O235" s="128">
        <v>7901</v>
      </c>
      <c r="AE235" s="28" t="str">
        <f t="shared" si="32"/>
        <v>&lt;PrevisaoVAZAO Posto="246" MesReferencia="1"&gt; 4913 7352 9401 8382 6772 5283 4681 3871 3255 2429 3840 7901 &lt;/PrevisaoVAZAO&gt;</v>
      </c>
    </row>
    <row r="236" spans="2:31" x14ac:dyDescent="0.25">
      <c r="B236" s="125">
        <v>247</v>
      </c>
      <c r="C236" s="125" t="s">
        <v>282</v>
      </c>
      <c r="D236" s="126">
        <v>149</v>
      </c>
      <c r="E236" s="127">
        <v>211</v>
      </c>
      <c r="F236" s="127">
        <v>335</v>
      </c>
      <c r="G236" s="127">
        <v>260</v>
      </c>
      <c r="H236" s="127">
        <v>215</v>
      </c>
      <c r="I236" s="127">
        <v>150</v>
      </c>
      <c r="J236" s="127">
        <v>126</v>
      </c>
      <c r="K236" s="127">
        <v>92</v>
      </c>
      <c r="L236" s="127">
        <v>88</v>
      </c>
      <c r="M236" s="127">
        <v>72</v>
      </c>
      <c r="N236" s="127">
        <v>136</v>
      </c>
      <c r="O236" s="128">
        <v>279</v>
      </c>
      <c r="AE236" s="28" t="str">
        <f t="shared" si="32"/>
        <v>&lt;PrevisaoVAZAO Posto="247" MesReferencia="1"&gt; 149 211 335 260 215 150 126 92 88 72 136 279 &lt;/PrevisaoVAZAO&gt;</v>
      </c>
    </row>
    <row r="237" spans="2:31" x14ac:dyDescent="0.25">
      <c r="B237" s="125">
        <v>248</v>
      </c>
      <c r="C237" s="125" t="s">
        <v>283</v>
      </c>
      <c r="D237" s="126">
        <v>156</v>
      </c>
      <c r="E237" s="127">
        <v>219</v>
      </c>
      <c r="F237" s="127">
        <v>348</v>
      </c>
      <c r="G237" s="127">
        <v>272</v>
      </c>
      <c r="H237" s="127">
        <v>224</v>
      </c>
      <c r="I237" s="127">
        <v>157</v>
      </c>
      <c r="J237" s="127">
        <v>131</v>
      </c>
      <c r="K237" s="127">
        <v>95</v>
      </c>
      <c r="L237" s="127">
        <v>91</v>
      </c>
      <c r="M237" s="127">
        <v>75</v>
      </c>
      <c r="N237" s="127">
        <v>140</v>
      </c>
      <c r="O237" s="128">
        <v>291</v>
      </c>
      <c r="AE237" s="28" t="str">
        <f t="shared" si="32"/>
        <v>&lt;PrevisaoVAZAO Posto="248" MesReferencia="1"&gt; 156 219 348 272 224 157 131 95 91 75 140 291 &lt;/PrevisaoVAZAO&gt;</v>
      </c>
    </row>
    <row r="238" spans="2:31" x14ac:dyDescent="0.25">
      <c r="B238" s="125">
        <v>249</v>
      </c>
      <c r="C238" s="125" t="s">
        <v>284</v>
      </c>
      <c r="D238" s="126">
        <v>267</v>
      </c>
      <c r="E238" s="127">
        <v>510</v>
      </c>
      <c r="F238" s="127">
        <v>524</v>
      </c>
      <c r="G238" s="127">
        <v>312</v>
      </c>
      <c r="H238" s="127">
        <v>315</v>
      </c>
      <c r="I238" s="127">
        <v>238</v>
      </c>
      <c r="J238" s="127">
        <v>470</v>
      </c>
      <c r="K238" s="127">
        <v>203</v>
      </c>
      <c r="L238" s="127">
        <v>285</v>
      </c>
      <c r="M238" s="127">
        <v>201</v>
      </c>
      <c r="N238" s="127">
        <v>210</v>
      </c>
      <c r="O238" s="128">
        <v>332</v>
      </c>
      <c r="AE238" s="28" t="str">
        <f t="shared" si="32"/>
        <v>&lt;PrevisaoVAZAO Posto="249" MesReferencia="1"&gt; 267 510 524 312 315 238 470 203 285 201 210 332 &lt;/PrevisaoVAZAO&gt;</v>
      </c>
    </row>
    <row r="239" spans="2:31" x14ac:dyDescent="0.25">
      <c r="B239" s="125">
        <v>251</v>
      </c>
      <c r="C239" s="125" t="s">
        <v>285</v>
      </c>
      <c r="D239" s="126">
        <v>93</v>
      </c>
      <c r="E239" s="127">
        <v>130</v>
      </c>
      <c r="F239" s="127">
        <v>274</v>
      </c>
      <c r="G239" s="127">
        <v>250</v>
      </c>
      <c r="H239" s="127">
        <v>166</v>
      </c>
      <c r="I239" s="127">
        <v>96</v>
      </c>
      <c r="J239" s="127">
        <v>69</v>
      </c>
      <c r="K239" s="127">
        <v>46</v>
      </c>
      <c r="L239" s="127">
        <v>32</v>
      </c>
      <c r="M239" s="127">
        <v>14</v>
      </c>
      <c r="N239" s="127">
        <v>72</v>
      </c>
      <c r="O239" s="128">
        <v>204</v>
      </c>
      <c r="AE239" s="28" t="str">
        <f t="shared" si="32"/>
        <v>&lt;PrevisaoVAZAO Posto="251" MesReferencia="1"&gt; 93 130 274 250 166 96 69 46 32 14 72 204 &lt;/PrevisaoVAZAO&gt;</v>
      </c>
    </row>
    <row r="240" spans="2:31" x14ac:dyDescent="0.25">
      <c r="B240" s="125">
        <v>252</v>
      </c>
      <c r="C240" s="125" t="s">
        <v>286</v>
      </c>
      <c r="D240" s="126">
        <v>92</v>
      </c>
      <c r="E240" s="127">
        <v>101</v>
      </c>
      <c r="F240" s="127">
        <v>109</v>
      </c>
      <c r="G240" s="127">
        <v>75</v>
      </c>
      <c r="H240" s="127">
        <v>72</v>
      </c>
      <c r="I240" s="127">
        <v>69</v>
      </c>
      <c r="J240" s="127">
        <v>64</v>
      </c>
      <c r="K240" s="127">
        <v>48</v>
      </c>
      <c r="L240" s="127">
        <v>47</v>
      </c>
      <c r="M240" s="127">
        <v>46</v>
      </c>
      <c r="N240" s="127">
        <v>73</v>
      </c>
      <c r="O240" s="128">
        <v>163</v>
      </c>
      <c r="AE240" s="28" t="str">
        <f t="shared" si="32"/>
        <v>&lt;PrevisaoVAZAO Posto="252" MesReferencia="1"&gt; 92 101 109 75 72 69 64 48 47 46 73 163 &lt;/PrevisaoVAZAO&gt;</v>
      </c>
    </row>
    <row r="241" spans="2:31" x14ac:dyDescent="0.25">
      <c r="B241" s="125">
        <v>253</v>
      </c>
      <c r="C241" s="125" t="s">
        <v>287</v>
      </c>
      <c r="D241" s="126">
        <v>444</v>
      </c>
      <c r="E241" s="127">
        <v>963</v>
      </c>
      <c r="F241" s="127">
        <v>1125</v>
      </c>
      <c r="G241" s="127">
        <v>1095</v>
      </c>
      <c r="H241" s="127">
        <v>758</v>
      </c>
      <c r="I241" s="127">
        <v>395</v>
      </c>
      <c r="J241" s="127">
        <v>280</v>
      </c>
      <c r="K241" s="127">
        <v>195</v>
      </c>
      <c r="L241" s="127">
        <v>167</v>
      </c>
      <c r="M241" s="127">
        <v>146</v>
      </c>
      <c r="N241" s="127">
        <v>434</v>
      </c>
      <c r="O241" s="128">
        <v>1035</v>
      </c>
      <c r="AE241" s="28" t="str">
        <f t="shared" si="32"/>
        <v>&lt;PrevisaoVAZAO Posto="253" MesReferencia="1"&gt; 444 963 1125 1095 758 395 280 195 167 146 434 1035 &lt;/PrevisaoVAZAO&gt;</v>
      </c>
    </row>
    <row r="242" spans="2:31" x14ac:dyDescent="0.25">
      <c r="B242" s="125">
        <v>254</v>
      </c>
      <c r="C242" s="125" t="s">
        <v>288</v>
      </c>
      <c r="D242" s="126">
        <v>39</v>
      </c>
      <c r="E242" s="127">
        <v>80</v>
      </c>
      <c r="F242" s="127">
        <v>62</v>
      </c>
      <c r="G242" s="127">
        <v>117</v>
      </c>
      <c r="H242" s="127">
        <v>140</v>
      </c>
      <c r="I242" s="127">
        <v>54</v>
      </c>
      <c r="J242" s="127">
        <v>63</v>
      </c>
      <c r="K242" s="127">
        <v>18</v>
      </c>
      <c r="L242" s="127">
        <v>12</v>
      </c>
      <c r="M242" s="127">
        <v>10</v>
      </c>
      <c r="N242" s="127">
        <v>79</v>
      </c>
      <c r="O242" s="128">
        <v>248</v>
      </c>
      <c r="AE242" s="28" t="str">
        <f t="shared" si="32"/>
        <v>&lt;PrevisaoVAZAO Posto="254" MesReferencia="1"&gt; 39 80 62 117 140 54 63 18 12 10 79 248 &lt;/PrevisaoVAZAO&gt;</v>
      </c>
    </row>
    <row r="243" spans="2:31" x14ac:dyDescent="0.25">
      <c r="B243" s="125">
        <v>255</v>
      </c>
      <c r="C243" s="125" t="s">
        <v>289</v>
      </c>
      <c r="D243" s="126">
        <v>17</v>
      </c>
      <c r="E243" s="127">
        <v>84</v>
      </c>
      <c r="F243" s="127">
        <v>57</v>
      </c>
      <c r="G243" s="127">
        <v>55</v>
      </c>
      <c r="H243" s="127">
        <v>29</v>
      </c>
      <c r="I243" s="127">
        <v>15</v>
      </c>
      <c r="J243" s="127">
        <v>11</v>
      </c>
      <c r="K243" s="127">
        <v>17</v>
      </c>
      <c r="L243" s="127">
        <v>7</v>
      </c>
      <c r="M243" s="127">
        <v>22</v>
      </c>
      <c r="N243" s="127">
        <v>114</v>
      </c>
      <c r="O243" s="128">
        <v>112</v>
      </c>
      <c r="AE243" s="28" t="str">
        <f t="shared" si="32"/>
        <v>&lt;PrevisaoVAZAO Posto="255" MesReferencia="1"&gt; 17 84 57 55 29 15 11 17 7 22 114 112 &lt;/PrevisaoVAZAO&gt;</v>
      </c>
    </row>
    <row r="244" spans="2:31" x14ac:dyDescent="0.25">
      <c r="B244" s="125">
        <v>257</v>
      </c>
      <c r="C244" s="125" t="s">
        <v>290</v>
      </c>
      <c r="D244" s="126">
        <v>784</v>
      </c>
      <c r="E244" s="127">
        <v>1547</v>
      </c>
      <c r="F244" s="127">
        <v>1877</v>
      </c>
      <c r="G244" s="127">
        <v>1948</v>
      </c>
      <c r="H244" s="127">
        <v>1335</v>
      </c>
      <c r="I244" s="127">
        <v>618</v>
      </c>
      <c r="J244" s="127">
        <v>411</v>
      </c>
      <c r="K244" s="127">
        <v>312</v>
      </c>
      <c r="L244" s="127">
        <v>284</v>
      </c>
      <c r="M244" s="127">
        <v>255</v>
      </c>
      <c r="N244" s="127">
        <v>708</v>
      </c>
      <c r="O244" s="128">
        <v>1714</v>
      </c>
      <c r="AE244" s="28" t="str">
        <f t="shared" si="32"/>
        <v>&lt;PrevisaoVAZAO Posto="257" MesReferencia="1"&gt; 784 1547 1877 1948 1335 618 411 312 284 255 708 1714 &lt;/PrevisaoVAZAO&gt;</v>
      </c>
    </row>
    <row r="245" spans="2:31" x14ac:dyDescent="0.25">
      <c r="B245" s="125">
        <v>258</v>
      </c>
      <c r="C245" s="125" t="s">
        <v>291</v>
      </c>
      <c r="D245" s="126">
        <v>22</v>
      </c>
      <c r="E245" s="127">
        <v>92</v>
      </c>
      <c r="F245" s="127">
        <v>66</v>
      </c>
      <c r="G245" s="127">
        <v>63</v>
      </c>
      <c r="H245" s="127">
        <v>36</v>
      </c>
      <c r="I245" s="127">
        <v>20</v>
      </c>
      <c r="J245" s="127">
        <v>16</v>
      </c>
      <c r="K245" s="127">
        <v>21</v>
      </c>
      <c r="L245" s="127">
        <v>9</v>
      </c>
      <c r="M245" s="127">
        <v>22</v>
      </c>
      <c r="N245" s="127">
        <v>131</v>
      </c>
      <c r="O245" s="128">
        <v>200</v>
      </c>
      <c r="AE245" s="28" t="str">
        <f t="shared" si="32"/>
        <v>&lt;PrevisaoVAZAO Posto="258" MesReferencia="1"&gt; 22 92 66 63 36 20 16 21 9 22 131 200 &lt;/PrevisaoVAZAO&gt;</v>
      </c>
    </row>
    <row r="246" spans="2:31" x14ac:dyDescent="0.25">
      <c r="B246" s="125">
        <v>259</v>
      </c>
      <c r="C246" s="125" t="s">
        <v>292</v>
      </c>
      <c r="D246" s="126">
        <v>92</v>
      </c>
      <c r="E246" s="127">
        <v>101</v>
      </c>
      <c r="F246" s="127">
        <v>109</v>
      </c>
      <c r="G246" s="127">
        <v>75</v>
      </c>
      <c r="H246" s="127">
        <v>72</v>
      </c>
      <c r="I246" s="127">
        <v>69</v>
      </c>
      <c r="J246" s="127">
        <v>64</v>
      </c>
      <c r="K246" s="127">
        <v>48</v>
      </c>
      <c r="L246" s="127">
        <v>47</v>
      </c>
      <c r="M246" s="127">
        <v>46</v>
      </c>
      <c r="N246" s="127">
        <v>73</v>
      </c>
      <c r="O246" s="128">
        <v>163</v>
      </c>
      <c r="AE246" s="28" t="str">
        <f t="shared" si="32"/>
        <v>&lt;PrevisaoVAZAO Posto="259" MesReferencia="1"&gt; 92 101 109 75 72 69 64 48 47 46 73 163 &lt;/PrevisaoVAZAO&gt;</v>
      </c>
    </row>
    <row r="247" spans="2:31" x14ac:dyDescent="0.25">
      <c r="B247" s="125">
        <v>261</v>
      </c>
      <c r="C247" s="125" t="s">
        <v>293</v>
      </c>
      <c r="D247" s="126">
        <v>168</v>
      </c>
      <c r="E247" s="127">
        <v>231</v>
      </c>
      <c r="F247" s="127">
        <v>368</v>
      </c>
      <c r="G247" s="127">
        <v>297</v>
      </c>
      <c r="H247" s="127">
        <v>240</v>
      </c>
      <c r="I247" s="127">
        <v>171</v>
      </c>
      <c r="J247" s="127">
        <v>142</v>
      </c>
      <c r="K247" s="127">
        <v>105</v>
      </c>
      <c r="L247" s="127">
        <v>96</v>
      </c>
      <c r="M247" s="127">
        <v>81</v>
      </c>
      <c r="N247" s="127">
        <v>137</v>
      </c>
      <c r="O247" s="128">
        <v>318</v>
      </c>
      <c r="AE247" s="28" t="str">
        <f t="shared" si="32"/>
        <v>&lt;PrevisaoVAZAO Posto="261" MesReferencia="1"&gt; 168 231 368 297 240 171 142 105 96 81 137 318 &lt;/PrevisaoVAZAO&gt;</v>
      </c>
    </row>
    <row r="248" spans="2:31" x14ac:dyDescent="0.25">
      <c r="B248" s="125">
        <v>262</v>
      </c>
      <c r="C248" s="125" t="s">
        <v>294</v>
      </c>
      <c r="D248" s="126">
        <v>20</v>
      </c>
      <c r="E248" s="127">
        <v>42</v>
      </c>
      <c r="F248" s="127">
        <v>44</v>
      </c>
      <c r="G248" s="127">
        <v>36</v>
      </c>
      <c r="H248" s="127">
        <v>34</v>
      </c>
      <c r="I248" s="127">
        <v>24</v>
      </c>
      <c r="J248" s="127">
        <v>18</v>
      </c>
      <c r="K248" s="127">
        <v>23</v>
      </c>
      <c r="L248" s="127">
        <v>18</v>
      </c>
      <c r="M248" s="127">
        <v>19</v>
      </c>
      <c r="N248" s="127">
        <v>45</v>
      </c>
      <c r="O248" s="128">
        <v>64</v>
      </c>
      <c r="AE248" s="28" t="str">
        <f t="shared" si="32"/>
        <v>&lt;PrevisaoVAZAO Posto="262" MesReferencia="1"&gt; 20 42 44 36 34 24 18 23 18 19 45 64 &lt;/PrevisaoVAZAO&gt;</v>
      </c>
    </row>
    <row r="249" spans="2:31" x14ac:dyDescent="0.25">
      <c r="B249" s="125">
        <v>263</v>
      </c>
      <c r="C249" s="125" t="s">
        <v>295</v>
      </c>
      <c r="D249" s="126">
        <v>42</v>
      </c>
      <c r="E249" s="127">
        <v>102</v>
      </c>
      <c r="F249" s="127">
        <v>86</v>
      </c>
      <c r="G249" s="127">
        <v>88</v>
      </c>
      <c r="H249" s="127">
        <v>73</v>
      </c>
      <c r="I249" s="127">
        <v>52</v>
      </c>
      <c r="J249" s="127">
        <v>39</v>
      </c>
      <c r="K249" s="127">
        <v>41</v>
      </c>
      <c r="L249" s="127">
        <v>30</v>
      </c>
      <c r="M249" s="127">
        <v>40</v>
      </c>
      <c r="N249" s="127">
        <v>101</v>
      </c>
      <c r="O249" s="128">
        <v>147</v>
      </c>
      <c r="AE249" s="28" t="str">
        <f t="shared" si="32"/>
        <v>&lt;PrevisaoVAZAO Posto="263" MesReferencia="1"&gt; 42 102 86 88 73 52 39 41 30 40 101 147 &lt;/PrevisaoVAZAO&gt;</v>
      </c>
    </row>
    <row r="250" spans="2:31" x14ac:dyDescent="0.25">
      <c r="B250" s="125">
        <v>265</v>
      </c>
      <c r="C250" s="125" t="s">
        <v>296</v>
      </c>
      <c r="D250" s="126">
        <v>8</v>
      </c>
      <c r="E250" s="127">
        <v>15</v>
      </c>
      <c r="F250" s="127">
        <v>11</v>
      </c>
      <c r="G250" s="127">
        <v>13</v>
      </c>
      <c r="H250" s="127">
        <v>15</v>
      </c>
      <c r="I250" s="127">
        <v>12</v>
      </c>
      <c r="J250" s="127">
        <v>7</v>
      </c>
      <c r="K250" s="127">
        <v>12</v>
      </c>
      <c r="L250" s="127">
        <v>9</v>
      </c>
      <c r="M250" s="127">
        <v>7</v>
      </c>
      <c r="N250" s="127">
        <v>15</v>
      </c>
      <c r="O250" s="128">
        <v>33</v>
      </c>
      <c r="AE250" s="28" t="str">
        <f t="shared" si="32"/>
        <v>&lt;PrevisaoVAZAO Posto="265" MesReferencia="1"&gt; 8 15 11 13 15 12 7 12 9 7 15 33 &lt;/PrevisaoVAZAO&gt;</v>
      </c>
    </row>
    <row r="251" spans="2:31" x14ac:dyDescent="0.25">
      <c r="B251" s="125">
        <v>266</v>
      </c>
      <c r="C251" s="125" t="s">
        <v>191</v>
      </c>
      <c r="D251" s="126">
        <v>9146</v>
      </c>
      <c r="E251" s="127">
        <v>11953</v>
      </c>
      <c r="F251" s="127">
        <v>13972</v>
      </c>
      <c r="G251" s="127">
        <v>12527</v>
      </c>
      <c r="H251" s="127">
        <v>11418</v>
      </c>
      <c r="I251" s="127">
        <v>9608</v>
      </c>
      <c r="J251" s="127">
        <v>15444</v>
      </c>
      <c r="K251" s="127">
        <v>7716</v>
      </c>
      <c r="L251" s="127">
        <v>7828</v>
      </c>
      <c r="M251" s="127">
        <v>7465</v>
      </c>
      <c r="N251" s="127">
        <v>7001</v>
      </c>
      <c r="O251" s="128">
        <v>11468</v>
      </c>
      <c r="AE251" s="28" t="str">
        <f t="shared" si="32"/>
        <v>&lt;PrevisaoVAZAO Posto="266" MesReferencia="1"&gt; 9146 11953 13972 12527 11418 9608 15444 7716 7828 7465 7001 11468 &lt;/PrevisaoVAZAO&gt;</v>
      </c>
    </row>
    <row r="252" spans="2:31" x14ac:dyDescent="0.25">
      <c r="B252" s="125">
        <v>267</v>
      </c>
      <c r="C252" s="125" t="s">
        <v>297</v>
      </c>
      <c r="D252" s="126">
        <v>50</v>
      </c>
      <c r="E252" s="127">
        <v>86</v>
      </c>
      <c r="F252" s="127">
        <v>88</v>
      </c>
      <c r="G252" s="127">
        <v>69</v>
      </c>
      <c r="H252" s="127">
        <v>59</v>
      </c>
      <c r="I252" s="127">
        <v>47</v>
      </c>
      <c r="J252" s="127">
        <v>43</v>
      </c>
      <c r="K252" s="127">
        <v>46</v>
      </c>
      <c r="L252" s="127">
        <v>38</v>
      </c>
      <c r="M252" s="127">
        <v>39</v>
      </c>
      <c r="N252" s="127">
        <v>79</v>
      </c>
      <c r="O252" s="128">
        <v>116</v>
      </c>
      <c r="AE252" s="28" t="str">
        <f t="shared" si="32"/>
        <v>&lt;PrevisaoVAZAO Posto="267" MesReferencia="1"&gt; 50 86 88 69 59 47 43 46 38 39 79 116 &lt;/PrevisaoVAZAO&gt;</v>
      </c>
    </row>
    <row r="253" spans="2:31" x14ac:dyDescent="0.25">
      <c r="B253" s="125">
        <v>269</v>
      </c>
      <c r="C253" s="125" t="s">
        <v>298</v>
      </c>
      <c r="D253" s="126">
        <v>615</v>
      </c>
      <c r="E253" s="127">
        <v>562</v>
      </c>
      <c r="F253" s="127">
        <v>886</v>
      </c>
      <c r="G253" s="127">
        <v>885</v>
      </c>
      <c r="H253" s="127">
        <v>1312</v>
      </c>
      <c r="I253" s="127">
        <v>772</v>
      </c>
      <c r="J253" s="127">
        <v>534</v>
      </c>
      <c r="K253" s="127">
        <v>476</v>
      </c>
      <c r="L253" s="127">
        <v>300</v>
      </c>
      <c r="M253" s="127">
        <v>597</v>
      </c>
      <c r="N253" s="127">
        <v>445</v>
      </c>
      <c r="O253" s="128">
        <v>422</v>
      </c>
      <c r="AE253" s="28" t="str">
        <f t="shared" si="32"/>
        <v>&lt;PrevisaoVAZAO Posto="269" MesReferencia="1"&gt; 615 562 886 885 1312 772 534 476 300 597 445 422 &lt;/PrevisaoVAZAO&gt;</v>
      </c>
    </row>
    <row r="254" spans="2:31" x14ac:dyDescent="0.25">
      <c r="B254" s="125">
        <v>270</v>
      </c>
      <c r="C254" s="125" t="s">
        <v>299</v>
      </c>
      <c r="D254" s="126">
        <v>354</v>
      </c>
      <c r="E254" s="127">
        <v>830</v>
      </c>
      <c r="F254" s="127">
        <v>936</v>
      </c>
      <c r="G254" s="127">
        <v>878</v>
      </c>
      <c r="H254" s="127">
        <v>596</v>
      </c>
      <c r="I254" s="127">
        <v>333</v>
      </c>
      <c r="J254" s="127">
        <v>246</v>
      </c>
      <c r="K254" s="127">
        <v>163</v>
      </c>
      <c r="L254" s="127">
        <v>139</v>
      </c>
      <c r="M254" s="127">
        <v>125</v>
      </c>
      <c r="N254" s="127">
        <v>375</v>
      </c>
      <c r="O254" s="128">
        <v>853</v>
      </c>
      <c r="AE254" s="28" t="str">
        <f t="shared" si="32"/>
        <v>&lt;PrevisaoVAZAO Posto="270" MesReferencia="1"&gt; 354 830 936 878 596 333 246 163 139 125 375 853 &lt;/PrevisaoVAZAO&gt;</v>
      </c>
    </row>
    <row r="255" spans="2:31" x14ac:dyDescent="0.25">
      <c r="B255" s="125">
        <v>271</v>
      </c>
      <c r="C255" s="125" t="s">
        <v>300</v>
      </c>
      <c r="D255" s="126">
        <v>2647</v>
      </c>
      <c r="E255" s="127">
        <v>3944</v>
      </c>
      <c r="F255" s="127">
        <v>4863</v>
      </c>
      <c r="G255" s="127">
        <v>5186</v>
      </c>
      <c r="H255" s="127">
        <v>4387</v>
      </c>
      <c r="I255" s="127">
        <v>1788</v>
      </c>
      <c r="J255" s="127">
        <v>1225</v>
      </c>
      <c r="K255" s="127">
        <v>987</v>
      </c>
      <c r="L255" s="127">
        <v>898</v>
      </c>
      <c r="M255" s="127">
        <v>950</v>
      </c>
      <c r="N255" s="127">
        <v>1855</v>
      </c>
      <c r="O255" s="128">
        <v>3679</v>
      </c>
      <c r="AE255" s="28" t="str">
        <f t="shared" si="32"/>
        <v>&lt;PrevisaoVAZAO Posto="271" MesReferencia="1"&gt; 2647 3944 4863 5186 4387 1788 1225 987 898 950 1855 3679 &lt;/PrevisaoVAZAO&gt;</v>
      </c>
    </row>
    <row r="256" spans="2:31" x14ac:dyDescent="0.25">
      <c r="B256" s="125">
        <v>273</v>
      </c>
      <c r="C256" s="125" t="s">
        <v>301</v>
      </c>
      <c r="D256" s="126">
        <v>1166</v>
      </c>
      <c r="E256" s="127">
        <v>2097</v>
      </c>
      <c r="F256" s="127">
        <v>2651</v>
      </c>
      <c r="G256" s="127">
        <v>2824</v>
      </c>
      <c r="H256" s="127">
        <v>2039</v>
      </c>
      <c r="I256" s="127">
        <v>881</v>
      </c>
      <c r="J256" s="127">
        <v>554</v>
      </c>
      <c r="K256" s="127">
        <v>446</v>
      </c>
      <c r="L256" s="127">
        <v>400</v>
      </c>
      <c r="M256" s="127">
        <v>355</v>
      </c>
      <c r="N256" s="127">
        <v>954</v>
      </c>
      <c r="O256" s="128">
        <v>2412</v>
      </c>
      <c r="AE256" s="28" t="str">
        <f t="shared" si="32"/>
        <v>&lt;PrevisaoVAZAO Posto="273" MesReferencia="1"&gt; 1166 2097 2651 2824 2039 881 554 446 400 355 954 2412 &lt;/PrevisaoVAZAO&gt;</v>
      </c>
    </row>
    <row r="257" spans="2:31" x14ac:dyDescent="0.25">
      <c r="B257" s="125">
        <v>274</v>
      </c>
      <c r="C257" s="125" t="s">
        <v>302</v>
      </c>
      <c r="D257" s="126">
        <v>3236</v>
      </c>
      <c r="E257" s="127">
        <v>4400</v>
      </c>
      <c r="F257" s="127">
        <v>6074</v>
      </c>
      <c r="G257" s="127">
        <v>7054</v>
      </c>
      <c r="H257" s="127">
        <v>5769</v>
      </c>
      <c r="I257" s="127">
        <v>2504</v>
      </c>
      <c r="J257" s="127">
        <v>1319</v>
      </c>
      <c r="K257" s="127">
        <v>840</v>
      </c>
      <c r="L257" s="127">
        <v>732</v>
      </c>
      <c r="M257" s="127">
        <v>744</v>
      </c>
      <c r="N257" s="127">
        <v>1534</v>
      </c>
      <c r="O257" s="128">
        <v>3520</v>
      </c>
      <c r="AE257" s="28" t="str">
        <f t="shared" si="32"/>
        <v>&lt;PrevisaoVAZAO Posto="274" MesReferencia="1"&gt; 3236 4400 6074 7054 5769 2504 1319 840 732 744 1534 3520 &lt;/PrevisaoVAZAO&gt;</v>
      </c>
    </row>
    <row r="258" spans="2:31" x14ac:dyDescent="0.25">
      <c r="B258" s="125">
        <v>275</v>
      </c>
      <c r="C258" s="125" t="s">
        <v>303</v>
      </c>
      <c r="D258" s="126">
        <v>9506</v>
      </c>
      <c r="E258" s="127">
        <v>11379</v>
      </c>
      <c r="F258" s="127">
        <v>16445</v>
      </c>
      <c r="G258" s="127">
        <v>19871</v>
      </c>
      <c r="H258" s="127">
        <v>17070</v>
      </c>
      <c r="I258" s="127">
        <v>7420</v>
      </c>
      <c r="J258" s="127">
        <v>3638</v>
      </c>
      <c r="K258" s="127">
        <v>2022</v>
      </c>
      <c r="L258" s="127">
        <v>1739</v>
      </c>
      <c r="M258" s="127">
        <v>1923</v>
      </c>
      <c r="N258" s="127">
        <v>3292</v>
      </c>
      <c r="O258" s="128">
        <v>6876</v>
      </c>
      <c r="AE258" s="28" t="str">
        <f t="shared" si="32"/>
        <v>&lt;PrevisaoVAZAO Posto="275" MesReferencia="1"&gt; 9506 11379 16445 19871 17070 7420 3638 2022 1739 1923 3292 6876 &lt;/PrevisaoVAZAO&gt;</v>
      </c>
    </row>
    <row r="259" spans="2:31" x14ac:dyDescent="0.25">
      <c r="B259" s="125">
        <v>276</v>
      </c>
      <c r="C259" s="125" t="s">
        <v>304</v>
      </c>
      <c r="D259" s="126">
        <v>5294</v>
      </c>
      <c r="E259" s="127">
        <v>5892</v>
      </c>
      <c r="F259" s="127">
        <v>8756</v>
      </c>
      <c r="G259" s="127">
        <v>10820</v>
      </c>
      <c r="H259" s="127">
        <v>9541</v>
      </c>
      <c r="I259" s="127">
        <v>4151</v>
      </c>
      <c r="J259" s="127">
        <v>1958</v>
      </c>
      <c r="K259" s="127">
        <v>1117</v>
      </c>
      <c r="L259" s="127">
        <v>941</v>
      </c>
      <c r="M259" s="127">
        <v>995</v>
      </c>
      <c r="N259" s="127">
        <v>1484</v>
      </c>
      <c r="O259" s="128">
        <v>2833</v>
      </c>
      <c r="AE259" s="28" t="str">
        <f t="shared" si="32"/>
        <v>&lt;PrevisaoVAZAO Posto="276" MesReferencia="1"&gt; 5294 5892 8756 10820 9541 4151 1958 1117 941 995 1484 2833 &lt;/PrevisaoVAZAO&gt;</v>
      </c>
    </row>
    <row r="260" spans="2:31" x14ac:dyDescent="0.25">
      <c r="B260" s="125">
        <v>277</v>
      </c>
      <c r="C260" s="125" t="s">
        <v>305</v>
      </c>
      <c r="D260" s="126">
        <v>156</v>
      </c>
      <c r="E260" s="127">
        <v>222</v>
      </c>
      <c r="F260" s="127">
        <v>307</v>
      </c>
      <c r="G260" s="127">
        <v>301</v>
      </c>
      <c r="H260" s="127">
        <v>281</v>
      </c>
      <c r="I260" s="127">
        <v>206</v>
      </c>
      <c r="J260" s="127">
        <v>142</v>
      </c>
      <c r="K260" s="127">
        <v>186</v>
      </c>
      <c r="L260" s="127">
        <v>165</v>
      </c>
      <c r="M260" s="127">
        <v>166</v>
      </c>
      <c r="N260" s="127">
        <v>155</v>
      </c>
      <c r="O260" s="128">
        <v>110</v>
      </c>
      <c r="AE260" s="28" t="str">
        <f t="shared" si="32"/>
        <v>&lt;PrevisaoVAZAO Posto="277" MesReferencia="1"&gt; 156 222 307 301 281 206 142 186 165 166 155 110 &lt;/PrevisaoVAZAO&gt;</v>
      </c>
    </row>
    <row r="261" spans="2:31" x14ac:dyDescent="0.25">
      <c r="B261" s="125">
        <v>278</v>
      </c>
      <c r="C261" s="125" t="s">
        <v>306</v>
      </c>
      <c r="D261" s="126">
        <v>120</v>
      </c>
      <c r="E261" s="127">
        <v>284</v>
      </c>
      <c r="F261" s="127">
        <v>287</v>
      </c>
      <c r="G261" s="127">
        <v>281</v>
      </c>
      <c r="H261" s="127">
        <v>143</v>
      </c>
      <c r="I261" s="127">
        <v>78</v>
      </c>
      <c r="J261" s="127">
        <v>71</v>
      </c>
      <c r="K261" s="127">
        <v>63</v>
      </c>
      <c r="L261" s="127">
        <v>69</v>
      </c>
      <c r="M261" s="127">
        <v>86</v>
      </c>
      <c r="N261" s="127">
        <v>156</v>
      </c>
      <c r="O261" s="128">
        <v>403</v>
      </c>
      <c r="AE261" s="28" t="str">
        <f t="shared" si="32"/>
        <v>&lt;PrevisaoVAZAO Posto="278" MesReferencia="1"&gt; 120 284 287 281 143 78 71 63 69 86 156 403 &lt;/PrevisaoVAZAO&gt;</v>
      </c>
    </row>
    <row r="262" spans="2:31" x14ac:dyDescent="0.25">
      <c r="B262" s="125">
        <v>279</v>
      </c>
      <c r="C262" s="125" t="s">
        <v>307</v>
      </c>
      <c r="D262" s="126">
        <v>678</v>
      </c>
      <c r="E262" s="127">
        <v>674</v>
      </c>
      <c r="F262" s="127">
        <v>999</v>
      </c>
      <c r="G262" s="127">
        <v>902</v>
      </c>
      <c r="H262" s="127">
        <v>762</v>
      </c>
      <c r="I262" s="127">
        <v>315</v>
      </c>
      <c r="J262" s="127">
        <v>117</v>
      </c>
      <c r="K262" s="127">
        <v>62</v>
      </c>
      <c r="L262" s="127">
        <v>77</v>
      </c>
      <c r="M262" s="127">
        <v>95</v>
      </c>
      <c r="N262" s="127">
        <v>162</v>
      </c>
      <c r="O262" s="128">
        <v>616</v>
      </c>
      <c r="AE262" s="28" t="str">
        <f t="shared" si="32"/>
        <v>&lt;PrevisaoVAZAO Posto="279" MesReferencia="1"&gt; 678 674 999 902 762 315 117 62 77 95 162 616 &lt;/PrevisaoVAZAO&gt;</v>
      </c>
    </row>
    <row r="263" spans="2:31" x14ac:dyDescent="0.25">
      <c r="B263" s="125">
        <v>280</v>
      </c>
      <c r="C263" s="125" t="s">
        <v>308</v>
      </c>
      <c r="D263" s="126">
        <v>281</v>
      </c>
      <c r="E263" s="127">
        <v>881</v>
      </c>
      <c r="F263" s="127">
        <v>1648</v>
      </c>
      <c r="G263" s="127">
        <v>2009</v>
      </c>
      <c r="H263" s="127">
        <v>2711</v>
      </c>
      <c r="I263" s="127">
        <v>1616</v>
      </c>
      <c r="J263" s="127">
        <v>1167</v>
      </c>
      <c r="K263" s="127">
        <v>875</v>
      </c>
      <c r="L263" s="127">
        <v>488</v>
      </c>
      <c r="M263" s="127">
        <v>357</v>
      </c>
      <c r="N263" s="127">
        <v>220</v>
      </c>
      <c r="O263" s="128">
        <v>218</v>
      </c>
      <c r="AE263" s="28" t="str">
        <f t="shared" si="32"/>
        <v>&lt;PrevisaoVAZAO Posto="280" MesReferencia="1"&gt; 281 881 1648 2009 2711 1616 1167 875 488 357 220 218 &lt;/PrevisaoVAZAO&gt;</v>
      </c>
    </row>
    <row r="264" spans="2:31" x14ac:dyDescent="0.25">
      <c r="B264" s="125">
        <v>281</v>
      </c>
      <c r="C264" s="125" t="s">
        <v>309</v>
      </c>
      <c r="D264" s="126">
        <v>90</v>
      </c>
      <c r="E264" s="127">
        <v>94</v>
      </c>
      <c r="F264" s="127">
        <v>97</v>
      </c>
      <c r="G264" s="127">
        <v>93</v>
      </c>
      <c r="H264" s="127">
        <v>91</v>
      </c>
      <c r="I264" s="127">
        <v>80</v>
      </c>
      <c r="J264" s="127">
        <v>75</v>
      </c>
      <c r="K264" s="127">
        <v>74</v>
      </c>
      <c r="L264" s="127">
        <v>76</v>
      </c>
      <c r="M264" s="127">
        <v>65</v>
      </c>
      <c r="N264" s="127">
        <v>81</v>
      </c>
      <c r="O264" s="128">
        <v>120</v>
      </c>
      <c r="AE264" s="28" t="str">
        <f t="shared" si="32"/>
        <v>&lt;PrevisaoVAZAO Posto="281" MesReferencia="1"&gt; 90 94 97 93 91 80 75 74 76 65 81 120 &lt;/PrevisaoVAZAO&gt;</v>
      </c>
    </row>
    <row r="265" spans="2:31" x14ac:dyDescent="0.25">
      <c r="B265" s="125">
        <v>282</v>
      </c>
      <c r="C265" s="125" t="s">
        <v>310</v>
      </c>
      <c r="D265" s="126">
        <v>86</v>
      </c>
      <c r="E265" s="127">
        <v>97</v>
      </c>
      <c r="F265" s="127">
        <v>113</v>
      </c>
      <c r="G265" s="127">
        <v>113</v>
      </c>
      <c r="H265" s="127">
        <v>104</v>
      </c>
      <c r="I265" s="127">
        <v>89</v>
      </c>
      <c r="J265" s="127">
        <v>83</v>
      </c>
      <c r="K265" s="127">
        <v>69</v>
      </c>
      <c r="L265" s="127">
        <v>64</v>
      </c>
      <c r="M265" s="127">
        <v>61</v>
      </c>
      <c r="N265" s="127">
        <v>85</v>
      </c>
      <c r="O265" s="128">
        <v>123</v>
      </c>
      <c r="AE265" s="28" t="str">
        <f t="shared" si="32"/>
        <v>&lt;PrevisaoVAZAO Posto="282" MesReferencia="1"&gt; 86 97 113 113 104 89 83 69 64 61 85 123 &lt;/PrevisaoVAZAO&gt;</v>
      </c>
    </row>
    <row r="266" spans="2:31" x14ac:dyDescent="0.25">
      <c r="B266" s="125">
        <v>283</v>
      </c>
      <c r="C266" s="125" t="s">
        <v>311</v>
      </c>
      <c r="D266" s="126">
        <v>24</v>
      </c>
      <c r="E266" s="127">
        <v>23</v>
      </c>
      <c r="F266" s="127">
        <v>33</v>
      </c>
      <c r="G266" s="127">
        <v>20</v>
      </c>
      <c r="H266" s="127">
        <v>28</v>
      </c>
      <c r="I266" s="127">
        <v>25</v>
      </c>
      <c r="J266" s="127">
        <v>25</v>
      </c>
      <c r="K266" s="127">
        <v>33</v>
      </c>
      <c r="L266" s="127">
        <v>15</v>
      </c>
      <c r="M266" s="127">
        <v>28</v>
      </c>
      <c r="N266" s="127">
        <v>133</v>
      </c>
      <c r="O266" s="128">
        <v>106</v>
      </c>
      <c r="AE266" s="28" t="str">
        <f t="shared" si="32"/>
        <v>&lt;PrevisaoVAZAO Posto="283" MesReferencia="1"&gt; 24 23 33 20 28 25 25 33 15 28 133 106 &lt;/PrevisaoVAZAO&gt;</v>
      </c>
    </row>
    <row r="267" spans="2:31" x14ac:dyDescent="0.25">
      <c r="B267" s="125">
        <v>284</v>
      </c>
      <c r="C267" s="125" t="s">
        <v>312</v>
      </c>
      <c r="D267" s="126">
        <v>252</v>
      </c>
      <c r="E267" s="127">
        <v>225</v>
      </c>
      <c r="F267" s="127">
        <v>129</v>
      </c>
      <c r="G267" s="127">
        <v>195</v>
      </c>
      <c r="H267" s="127">
        <v>235</v>
      </c>
      <c r="I267" s="127">
        <v>537</v>
      </c>
      <c r="J267" s="127">
        <v>1036</v>
      </c>
      <c r="K267" s="127">
        <v>359</v>
      </c>
      <c r="L267" s="127">
        <v>744</v>
      </c>
      <c r="M267" s="127">
        <v>640</v>
      </c>
      <c r="N267" s="127">
        <v>197</v>
      </c>
      <c r="O267" s="128">
        <v>196</v>
      </c>
      <c r="AE267" s="28" t="str">
        <f t="shared" si="32"/>
        <v>&lt;PrevisaoVAZAO Posto="284" MesReferencia="1"&gt; 252 225 129 195 235 537 1036 359 744 640 197 196 &lt;/PrevisaoVAZAO&gt;</v>
      </c>
    </row>
    <row r="268" spans="2:31" x14ac:dyDescent="0.25">
      <c r="B268" s="125">
        <v>285</v>
      </c>
      <c r="C268" s="125" t="s">
        <v>313</v>
      </c>
      <c r="D268" s="126">
        <v>29787</v>
      </c>
      <c r="E268" s="127">
        <v>35922</v>
      </c>
      <c r="F268" s="127">
        <v>39994</v>
      </c>
      <c r="G268" s="127">
        <v>33176</v>
      </c>
      <c r="H268" s="127">
        <v>34444</v>
      </c>
      <c r="I268" s="127">
        <v>28870</v>
      </c>
      <c r="J268" s="127">
        <v>20211</v>
      </c>
      <c r="K268" s="127">
        <v>10741</v>
      </c>
      <c r="L268" s="127">
        <v>6138</v>
      </c>
      <c r="M268" s="127">
        <v>5705</v>
      </c>
      <c r="N268" s="127">
        <v>7902</v>
      </c>
      <c r="O268" s="128">
        <v>16439</v>
      </c>
      <c r="AE268" s="28" t="str">
        <f t="shared" si="32"/>
        <v>&lt;PrevisaoVAZAO Posto="285" MesReferencia="1"&gt; 29787 35922 39994 33176 34444 28870 20211 10741 6138 5705 7902 16439 &lt;/PrevisaoVAZAO&gt;</v>
      </c>
    </row>
    <row r="269" spans="2:31" x14ac:dyDescent="0.25">
      <c r="B269" s="125">
        <v>286</v>
      </c>
      <c r="C269" s="125" t="s">
        <v>314</v>
      </c>
      <c r="D269" s="126">
        <v>132</v>
      </c>
      <c r="E269" s="127">
        <v>73</v>
      </c>
      <c r="F269" s="127">
        <v>52</v>
      </c>
      <c r="G269" s="127">
        <v>41</v>
      </c>
      <c r="H269" s="127">
        <v>73</v>
      </c>
      <c r="I269" s="127">
        <v>167</v>
      </c>
      <c r="J269" s="127">
        <v>238</v>
      </c>
      <c r="K269" s="127">
        <v>103</v>
      </c>
      <c r="L269" s="127">
        <v>170</v>
      </c>
      <c r="M269" s="127">
        <v>195</v>
      </c>
      <c r="N269" s="127">
        <v>56</v>
      </c>
      <c r="O269" s="128">
        <v>47</v>
      </c>
      <c r="AE269" s="28" t="str">
        <f t="shared" si="32"/>
        <v>&lt;PrevisaoVAZAO Posto="286" MesReferencia="1"&gt; 132 73 52 41 73 167 238 103 170 195 56 47 &lt;/PrevisaoVAZAO&gt;</v>
      </c>
    </row>
    <row r="270" spans="2:31" x14ac:dyDescent="0.25">
      <c r="B270" s="125">
        <v>287</v>
      </c>
      <c r="C270" s="125" t="s">
        <v>315</v>
      </c>
      <c r="D270" s="126">
        <v>29863</v>
      </c>
      <c r="E270" s="127">
        <v>36274</v>
      </c>
      <c r="F270" s="127">
        <v>40743</v>
      </c>
      <c r="G270" s="127">
        <v>33762</v>
      </c>
      <c r="H270" s="127">
        <v>34970</v>
      </c>
      <c r="I270" s="127">
        <v>29694</v>
      </c>
      <c r="J270" s="127">
        <v>20675</v>
      </c>
      <c r="K270" s="127">
        <v>11213</v>
      </c>
      <c r="L270" s="127">
        <v>6223</v>
      </c>
      <c r="M270" s="127">
        <v>5855</v>
      </c>
      <c r="N270" s="127">
        <v>7804</v>
      </c>
      <c r="O270" s="128">
        <v>16356</v>
      </c>
      <c r="AE270" s="28" t="str">
        <f t="shared" si="32"/>
        <v>&lt;PrevisaoVAZAO Posto="287" MesReferencia="1"&gt; 29863 36274 40743 33762 34970 29694 20675 11213 6223 5855 7804 16356 &lt;/PrevisaoVAZAO&gt;</v>
      </c>
    </row>
    <row r="271" spans="2:31" x14ac:dyDescent="0.25">
      <c r="B271" s="125">
        <v>288</v>
      </c>
      <c r="C271" s="125" t="s">
        <v>316</v>
      </c>
      <c r="D271" s="126">
        <v>8125</v>
      </c>
      <c r="E271" s="127">
        <v>13406</v>
      </c>
      <c r="F271" s="127">
        <v>18188</v>
      </c>
      <c r="G271" s="127">
        <v>21466</v>
      </c>
      <c r="H271" s="127">
        <v>15553</v>
      </c>
      <c r="I271" s="127">
        <v>7399</v>
      </c>
      <c r="J271" s="127">
        <v>2952</v>
      </c>
      <c r="K271" s="127">
        <v>1429</v>
      </c>
      <c r="L271" s="127">
        <v>983</v>
      </c>
      <c r="M271" s="127">
        <v>1115</v>
      </c>
      <c r="N271" s="127">
        <v>1908</v>
      </c>
      <c r="O271" s="128">
        <v>3893</v>
      </c>
      <c r="AE271" s="28" t="str">
        <f t="shared" si="32"/>
        <v>&lt;PrevisaoVAZAO Posto="288" MesReferencia="1"&gt; 8125 13406 18188 21466 15553 7399 2952 1429 983 1115 1908 3893 &lt;/PrevisaoVAZAO&gt;</v>
      </c>
    </row>
    <row r="272" spans="2:31" x14ac:dyDescent="0.25">
      <c r="B272" s="125">
        <v>289</v>
      </c>
      <c r="C272" s="125" t="s">
        <v>317</v>
      </c>
      <c r="D272" s="126">
        <v>56</v>
      </c>
      <c r="E272" s="127">
        <v>64</v>
      </c>
      <c r="F272" s="127">
        <v>74</v>
      </c>
      <c r="G272" s="127">
        <v>74</v>
      </c>
      <c r="H272" s="127">
        <v>69</v>
      </c>
      <c r="I272" s="127">
        <v>59</v>
      </c>
      <c r="J272" s="127">
        <v>55</v>
      </c>
      <c r="K272" s="127">
        <v>45</v>
      </c>
      <c r="L272" s="127">
        <v>42</v>
      </c>
      <c r="M272" s="127">
        <v>40</v>
      </c>
      <c r="N272" s="127">
        <v>56</v>
      </c>
      <c r="O272" s="128">
        <v>81</v>
      </c>
      <c r="AE272" s="28" t="str">
        <f t="shared" si="32"/>
        <v>&lt;PrevisaoVAZAO Posto="289" MesReferencia="1"&gt; 56 64 74 74 69 59 55 45 42 40 56 81 &lt;/PrevisaoVAZAO&gt;</v>
      </c>
    </row>
    <row r="273" spans="2:31" x14ac:dyDescent="0.25">
      <c r="B273" s="125">
        <v>290</v>
      </c>
      <c r="C273" s="125" t="s">
        <v>318</v>
      </c>
      <c r="D273" s="126">
        <v>265</v>
      </c>
      <c r="E273" s="127">
        <v>810</v>
      </c>
      <c r="F273" s="127">
        <v>1595</v>
      </c>
      <c r="G273" s="127">
        <v>1871</v>
      </c>
      <c r="H273" s="127">
        <v>2438</v>
      </c>
      <c r="I273" s="127">
        <v>1740</v>
      </c>
      <c r="J273" s="127">
        <v>1170</v>
      </c>
      <c r="K273" s="127">
        <v>1302</v>
      </c>
      <c r="L273" s="127">
        <v>714</v>
      </c>
      <c r="M273" s="127">
        <v>433</v>
      </c>
      <c r="N273" s="127">
        <v>224</v>
      </c>
      <c r="O273" s="128">
        <v>228</v>
      </c>
      <c r="AE273" s="28" t="str">
        <f t="shared" si="32"/>
        <v>&lt;PrevisaoVAZAO Posto="290" MesReferencia="1"&gt; 265 810 1595 1871 2438 1740 1170 1302 714 433 224 228 &lt;/PrevisaoVAZAO&gt;</v>
      </c>
    </row>
    <row r="274" spans="2:31" x14ac:dyDescent="0.25">
      <c r="B274" s="125">
        <v>291</v>
      </c>
      <c r="C274" s="125" t="s">
        <v>319</v>
      </c>
      <c r="D274" s="126">
        <v>208</v>
      </c>
      <c r="E274" s="127">
        <v>468</v>
      </c>
      <c r="F274" s="127">
        <v>815</v>
      </c>
      <c r="G274" s="127">
        <v>707</v>
      </c>
      <c r="H274" s="127">
        <v>477</v>
      </c>
      <c r="I274" s="127">
        <v>252</v>
      </c>
      <c r="J274" s="127">
        <v>131</v>
      </c>
      <c r="K274" s="127">
        <v>80</v>
      </c>
      <c r="L274" s="127">
        <v>55</v>
      </c>
      <c r="M274" s="127">
        <v>41</v>
      </c>
      <c r="N274" s="127">
        <v>93</v>
      </c>
      <c r="O274" s="128">
        <v>206</v>
      </c>
      <c r="AE274" s="28" t="str">
        <f t="shared" si="32"/>
        <v>&lt;PrevisaoVAZAO Posto="291" MesReferencia="1"&gt; 208 468 815 707 477 252 131 80 55 41 93 206 &lt;/PrevisaoVAZAO&gt;</v>
      </c>
    </row>
    <row r="275" spans="2:31" x14ac:dyDescent="0.25">
      <c r="B275" s="125">
        <v>292</v>
      </c>
      <c r="C275" s="125" t="s">
        <v>316</v>
      </c>
      <c r="D275" s="126">
        <v>7025</v>
      </c>
      <c r="E275" s="127">
        <v>11806</v>
      </c>
      <c r="F275" s="127">
        <v>14929</v>
      </c>
      <c r="G275" s="127">
        <v>15442</v>
      </c>
      <c r="H275" s="127">
        <v>12640</v>
      </c>
      <c r="I275" s="127">
        <v>5794</v>
      </c>
      <c r="J275" s="127">
        <v>1850</v>
      </c>
      <c r="K275" s="127">
        <v>622</v>
      </c>
      <c r="L275" s="127">
        <v>312</v>
      </c>
      <c r="M275" s="127">
        <v>428</v>
      </c>
      <c r="N275" s="127">
        <v>1111</v>
      </c>
      <c r="O275" s="128">
        <v>2993</v>
      </c>
      <c r="AE275" s="28" t="str">
        <f t="shared" si="32"/>
        <v>&lt;PrevisaoVAZAO Posto="292" MesReferencia="1"&gt; 7025 11806 14929 15442 12640 5794 1850 622 312 428 1111 2993 &lt;/PrevisaoVAZAO&gt;</v>
      </c>
    </row>
    <row r="276" spans="2:31" x14ac:dyDescent="0.25">
      <c r="B276" s="125">
        <v>293</v>
      </c>
      <c r="C276" s="125" t="s">
        <v>316</v>
      </c>
      <c r="D276" s="126">
        <v>1669</v>
      </c>
      <c r="E276" s="127">
        <v>2538</v>
      </c>
      <c r="F276" s="127">
        <v>4532</v>
      </c>
      <c r="G276" s="127">
        <v>7527</v>
      </c>
      <c r="H276" s="127">
        <v>4002</v>
      </c>
      <c r="I276" s="127">
        <v>2123</v>
      </c>
      <c r="J276" s="127">
        <v>1308</v>
      </c>
      <c r="K276" s="127">
        <v>907</v>
      </c>
      <c r="L276" s="127">
        <v>740</v>
      </c>
      <c r="M276" s="127">
        <v>765</v>
      </c>
      <c r="N276" s="127">
        <v>931</v>
      </c>
      <c r="O276" s="128">
        <v>1173</v>
      </c>
      <c r="AE276" s="28" t="str">
        <f t="shared" si="32"/>
        <v>&lt;PrevisaoVAZAO Posto="293" MesReferencia="1"&gt; 1669 2538 4532 7527 4002 2123 1308 907 740 765 931 1173 &lt;/PrevisaoVAZAO&gt;</v>
      </c>
    </row>
    <row r="277" spans="2:31" x14ac:dyDescent="0.25">
      <c r="B277" s="125">
        <v>294</v>
      </c>
      <c r="C277" s="125" t="s">
        <v>320</v>
      </c>
      <c r="D277" s="126">
        <v>140</v>
      </c>
      <c r="E277" s="127">
        <v>179</v>
      </c>
      <c r="F277" s="127">
        <v>249</v>
      </c>
      <c r="G277" s="127">
        <v>216</v>
      </c>
      <c r="H277" s="127">
        <v>187</v>
      </c>
      <c r="I277" s="127">
        <v>142</v>
      </c>
      <c r="J277" s="127">
        <v>135</v>
      </c>
      <c r="K277" s="127">
        <v>112</v>
      </c>
      <c r="L277" s="127">
        <v>112</v>
      </c>
      <c r="M277" s="127">
        <v>92</v>
      </c>
      <c r="N277" s="127">
        <v>141</v>
      </c>
      <c r="O277" s="128">
        <v>232</v>
      </c>
      <c r="AE277" s="28" t="str">
        <f t="shared" ref="AE277:AE340" si="33">IF(B277="","",CONCATENATE("&lt;PrevisaoVAZAO Posto=""",B277,""" MesReferencia=""1""&gt; ",D277," ",E277," ",F277," ",G277," ",H277," ",I277," ",J277," ",K277," ",L277," ",M277," ",N277," ",O277," &lt;/PrevisaoVAZAO&gt;"))</f>
        <v>&lt;PrevisaoVAZAO Posto="294" MesReferencia="1"&gt; 140 179 249 216 187 142 135 112 112 92 141 232 &lt;/PrevisaoVAZAO&gt;</v>
      </c>
    </row>
    <row r="278" spans="2:31" x14ac:dyDescent="0.25">
      <c r="B278" s="125">
        <v>295</v>
      </c>
      <c r="C278" s="125" t="s">
        <v>321</v>
      </c>
      <c r="D278" s="126">
        <v>86</v>
      </c>
      <c r="E278" s="127">
        <v>79</v>
      </c>
      <c r="F278" s="127">
        <v>88</v>
      </c>
      <c r="G278" s="127">
        <v>88</v>
      </c>
      <c r="H278" s="127">
        <v>85</v>
      </c>
      <c r="I278" s="127">
        <v>76</v>
      </c>
      <c r="J278" s="127">
        <v>68</v>
      </c>
      <c r="K278" s="127">
        <v>76</v>
      </c>
      <c r="L278" s="127">
        <v>76</v>
      </c>
      <c r="M278" s="127">
        <v>73</v>
      </c>
      <c r="N278" s="127">
        <v>77</v>
      </c>
      <c r="O278" s="128">
        <v>87</v>
      </c>
      <c r="AE278" s="28" t="str">
        <f t="shared" si="33"/>
        <v>&lt;PrevisaoVAZAO Posto="295" MesReferencia="1"&gt; 86 79 88 88 85 76 68 76 76 73 77 87 &lt;/PrevisaoVAZAO&gt;</v>
      </c>
    </row>
    <row r="279" spans="2:31" x14ac:dyDescent="0.25">
      <c r="B279" s="125">
        <v>296</v>
      </c>
      <c r="C279" s="125" t="s">
        <v>322</v>
      </c>
      <c r="D279" s="126">
        <v>39</v>
      </c>
      <c r="E279" s="127">
        <v>37</v>
      </c>
      <c r="F279" s="127">
        <v>39</v>
      </c>
      <c r="G279" s="127">
        <v>43</v>
      </c>
      <c r="H279" s="127">
        <v>41</v>
      </c>
      <c r="I279" s="127">
        <v>37</v>
      </c>
      <c r="J279" s="127">
        <v>34</v>
      </c>
      <c r="K279" s="127">
        <v>35</v>
      </c>
      <c r="L279" s="127">
        <v>35</v>
      </c>
      <c r="M279" s="127">
        <v>34</v>
      </c>
      <c r="N279" s="127">
        <v>36</v>
      </c>
      <c r="O279" s="128">
        <v>39</v>
      </c>
      <c r="AE279" s="28" t="str">
        <f t="shared" si="33"/>
        <v>&lt;PrevisaoVAZAO Posto="296" MesReferencia="1"&gt; 39 37 39 43 41 37 34 35 35 34 36 39 &lt;/PrevisaoVAZAO&gt;</v>
      </c>
    </row>
    <row r="280" spans="2:31" x14ac:dyDescent="0.25">
      <c r="B280" s="125">
        <v>297</v>
      </c>
      <c r="C280" s="125" t="s">
        <v>323</v>
      </c>
      <c r="D280" s="126">
        <v>313</v>
      </c>
      <c r="E280" s="127">
        <v>861</v>
      </c>
      <c r="F280" s="127">
        <v>1663</v>
      </c>
      <c r="G280" s="127">
        <v>2027</v>
      </c>
      <c r="H280" s="127">
        <v>2735</v>
      </c>
      <c r="I280" s="127">
        <v>1631</v>
      </c>
      <c r="J280" s="127">
        <v>1177</v>
      </c>
      <c r="K280" s="127">
        <v>938</v>
      </c>
      <c r="L280" s="127">
        <v>501</v>
      </c>
      <c r="M280" s="127">
        <v>375</v>
      </c>
      <c r="N280" s="127">
        <v>229</v>
      </c>
      <c r="O280" s="128">
        <v>238</v>
      </c>
      <c r="AE280" s="28" t="str">
        <f t="shared" si="33"/>
        <v>&lt;PrevisaoVAZAO Posto="297" MesReferencia="1"&gt; 313 861 1663 2027 2735 1631 1177 938 501 375 229 238 &lt;/PrevisaoVAZAO&gt;</v>
      </c>
    </row>
    <row r="281" spans="2:31" x14ac:dyDescent="0.25">
      <c r="B281" s="125">
        <v>298</v>
      </c>
      <c r="C281" s="125" t="s">
        <v>230</v>
      </c>
      <c r="D281" s="126">
        <v>80</v>
      </c>
      <c r="E281" s="127">
        <v>160</v>
      </c>
      <c r="F281" s="127">
        <v>160</v>
      </c>
      <c r="G281" s="127">
        <v>114</v>
      </c>
      <c r="H281" s="127">
        <v>80</v>
      </c>
      <c r="I281" s="127">
        <v>74</v>
      </c>
      <c r="J281" s="127">
        <v>58</v>
      </c>
      <c r="K281" s="127">
        <v>59</v>
      </c>
      <c r="L281" s="127">
        <v>60</v>
      </c>
      <c r="M281" s="127">
        <v>51</v>
      </c>
      <c r="N281" s="127">
        <v>73</v>
      </c>
      <c r="O281" s="128">
        <v>91</v>
      </c>
      <c r="AE281" s="28" t="str">
        <f t="shared" si="33"/>
        <v>&lt;PrevisaoVAZAO Posto="298" MesReferencia="1"&gt; 80 160 160 114 80 74 58 59 60 51 73 91 &lt;/PrevisaoVAZAO&gt;</v>
      </c>
    </row>
    <row r="282" spans="2:31" x14ac:dyDescent="0.25">
      <c r="B282" s="125">
        <v>299</v>
      </c>
      <c r="C282" s="125" t="s">
        <v>234</v>
      </c>
      <c r="D282" s="126">
        <v>171</v>
      </c>
      <c r="E282" s="127">
        <v>319</v>
      </c>
      <c r="F282" s="127">
        <v>305</v>
      </c>
      <c r="G282" s="127">
        <v>247</v>
      </c>
      <c r="H282" s="127">
        <v>177</v>
      </c>
      <c r="I282" s="127">
        <v>152</v>
      </c>
      <c r="J282" s="127">
        <v>133</v>
      </c>
      <c r="K282" s="127">
        <v>148</v>
      </c>
      <c r="L282" s="127">
        <v>122</v>
      </c>
      <c r="M282" s="127">
        <v>103</v>
      </c>
      <c r="N282" s="127">
        <v>175</v>
      </c>
      <c r="O282" s="128">
        <v>204</v>
      </c>
      <c r="AE282" s="28" t="str">
        <f t="shared" si="33"/>
        <v>&lt;PrevisaoVAZAO Posto="299" MesReferencia="1"&gt; 171 319 305 247 177 152 133 148 122 103 175 204 &lt;/PrevisaoVAZAO&gt;</v>
      </c>
    </row>
    <row r="283" spans="2:31" x14ac:dyDescent="0.25">
      <c r="B283" s="125">
        <v>300</v>
      </c>
      <c r="C283" s="125" t="s">
        <v>324</v>
      </c>
      <c r="D283" s="126">
        <v>0</v>
      </c>
      <c r="E283" s="127">
        <v>0</v>
      </c>
      <c r="F283" s="127">
        <v>0</v>
      </c>
      <c r="G283" s="127">
        <v>0</v>
      </c>
      <c r="H283" s="127">
        <v>0</v>
      </c>
      <c r="I283" s="127">
        <v>0</v>
      </c>
      <c r="J283" s="127">
        <v>0</v>
      </c>
      <c r="K283" s="127">
        <v>0</v>
      </c>
      <c r="L283" s="127">
        <v>0</v>
      </c>
      <c r="M283" s="127">
        <v>0</v>
      </c>
      <c r="N283" s="127">
        <v>0</v>
      </c>
      <c r="O283" s="128">
        <v>0</v>
      </c>
      <c r="AE283" s="28" t="str">
        <f t="shared" si="33"/>
        <v>&lt;PrevisaoVAZAO Posto="300" MesReferencia="1"&gt; 0 0 0 0 0 0 0 0 0 0 0 0 &lt;/PrevisaoVAZAO&gt;</v>
      </c>
    </row>
    <row r="284" spans="2:31" x14ac:dyDescent="0.25">
      <c r="B284" s="125">
        <v>301</v>
      </c>
      <c r="C284" s="125" t="s">
        <v>325</v>
      </c>
      <c r="D284" s="126">
        <v>20</v>
      </c>
      <c r="E284" s="127">
        <v>33</v>
      </c>
      <c r="F284" s="127">
        <v>29</v>
      </c>
      <c r="G284" s="127">
        <v>16</v>
      </c>
      <c r="H284" s="127">
        <v>20</v>
      </c>
      <c r="I284" s="127">
        <v>17</v>
      </c>
      <c r="J284" s="127">
        <v>17</v>
      </c>
      <c r="K284" s="127">
        <v>13</v>
      </c>
      <c r="L284" s="127">
        <v>16</v>
      </c>
      <c r="M284" s="127">
        <v>11</v>
      </c>
      <c r="N284" s="127">
        <v>12</v>
      </c>
      <c r="O284" s="128">
        <v>28</v>
      </c>
      <c r="AE284" s="28" t="str">
        <f t="shared" si="33"/>
        <v>&lt;PrevisaoVAZAO Posto="301" MesReferencia="1"&gt; 20 33 29 16 20 17 17 13 16 11 12 28 &lt;/PrevisaoVAZAO&gt;</v>
      </c>
    </row>
    <row r="285" spans="2:31" x14ac:dyDescent="0.25">
      <c r="B285" s="125">
        <v>302</v>
      </c>
      <c r="C285" s="125" t="s">
        <v>316</v>
      </c>
      <c r="D285" s="126">
        <v>1232</v>
      </c>
      <c r="E285" s="127">
        <v>2641</v>
      </c>
      <c r="F285" s="127">
        <v>6228</v>
      </c>
      <c r="G285" s="127">
        <v>10039</v>
      </c>
      <c r="H285" s="127">
        <v>4806</v>
      </c>
      <c r="I285" s="127">
        <v>1605</v>
      </c>
      <c r="J285" s="127">
        <v>1101</v>
      </c>
      <c r="K285" s="127">
        <v>807</v>
      </c>
      <c r="L285" s="127">
        <v>671</v>
      </c>
      <c r="M285" s="127">
        <v>687</v>
      </c>
      <c r="N285" s="127">
        <v>797</v>
      </c>
      <c r="O285" s="128">
        <v>900</v>
      </c>
      <c r="AE285" s="28" t="str">
        <f t="shared" si="33"/>
        <v>&lt;PrevisaoVAZAO Posto="302" MesReferencia="1"&gt; 1232 2641 6228 10039 4806 1605 1101 807 671 687 797 900 &lt;/PrevisaoVAZAO&gt;</v>
      </c>
    </row>
    <row r="286" spans="2:31" x14ac:dyDescent="0.25">
      <c r="B286" s="125">
        <v>303</v>
      </c>
      <c r="C286" s="125" t="s">
        <v>326</v>
      </c>
      <c r="D286" s="126">
        <v>6</v>
      </c>
      <c r="E286" s="127">
        <v>38</v>
      </c>
      <c r="F286" s="127">
        <v>40</v>
      </c>
      <c r="G286" s="127">
        <v>17</v>
      </c>
      <c r="H286" s="127">
        <v>12</v>
      </c>
      <c r="I286" s="127">
        <v>11</v>
      </c>
      <c r="J286" s="127">
        <v>8</v>
      </c>
      <c r="K286" s="127">
        <v>8</v>
      </c>
      <c r="L286" s="127">
        <v>7</v>
      </c>
      <c r="M286" s="127">
        <v>5</v>
      </c>
      <c r="N286" s="127">
        <v>8</v>
      </c>
      <c r="O286" s="128">
        <v>10</v>
      </c>
      <c r="AE286" s="28" t="str">
        <f t="shared" si="33"/>
        <v>&lt;PrevisaoVAZAO Posto="303" MesReferencia="1"&gt; 6 38 40 17 12 11 8 8 7 5 8 10 &lt;/PrevisaoVAZAO&gt;</v>
      </c>
    </row>
    <row r="287" spans="2:31" x14ac:dyDescent="0.25">
      <c r="B287" s="125">
        <v>304</v>
      </c>
      <c r="C287" s="125" t="s">
        <v>265</v>
      </c>
      <c r="D287" s="126">
        <v>0</v>
      </c>
      <c r="E287" s="127">
        <v>0</v>
      </c>
      <c r="F287" s="127">
        <v>0</v>
      </c>
      <c r="G287" s="127">
        <v>0</v>
      </c>
      <c r="H287" s="127">
        <v>0</v>
      </c>
      <c r="I287" s="127">
        <v>0</v>
      </c>
      <c r="J287" s="127">
        <v>0</v>
      </c>
      <c r="K287" s="127">
        <v>0</v>
      </c>
      <c r="L287" s="127">
        <v>0</v>
      </c>
      <c r="M287" s="127">
        <v>0</v>
      </c>
      <c r="N287" s="127">
        <v>0</v>
      </c>
      <c r="O287" s="128">
        <v>0</v>
      </c>
      <c r="AE287" s="28" t="str">
        <f t="shared" si="33"/>
        <v>&lt;PrevisaoVAZAO Posto="304" MesReferencia="1"&gt; 0 0 0 0 0 0 0 0 0 0 0 0 &lt;/PrevisaoVAZAO&gt;</v>
      </c>
    </row>
    <row r="288" spans="2:31" x14ac:dyDescent="0.25">
      <c r="B288" s="125">
        <v>306</v>
      </c>
      <c r="C288" s="125" t="s">
        <v>327</v>
      </c>
      <c r="D288" s="126">
        <v>88</v>
      </c>
      <c r="E288" s="127">
        <v>182</v>
      </c>
      <c r="F288" s="127">
        <v>184</v>
      </c>
      <c r="G288" s="127">
        <v>136</v>
      </c>
      <c r="H288" s="127">
        <v>96</v>
      </c>
      <c r="I288" s="127">
        <v>88</v>
      </c>
      <c r="J288" s="127">
        <v>68</v>
      </c>
      <c r="K288" s="127">
        <v>62</v>
      </c>
      <c r="L288" s="127">
        <v>63</v>
      </c>
      <c r="M288" s="127">
        <v>57</v>
      </c>
      <c r="N288" s="127">
        <v>84</v>
      </c>
      <c r="O288" s="128">
        <v>104</v>
      </c>
      <c r="AE288" s="28" t="str">
        <f t="shared" si="33"/>
        <v>&lt;PrevisaoVAZAO Posto="306" MesReferencia="1"&gt; 88 182 184 136 96 88 68 62 63 57 84 104 &lt;/PrevisaoVAZAO&gt;</v>
      </c>
    </row>
    <row r="289" spans="2:31" x14ac:dyDescent="0.25">
      <c r="B289" s="125">
        <v>313</v>
      </c>
      <c r="C289" s="125" t="s">
        <v>328</v>
      </c>
      <c r="D289" s="126">
        <v>320</v>
      </c>
      <c r="E289" s="127">
        <v>358</v>
      </c>
      <c r="F289" s="127">
        <v>362</v>
      </c>
      <c r="G289" s="127">
        <v>280</v>
      </c>
      <c r="H289" s="127">
        <v>196</v>
      </c>
      <c r="I289" s="127">
        <v>154</v>
      </c>
      <c r="J289" s="127">
        <v>129</v>
      </c>
      <c r="K289" s="127">
        <v>124</v>
      </c>
      <c r="L289" s="127">
        <v>126</v>
      </c>
      <c r="M289" s="127">
        <v>142</v>
      </c>
      <c r="N289" s="127">
        <v>184</v>
      </c>
      <c r="O289" s="128">
        <v>258</v>
      </c>
      <c r="AE289" s="28" t="str">
        <f t="shared" si="33"/>
        <v>&lt;PrevisaoVAZAO Posto="313" MesReferencia="1"&gt; 320 358 362 280 196 154 129 124 126 142 184 258 &lt;/PrevisaoVAZAO&gt;</v>
      </c>
    </row>
    <row r="290" spans="2:31" x14ac:dyDescent="0.25">
      <c r="B290" s="125">
        <v>314</v>
      </c>
      <c r="C290" s="125" t="s">
        <v>263</v>
      </c>
      <c r="D290" s="126">
        <v>183</v>
      </c>
      <c r="E290" s="127">
        <v>342</v>
      </c>
      <c r="F290" s="127">
        <v>328</v>
      </c>
      <c r="G290" s="127">
        <v>265</v>
      </c>
      <c r="H290" s="127">
        <v>190</v>
      </c>
      <c r="I290" s="127">
        <v>163</v>
      </c>
      <c r="J290" s="127">
        <v>142</v>
      </c>
      <c r="K290" s="127">
        <v>158</v>
      </c>
      <c r="L290" s="127">
        <v>131</v>
      </c>
      <c r="M290" s="127">
        <v>110</v>
      </c>
      <c r="N290" s="127">
        <v>187</v>
      </c>
      <c r="O290" s="128">
        <v>280</v>
      </c>
      <c r="AE290" s="28" t="str">
        <f t="shared" si="33"/>
        <v>&lt;PrevisaoVAZAO Posto="314" MesReferencia="1"&gt; 183 342 328 265 190 163 142 158 131 110 187 280 &lt;/PrevisaoVAZAO&gt;</v>
      </c>
    </row>
    <row r="291" spans="2:31" x14ac:dyDescent="0.25">
      <c r="B291" s="125">
        <v>315</v>
      </c>
      <c r="C291" s="125" t="s">
        <v>265</v>
      </c>
      <c r="D291" s="126">
        <v>82</v>
      </c>
      <c r="E291" s="127">
        <v>165</v>
      </c>
      <c r="F291" s="127">
        <v>167</v>
      </c>
      <c r="G291" s="127">
        <v>119</v>
      </c>
      <c r="H291" s="127">
        <v>84</v>
      </c>
      <c r="I291" s="127">
        <v>77</v>
      </c>
      <c r="J291" s="127">
        <v>60</v>
      </c>
      <c r="K291" s="127">
        <v>61</v>
      </c>
      <c r="L291" s="127">
        <v>63</v>
      </c>
      <c r="M291" s="127">
        <v>52</v>
      </c>
      <c r="N291" s="127">
        <v>76</v>
      </c>
      <c r="O291" s="128">
        <v>94</v>
      </c>
      <c r="AE291" s="28" t="str">
        <f t="shared" si="33"/>
        <v>&lt;PrevisaoVAZAO Posto="315" MesReferencia="1"&gt; 82 165 167 119 84 77 60 61 63 52 76 94 &lt;/PrevisaoVAZAO&gt;</v>
      </c>
    </row>
    <row r="292" spans="2:31" x14ac:dyDescent="0.25">
      <c r="B292" s="125">
        <v>316</v>
      </c>
      <c r="C292" s="125" t="s">
        <v>324</v>
      </c>
      <c r="D292" s="126">
        <v>82</v>
      </c>
      <c r="E292" s="127">
        <v>165</v>
      </c>
      <c r="F292" s="127">
        <v>167</v>
      </c>
      <c r="G292" s="127">
        <v>119</v>
      </c>
      <c r="H292" s="127">
        <v>84</v>
      </c>
      <c r="I292" s="127">
        <v>77</v>
      </c>
      <c r="J292" s="127">
        <v>60</v>
      </c>
      <c r="K292" s="127">
        <v>61</v>
      </c>
      <c r="L292" s="127">
        <v>63</v>
      </c>
      <c r="M292" s="127">
        <v>52</v>
      </c>
      <c r="N292" s="127">
        <v>76</v>
      </c>
      <c r="O292" s="128">
        <v>94</v>
      </c>
      <c r="AE292" s="28" t="str">
        <f t="shared" si="33"/>
        <v>&lt;PrevisaoVAZAO Posto="316" MesReferencia="1"&gt; 82 165 167 119 84 77 60 61 63 52 76 94 &lt;/PrevisaoVAZAO&gt;</v>
      </c>
    </row>
    <row r="293" spans="2:31" x14ac:dyDescent="0.25">
      <c r="B293" s="125">
        <v>317</v>
      </c>
      <c r="C293" s="125" t="s">
        <v>264</v>
      </c>
      <c r="D293" s="126">
        <v>0</v>
      </c>
      <c r="E293" s="127">
        <v>0</v>
      </c>
      <c r="F293" s="127">
        <v>0</v>
      </c>
      <c r="G293" s="127">
        <v>0</v>
      </c>
      <c r="H293" s="127">
        <v>0</v>
      </c>
      <c r="I293" s="127">
        <v>0</v>
      </c>
      <c r="J293" s="127">
        <v>0</v>
      </c>
      <c r="K293" s="127">
        <v>0</v>
      </c>
      <c r="L293" s="127">
        <v>0</v>
      </c>
      <c r="M293" s="127">
        <v>0</v>
      </c>
      <c r="N293" s="127">
        <v>0</v>
      </c>
      <c r="O293" s="128">
        <v>0</v>
      </c>
      <c r="AE293" s="28" t="str">
        <f t="shared" si="33"/>
        <v>&lt;PrevisaoVAZAO Posto="317" MesReferencia="1"&gt; 0 0 0 0 0 0 0 0 0 0 0 0 &lt;/PrevisaoVAZAO&gt;</v>
      </c>
    </row>
    <row r="294" spans="2:31" x14ac:dyDescent="0.25">
      <c r="B294" s="125">
        <v>318</v>
      </c>
      <c r="C294" s="125" t="s">
        <v>223</v>
      </c>
      <c r="D294" s="126">
        <v>51</v>
      </c>
      <c r="E294" s="127">
        <v>86</v>
      </c>
      <c r="F294" s="127">
        <v>84</v>
      </c>
      <c r="G294" s="127">
        <v>41</v>
      </c>
      <c r="H294" s="127">
        <v>47</v>
      </c>
      <c r="I294" s="127">
        <v>40</v>
      </c>
      <c r="J294" s="127">
        <v>45</v>
      </c>
      <c r="K294" s="127">
        <v>35</v>
      </c>
      <c r="L294" s="127">
        <v>41</v>
      </c>
      <c r="M294" s="127">
        <v>28</v>
      </c>
      <c r="N294" s="127">
        <v>36</v>
      </c>
      <c r="O294" s="128">
        <v>68</v>
      </c>
      <c r="AE294" s="28" t="str">
        <f t="shared" si="33"/>
        <v>&lt;PrevisaoVAZAO Posto="318" MesReferencia="1"&gt; 51 86 84 41 47 40 45 35 41 28 36 68 &lt;/PrevisaoVAZAO&gt;</v>
      </c>
    </row>
    <row r="295" spans="2:31" x14ac:dyDescent="0.25">
      <c r="B295" s="125">
        <v>319</v>
      </c>
      <c r="C295" s="125" t="s">
        <v>225</v>
      </c>
      <c r="D295" s="126">
        <v>47</v>
      </c>
      <c r="E295" s="127">
        <v>78</v>
      </c>
      <c r="F295" s="127">
        <v>77</v>
      </c>
      <c r="G295" s="127">
        <v>38</v>
      </c>
      <c r="H295" s="127">
        <v>43</v>
      </c>
      <c r="I295" s="127">
        <v>36</v>
      </c>
      <c r="J295" s="127">
        <v>41</v>
      </c>
      <c r="K295" s="127">
        <v>32</v>
      </c>
      <c r="L295" s="127">
        <v>37</v>
      </c>
      <c r="M295" s="127">
        <v>26</v>
      </c>
      <c r="N295" s="127">
        <v>34</v>
      </c>
      <c r="O295" s="128">
        <v>62</v>
      </c>
      <c r="AE295" s="28" t="str">
        <f t="shared" si="33"/>
        <v>&lt;PrevisaoVAZAO Posto="319" MesReferencia="1"&gt; 47 78 77 38 43 36 41 32 37 26 34 62 &lt;/PrevisaoVAZAO&gt;</v>
      </c>
    </row>
    <row r="296" spans="2:31" x14ac:dyDescent="0.25">
      <c r="B296" s="125">
        <v>320</v>
      </c>
      <c r="C296" s="125" t="s">
        <v>329</v>
      </c>
      <c r="D296" s="126">
        <v>24</v>
      </c>
      <c r="E296" s="127">
        <v>41</v>
      </c>
      <c r="F296" s="127">
        <v>36</v>
      </c>
      <c r="G296" s="127">
        <v>19</v>
      </c>
      <c r="H296" s="127">
        <v>24</v>
      </c>
      <c r="I296" s="127">
        <v>21</v>
      </c>
      <c r="J296" s="127">
        <v>21</v>
      </c>
      <c r="K296" s="127">
        <v>17</v>
      </c>
      <c r="L296" s="127">
        <v>20</v>
      </c>
      <c r="M296" s="127">
        <v>13</v>
      </c>
      <c r="N296" s="127">
        <v>14</v>
      </c>
      <c r="O296" s="128">
        <v>34</v>
      </c>
      <c r="AE296" s="28" t="str">
        <f t="shared" si="33"/>
        <v>&lt;PrevisaoVAZAO Posto="320" MesReferencia="1"&gt; 24 41 36 19 24 21 21 17 20 13 14 34 &lt;/PrevisaoVAZAO&gt;</v>
      </c>
    </row>
    <row r="297" spans="2:31" x14ac:dyDescent="0.25">
      <c r="B297" s="125"/>
      <c r="C297" s="125"/>
      <c r="D297" s="126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8"/>
      <c r="AE297" s="28" t="str">
        <f t="shared" si="33"/>
        <v/>
      </c>
    </row>
    <row r="298" spans="2:31" x14ac:dyDescent="0.25">
      <c r="B298" s="125"/>
      <c r="C298" s="125"/>
      <c r="D298" s="126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8"/>
      <c r="AE298" s="28" t="str">
        <f t="shared" si="33"/>
        <v/>
      </c>
    </row>
    <row r="299" spans="2:31" x14ac:dyDescent="0.25">
      <c r="B299" s="125"/>
      <c r="C299" s="125"/>
      <c r="D299" s="126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8"/>
      <c r="AE299" s="28" t="str">
        <f t="shared" si="33"/>
        <v/>
      </c>
    </row>
    <row r="300" spans="2:31" x14ac:dyDescent="0.25">
      <c r="B300" s="125"/>
      <c r="C300" s="125"/>
      <c r="D300" s="126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8"/>
      <c r="AE300" s="28" t="str">
        <f t="shared" si="33"/>
        <v/>
      </c>
    </row>
    <row r="301" spans="2:31" x14ac:dyDescent="0.25">
      <c r="B301" s="125"/>
      <c r="C301" s="125"/>
      <c r="D301" s="126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8"/>
      <c r="AE301" s="28" t="str">
        <f t="shared" si="33"/>
        <v/>
      </c>
    </row>
    <row r="302" spans="2:31" x14ac:dyDescent="0.25">
      <c r="B302" s="125"/>
      <c r="C302" s="125"/>
      <c r="D302" s="126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8"/>
      <c r="AE302" s="28" t="str">
        <f t="shared" si="33"/>
        <v/>
      </c>
    </row>
    <row r="303" spans="2:31" x14ac:dyDescent="0.25">
      <c r="B303" s="125"/>
      <c r="C303" s="125"/>
      <c r="D303" s="126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AE303" s="28" t="str">
        <f t="shared" si="33"/>
        <v/>
      </c>
    </row>
    <row r="304" spans="2:31" x14ac:dyDescent="0.25">
      <c r="B304" s="125"/>
      <c r="C304" s="125"/>
      <c r="D304" s="126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8"/>
      <c r="AE304" s="28" t="str">
        <f t="shared" si="33"/>
        <v/>
      </c>
    </row>
    <row r="305" spans="2:31" x14ac:dyDescent="0.25">
      <c r="B305" s="125"/>
      <c r="C305" s="125"/>
      <c r="D305" s="126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8"/>
      <c r="AE305" s="28" t="str">
        <f t="shared" si="33"/>
        <v/>
      </c>
    </row>
    <row r="306" spans="2:31" x14ac:dyDescent="0.25">
      <c r="B306" s="125"/>
      <c r="C306" s="125"/>
      <c r="D306" s="126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8"/>
      <c r="AE306" s="28" t="str">
        <f t="shared" si="33"/>
        <v/>
      </c>
    </row>
    <row r="307" spans="2:31" x14ac:dyDescent="0.25">
      <c r="B307" s="125"/>
      <c r="C307" s="125"/>
      <c r="D307" s="126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8"/>
      <c r="AE307" s="28" t="str">
        <f t="shared" si="33"/>
        <v/>
      </c>
    </row>
    <row r="308" spans="2:31" x14ac:dyDescent="0.25">
      <c r="B308" s="125"/>
      <c r="C308" s="125"/>
      <c r="D308" s="126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8"/>
      <c r="AE308" s="28" t="str">
        <f t="shared" si="33"/>
        <v/>
      </c>
    </row>
    <row r="309" spans="2:31" x14ac:dyDescent="0.25">
      <c r="B309" s="125"/>
      <c r="C309" s="125"/>
      <c r="D309" s="126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8"/>
      <c r="AE309" s="28" t="str">
        <f t="shared" si="33"/>
        <v/>
      </c>
    </row>
    <row r="310" spans="2:31" x14ac:dyDescent="0.25">
      <c r="B310" s="125"/>
      <c r="C310" s="125"/>
      <c r="D310" s="126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8"/>
      <c r="AE310" s="28" t="str">
        <f t="shared" si="33"/>
        <v/>
      </c>
    </row>
    <row r="311" spans="2:31" x14ac:dyDescent="0.25">
      <c r="B311" s="125"/>
      <c r="C311" s="125"/>
      <c r="D311" s="126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8"/>
      <c r="AE311" s="28" t="str">
        <f t="shared" si="33"/>
        <v/>
      </c>
    </row>
    <row r="312" spans="2:31" x14ac:dyDescent="0.25">
      <c r="B312" s="125"/>
      <c r="C312" s="125"/>
      <c r="D312" s="126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8"/>
      <c r="AE312" s="28" t="str">
        <f t="shared" si="33"/>
        <v/>
      </c>
    </row>
    <row r="313" spans="2:31" x14ac:dyDescent="0.25">
      <c r="B313" s="125"/>
      <c r="C313" s="125"/>
      <c r="D313" s="126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8"/>
      <c r="AE313" s="28" t="str">
        <f t="shared" si="33"/>
        <v/>
      </c>
    </row>
    <row r="314" spans="2:31" x14ac:dyDescent="0.25">
      <c r="B314" s="125"/>
      <c r="C314" s="125"/>
      <c r="D314" s="126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8"/>
      <c r="AE314" s="28" t="str">
        <f t="shared" si="33"/>
        <v/>
      </c>
    </row>
    <row r="315" spans="2:31" x14ac:dyDescent="0.25">
      <c r="B315" s="125"/>
      <c r="C315" s="125"/>
      <c r="D315" s="126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8"/>
      <c r="AE315" s="28" t="str">
        <f t="shared" si="33"/>
        <v/>
      </c>
    </row>
    <row r="316" spans="2:31" x14ac:dyDescent="0.25">
      <c r="B316" s="125"/>
      <c r="C316" s="125"/>
      <c r="D316" s="126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8"/>
      <c r="AE316" s="28" t="str">
        <f t="shared" si="33"/>
        <v/>
      </c>
    </row>
    <row r="317" spans="2:31" x14ac:dyDescent="0.25">
      <c r="B317" s="125"/>
      <c r="C317" s="125"/>
      <c r="D317" s="126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8"/>
      <c r="AE317" s="28" t="str">
        <f t="shared" si="33"/>
        <v/>
      </c>
    </row>
    <row r="318" spans="2:31" x14ac:dyDescent="0.25">
      <c r="B318" s="125"/>
      <c r="C318" s="125"/>
      <c r="D318" s="126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8"/>
      <c r="AE318" s="28" t="str">
        <f t="shared" si="33"/>
        <v/>
      </c>
    </row>
    <row r="319" spans="2:31" x14ac:dyDescent="0.25">
      <c r="B319" s="125"/>
      <c r="C319" s="125"/>
      <c r="D319" s="126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8"/>
      <c r="AE319" s="28" t="str">
        <f t="shared" si="33"/>
        <v/>
      </c>
    </row>
    <row r="320" spans="2:31" x14ac:dyDescent="0.25">
      <c r="B320" s="125"/>
      <c r="C320" s="125"/>
      <c r="D320" s="126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8"/>
      <c r="AE320" s="28" t="str">
        <f t="shared" si="33"/>
        <v/>
      </c>
    </row>
    <row r="321" spans="2:31" x14ac:dyDescent="0.25">
      <c r="B321" s="125"/>
      <c r="C321" s="125"/>
      <c r="D321" s="126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8"/>
      <c r="AE321" s="28" t="str">
        <f t="shared" si="33"/>
        <v/>
      </c>
    </row>
    <row r="322" spans="2:31" x14ac:dyDescent="0.25">
      <c r="B322" s="125"/>
      <c r="C322" s="125"/>
      <c r="D322" s="126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8"/>
      <c r="AE322" s="28" t="str">
        <f t="shared" si="33"/>
        <v/>
      </c>
    </row>
    <row r="323" spans="2:31" x14ac:dyDescent="0.25">
      <c r="B323" s="125"/>
      <c r="C323" s="125"/>
      <c r="D323" s="126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8"/>
      <c r="AE323" s="28" t="str">
        <f t="shared" si="33"/>
        <v/>
      </c>
    </row>
    <row r="324" spans="2:31" x14ac:dyDescent="0.25">
      <c r="B324" s="125"/>
      <c r="C324" s="125"/>
      <c r="D324" s="126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8"/>
      <c r="AE324" s="28" t="str">
        <f t="shared" si="33"/>
        <v/>
      </c>
    </row>
    <row r="325" spans="2:31" x14ac:dyDescent="0.25">
      <c r="B325" s="125"/>
      <c r="C325" s="125"/>
      <c r="D325" s="126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8"/>
      <c r="AE325" s="28" t="str">
        <f t="shared" si="33"/>
        <v/>
      </c>
    </row>
    <row r="326" spans="2:31" x14ac:dyDescent="0.25">
      <c r="B326" s="125"/>
      <c r="C326" s="125"/>
      <c r="D326" s="126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8"/>
      <c r="AE326" s="28" t="str">
        <f t="shared" si="33"/>
        <v/>
      </c>
    </row>
    <row r="327" spans="2:31" x14ac:dyDescent="0.25">
      <c r="B327" s="125"/>
      <c r="C327" s="125"/>
      <c r="D327" s="126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8"/>
      <c r="AE327" s="28" t="str">
        <f t="shared" si="33"/>
        <v/>
      </c>
    </row>
    <row r="328" spans="2:31" x14ac:dyDescent="0.25">
      <c r="B328" s="125"/>
      <c r="C328" s="125"/>
      <c r="D328" s="126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8"/>
      <c r="AE328" s="28" t="str">
        <f t="shared" si="33"/>
        <v/>
      </c>
    </row>
    <row r="329" spans="2:31" x14ac:dyDescent="0.25">
      <c r="B329" s="125"/>
      <c r="C329" s="125"/>
      <c r="D329" s="126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8"/>
      <c r="AE329" s="28" t="str">
        <f t="shared" si="33"/>
        <v/>
      </c>
    </row>
    <row r="330" spans="2:31" x14ac:dyDescent="0.25">
      <c r="B330" s="125"/>
      <c r="C330" s="125"/>
      <c r="D330" s="126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8"/>
      <c r="AE330" s="28" t="str">
        <f t="shared" si="33"/>
        <v/>
      </c>
    </row>
    <row r="331" spans="2:31" x14ac:dyDescent="0.25">
      <c r="B331" s="125"/>
      <c r="C331" s="125"/>
      <c r="D331" s="126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8"/>
      <c r="AE331" s="28" t="str">
        <f t="shared" si="33"/>
        <v/>
      </c>
    </row>
    <row r="332" spans="2:31" x14ac:dyDescent="0.25">
      <c r="B332" s="125"/>
      <c r="C332" s="125"/>
      <c r="D332" s="126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8"/>
      <c r="AE332" s="28" t="str">
        <f t="shared" si="33"/>
        <v/>
      </c>
    </row>
    <row r="333" spans="2:31" x14ac:dyDescent="0.25">
      <c r="B333" s="125"/>
      <c r="C333" s="125"/>
      <c r="D333" s="126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8"/>
      <c r="AE333" s="28" t="str">
        <f t="shared" si="33"/>
        <v/>
      </c>
    </row>
    <row r="334" spans="2:31" x14ac:dyDescent="0.25">
      <c r="B334" s="125"/>
      <c r="C334" s="125"/>
      <c r="D334" s="126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8"/>
      <c r="AE334" s="28" t="str">
        <f t="shared" si="33"/>
        <v/>
      </c>
    </row>
    <row r="335" spans="2:31" x14ac:dyDescent="0.25">
      <c r="B335" s="125"/>
      <c r="C335" s="125"/>
      <c r="D335" s="126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8"/>
      <c r="AE335" s="28" t="str">
        <f t="shared" si="33"/>
        <v/>
      </c>
    </row>
    <row r="336" spans="2:31" x14ac:dyDescent="0.25">
      <c r="B336" s="125"/>
      <c r="C336" s="125"/>
      <c r="D336" s="126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8"/>
      <c r="AE336" s="28" t="str">
        <f t="shared" si="33"/>
        <v/>
      </c>
    </row>
    <row r="337" spans="2:31" x14ac:dyDescent="0.25">
      <c r="B337" s="125"/>
      <c r="C337" s="125"/>
      <c r="D337" s="126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8"/>
      <c r="AE337" s="28" t="str">
        <f t="shared" si="33"/>
        <v/>
      </c>
    </row>
    <row r="338" spans="2:31" x14ac:dyDescent="0.25">
      <c r="B338" s="125"/>
      <c r="C338" s="125"/>
      <c r="D338" s="126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8"/>
      <c r="AE338" s="28" t="str">
        <f t="shared" si="33"/>
        <v/>
      </c>
    </row>
    <row r="339" spans="2:31" x14ac:dyDescent="0.25">
      <c r="B339" s="125"/>
      <c r="C339" s="125"/>
      <c r="D339" s="126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8"/>
      <c r="AE339" s="28" t="str">
        <f t="shared" si="33"/>
        <v/>
      </c>
    </row>
    <row r="340" spans="2:31" x14ac:dyDescent="0.25">
      <c r="B340" s="125"/>
      <c r="C340" s="125"/>
      <c r="D340" s="126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8"/>
      <c r="AE340" s="28" t="str">
        <f t="shared" si="33"/>
        <v/>
      </c>
    </row>
    <row r="341" spans="2:31" x14ac:dyDescent="0.25">
      <c r="B341" s="125"/>
      <c r="C341" s="125"/>
      <c r="D341" s="126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8"/>
      <c r="AE341" s="28" t="str">
        <f t="shared" ref="AE341:AE403" si="34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25"/>
      <c r="C342" s="125"/>
      <c r="D342" s="126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8"/>
      <c r="AE342" s="28" t="str">
        <f t="shared" si="34"/>
        <v/>
      </c>
    </row>
    <row r="343" spans="2:31" x14ac:dyDescent="0.25">
      <c r="B343" s="125"/>
      <c r="C343" s="125"/>
      <c r="D343" s="126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8"/>
      <c r="AE343" s="28" t="str">
        <f t="shared" si="34"/>
        <v/>
      </c>
    </row>
    <row r="344" spans="2:31" x14ac:dyDescent="0.25">
      <c r="B344" s="125"/>
      <c r="C344" s="125"/>
      <c r="D344" s="126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8"/>
      <c r="AE344" s="28" t="str">
        <f t="shared" si="34"/>
        <v/>
      </c>
    </row>
    <row r="345" spans="2:31" x14ac:dyDescent="0.25">
      <c r="B345" s="125"/>
      <c r="C345" s="125"/>
      <c r="D345" s="126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8"/>
      <c r="AE345" s="28" t="str">
        <f t="shared" si="34"/>
        <v/>
      </c>
    </row>
    <row r="346" spans="2:31" x14ac:dyDescent="0.25">
      <c r="B346" s="125"/>
      <c r="C346" s="125"/>
      <c r="D346" s="126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8"/>
      <c r="AE346" s="28" t="str">
        <f t="shared" si="34"/>
        <v/>
      </c>
    </row>
    <row r="347" spans="2:31" x14ac:dyDescent="0.25">
      <c r="B347" s="125"/>
      <c r="C347" s="125"/>
      <c r="D347" s="126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8"/>
      <c r="AE347" s="28" t="str">
        <f t="shared" si="34"/>
        <v/>
      </c>
    </row>
    <row r="348" spans="2:31" x14ac:dyDescent="0.25">
      <c r="B348" s="125"/>
      <c r="C348" s="125"/>
      <c r="D348" s="126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8"/>
      <c r="AE348" s="28" t="str">
        <f t="shared" si="34"/>
        <v/>
      </c>
    </row>
    <row r="349" spans="2:31" x14ac:dyDescent="0.25">
      <c r="B349" s="125"/>
      <c r="C349" s="125"/>
      <c r="D349" s="126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8"/>
      <c r="AE349" s="28" t="str">
        <f t="shared" si="34"/>
        <v/>
      </c>
    </row>
    <row r="350" spans="2:31" x14ac:dyDescent="0.25">
      <c r="B350" s="125"/>
      <c r="C350" s="125"/>
      <c r="D350" s="126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8"/>
      <c r="AE350" s="28" t="str">
        <f t="shared" si="34"/>
        <v/>
      </c>
    </row>
    <row r="351" spans="2:31" x14ac:dyDescent="0.25">
      <c r="B351" s="125"/>
      <c r="C351" s="125"/>
      <c r="D351" s="126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8"/>
      <c r="AE351" s="28" t="str">
        <f t="shared" si="34"/>
        <v/>
      </c>
    </row>
    <row r="352" spans="2:31" x14ac:dyDescent="0.25">
      <c r="B352" s="125"/>
      <c r="C352" s="125"/>
      <c r="D352" s="126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8"/>
      <c r="AE352" s="28" t="str">
        <f t="shared" si="34"/>
        <v/>
      </c>
    </row>
    <row r="353" spans="2:31" x14ac:dyDescent="0.25">
      <c r="B353" s="125"/>
      <c r="C353" s="125"/>
      <c r="D353" s="126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8"/>
      <c r="AE353" s="28" t="str">
        <f t="shared" si="34"/>
        <v/>
      </c>
    </row>
    <row r="354" spans="2:31" x14ac:dyDescent="0.25">
      <c r="B354" s="125"/>
      <c r="C354" s="125"/>
      <c r="D354" s="126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8"/>
      <c r="AE354" s="28" t="str">
        <f t="shared" si="34"/>
        <v/>
      </c>
    </row>
    <row r="355" spans="2:31" x14ac:dyDescent="0.25">
      <c r="B355" s="125"/>
      <c r="C355" s="125"/>
      <c r="D355" s="126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8"/>
      <c r="AE355" s="28" t="str">
        <f t="shared" si="34"/>
        <v/>
      </c>
    </row>
    <row r="356" spans="2:31" x14ac:dyDescent="0.25">
      <c r="B356" s="125"/>
      <c r="C356" s="125"/>
      <c r="D356" s="126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8"/>
      <c r="AE356" s="28" t="str">
        <f t="shared" si="34"/>
        <v/>
      </c>
    </row>
    <row r="357" spans="2:31" x14ac:dyDescent="0.25">
      <c r="B357" s="125"/>
      <c r="C357" s="125"/>
      <c r="D357" s="126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8"/>
      <c r="AE357" s="28" t="str">
        <f t="shared" si="34"/>
        <v/>
      </c>
    </row>
    <row r="358" spans="2:31" x14ac:dyDescent="0.25">
      <c r="B358" s="125"/>
      <c r="C358" s="125"/>
      <c r="D358" s="126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8"/>
      <c r="AE358" s="28" t="str">
        <f t="shared" si="34"/>
        <v/>
      </c>
    </row>
    <row r="359" spans="2:31" x14ac:dyDescent="0.25">
      <c r="B359" s="125"/>
      <c r="C359" s="125"/>
      <c r="D359" s="126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8"/>
      <c r="AE359" s="28" t="str">
        <f t="shared" si="34"/>
        <v/>
      </c>
    </row>
    <row r="360" spans="2:31" x14ac:dyDescent="0.25">
      <c r="B360" s="125"/>
      <c r="C360" s="125"/>
      <c r="D360" s="126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8"/>
      <c r="AE360" s="28" t="str">
        <f t="shared" si="34"/>
        <v/>
      </c>
    </row>
    <row r="361" spans="2:31" x14ac:dyDescent="0.25">
      <c r="B361" s="125"/>
      <c r="C361" s="125"/>
      <c r="D361" s="126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8"/>
      <c r="AE361" s="28" t="str">
        <f t="shared" si="34"/>
        <v/>
      </c>
    </row>
    <row r="362" spans="2:31" x14ac:dyDescent="0.25">
      <c r="B362" s="125"/>
      <c r="C362" s="125"/>
      <c r="D362" s="126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8"/>
      <c r="AE362" s="28" t="str">
        <f t="shared" si="34"/>
        <v/>
      </c>
    </row>
    <row r="363" spans="2:31" x14ac:dyDescent="0.25">
      <c r="B363" s="125"/>
      <c r="C363" s="125"/>
      <c r="D363" s="126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8"/>
      <c r="AE363" s="28" t="str">
        <f t="shared" si="34"/>
        <v/>
      </c>
    </row>
    <row r="364" spans="2:31" x14ac:dyDescent="0.25">
      <c r="B364" s="125"/>
      <c r="C364" s="125"/>
      <c r="D364" s="126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8"/>
      <c r="AE364" s="28" t="str">
        <f t="shared" si="34"/>
        <v/>
      </c>
    </row>
    <row r="365" spans="2:31" x14ac:dyDescent="0.25">
      <c r="B365" s="125"/>
      <c r="C365" s="125"/>
      <c r="D365" s="126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8"/>
      <c r="AE365" s="28" t="str">
        <f t="shared" si="34"/>
        <v/>
      </c>
    </row>
    <row r="366" spans="2:31" x14ac:dyDescent="0.25">
      <c r="B366" s="125"/>
      <c r="C366" s="125"/>
      <c r="D366" s="126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8"/>
      <c r="AE366" s="28" t="str">
        <f t="shared" si="34"/>
        <v/>
      </c>
    </row>
    <row r="367" spans="2:31" x14ac:dyDescent="0.25">
      <c r="B367" s="125"/>
      <c r="C367" s="125"/>
      <c r="D367" s="126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8"/>
      <c r="AE367" s="28" t="str">
        <f t="shared" si="34"/>
        <v/>
      </c>
    </row>
    <row r="368" spans="2:31" x14ac:dyDescent="0.25">
      <c r="B368" s="125"/>
      <c r="C368" s="125"/>
      <c r="D368" s="126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8"/>
      <c r="AE368" s="28" t="str">
        <f t="shared" si="34"/>
        <v/>
      </c>
    </row>
    <row r="369" spans="2:31" x14ac:dyDescent="0.25">
      <c r="B369" s="125"/>
      <c r="C369" s="125"/>
      <c r="D369" s="126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8"/>
      <c r="AE369" s="28" t="str">
        <f t="shared" si="34"/>
        <v/>
      </c>
    </row>
    <row r="370" spans="2:31" x14ac:dyDescent="0.25">
      <c r="B370" s="125"/>
      <c r="C370" s="125"/>
      <c r="D370" s="126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8"/>
      <c r="AE370" s="28" t="str">
        <f t="shared" si="34"/>
        <v/>
      </c>
    </row>
    <row r="371" spans="2:31" x14ac:dyDescent="0.25">
      <c r="B371" s="125"/>
      <c r="C371" s="125"/>
      <c r="D371" s="126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8"/>
      <c r="AE371" s="28" t="str">
        <f t="shared" si="34"/>
        <v/>
      </c>
    </row>
    <row r="372" spans="2:31" x14ac:dyDescent="0.25">
      <c r="B372" s="125"/>
      <c r="C372" s="125"/>
      <c r="D372" s="126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8"/>
      <c r="AE372" s="28" t="str">
        <f t="shared" si="34"/>
        <v/>
      </c>
    </row>
    <row r="373" spans="2:31" x14ac:dyDescent="0.25">
      <c r="B373" s="125"/>
      <c r="C373" s="125"/>
      <c r="D373" s="126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8"/>
      <c r="AE373" s="28" t="str">
        <f t="shared" si="34"/>
        <v/>
      </c>
    </row>
    <row r="374" spans="2:31" x14ac:dyDescent="0.25">
      <c r="B374" s="125"/>
      <c r="C374" s="125"/>
      <c r="D374" s="126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8"/>
      <c r="AE374" s="28" t="str">
        <f t="shared" si="34"/>
        <v/>
      </c>
    </row>
    <row r="375" spans="2:31" x14ac:dyDescent="0.25">
      <c r="B375" s="125"/>
      <c r="C375" s="125"/>
      <c r="D375" s="126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8"/>
      <c r="AE375" s="28" t="str">
        <f t="shared" si="34"/>
        <v/>
      </c>
    </row>
    <row r="376" spans="2:31" x14ac:dyDescent="0.25">
      <c r="B376" s="125"/>
      <c r="C376" s="125"/>
      <c r="D376" s="126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8"/>
      <c r="AE376" s="28" t="str">
        <f t="shared" si="34"/>
        <v/>
      </c>
    </row>
    <row r="377" spans="2:31" x14ac:dyDescent="0.25">
      <c r="B377" s="125"/>
      <c r="C377" s="125"/>
      <c r="D377" s="126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8"/>
      <c r="AE377" s="28" t="str">
        <f t="shared" si="34"/>
        <v/>
      </c>
    </row>
    <row r="378" spans="2:31" x14ac:dyDescent="0.25">
      <c r="B378" s="125"/>
      <c r="C378" s="125"/>
      <c r="D378" s="126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8"/>
      <c r="AE378" s="28" t="str">
        <f t="shared" si="34"/>
        <v/>
      </c>
    </row>
    <row r="379" spans="2:31" x14ac:dyDescent="0.25">
      <c r="B379" s="125"/>
      <c r="C379" s="125"/>
      <c r="D379" s="126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8"/>
      <c r="AE379" s="28" t="str">
        <f t="shared" si="34"/>
        <v/>
      </c>
    </row>
    <row r="380" spans="2:31" x14ac:dyDescent="0.25">
      <c r="B380" s="125"/>
      <c r="C380" s="125"/>
      <c r="D380" s="126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8"/>
      <c r="AE380" s="28" t="str">
        <f t="shared" si="34"/>
        <v/>
      </c>
    </row>
    <row r="381" spans="2:31" x14ac:dyDescent="0.25">
      <c r="B381" s="125"/>
      <c r="C381" s="125"/>
      <c r="D381" s="126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8"/>
      <c r="AE381" s="28" t="str">
        <f t="shared" si="34"/>
        <v/>
      </c>
    </row>
    <row r="382" spans="2:31" x14ac:dyDescent="0.25">
      <c r="B382" s="125"/>
      <c r="C382" s="125"/>
      <c r="D382" s="126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8"/>
      <c r="AE382" s="28" t="str">
        <f t="shared" si="34"/>
        <v/>
      </c>
    </row>
    <row r="383" spans="2:31" x14ac:dyDescent="0.25">
      <c r="B383" s="125"/>
      <c r="C383" s="125"/>
      <c r="D383" s="126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8"/>
      <c r="AE383" s="28" t="str">
        <f t="shared" si="34"/>
        <v/>
      </c>
    </row>
    <row r="384" spans="2:31" x14ac:dyDescent="0.25">
      <c r="B384" s="125"/>
      <c r="C384" s="125"/>
      <c r="D384" s="126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8"/>
      <c r="AE384" s="28" t="str">
        <f t="shared" si="34"/>
        <v/>
      </c>
    </row>
    <row r="385" spans="2:31" x14ac:dyDescent="0.25">
      <c r="B385" s="125"/>
      <c r="C385" s="125"/>
      <c r="D385" s="126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8"/>
      <c r="AE385" s="28" t="str">
        <f t="shared" si="34"/>
        <v/>
      </c>
    </row>
    <row r="386" spans="2:31" x14ac:dyDescent="0.25">
      <c r="B386" s="125"/>
      <c r="C386" s="125"/>
      <c r="D386" s="126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8"/>
      <c r="AE386" s="28" t="str">
        <f t="shared" si="34"/>
        <v/>
      </c>
    </row>
    <row r="387" spans="2:31" x14ac:dyDescent="0.25">
      <c r="B387" s="125"/>
      <c r="C387" s="125"/>
      <c r="D387" s="126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8"/>
      <c r="AE387" s="28" t="str">
        <f t="shared" si="34"/>
        <v/>
      </c>
    </row>
    <row r="388" spans="2:31" x14ac:dyDescent="0.25">
      <c r="B388" s="125"/>
      <c r="C388" s="125"/>
      <c r="D388" s="126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8"/>
      <c r="AE388" s="28" t="str">
        <f t="shared" si="34"/>
        <v/>
      </c>
    </row>
    <row r="389" spans="2:31" x14ac:dyDescent="0.25">
      <c r="B389" s="125"/>
      <c r="C389" s="125"/>
      <c r="D389" s="126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8"/>
      <c r="AE389" s="28" t="str">
        <f t="shared" si="34"/>
        <v/>
      </c>
    </row>
    <row r="390" spans="2:31" x14ac:dyDescent="0.25">
      <c r="B390" s="125"/>
      <c r="C390" s="125"/>
      <c r="D390" s="126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8"/>
      <c r="AE390" s="28" t="str">
        <f t="shared" si="34"/>
        <v/>
      </c>
    </row>
    <row r="391" spans="2:31" x14ac:dyDescent="0.25">
      <c r="B391" s="125"/>
      <c r="C391" s="125"/>
      <c r="D391" s="126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8"/>
      <c r="AE391" s="28" t="str">
        <f t="shared" si="34"/>
        <v/>
      </c>
    </row>
    <row r="392" spans="2:31" x14ac:dyDescent="0.25">
      <c r="B392" s="125"/>
      <c r="C392" s="125"/>
      <c r="D392" s="126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8"/>
      <c r="AE392" s="28" t="str">
        <f t="shared" si="34"/>
        <v/>
      </c>
    </row>
    <row r="393" spans="2:31" x14ac:dyDescent="0.25">
      <c r="B393" s="125"/>
      <c r="C393" s="125"/>
      <c r="D393" s="126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8"/>
      <c r="AE393" s="28" t="str">
        <f t="shared" si="34"/>
        <v/>
      </c>
    </row>
    <row r="394" spans="2:31" x14ac:dyDescent="0.25">
      <c r="B394" s="125"/>
      <c r="C394" s="125"/>
      <c r="D394" s="126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8"/>
      <c r="AE394" s="28" t="str">
        <f t="shared" si="34"/>
        <v/>
      </c>
    </row>
    <row r="395" spans="2:31" x14ac:dyDescent="0.25">
      <c r="B395" s="125"/>
      <c r="C395" s="125"/>
      <c r="D395" s="126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8"/>
      <c r="AE395" s="28" t="str">
        <f t="shared" si="34"/>
        <v/>
      </c>
    </row>
    <row r="396" spans="2:31" x14ac:dyDescent="0.25">
      <c r="B396" s="125"/>
      <c r="C396" s="125"/>
      <c r="D396" s="126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8"/>
      <c r="AE396" s="28" t="str">
        <f t="shared" si="34"/>
        <v/>
      </c>
    </row>
    <row r="397" spans="2:31" x14ac:dyDescent="0.25">
      <c r="B397" s="125"/>
      <c r="C397" s="125"/>
      <c r="D397" s="126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8"/>
      <c r="AE397" s="28" t="str">
        <f t="shared" si="34"/>
        <v/>
      </c>
    </row>
    <row r="398" spans="2:31" x14ac:dyDescent="0.25">
      <c r="B398" s="125"/>
      <c r="C398" s="125"/>
      <c r="D398" s="126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8"/>
      <c r="AE398" s="28" t="str">
        <f t="shared" si="34"/>
        <v/>
      </c>
    </row>
    <row r="399" spans="2:31" x14ac:dyDescent="0.25">
      <c r="B399" s="125"/>
      <c r="C399" s="125"/>
      <c r="D399" s="126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8"/>
      <c r="AE399" s="28" t="str">
        <f t="shared" si="34"/>
        <v/>
      </c>
    </row>
    <row r="400" spans="2:31" x14ac:dyDescent="0.25">
      <c r="B400" s="125"/>
      <c r="C400" s="125"/>
      <c r="D400" s="126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8"/>
      <c r="AE400" s="28" t="str">
        <f t="shared" si="34"/>
        <v/>
      </c>
    </row>
    <row r="401" spans="2:31" x14ac:dyDescent="0.25">
      <c r="B401" s="125"/>
      <c r="C401" s="125"/>
      <c r="D401" s="126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8"/>
      <c r="AE401" s="28" t="str">
        <f t="shared" si="34"/>
        <v/>
      </c>
    </row>
    <row r="402" spans="2:31" x14ac:dyDescent="0.25">
      <c r="B402" s="125"/>
      <c r="C402" s="125"/>
      <c r="D402" s="126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8"/>
      <c r="AE402" s="28" t="str">
        <f t="shared" si="34"/>
        <v/>
      </c>
    </row>
    <row r="403" spans="2:31" x14ac:dyDescent="0.25">
      <c r="B403" s="125"/>
      <c r="C403" s="125"/>
      <c r="D403" s="126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8"/>
      <c r="AE403" s="28" t="str">
        <f t="shared" si="34"/>
        <v/>
      </c>
    </row>
  </sheetData>
  <sheetProtection sheet="1" objects="1" scenarios="1"/>
  <mergeCells count="25">
    <mergeCell ref="C26:J26"/>
    <mergeCell ref="F2:I4"/>
    <mergeCell ref="C6:J6"/>
    <mergeCell ref="C8:J8"/>
    <mergeCell ref="C22:J22"/>
    <mergeCell ref="C24:J24"/>
    <mergeCell ref="D17:F17"/>
    <mergeCell ref="D15:F15"/>
    <mergeCell ref="D13:F13"/>
    <mergeCell ref="F62:G62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</mergeCells>
  <conditionalFormatting sqref="G66:G80">
    <cfRule type="expression" dxfId="143" priority="56">
      <formula>IF($C$4-1=4,1,0)</formula>
    </cfRule>
  </conditionalFormatting>
  <conditionalFormatting sqref="D66:D80">
    <cfRule type="expression" dxfId="142" priority="47">
      <formula>IF($C$4-1=1,1,0)</formula>
    </cfRule>
  </conditionalFormatting>
  <conditionalFormatting sqref="E66:E80">
    <cfRule type="expression" dxfId="141" priority="46">
      <formula>IF($C$4-1=2,1,0)</formula>
    </cfRule>
  </conditionalFormatting>
  <conditionalFormatting sqref="F66:F80">
    <cfRule type="expression" dxfId="140" priority="45">
      <formula>IF($C$4-1=3,1,0)</formula>
    </cfRule>
  </conditionalFormatting>
  <conditionalFormatting sqref="H66:H80">
    <cfRule type="expression" dxfId="139" priority="44">
      <formula>IF($C$4-1=5,1,0)</formula>
    </cfRule>
  </conditionalFormatting>
  <conditionalFormatting sqref="I66:I80">
    <cfRule type="expression" dxfId="138" priority="43">
      <formula>IF($C$4-1=6,1,0)</formula>
    </cfRule>
  </conditionalFormatting>
  <conditionalFormatting sqref="J66:J80">
    <cfRule type="expression" dxfId="137" priority="42">
      <formula>IF($C$4-1=7,1,0)</formula>
    </cfRule>
  </conditionalFormatting>
  <conditionalFormatting sqref="K66:K80">
    <cfRule type="expression" dxfId="136" priority="41">
      <formula>IF($C$4-1=8,1,0)</formula>
    </cfRule>
  </conditionalFormatting>
  <conditionalFormatting sqref="L66:L80">
    <cfRule type="expression" dxfId="135" priority="40">
      <formula>IF($C$4-1=9,1,0)</formula>
    </cfRule>
  </conditionalFormatting>
  <conditionalFormatting sqref="M66:M80">
    <cfRule type="expression" dxfId="134" priority="39">
      <formula>IF($C$4-1=10,1,0)</formula>
    </cfRule>
  </conditionalFormatting>
  <conditionalFormatting sqref="N66:N80">
    <cfRule type="expression" dxfId="133" priority="38">
      <formula>IF($C$4-1=11,1,0)</formula>
    </cfRule>
  </conditionalFormatting>
  <conditionalFormatting sqref="O66:O80">
    <cfRule type="expression" dxfId="132" priority="37">
      <formula>IF($C$4-1=12,1,0)</formula>
    </cfRule>
  </conditionalFormatting>
  <conditionalFormatting sqref="O87:O403">
    <cfRule type="expression" dxfId="131" priority="1">
      <formula>IF($C$4-1=12,1,0)</formula>
    </cfRule>
  </conditionalFormatting>
  <conditionalFormatting sqref="G84">
    <cfRule type="expression" dxfId="130" priority="36">
      <formula>IF($C$4-1=4,1,0)</formula>
    </cfRule>
  </conditionalFormatting>
  <conditionalFormatting sqref="D84">
    <cfRule type="expression" dxfId="129" priority="35">
      <formula>IF($C$4-1=1,1,0)</formula>
    </cfRule>
  </conditionalFormatting>
  <conditionalFormatting sqref="E84">
    <cfRule type="expression" dxfId="128" priority="34">
      <formula>IF($C$4-1=2,1,0)</formula>
    </cfRule>
  </conditionalFormatting>
  <conditionalFormatting sqref="F84">
    <cfRule type="expression" dxfId="127" priority="33">
      <formula>IF($C$4-1=3,1,0)</formula>
    </cfRule>
  </conditionalFormatting>
  <conditionalFormatting sqref="H84">
    <cfRule type="expression" dxfId="126" priority="32">
      <formula>IF($C$4-1=5,1,0)</formula>
    </cfRule>
  </conditionalFormatting>
  <conditionalFormatting sqref="I84">
    <cfRule type="expression" dxfId="125" priority="31">
      <formula>IF($C$4-1=6,1,0)</formula>
    </cfRule>
  </conditionalFormatting>
  <conditionalFormatting sqref="J84">
    <cfRule type="expression" dxfId="124" priority="30">
      <formula>IF($C$4-1=7,1,0)</formula>
    </cfRule>
  </conditionalFormatting>
  <conditionalFormatting sqref="K84">
    <cfRule type="expression" dxfId="123" priority="29">
      <formula>IF($C$4-1=8,1,0)</formula>
    </cfRule>
  </conditionalFormatting>
  <conditionalFormatting sqref="L84">
    <cfRule type="expression" dxfId="122" priority="28">
      <formula>IF($C$4-1=9,1,0)</formula>
    </cfRule>
  </conditionalFormatting>
  <conditionalFormatting sqref="M84">
    <cfRule type="expression" dxfId="121" priority="27">
      <formula>IF($C$4-1=10,1,0)</formula>
    </cfRule>
  </conditionalFormatting>
  <conditionalFormatting sqref="N84">
    <cfRule type="expression" dxfId="120" priority="26">
      <formula>IF($C$4-1=11,1,0)</formula>
    </cfRule>
  </conditionalFormatting>
  <conditionalFormatting sqref="O84">
    <cfRule type="expression" dxfId="119" priority="25">
      <formula>IF($C$4-1=12,1,0)</formula>
    </cfRule>
  </conditionalFormatting>
  <conditionalFormatting sqref="G85:G86">
    <cfRule type="expression" dxfId="118" priority="24">
      <formula>IF($C$4-1=4,1,0)</formula>
    </cfRule>
  </conditionalFormatting>
  <conditionalFormatting sqref="D85:D86">
    <cfRule type="expression" dxfId="117" priority="23">
      <formula>IF($C$4-1=1,1,0)</formula>
    </cfRule>
  </conditionalFormatting>
  <conditionalFormatting sqref="E85:E86">
    <cfRule type="expression" dxfId="116" priority="22">
      <formula>IF($C$4-1=2,1,0)</formula>
    </cfRule>
  </conditionalFormatting>
  <conditionalFormatting sqref="F85:F86">
    <cfRule type="expression" dxfId="115" priority="21">
      <formula>IF($C$4-1=3,1,0)</formula>
    </cfRule>
  </conditionalFormatting>
  <conditionalFormatting sqref="H85:H86">
    <cfRule type="expression" dxfId="114" priority="20">
      <formula>IF($C$4-1=5,1,0)</formula>
    </cfRule>
  </conditionalFormatting>
  <conditionalFormatting sqref="I85:I86">
    <cfRule type="expression" dxfId="113" priority="19">
      <formula>IF($C$4-1=6,1,0)</formula>
    </cfRule>
  </conditionalFormatting>
  <conditionalFormatting sqref="J85:J86">
    <cfRule type="expression" dxfId="112" priority="18">
      <formula>IF($C$4-1=7,1,0)</formula>
    </cfRule>
  </conditionalFormatting>
  <conditionalFormatting sqref="K85:K86">
    <cfRule type="expression" dxfId="111" priority="17">
      <formula>IF($C$4-1=8,1,0)</formula>
    </cfRule>
  </conditionalFormatting>
  <conditionalFormatting sqref="L85:L86">
    <cfRule type="expression" dxfId="110" priority="16">
      <formula>IF($C$4-1=9,1,0)</formula>
    </cfRule>
  </conditionalFormatting>
  <conditionalFormatting sqref="M85:M86">
    <cfRule type="expression" dxfId="109" priority="15">
      <formula>IF($C$4-1=10,1,0)</formula>
    </cfRule>
  </conditionalFormatting>
  <conditionalFormatting sqref="N85:N86">
    <cfRule type="expression" dxfId="108" priority="14">
      <formula>IF($C$4-1=11,1,0)</formula>
    </cfRule>
  </conditionalFormatting>
  <conditionalFormatting sqref="O85:O86">
    <cfRule type="expression" dxfId="107" priority="13">
      <formula>IF($C$4-1=12,1,0)</formula>
    </cfRule>
  </conditionalFormatting>
  <conditionalFormatting sqref="G87:G403">
    <cfRule type="expression" dxfId="106" priority="12">
      <formula>IF($C$4-1=4,1,0)</formula>
    </cfRule>
  </conditionalFormatting>
  <conditionalFormatting sqref="D87:D403">
    <cfRule type="expression" dxfId="105" priority="11">
      <formula>IF($C$4-1=1,1,0)</formula>
    </cfRule>
  </conditionalFormatting>
  <conditionalFormatting sqref="E87:E403">
    <cfRule type="expression" dxfId="104" priority="10">
      <formula>IF($C$4-1=2,1,0)</formula>
    </cfRule>
  </conditionalFormatting>
  <conditionalFormatting sqref="F87:F403">
    <cfRule type="expression" dxfId="103" priority="9">
      <formula>IF($C$4-1=3,1,0)</formula>
    </cfRule>
  </conditionalFormatting>
  <conditionalFormatting sqref="H87:H403">
    <cfRule type="expression" dxfId="102" priority="8">
      <formula>IF($C$4-1=5,1,0)</formula>
    </cfRule>
  </conditionalFormatting>
  <conditionalFormatting sqref="I87:I403">
    <cfRule type="expression" dxfId="101" priority="7">
      <formula>IF($C$4-1=6,1,0)</formula>
    </cfRule>
  </conditionalFormatting>
  <conditionalFormatting sqref="J87:J403">
    <cfRule type="expression" dxfId="100" priority="6">
      <formula>IF($C$4-1=7,1,0)</formula>
    </cfRule>
  </conditionalFormatting>
  <conditionalFormatting sqref="K87:K403">
    <cfRule type="expression" dxfId="99" priority="5">
      <formula>IF($C$4-1=8,1,0)</formula>
    </cfRule>
  </conditionalFormatting>
  <conditionalFormatting sqref="L87:L403">
    <cfRule type="expression" dxfId="98" priority="4">
      <formula>IF($C$4-1=9,1,0)</formula>
    </cfRule>
  </conditionalFormatting>
  <conditionalFormatting sqref="M87:M403">
    <cfRule type="expression" dxfId="97" priority="3">
      <formula>IF($C$4-1=10,1,0)</formula>
    </cfRule>
  </conditionalFormatting>
  <conditionalFormatting sqref="N87:N403">
    <cfRule type="expression" dxfId="96" priority="2">
      <formula>IF($C$4-1=11,1,0)</formula>
    </cfRule>
  </conditionalFormatting>
  <dataValidations disablePrompts="1" count="3">
    <dataValidation type="list" allowBlank="1" showInputMessage="1" showErrorMessage="1" sqref="C13">
      <formula1>"0,1,2,3"</formula1>
    </dataValidation>
    <dataValidation type="list" allowBlank="1" showInputMessage="1" showErrorMessage="1" sqref="C20:G20 C17 C63:C64">
      <formula1>"0,1"</formula1>
    </dataValidation>
    <dataValidation type="list" allowBlank="1" showInputMessage="1" showErrorMessage="1" sqref="R2">
      <formula1>$V$2:$V$4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xmlBase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5" tint="0.39997558519241921"/>
  </sheetPr>
  <dimension ref="B1:AE403"/>
  <sheetViews>
    <sheetView showGridLines="0" zoomScale="85" zoomScaleNormal="85" workbookViewId="0">
      <selection activeCell="M15" sqref="M15"/>
    </sheetView>
  </sheetViews>
  <sheetFormatPr defaultRowHeight="15" x14ac:dyDescent="0.25"/>
  <cols>
    <col min="1" max="1" width="5.28515625" customWidth="1"/>
    <col min="2" max="2" width="22.85546875" customWidth="1"/>
    <col min="3" max="3" width="9.85546875" customWidth="1"/>
    <col min="4" max="14" width="9.42578125" customWidth="1"/>
    <col min="16" max="16" width="2.5703125" style="7" customWidth="1"/>
    <col min="17" max="17" width="12.140625" bestFit="1" customWidth="1"/>
  </cols>
  <sheetData>
    <row r="1" spans="2:14" ht="15.75" thickBot="1" x14ac:dyDescent="0.3"/>
    <row r="2" spans="2:14" x14ac:dyDescent="0.25">
      <c r="B2" s="26" t="s">
        <v>58</v>
      </c>
      <c r="C2" s="129">
        <f>base!C2</f>
        <v>2016</v>
      </c>
      <c r="F2" s="175" t="s">
        <v>86</v>
      </c>
      <c r="G2" s="176"/>
      <c r="H2" s="176"/>
      <c r="I2" s="177"/>
    </row>
    <row r="3" spans="2:14" x14ac:dyDescent="0.25">
      <c r="F3" s="178"/>
      <c r="G3" s="179"/>
      <c r="H3" s="179"/>
      <c r="I3" s="180"/>
    </row>
    <row r="4" spans="2:14" ht="15.75" thickBot="1" x14ac:dyDescent="0.3">
      <c r="B4" s="26" t="s">
        <v>84</v>
      </c>
      <c r="C4" s="129">
        <f>base!C4</f>
        <v>1</v>
      </c>
      <c r="D4" s="29" t="str">
        <f>nomeMes(C4)</f>
        <v>Jan</v>
      </c>
      <c r="F4" s="181"/>
      <c r="G4" s="182"/>
      <c r="H4" s="182"/>
      <c r="I4" s="183"/>
    </row>
    <row r="6" spans="2:14" x14ac:dyDescent="0.25">
      <c r="B6" s="6"/>
      <c r="C6" s="192" t="str">
        <f>base!C6</f>
        <v>/home/marco/PrevisaoPLD/3_decks_entrada/201508_ago_z_070815</v>
      </c>
      <c r="D6" s="192"/>
      <c r="E6" s="192"/>
      <c r="F6" s="192"/>
      <c r="G6" s="192"/>
      <c r="H6" s="192"/>
      <c r="I6" s="192"/>
      <c r="J6" s="192"/>
    </row>
    <row r="7" spans="2:14" x14ac:dyDescent="0.25">
      <c r="B7" s="6"/>
      <c r="C7" s="7"/>
    </row>
    <row r="8" spans="2:14" x14ac:dyDescent="0.25">
      <c r="B8" s="6"/>
      <c r="C8" s="165" t="s">
        <v>140</v>
      </c>
      <c r="D8" s="166"/>
      <c r="E8" s="166"/>
      <c r="F8" s="166"/>
      <c r="G8" s="166"/>
      <c r="H8" s="166"/>
      <c r="I8" s="166"/>
      <c r="J8" s="167"/>
      <c r="K8" s="6"/>
      <c r="N8" s="6"/>
    </row>
    <row r="9" spans="2:14" x14ac:dyDescent="0.25">
      <c r="B9" s="6"/>
      <c r="C9" s="6"/>
    </row>
    <row r="10" spans="2:14" x14ac:dyDescent="0.25">
      <c r="B10" s="26" t="s">
        <v>75</v>
      </c>
      <c r="C10" s="94" t="str">
        <f>Apoio!C20</f>
        <v>822.83</v>
      </c>
    </row>
    <row r="11" spans="2:14" x14ac:dyDescent="0.25">
      <c r="B11" s="26" t="s">
        <v>76</v>
      </c>
      <c r="C11" s="94" t="str">
        <f>Apoio!C21</f>
        <v>15.62</v>
      </c>
    </row>
    <row r="13" spans="2:14" x14ac:dyDescent="0.25">
      <c r="B13" s="26" t="s">
        <v>44</v>
      </c>
      <c r="C13" s="95">
        <f>base!C13</f>
        <v>1</v>
      </c>
      <c r="D13" s="169" t="str">
        <f>IF(C13=0,"Não Simula NADA",IF(C13=1,"Simulação Sintética",IF(C13=2,"Simulação Histórica",IF(C13=3,"Checar consistência"))))</f>
        <v>Simulação Sintética</v>
      </c>
      <c r="E13" s="169"/>
      <c r="F13" s="169"/>
    </row>
    <row r="15" spans="2:14" x14ac:dyDescent="0.25">
      <c r="B15" s="26" t="s">
        <v>45</v>
      </c>
      <c r="C15" s="95">
        <f>base!C15</f>
        <v>11</v>
      </c>
      <c r="D15" s="170" t="str">
        <f>"Vai até -&gt; " &amp; IF((C15+C4)&gt;12,nomeMes(C15+C4-12),  nomeMes(C15+C4))</f>
        <v>Vai até -&gt; Dez</v>
      </c>
      <c r="E15" s="170"/>
      <c r="F15" s="170"/>
    </row>
    <row r="16" spans="2:14" s="7" customFormat="1" x14ac:dyDescent="0.25">
      <c r="B16" s="14"/>
      <c r="C16" s="15"/>
      <c r="D16" s="16"/>
      <c r="E16" s="16"/>
    </row>
    <row r="17" spans="2:31" s="7" customFormat="1" x14ac:dyDescent="0.25">
      <c r="B17" s="26" t="s">
        <v>68</v>
      </c>
      <c r="C17" s="95">
        <f>base!C17</f>
        <v>0</v>
      </c>
      <c r="D17" s="169" t="str">
        <f>IF(C17=1,"Cria os decks","Cria e executa os decks")</f>
        <v>Cria e executa os decks</v>
      </c>
      <c r="E17" s="169"/>
      <c r="F17" s="169"/>
    </row>
    <row r="18" spans="2:31" s="7" customFormat="1" x14ac:dyDescent="0.25">
      <c r="B18" s="6"/>
      <c r="C18"/>
    </row>
    <row r="19" spans="2:31" s="7" customFormat="1" x14ac:dyDescent="0.25">
      <c r="B19" s="6"/>
      <c r="C19" s="24" t="s">
        <v>81</v>
      </c>
      <c r="D19" s="24" t="s">
        <v>82</v>
      </c>
      <c r="E19" s="25" t="s">
        <v>83</v>
      </c>
    </row>
    <row r="20" spans="2:31" s="7" customFormat="1" x14ac:dyDescent="0.25">
      <c r="B20" s="26" t="s">
        <v>80</v>
      </c>
      <c r="C20" s="95">
        <f>base!C20</f>
        <v>1</v>
      </c>
      <c r="D20" s="95">
        <f>base!D20</f>
        <v>1</v>
      </c>
      <c r="E20" s="95">
        <f>base!E20</f>
        <v>1</v>
      </c>
      <c r="F20" s="95">
        <f>base!F20</f>
        <v>0</v>
      </c>
      <c r="G20" s="95">
        <f>base!G20</f>
        <v>0</v>
      </c>
    </row>
    <row r="21" spans="2:31" s="7" customFormat="1" x14ac:dyDescent="0.25">
      <c r="B21" s="14"/>
      <c r="C21" s="15"/>
      <c r="D21" s="16"/>
      <c r="E21" s="16"/>
    </row>
    <row r="22" spans="2:31" s="7" customFormat="1" x14ac:dyDescent="0.25">
      <c r="B22" s="27" t="s">
        <v>77</v>
      </c>
      <c r="C22" s="185" t="str">
        <f>"saida_" &amp; MID(C8,38,50) &amp;".out"</f>
        <v>saida_201509_ago_c_seco_030815.out</v>
      </c>
      <c r="D22" s="185"/>
      <c r="E22" s="185"/>
      <c r="F22" s="185"/>
      <c r="G22" s="185"/>
      <c r="H22" s="185"/>
      <c r="I22" s="185"/>
      <c r="J22" s="185"/>
    </row>
    <row r="23" spans="2:31" s="7" customFormat="1" x14ac:dyDescent="0.25"/>
    <row r="24" spans="2:31" s="7" customFormat="1" x14ac:dyDescent="0.25">
      <c r="B24" s="27" t="s">
        <v>78</v>
      </c>
      <c r="C24" s="184" t="str">
        <f>"\\192.168.0.10\PrevisaoPLD\2_xml\" &amp;RIGHT(C6,19)</f>
        <v>\\192.168.0.10\PrevisaoPLD\2_xml\201508_ago_z_070815</v>
      </c>
      <c r="D24" s="185"/>
      <c r="E24" s="185"/>
      <c r="F24" s="185"/>
      <c r="G24" s="185"/>
      <c r="H24" s="185"/>
      <c r="I24" s="185"/>
      <c r="J24" s="185"/>
    </row>
    <row r="25" spans="2:31" s="22" customFormat="1" x14ac:dyDescent="0.25">
      <c r="B25" s="21"/>
      <c r="C25" s="23"/>
      <c r="D25" s="23"/>
      <c r="E25" s="23"/>
      <c r="F25" s="23"/>
      <c r="G25" s="23"/>
      <c r="H25" s="23"/>
      <c r="I25" s="23"/>
      <c r="J25" s="23"/>
    </row>
    <row r="26" spans="2:31" s="7" customFormat="1" x14ac:dyDescent="0.25">
      <c r="B26" s="27" t="s">
        <v>79</v>
      </c>
      <c r="C26" s="185" t="str">
        <f>MID(C8,38,50)</f>
        <v>201509_ago_c_seco_030815</v>
      </c>
      <c r="D26" s="185"/>
      <c r="E26" s="185"/>
      <c r="F26" s="185"/>
      <c r="G26" s="185"/>
      <c r="H26" s="185"/>
      <c r="I26" s="185"/>
      <c r="J26" s="185"/>
    </row>
    <row r="27" spans="2:31" s="7" customFormat="1" x14ac:dyDescent="0.25">
      <c r="B27" s="14"/>
      <c r="C27" s="15"/>
      <c r="D27" s="16"/>
      <c r="E27" s="16"/>
    </row>
    <row r="28" spans="2:31" ht="15.75" thickBot="1" x14ac:dyDescent="0.3"/>
    <row r="29" spans="2:31" ht="15.75" thickBot="1" x14ac:dyDescent="0.3">
      <c r="B29" s="6" t="s">
        <v>59</v>
      </c>
      <c r="D29" s="33" t="str">
        <f>"01/"&amp;$C$2</f>
        <v>01/2016</v>
      </c>
      <c r="E29" s="34" t="str">
        <f>"02/"&amp;$C$2</f>
        <v>02/2016</v>
      </c>
      <c r="F29" s="34" t="str">
        <f>"03/"&amp;$C$2</f>
        <v>03/2016</v>
      </c>
      <c r="G29" s="34" t="str">
        <f>"04/"&amp;$C$2</f>
        <v>04/2016</v>
      </c>
      <c r="H29" s="34" t="str">
        <f>"05/"&amp;$C$2</f>
        <v>05/2016</v>
      </c>
      <c r="I29" s="34" t="str">
        <f>"06/"&amp;$C$2</f>
        <v>06/2016</v>
      </c>
      <c r="J29" s="34" t="str">
        <f>"07/"&amp;$C$2</f>
        <v>07/2016</v>
      </c>
      <c r="K29" s="34" t="str">
        <f>"08/"&amp;$C$2</f>
        <v>08/2016</v>
      </c>
      <c r="L29" s="34" t="str">
        <f>"09/"&amp;$C$2</f>
        <v>09/2016</v>
      </c>
      <c r="M29" s="34" t="str">
        <f>"10/"&amp;$C$2</f>
        <v>10/2016</v>
      </c>
      <c r="N29" s="34" t="str">
        <f>"11/"&amp;$C$2</f>
        <v>11/2016</v>
      </c>
      <c r="O29" s="35" t="str">
        <f>"12/"&amp;$C$2</f>
        <v>12/2016</v>
      </c>
      <c r="P29" s="10"/>
      <c r="Q29" s="6" t="s">
        <v>60</v>
      </c>
      <c r="R29" s="4" t="str">
        <f>"01/"&amp;$C$2</f>
        <v>01/2016</v>
      </c>
      <c r="S29" s="4" t="str">
        <f>"02/"&amp;$C$2</f>
        <v>02/2016</v>
      </c>
      <c r="T29" s="4" t="str">
        <f>"03/"&amp;$C$2</f>
        <v>03/2016</v>
      </c>
      <c r="U29" s="4" t="str">
        <f>"04/"&amp;$C$2</f>
        <v>04/2016</v>
      </c>
      <c r="V29" s="4" t="str">
        <f>"05/"&amp;$C$2</f>
        <v>05/2016</v>
      </c>
      <c r="W29" s="4" t="str">
        <f>"06/"&amp;$C$2</f>
        <v>06/2016</v>
      </c>
      <c r="X29" s="4" t="str">
        <f>"07/"&amp;$C$2</f>
        <v>07/2016</v>
      </c>
      <c r="Y29" s="4" t="str">
        <f>"08/"&amp;$C$2</f>
        <v>08/2016</v>
      </c>
      <c r="Z29" s="4" t="str">
        <f>"09/"&amp;$C$2</f>
        <v>09/2016</v>
      </c>
      <c r="AA29" s="4" t="str">
        <f>"10/"&amp;$C$2</f>
        <v>10/2016</v>
      </c>
      <c r="AB29" s="4" t="str">
        <f>"11/"&amp;$C$2</f>
        <v>11/2016</v>
      </c>
      <c r="AC29" s="4" t="str">
        <f>"12/"&amp;$C$2</f>
        <v>12/2016</v>
      </c>
    </row>
    <row r="30" spans="2:31" x14ac:dyDescent="0.25">
      <c r="B30">
        <f>Apoio!A3</f>
        <v>1</v>
      </c>
      <c r="C30" s="17" t="str">
        <f>IF(Apoio!B3&lt;&gt;"","ENA_"&amp;Apoio!B3&amp;"_s","")</f>
        <v>ENA_SE_s</v>
      </c>
      <c r="D30" s="97">
        <v>0.85</v>
      </c>
      <c r="E30" s="98">
        <v>0.85</v>
      </c>
      <c r="F30" s="99">
        <v>0.85</v>
      </c>
      <c r="G30" s="99">
        <v>0.85</v>
      </c>
      <c r="H30" s="99">
        <v>0.85</v>
      </c>
      <c r="I30" s="99">
        <v>0.85</v>
      </c>
      <c r="J30" s="99">
        <v>0.85</v>
      </c>
      <c r="K30" s="99">
        <v>0.85</v>
      </c>
      <c r="L30" s="99">
        <v>0.85</v>
      </c>
      <c r="M30" s="99">
        <v>0.85</v>
      </c>
      <c r="N30" s="99">
        <v>0.85</v>
      </c>
      <c r="O30" s="100">
        <v>0.85</v>
      </c>
      <c r="P30" s="11"/>
      <c r="R30" s="8">
        <f>ROUND(D30*Apoio!C3,0)</f>
        <v>47564</v>
      </c>
      <c r="S30" s="8">
        <f>ROUND(E30*Apoio!D3,0)</f>
        <v>49764</v>
      </c>
      <c r="T30" s="8">
        <f>ROUND(F30*Apoio!E3,0)</f>
        <v>46470</v>
      </c>
      <c r="U30" s="8">
        <f>ROUND(G30*Apoio!F3,0)</f>
        <v>35223</v>
      </c>
      <c r="V30" s="8">
        <f>ROUND(H30*Apoio!G3,0)</f>
        <v>25417</v>
      </c>
      <c r="W30" s="8">
        <f>ROUND(I30*Apoio!H3,0)</f>
        <v>21697</v>
      </c>
      <c r="X30" s="8">
        <f>ROUND(J30*Apoio!I3,0)</f>
        <v>18000</v>
      </c>
      <c r="Y30" s="8">
        <f>ROUND(K30*Apoio!J3,0)</f>
        <v>15031</v>
      </c>
      <c r="Z30" s="8">
        <f>ROUND(L30*Apoio!K3,0)</f>
        <v>14907</v>
      </c>
      <c r="AA30" s="8">
        <f>ROUND(M30*Apoio!L3,0)</f>
        <v>17935</v>
      </c>
      <c r="AB30" s="8">
        <f>ROUND(N30*Apoio!M3,0)</f>
        <v>22935</v>
      </c>
      <c r="AC30" s="8">
        <f>ROUND(O30*Apoio!N3,0)</f>
        <v>34779</v>
      </c>
      <c r="AE30" s="28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47564 49764 46470 35223 25417 21697 18000 15031 14907 17935 22935 34779 &lt;/PrevisaoENA&gt;</v>
      </c>
    </row>
    <row r="31" spans="2:31" x14ac:dyDescent="0.25">
      <c r="B31">
        <f>Apoio!A4</f>
        <v>2</v>
      </c>
      <c r="C31" s="18" t="str">
        <f>IF(Apoio!B4&lt;&gt;"","ENA_"&amp;Apoio!B4&amp;"_s","")</f>
        <v>ENA_S_s</v>
      </c>
      <c r="D31" s="101">
        <v>1</v>
      </c>
      <c r="E31" s="102">
        <v>1</v>
      </c>
      <c r="F31" s="103">
        <v>1</v>
      </c>
      <c r="G31" s="103">
        <v>1</v>
      </c>
      <c r="H31" s="103">
        <v>1</v>
      </c>
      <c r="I31" s="103">
        <v>1</v>
      </c>
      <c r="J31" s="103">
        <v>1</v>
      </c>
      <c r="K31" s="103">
        <v>1</v>
      </c>
      <c r="L31" s="103">
        <v>1</v>
      </c>
      <c r="M31" s="103">
        <v>1</v>
      </c>
      <c r="N31" s="103">
        <v>1</v>
      </c>
      <c r="O31" s="104">
        <v>1</v>
      </c>
      <c r="P31" s="11"/>
      <c r="R31" s="8">
        <f>ROUND(D31*Apoio!C4,0)</f>
        <v>7271</v>
      </c>
      <c r="S31" s="8">
        <f>ROUND(E31*Apoio!D4,0)</f>
        <v>8350</v>
      </c>
      <c r="T31" s="8">
        <f>ROUND(F31*Apoio!E4,0)</f>
        <v>6999</v>
      </c>
      <c r="U31" s="8">
        <f>ROUND(G31*Apoio!F4,0)</f>
        <v>6584</v>
      </c>
      <c r="V31" s="8">
        <f>ROUND(H31*Apoio!G4,0)</f>
        <v>8561</v>
      </c>
      <c r="W31" s="8">
        <f>ROUND(I31*Apoio!H4,0)</f>
        <v>9928</v>
      </c>
      <c r="X31" s="8">
        <f>ROUND(J31*Apoio!I4,0)</f>
        <v>10915</v>
      </c>
      <c r="Y31" s="8">
        <f>ROUND(K31*Apoio!J4,0)</f>
        <v>10327</v>
      </c>
      <c r="Z31" s="8">
        <f>ROUND(L31*Apoio!K4,0)</f>
        <v>11999</v>
      </c>
      <c r="AA31" s="8">
        <f>ROUND(M31*Apoio!L4,0)</f>
        <v>13256</v>
      </c>
      <c r="AB31" s="8">
        <f>ROUND(N31*Apoio!M4,0)</f>
        <v>9358</v>
      </c>
      <c r="AC31" s="8">
        <f>ROUND(O31*Apoio!N4,0)</f>
        <v>7382</v>
      </c>
      <c r="AE31" s="28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19" t="str">
        <f>IF(Apoio!B5&lt;&gt;"","ENA_"&amp;Apoio!B5&amp;"_s","")</f>
        <v>ENA_NE_s</v>
      </c>
      <c r="D32" s="101">
        <v>0.55000000000000004</v>
      </c>
      <c r="E32" s="102">
        <v>0.55000000000000004</v>
      </c>
      <c r="F32" s="103">
        <v>0.55000000000000004</v>
      </c>
      <c r="G32" s="103">
        <v>0.55000000000000004</v>
      </c>
      <c r="H32" s="103">
        <v>0.55000000000000004</v>
      </c>
      <c r="I32" s="103">
        <v>0.55000000000000004</v>
      </c>
      <c r="J32" s="103">
        <v>0.55000000000000004</v>
      </c>
      <c r="K32" s="103">
        <v>0.55000000000000004</v>
      </c>
      <c r="L32" s="103">
        <v>0.55000000000000004</v>
      </c>
      <c r="M32" s="103">
        <v>0.55000000000000004</v>
      </c>
      <c r="N32" s="103">
        <v>0.55000000000000004</v>
      </c>
      <c r="O32" s="104">
        <v>0.55000000000000004</v>
      </c>
      <c r="P32" s="11"/>
      <c r="R32" s="8">
        <f>ROUND(D32*Apoio!C5,0)</f>
        <v>7788</v>
      </c>
      <c r="S32" s="8">
        <f>ROUND(E32*Apoio!D5,0)</f>
        <v>8191</v>
      </c>
      <c r="T32" s="8">
        <f>ROUND(F32*Apoio!E5,0)</f>
        <v>8156</v>
      </c>
      <c r="U32" s="8">
        <f>ROUND(G32*Apoio!F5,0)</f>
        <v>6641</v>
      </c>
      <c r="V32" s="8">
        <f>ROUND(H32*Apoio!G5,0)</f>
        <v>4022</v>
      </c>
      <c r="W32" s="8">
        <f>ROUND(I32*Apoio!H5,0)</f>
        <v>2653</v>
      </c>
      <c r="X32" s="8">
        <f>ROUND(J32*Apoio!I5,0)</f>
        <v>2186</v>
      </c>
      <c r="Y32" s="8">
        <f>ROUND(K32*Apoio!J5,0)</f>
        <v>1904</v>
      </c>
      <c r="Z32" s="8">
        <f>ROUND(L32*Apoio!K5,0)</f>
        <v>1702</v>
      </c>
      <c r="AA32" s="8">
        <f>ROUND(M32*Apoio!L5,0)</f>
        <v>1866</v>
      </c>
      <c r="AB32" s="8">
        <f>ROUND(N32*Apoio!M5,0)</f>
        <v>3054</v>
      </c>
      <c r="AC32" s="8">
        <f>ROUND(O32*Apoio!N5,0)</f>
        <v>5616</v>
      </c>
      <c r="AE32" s="28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0" t="str">
        <f>IF(Apoio!B6&lt;&gt;"","ENA_"&amp;Apoio!B6&amp;"_s","")</f>
        <v>ENA_N_s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1"/>
      <c r="R33" s="8">
        <f>ROUND(D33*Apoio!C6,0)</f>
        <v>10038</v>
      </c>
      <c r="S33" s="8">
        <f>ROUND(E33*Apoio!D6,0)</f>
        <v>13476</v>
      </c>
      <c r="T33" s="8">
        <f>ROUND(F33*Apoio!E6,0)</f>
        <v>15677</v>
      </c>
      <c r="U33" s="8">
        <f>ROUND(G33*Apoio!F6,0)</f>
        <v>15615</v>
      </c>
      <c r="V33" s="8">
        <f>ROUND(H33*Apoio!G6,0)</f>
        <v>10498</v>
      </c>
      <c r="W33" s="8">
        <f>ROUND(I33*Apoio!H6,0)</f>
        <v>5478</v>
      </c>
      <c r="X33" s="8">
        <f>ROUND(J33*Apoio!I6,0)</f>
        <v>3334</v>
      </c>
      <c r="Y33" s="8">
        <f>ROUND(K33*Apoio!J6,0)</f>
        <v>2337</v>
      </c>
      <c r="Z33" s="8">
        <f>ROUND(L33*Apoio!K6,0)</f>
        <v>1807</v>
      </c>
      <c r="AA33" s="8">
        <f>ROUND(M33*Apoio!L6,0)</f>
        <v>1932</v>
      </c>
      <c r="AB33" s="8">
        <f>ROUND(N33*Apoio!M6,0)</f>
        <v>3065</v>
      </c>
      <c r="AC33" s="8">
        <f>ROUND(O33*Apoio!N6,0)</f>
        <v>5855</v>
      </c>
      <c r="AE33" s="28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6</v>
      </c>
      <c r="C34" s="72" t="str">
        <f>IF(Apoio!B7&lt;&gt;"","ENA_"&amp;Apoio!B7&amp;"_s","")</f>
        <v>ENA_MD_s</v>
      </c>
      <c r="D34" s="105">
        <v>0.85</v>
      </c>
      <c r="E34" s="106">
        <v>0.85</v>
      </c>
      <c r="F34" s="107">
        <v>0.85</v>
      </c>
      <c r="G34" s="107">
        <v>0.85</v>
      </c>
      <c r="H34" s="107">
        <v>0.85</v>
      </c>
      <c r="I34" s="107">
        <v>0.85</v>
      </c>
      <c r="J34" s="107">
        <v>0.85</v>
      </c>
      <c r="K34" s="107">
        <v>0.85</v>
      </c>
      <c r="L34" s="107">
        <v>0.85</v>
      </c>
      <c r="M34" s="107">
        <v>0.85</v>
      </c>
      <c r="N34" s="107">
        <v>0.85</v>
      </c>
      <c r="O34" s="108">
        <v>0.85</v>
      </c>
      <c r="P34" s="11"/>
      <c r="R34" s="8">
        <f>ROUND(D34*Apoio!C7,0)</f>
        <v>0</v>
      </c>
      <c r="S34" s="8">
        <f>ROUND(E34*Apoio!D7,0)</f>
        <v>0</v>
      </c>
      <c r="T34" s="8">
        <f>ROUND(F34*Apoio!E7,0)</f>
        <v>0</v>
      </c>
      <c r="U34" s="8">
        <f>ROUND(G34*Apoio!F7,0)</f>
        <v>0</v>
      </c>
      <c r="V34" s="8">
        <f>ROUND(H34*Apoio!G7,0)</f>
        <v>0</v>
      </c>
      <c r="W34" s="8">
        <f>ROUND(I34*Apoio!H7,0)</f>
        <v>0</v>
      </c>
      <c r="X34" s="8">
        <f>ROUND(J34*Apoio!I7,0)</f>
        <v>0</v>
      </c>
      <c r="Y34" s="8">
        <f>ROUND(K34*Apoio!J7,0)</f>
        <v>0</v>
      </c>
      <c r="Z34" s="8">
        <f>ROUND(L34*Apoio!K7,0)</f>
        <v>0</v>
      </c>
      <c r="AA34" s="8">
        <f>ROUND(M34*Apoio!L7,0)</f>
        <v>0</v>
      </c>
      <c r="AB34" s="8">
        <f>ROUND(N34*Apoio!M7,0)</f>
        <v>0</v>
      </c>
      <c r="AC34" s="8">
        <f>ROUND(O34*Apoio!N7,0)</f>
        <v>0</v>
      </c>
      <c r="AE34" s="28" t="str">
        <f t="shared" si="0"/>
        <v>&lt;PrevisaoENA SubMercado="6" MesReferencia="1"&gt; 0 0 0 0 0 0 0 0 0 0 0 0 &lt;/PrevisaoENA&gt;</v>
      </c>
    </row>
    <row r="35" spans="2:31" x14ac:dyDescent="0.25">
      <c r="B35">
        <f>Apoio!A8</f>
        <v>8</v>
      </c>
      <c r="C35" s="73" t="str">
        <f>IF(Apoio!B8&lt;&gt;"","ENA_"&amp;Apoio!B8&amp;"_s","")</f>
        <v>ENA_BM_s</v>
      </c>
      <c r="D35" s="105">
        <v>1</v>
      </c>
      <c r="E35" s="106">
        <v>1</v>
      </c>
      <c r="F35" s="107">
        <v>1</v>
      </c>
      <c r="G35" s="107">
        <v>1</v>
      </c>
      <c r="H35" s="107">
        <v>1</v>
      </c>
      <c r="I35" s="107">
        <v>1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8">
        <v>1</v>
      </c>
      <c r="P35" s="11"/>
      <c r="R35" s="8">
        <f>ROUND(D35*Apoio!C8,0)</f>
        <v>0</v>
      </c>
      <c r="S35" s="8">
        <f>ROUND(E35*Apoio!D8,0)</f>
        <v>0</v>
      </c>
      <c r="T35" s="8">
        <f>ROUND(F35*Apoio!E8,0)</f>
        <v>0</v>
      </c>
      <c r="U35" s="8">
        <f>ROUND(G35*Apoio!F8,0)</f>
        <v>0</v>
      </c>
      <c r="V35" s="8">
        <f>ROUND(H35*Apoio!G8,0)</f>
        <v>0</v>
      </c>
      <c r="W35" s="8">
        <f>ROUND(I35*Apoio!H8,0)</f>
        <v>0</v>
      </c>
      <c r="X35" s="8">
        <f>ROUND(J35*Apoio!I8,0)</f>
        <v>0</v>
      </c>
      <c r="Y35" s="8">
        <f>ROUND(K35*Apoio!J8,0)</f>
        <v>0</v>
      </c>
      <c r="Z35" s="8">
        <f>ROUND(L35*Apoio!K8,0)</f>
        <v>0</v>
      </c>
      <c r="AA35" s="8">
        <f>ROUND(M35*Apoio!L8,0)</f>
        <v>0</v>
      </c>
      <c r="AB35" s="8">
        <f>ROUND(N35*Apoio!M8,0)</f>
        <v>0</v>
      </c>
      <c r="AC35" s="8">
        <f>ROUND(O35*Apoio!N8,0)</f>
        <v>0</v>
      </c>
      <c r="AE35" s="28" t="str">
        <f t="shared" si="0"/>
        <v>&lt;PrevisaoENA SubMercado="8" MesReferencia="1"&gt; 0 0 0 0 0 0 0 0 0 0 0 0 &lt;/PrevisaoENA&gt;</v>
      </c>
    </row>
    <row r="36" spans="2:31" x14ac:dyDescent="0.25">
      <c r="B36">
        <f>Apoio!A9</f>
        <v>0</v>
      </c>
      <c r="C36" s="74" t="str">
        <f>IF(Apoio!B9&lt;&gt;"","ENA_"&amp;Apoio!B9&amp;"_s","")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1"/>
      <c r="R36" s="8">
        <f>ROUND(D36*Apoio!C9,0)</f>
        <v>0</v>
      </c>
      <c r="S36" s="8">
        <f>ROUND(E36*Apoio!D9,0)</f>
        <v>0</v>
      </c>
      <c r="T36" s="8">
        <f>ROUND(F36*Apoio!E9,0)</f>
        <v>0</v>
      </c>
      <c r="U36" s="8">
        <f>ROUND(G36*Apoio!F9,0)</f>
        <v>0</v>
      </c>
      <c r="V36" s="8">
        <f>ROUND(H36*Apoio!G9,0)</f>
        <v>0</v>
      </c>
      <c r="W36" s="8">
        <f>ROUND(I36*Apoio!H9,0)</f>
        <v>0</v>
      </c>
      <c r="X36" s="8">
        <f>ROUND(J36*Apoio!I9,0)</f>
        <v>0</v>
      </c>
      <c r="Y36" s="8">
        <f>ROUND(K36*Apoio!J9,0)</f>
        <v>0</v>
      </c>
      <c r="Z36" s="8">
        <f>ROUND(L36*Apoio!K9,0)</f>
        <v>0</v>
      </c>
      <c r="AA36" s="8">
        <f>ROUND(M36*Apoio!L9,0)</f>
        <v>0</v>
      </c>
      <c r="AB36" s="8">
        <f>ROUND(N36*Apoio!M9,0)</f>
        <v>0</v>
      </c>
      <c r="AC36" s="8">
        <f>ROUND(O36*Apoio!N9,0)</f>
        <v>0</v>
      </c>
      <c r="AE36" s="28" t="str">
        <f t="shared" si="0"/>
        <v/>
      </c>
    </row>
    <row r="37" spans="2:31" x14ac:dyDescent="0.25">
      <c r="B37">
        <f>Apoio!A10</f>
        <v>0</v>
      </c>
      <c r="C37" s="74" t="str">
        <f>IF(Apoio!B10&lt;&gt;"","ENA_"&amp;Apoio!B10&amp;"_s","")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1"/>
      <c r="R37" s="8">
        <f>ROUND(D37*Apoio!C10,0)</f>
        <v>0</v>
      </c>
      <c r="S37" s="8">
        <f>ROUND(E37*Apoio!D10,0)</f>
        <v>0</v>
      </c>
      <c r="T37" s="8">
        <f>ROUND(F37*Apoio!E10,0)</f>
        <v>0</v>
      </c>
      <c r="U37" s="8">
        <f>ROUND(G37*Apoio!F10,0)</f>
        <v>0</v>
      </c>
      <c r="V37" s="8">
        <f>ROUND(H37*Apoio!G10,0)</f>
        <v>0</v>
      </c>
      <c r="W37" s="8">
        <f>ROUND(I37*Apoio!H10,0)</f>
        <v>0</v>
      </c>
      <c r="X37" s="8">
        <f>ROUND(J37*Apoio!I10,0)</f>
        <v>0</v>
      </c>
      <c r="Y37" s="8">
        <f>ROUND(K37*Apoio!J10,0)</f>
        <v>0</v>
      </c>
      <c r="Z37" s="8">
        <f>ROUND(L37*Apoio!K10,0)</f>
        <v>0</v>
      </c>
      <c r="AA37" s="8">
        <f>ROUND(M37*Apoio!L10,0)</f>
        <v>0</v>
      </c>
      <c r="AB37" s="8">
        <f>ROUND(N37*Apoio!M10,0)</f>
        <v>0</v>
      </c>
      <c r="AC37" s="8">
        <f>ROUND(O37*Apoio!N10,0)</f>
        <v>0</v>
      </c>
      <c r="AE37" s="28" t="str">
        <f t="shared" si="0"/>
        <v/>
      </c>
    </row>
    <row r="38" spans="2:31" x14ac:dyDescent="0.25">
      <c r="B38">
        <f>Apoio!A11</f>
        <v>0</v>
      </c>
      <c r="C38" s="74" t="str">
        <f>IF(Apoio!B11&lt;&gt;"","ENA_"&amp;Apoio!B11&amp;"_s","")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1"/>
      <c r="R38" s="8">
        <f>ROUND(D38*Apoio!C11,0)</f>
        <v>0</v>
      </c>
      <c r="S38" s="8">
        <f>ROUND(E38*Apoio!D11,0)</f>
        <v>0</v>
      </c>
      <c r="T38" s="8">
        <f>ROUND(F38*Apoio!E11,0)</f>
        <v>0</v>
      </c>
      <c r="U38" s="8">
        <f>ROUND(G38*Apoio!F11,0)</f>
        <v>0</v>
      </c>
      <c r="V38" s="8">
        <f>ROUND(H38*Apoio!G11,0)</f>
        <v>0</v>
      </c>
      <c r="W38" s="8">
        <f>ROUND(I38*Apoio!H11,0)</f>
        <v>0</v>
      </c>
      <c r="X38" s="8">
        <f>ROUND(J38*Apoio!I11,0)</f>
        <v>0</v>
      </c>
      <c r="Y38" s="8">
        <f>ROUND(K38*Apoio!J11,0)</f>
        <v>0</v>
      </c>
      <c r="Z38" s="8">
        <f>ROUND(L38*Apoio!K11,0)</f>
        <v>0</v>
      </c>
      <c r="AA38" s="8">
        <f>ROUND(M38*Apoio!L11,0)</f>
        <v>0</v>
      </c>
      <c r="AB38" s="8">
        <f>ROUND(N38*Apoio!M11,0)</f>
        <v>0</v>
      </c>
      <c r="AC38" s="8">
        <f>ROUND(O38*Apoio!N11,0)</f>
        <v>0</v>
      </c>
      <c r="AE38" s="28" t="str">
        <f t="shared" si="0"/>
        <v/>
      </c>
    </row>
    <row r="39" spans="2:31" x14ac:dyDescent="0.25">
      <c r="B39">
        <f>Apoio!A12</f>
        <v>0</v>
      </c>
      <c r="C39" s="74" t="str">
        <f>IF(Apoio!B12&lt;&gt;"","ENA_"&amp;Apoio!B12&amp;"_s","")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1"/>
      <c r="R39" s="8">
        <f>ROUND(D39*Apoio!C12,0)</f>
        <v>0</v>
      </c>
      <c r="S39" s="8">
        <f>ROUND(E39*Apoio!D12,0)</f>
        <v>0</v>
      </c>
      <c r="T39" s="8">
        <f>ROUND(F39*Apoio!E12,0)</f>
        <v>0</v>
      </c>
      <c r="U39" s="8">
        <f>ROUND(G39*Apoio!F12,0)</f>
        <v>0</v>
      </c>
      <c r="V39" s="8">
        <f>ROUND(H39*Apoio!G12,0)</f>
        <v>0</v>
      </c>
      <c r="W39" s="8">
        <f>ROUND(I39*Apoio!H12,0)</f>
        <v>0</v>
      </c>
      <c r="X39" s="8">
        <f>ROUND(J39*Apoio!I12,0)</f>
        <v>0</v>
      </c>
      <c r="Y39" s="8">
        <f>ROUND(K39*Apoio!J12,0)</f>
        <v>0</v>
      </c>
      <c r="Z39" s="8">
        <f>ROUND(L39*Apoio!K12,0)</f>
        <v>0</v>
      </c>
      <c r="AA39" s="8">
        <f>ROUND(M39*Apoio!L12,0)</f>
        <v>0</v>
      </c>
      <c r="AB39" s="8">
        <f>ROUND(N39*Apoio!M12,0)</f>
        <v>0</v>
      </c>
      <c r="AC39" s="8">
        <f>ROUND(O39*Apoio!N12,0)</f>
        <v>0</v>
      </c>
      <c r="AE39" s="28" t="str">
        <f t="shared" si="0"/>
        <v/>
      </c>
    </row>
    <row r="40" spans="2:31" x14ac:dyDescent="0.25">
      <c r="B40">
        <f>Apoio!A13</f>
        <v>0</v>
      </c>
      <c r="C40" s="74" t="str">
        <f>IF(Apoio!B13&lt;&gt;"","ENA_"&amp;Apoio!B13&amp;"_s","")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1"/>
      <c r="R40" s="8">
        <f>ROUND(D40*Apoio!C13,0)</f>
        <v>0</v>
      </c>
      <c r="S40" s="8">
        <f>ROUND(E40*Apoio!D13,0)</f>
        <v>0</v>
      </c>
      <c r="T40" s="8">
        <f>ROUND(F40*Apoio!E13,0)</f>
        <v>0</v>
      </c>
      <c r="U40" s="8">
        <f>ROUND(G40*Apoio!F13,0)</f>
        <v>0</v>
      </c>
      <c r="V40" s="8">
        <f>ROUND(H40*Apoio!G13,0)</f>
        <v>0</v>
      </c>
      <c r="W40" s="8">
        <f>ROUND(I40*Apoio!H13,0)</f>
        <v>0</v>
      </c>
      <c r="X40" s="8">
        <f>ROUND(J40*Apoio!I13,0)</f>
        <v>0</v>
      </c>
      <c r="Y40" s="8">
        <f>ROUND(K40*Apoio!J13,0)</f>
        <v>0</v>
      </c>
      <c r="Z40" s="8">
        <f>ROUND(L40*Apoio!K13,0)</f>
        <v>0</v>
      </c>
      <c r="AA40" s="8">
        <f>ROUND(M40*Apoio!L13,0)</f>
        <v>0</v>
      </c>
      <c r="AB40" s="8">
        <f>ROUND(N40*Apoio!M13,0)</f>
        <v>0</v>
      </c>
      <c r="AC40" s="8">
        <f>ROUND(O40*Apoio!N13,0)</f>
        <v>0</v>
      </c>
      <c r="AE40" s="28" t="str">
        <f t="shared" si="0"/>
        <v/>
      </c>
    </row>
    <row r="41" spans="2:31" x14ac:dyDescent="0.25">
      <c r="B41">
        <f>Apoio!A14</f>
        <v>0</v>
      </c>
      <c r="C41" s="74" t="str">
        <f>IF(Apoio!B14&lt;&gt;"","ENA_"&amp;Apoio!B14&amp;"_s","")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"/>
      <c r="R41" s="8">
        <f>ROUND(D41*Apoio!C14,0)</f>
        <v>0</v>
      </c>
      <c r="S41" s="8">
        <f>ROUND(E41*Apoio!D14,0)</f>
        <v>0</v>
      </c>
      <c r="T41" s="8">
        <f>ROUND(F41*Apoio!E14,0)</f>
        <v>0</v>
      </c>
      <c r="U41" s="8">
        <f>ROUND(G41*Apoio!F14,0)</f>
        <v>0</v>
      </c>
      <c r="V41" s="8">
        <f>ROUND(H41*Apoio!G14,0)</f>
        <v>0</v>
      </c>
      <c r="W41" s="8">
        <f>ROUND(I41*Apoio!H14,0)</f>
        <v>0</v>
      </c>
      <c r="X41" s="8">
        <f>ROUND(J41*Apoio!I14,0)</f>
        <v>0</v>
      </c>
      <c r="Y41" s="8">
        <f>ROUND(K41*Apoio!J14,0)</f>
        <v>0</v>
      </c>
      <c r="Z41" s="8">
        <f>ROUND(L41*Apoio!K14,0)</f>
        <v>0</v>
      </c>
      <c r="AA41" s="8">
        <f>ROUND(M41*Apoio!L14,0)</f>
        <v>0</v>
      </c>
      <c r="AB41" s="8">
        <f>ROUND(N41*Apoio!M14,0)</f>
        <v>0</v>
      </c>
      <c r="AC41" s="8">
        <f>ROUND(O41*Apoio!N14,0)</f>
        <v>0</v>
      </c>
      <c r="AE41" s="28" t="str">
        <f t="shared" si="0"/>
        <v/>
      </c>
    </row>
    <row r="42" spans="2:31" x14ac:dyDescent="0.25">
      <c r="B42">
        <f>Apoio!A15</f>
        <v>0</v>
      </c>
      <c r="C42" s="74" t="str">
        <f>IF(Apoio!B15&lt;&gt;"","ENA_"&amp;Apoio!B15&amp;"_s","")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1"/>
      <c r="R42" s="8">
        <f>ROUND(D42*Apoio!C15,0)</f>
        <v>0</v>
      </c>
      <c r="S42" s="8">
        <f>ROUND(E42*Apoio!D15,0)</f>
        <v>0</v>
      </c>
      <c r="T42" s="8">
        <f>ROUND(F42*Apoio!E15,0)</f>
        <v>0</v>
      </c>
      <c r="U42" s="8">
        <f>ROUND(G42*Apoio!F15,0)</f>
        <v>0</v>
      </c>
      <c r="V42" s="8">
        <f>ROUND(H42*Apoio!G15,0)</f>
        <v>0</v>
      </c>
      <c r="W42" s="8">
        <f>ROUND(I42*Apoio!H15,0)</f>
        <v>0</v>
      </c>
      <c r="X42" s="8">
        <f>ROUND(J42*Apoio!I15,0)</f>
        <v>0</v>
      </c>
      <c r="Y42" s="8">
        <f>ROUND(K42*Apoio!J15,0)</f>
        <v>0</v>
      </c>
      <c r="Z42" s="8">
        <f>ROUND(L42*Apoio!K15,0)</f>
        <v>0</v>
      </c>
      <c r="AA42" s="8">
        <f>ROUND(M42*Apoio!L15,0)</f>
        <v>0</v>
      </c>
      <c r="AB42" s="8">
        <f>ROUND(N42*Apoio!M15,0)</f>
        <v>0</v>
      </c>
      <c r="AC42" s="8">
        <f>ROUND(O42*Apoio!N15,0)</f>
        <v>0</v>
      </c>
      <c r="AE42" s="28" t="str">
        <f t="shared" si="0"/>
        <v/>
      </c>
    </row>
    <row r="43" spans="2:31" x14ac:dyDescent="0.25">
      <c r="B43">
        <f>Apoio!A16</f>
        <v>0</v>
      </c>
      <c r="C43" s="74" t="str">
        <f>IF(Apoio!B16&lt;&gt;"","ENA_"&amp;Apoio!B16&amp;"_s","")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1"/>
      <c r="R43" s="8">
        <f>ROUND(D43*Apoio!C16,0)</f>
        <v>0</v>
      </c>
      <c r="S43" s="8">
        <f>ROUND(E43*Apoio!D16,0)</f>
        <v>0</v>
      </c>
      <c r="T43" s="8">
        <f>ROUND(F43*Apoio!E16,0)</f>
        <v>0</v>
      </c>
      <c r="U43" s="8">
        <f>ROUND(G43*Apoio!F16,0)</f>
        <v>0</v>
      </c>
      <c r="V43" s="8">
        <f>ROUND(H43*Apoio!G16,0)</f>
        <v>0</v>
      </c>
      <c r="W43" s="8">
        <f>ROUND(I43*Apoio!H16,0)</f>
        <v>0</v>
      </c>
      <c r="X43" s="8">
        <f>ROUND(J43*Apoio!I16,0)</f>
        <v>0</v>
      </c>
      <c r="Y43" s="8">
        <f>ROUND(K43*Apoio!J16,0)</f>
        <v>0</v>
      </c>
      <c r="Z43" s="8">
        <f>ROUND(L43*Apoio!K16,0)</f>
        <v>0</v>
      </c>
      <c r="AA43" s="8">
        <f>ROUND(M43*Apoio!L16,0)</f>
        <v>0</v>
      </c>
      <c r="AB43" s="8">
        <f>ROUND(N43*Apoio!M16,0)</f>
        <v>0</v>
      </c>
      <c r="AC43" s="8">
        <f>ROUND(O43*Apoio!N16,0)</f>
        <v>0</v>
      </c>
      <c r="AE43" s="28" t="str">
        <f t="shared" si="0"/>
        <v/>
      </c>
    </row>
    <row r="44" spans="2:31" ht="15.75" thickBot="1" x14ac:dyDescent="0.3">
      <c r="B44">
        <f>Apoio!A17</f>
        <v>0</v>
      </c>
      <c r="C44" s="75" t="str">
        <f>IF(Apoio!B17&lt;&gt;"","ENA_"&amp;Apoio!B17&amp;"_s","")</f>
        <v/>
      </c>
      <c r="D44" s="109"/>
      <c r="E44" s="110"/>
      <c r="F44" s="111"/>
      <c r="G44" s="111"/>
      <c r="H44" s="111"/>
      <c r="I44" s="111"/>
      <c r="J44" s="111"/>
      <c r="K44" s="111"/>
      <c r="L44" s="111"/>
      <c r="M44" s="111"/>
      <c r="N44" s="111"/>
      <c r="O44" s="112"/>
      <c r="P44" s="11"/>
      <c r="R44" s="8">
        <f>ROUND(D44*Apoio!C17,0)</f>
        <v>0</v>
      </c>
      <c r="S44" s="8">
        <f>ROUND(E44*Apoio!D17,0)</f>
        <v>0</v>
      </c>
      <c r="T44" s="8">
        <f>ROUND(F44*Apoio!E17,0)</f>
        <v>0</v>
      </c>
      <c r="U44" s="8">
        <f>ROUND(G44*Apoio!F17,0)</f>
        <v>0</v>
      </c>
      <c r="V44" s="8">
        <f>ROUND(H44*Apoio!G17,0)</f>
        <v>0</v>
      </c>
      <c r="W44" s="8">
        <f>ROUND(I44*Apoio!H17,0)</f>
        <v>0</v>
      </c>
      <c r="X44" s="8">
        <f>ROUND(J44*Apoio!I17,0)</f>
        <v>0</v>
      </c>
      <c r="Y44" s="8">
        <f>ROUND(K44*Apoio!J17,0)</f>
        <v>0</v>
      </c>
      <c r="Z44" s="8">
        <f>ROUND(L44*Apoio!K17,0)</f>
        <v>0</v>
      </c>
      <c r="AA44" s="8">
        <f>ROUND(M44*Apoio!L17,0)</f>
        <v>0</v>
      </c>
      <c r="AB44" s="8">
        <f>ROUND(N44*Apoio!M17,0)</f>
        <v>0</v>
      </c>
      <c r="AC44" s="8">
        <f>ROUND(O44*Apoio!N17,0)</f>
        <v>0</v>
      </c>
      <c r="AE44" s="28" t="str">
        <f t="shared" si="0"/>
        <v/>
      </c>
    </row>
    <row r="45" spans="2:31" hidden="1" x14ac:dyDescent="0.25"/>
    <row r="46" spans="2:31" ht="16.5" hidden="1" thickBot="1" x14ac:dyDescent="0.3">
      <c r="B46" s="6" t="s">
        <v>61</v>
      </c>
      <c r="C46" s="30"/>
      <c r="E46" s="32"/>
    </row>
    <row r="47" spans="2:31" ht="16.5" hidden="1" thickBot="1" x14ac:dyDescent="0.3">
      <c r="C47" s="31" t="str">
        <f>nomeMes(C4-1)</f>
        <v/>
      </c>
      <c r="D47" s="186" t="s">
        <v>65</v>
      </c>
      <c r="E47" s="187"/>
      <c r="F47" s="188" t="s">
        <v>66</v>
      </c>
      <c r="G47" s="189"/>
      <c r="L47" s="37"/>
    </row>
    <row r="48" spans="2:31" hidden="1" x14ac:dyDescent="0.25">
      <c r="B48">
        <f>Apoio!A3</f>
        <v>1</v>
      </c>
      <c r="C48" s="17" t="s">
        <v>70</v>
      </c>
      <c r="D48" s="38">
        <f>base!D48</f>
        <v>0</v>
      </c>
      <c r="E48" s="36">
        <f t="shared" ref="E48:E62" si="1">INDEX($D$66:$O$80,ROW()-ROW($C$47),$C$4-1)</f>
        <v>0</v>
      </c>
      <c r="F48" s="190">
        <f>ROUND(D48*E48,1)</f>
        <v>0</v>
      </c>
      <c r="G48" s="191"/>
      <c r="AE48" t="str">
        <f>IF(C30="","","&lt;VolumeInicial SubMercado="""&amp;B48&amp;"""&gt; " &amp;F48&amp; " &lt;/VolumeInicial&gt;")</f>
        <v>&lt;VolumeInicial SubMercado="1"&gt; 0 &lt;/VolumeInicial&gt;</v>
      </c>
    </row>
    <row r="49" spans="2:31" hidden="1" x14ac:dyDescent="0.25">
      <c r="B49">
        <f>Apoio!A4</f>
        <v>2</v>
      </c>
      <c r="C49" s="18" t="str">
        <f>IF(Apoio!B4&lt;&gt;"",Apoio!B4,"")</f>
        <v>S</v>
      </c>
      <c r="D49" s="38">
        <f>base!D49</f>
        <v>0</v>
      </c>
      <c r="E49" s="36">
        <f t="shared" si="1"/>
        <v>0</v>
      </c>
      <c r="F49" s="173">
        <f t="shared" ref="F49:F62" si="2">ROUND(D49*E49,1)</f>
        <v>0</v>
      </c>
      <c r="G49" s="174"/>
      <c r="AE49" t="str">
        <f t="shared" ref="AE49:AE62" si="3">IF(C31="","","&lt;VolumeInicial SubMercado="""&amp;B49&amp;"""&gt; " &amp;F49&amp; " &lt;/VolumeInicial&gt;")</f>
        <v>&lt;VolumeInicial SubMercado="2"&gt; 0 &lt;/VolumeInicial&gt;</v>
      </c>
    </row>
    <row r="50" spans="2:31" hidden="1" x14ac:dyDescent="0.25">
      <c r="B50">
        <f>Apoio!A5</f>
        <v>3</v>
      </c>
      <c r="C50" s="19" t="str">
        <f>IF(Apoio!B5&lt;&gt;"",Apoio!B5,"")</f>
        <v>NE</v>
      </c>
      <c r="D50" s="38">
        <f>base!D50</f>
        <v>0</v>
      </c>
      <c r="E50" s="36">
        <f t="shared" si="1"/>
        <v>0</v>
      </c>
      <c r="F50" s="173">
        <f t="shared" si="2"/>
        <v>0</v>
      </c>
      <c r="G50" s="174"/>
      <c r="AE50" t="str">
        <f t="shared" si="3"/>
        <v>&lt;VolumeInicial SubMercado="3"&gt; 0 &lt;/VolumeInicial&gt;</v>
      </c>
    </row>
    <row r="51" spans="2:31" ht="15.75" hidden="1" thickBot="1" x14ac:dyDescent="0.3">
      <c r="B51">
        <f>Apoio!A6</f>
        <v>4</v>
      </c>
      <c r="C51" s="20" t="str">
        <f>IF(Apoio!B6&lt;&gt;"",Apoio!B6,"")</f>
        <v>N</v>
      </c>
      <c r="D51" s="38">
        <f>base!D51</f>
        <v>0</v>
      </c>
      <c r="E51" s="36">
        <f t="shared" si="1"/>
        <v>0</v>
      </c>
      <c r="F51" s="173">
        <f t="shared" si="2"/>
        <v>0</v>
      </c>
      <c r="G51" s="174"/>
      <c r="AE51" t="str">
        <f t="shared" si="3"/>
        <v>&lt;VolumeInicial SubMercado="4"&gt; 0 &lt;/VolumeInicial&gt;</v>
      </c>
    </row>
    <row r="52" spans="2:31" hidden="1" x14ac:dyDescent="0.25">
      <c r="B52">
        <f>Apoio!A7</f>
        <v>6</v>
      </c>
      <c r="C52" s="72" t="str">
        <f>IF(Apoio!B7&lt;&gt;"",Apoio!B7,"")</f>
        <v>MD</v>
      </c>
      <c r="D52" s="38">
        <f>base!D52</f>
        <v>0</v>
      </c>
      <c r="E52" s="36">
        <f t="shared" si="1"/>
        <v>0</v>
      </c>
      <c r="F52" s="173">
        <f t="shared" si="2"/>
        <v>0</v>
      </c>
      <c r="G52" s="174"/>
      <c r="AE52" t="str">
        <f t="shared" si="3"/>
        <v>&lt;VolumeInicial SubMercado="6"&gt; 0 &lt;/VolumeInicial&gt;</v>
      </c>
    </row>
    <row r="53" spans="2:31" hidden="1" x14ac:dyDescent="0.25">
      <c r="B53">
        <f>Apoio!A8</f>
        <v>8</v>
      </c>
      <c r="C53" s="73" t="str">
        <f>IF(Apoio!B8&lt;&gt;"",Apoio!B8,"")</f>
        <v>BM</v>
      </c>
      <c r="D53" s="38">
        <f>base!D53</f>
        <v>0</v>
      </c>
      <c r="E53" s="36">
        <f t="shared" si="1"/>
        <v>0</v>
      </c>
      <c r="F53" s="173">
        <f t="shared" si="2"/>
        <v>0</v>
      </c>
      <c r="G53" s="174"/>
      <c r="AE53" t="str">
        <f t="shared" si="3"/>
        <v>&lt;VolumeInicial SubMercado="8"&gt; 0 &lt;/VolumeInicial&gt;</v>
      </c>
    </row>
    <row r="54" spans="2:31" hidden="1" x14ac:dyDescent="0.25">
      <c r="B54">
        <f>Apoio!A9</f>
        <v>0</v>
      </c>
      <c r="C54" s="74" t="str">
        <f>IF(Apoio!B9&lt;&gt;"",Apoio!B9,"")</f>
        <v/>
      </c>
      <c r="D54" s="38">
        <f>base!D54</f>
        <v>0</v>
      </c>
      <c r="E54" s="36">
        <f t="shared" si="1"/>
        <v>0</v>
      </c>
      <c r="F54" s="173">
        <f t="shared" si="2"/>
        <v>0</v>
      </c>
      <c r="G54" s="174"/>
      <c r="AE54" t="str">
        <f t="shared" si="3"/>
        <v/>
      </c>
    </row>
    <row r="55" spans="2:31" hidden="1" x14ac:dyDescent="0.25">
      <c r="B55">
        <f>Apoio!A10</f>
        <v>0</v>
      </c>
      <c r="C55" s="74" t="str">
        <f>IF(Apoio!B10&lt;&gt;"",Apoio!B10,"")</f>
        <v/>
      </c>
      <c r="D55" s="38">
        <f>base!D55</f>
        <v>0</v>
      </c>
      <c r="E55" s="36">
        <f t="shared" si="1"/>
        <v>0</v>
      </c>
      <c r="F55" s="173">
        <f t="shared" si="2"/>
        <v>0</v>
      </c>
      <c r="G55" s="174"/>
      <c r="AE55" t="str">
        <f t="shared" si="3"/>
        <v/>
      </c>
    </row>
    <row r="56" spans="2:31" hidden="1" x14ac:dyDescent="0.25">
      <c r="B56">
        <f>Apoio!A11</f>
        <v>0</v>
      </c>
      <c r="C56" s="74" t="str">
        <f>IF(Apoio!B11&lt;&gt;"",Apoio!B11,"")</f>
        <v/>
      </c>
      <c r="D56" s="38">
        <f>base!D56</f>
        <v>0</v>
      </c>
      <c r="E56" s="36">
        <f t="shared" si="1"/>
        <v>0</v>
      </c>
      <c r="F56" s="173">
        <f t="shared" si="2"/>
        <v>0</v>
      </c>
      <c r="G56" s="174"/>
      <c r="AE56" t="str">
        <f t="shared" si="3"/>
        <v/>
      </c>
    </row>
    <row r="57" spans="2:31" hidden="1" x14ac:dyDescent="0.25">
      <c r="B57">
        <f>Apoio!A12</f>
        <v>0</v>
      </c>
      <c r="C57" s="74" t="str">
        <f>IF(Apoio!B12&lt;&gt;"",Apoio!B12,"")</f>
        <v/>
      </c>
      <c r="D57" s="38">
        <f>base!D57</f>
        <v>0</v>
      </c>
      <c r="E57" s="36">
        <f t="shared" si="1"/>
        <v>0</v>
      </c>
      <c r="F57" s="173">
        <f t="shared" si="2"/>
        <v>0</v>
      </c>
      <c r="G57" s="174"/>
      <c r="AE57" t="str">
        <f t="shared" si="3"/>
        <v/>
      </c>
    </row>
    <row r="58" spans="2:31" hidden="1" x14ac:dyDescent="0.25">
      <c r="B58">
        <f>Apoio!A13</f>
        <v>0</v>
      </c>
      <c r="C58" s="74" t="str">
        <f>IF(Apoio!B13&lt;&gt;"",Apoio!B13,"")</f>
        <v/>
      </c>
      <c r="D58" s="38">
        <f>base!D58</f>
        <v>0</v>
      </c>
      <c r="E58" s="36">
        <f t="shared" si="1"/>
        <v>0</v>
      </c>
      <c r="F58" s="173">
        <f t="shared" si="2"/>
        <v>0</v>
      </c>
      <c r="G58" s="174"/>
      <c r="AE58" t="str">
        <f t="shared" si="3"/>
        <v/>
      </c>
    </row>
    <row r="59" spans="2:31" hidden="1" x14ac:dyDescent="0.25">
      <c r="B59">
        <f>Apoio!A14</f>
        <v>0</v>
      </c>
      <c r="C59" s="74" t="str">
        <f>IF(Apoio!B14&lt;&gt;"",Apoio!B14,"")</f>
        <v/>
      </c>
      <c r="D59" s="38">
        <f>base!D59</f>
        <v>0</v>
      </c>
      <c r="E59" s="36">
        <f t="shared" si="1"/>
        <v>0</v>
      </c>
      <c r="F59" s="173">
        <f t="shared" si="2"/>
        <v>0</v>
      </c>
      <c r="G59" s="174"/>
      <c r="AE59" t="str">
        <f t="shared" si="3"/>
        <v/>
      </c>
    </row>
    <row r="60" spans="2:31" hidden="1" x14ac:dyDescent="0.25">
      <c r="B60">
        <f>Apoio!A15</f>
        <v>0</v>
      </c>
      <c r="C60" s="74" t="str">
        <f>IF(Apoio!B15&lt;&gt;"",Apoio!B15,"")</f>
        <v/>
      </c>
      <c r="D60" s="38">
        <f>base!D60</f>
        <v>0</v>
      </c>
      <c r="E60" s="36">
        <f t="shared" si="1"/>
        <v>0</v>
      </c>
      <c r="F60" s="173">
        <f t="shared" si="2"/>
        <v>0</v>
      </c>
      <c r="G60" s="174"/>
      <c r="AE60" t="str">
        <f t="shared" si="3"/>
        <v/>
      </c>
    </row>
    <row r="61" spans="2:31" hidden="1" x14ac:dyDescent="0.25">
      <c r="B61">
        <f>Apoio!A16</f>
        <v>0</v>
      </c>
      <c r="C61" s="74" t="str">
        <f>IF(Apoio!B16&lt;&gt;"",Apoio!B16,"")</f>
        <v/>
      </c>
      <c r="D61" s="38">
        <f>base!D61</f>
        <v>0</v>
      </c>
      <c r="E61" s="36">
        <f t="shared" si="1"/>
        <v>0</v>
      </c>
      <c r="F61" s="173">
        <f t="shared" si="2"/>
        <v>0</v>
      </c>
      <c r="G61" s="174"/>
      <c r="AE61" t="str">
        <f t="shared" si="3"/>
        <v/>
      </c>
    </row>
    <row r="62" spans="2:31" ht="15.75" hidden="1" thickBot="1" x14ac:dyDescent="0.3">
      <c r="B62">
        <f>Apoio!A17</f>
        <v>0</v>
      </c>
      <c r="C62" s="75" t="str">
        <f>IF(Apoio!B17&lt;&gt;"",Apoio!B17,"")</f>
        <v/>
      </c>
      <c r="D62" s="38">
        <f>base!D62</f>
        <v>0</v>
      </c>
      <c r="E62" s="36">
        <f t="shared" si="1"/>
        <v>0</v>
      </c>
      <c r="F62" s="171">
        <f t="shared" si="2"/>
        <v>0</v>
      </c>
      <c r="G62" s="172"/>
      <c r="AE62" t="str">
        <f t="shared" si="3"/>
        <v/>
      </c>
    </row>
    <row r="63" spans="2:31" x14ac:dyDescent="0.25">
      <c r="B63" s="26" t="str">
        <f>base!B63</f>
        <v>Usar Newdesp:</v>
      </c>
      <c r="C63" s="95">
        <f>base!C63</f>
        <v>1</v>
      </c>
    </row>
    <row r="64" spans="2:31" ht="15.75" thickBot="1" x14ac:dyDescent="0.3">
      <c r="B64" s="26" t="str">
        <f>base!B64</f>
        <v>Definir VolumePO:</v>
      </c>
      <c r="C64" s="95">
        <f>base!C64</f>
        <v>1</v>
      </c>
    </row>
    <row r="65" spans="2:31" ht="15.75" thickBot="1" x14ac:dyDescent="0.3">
      <c r="B65" s="9" t="s">
        <v>67</v>
      </c>
      <c r="D65" s="33" t="str">
        <f>"01/"&amp;$C$2</f>
        <v>01/2016</v>
      </c>
      <c r="E65" s="34" t="str">
        <f>"02/"&amp;$C$2</f>
        <v>02/2016</v>
      </c>
      <c r="F65" s="34" t="str">
        <f>"03/"&amp;$C$2</f>
        <v>03/2016</v>
      </c>
      <c r="G65" s="34" t="str">
        <f>"04/"&amp;$C$2</f>
        <v>04/2016</v>
      </c>
      <c r="H65" s="34" t="str">
        <f>"05/"&amp;$C$2</f>
        <v>05/2016</v>
      </c>
      <c r="I65" s="34" t="str">
        <f>"06/"&amp;$C$2</f>
        <v>06/2016</v>
      </c>
      <c r="J65" s="34" t="str">
        <f>"07/"&amp;$C$2</f>
        <v>07/2016</v>
      </c>
      <c r="K65" s="34" t="str">
        <f>"08/"&amp;$C$2</f>
        <v>08/2016</v>
      </c>
      <c r="L65" s="34" t="str">
        <f>"09/"&amp;$C$2</f>
        <v>09/2016</v>
      </c>
      <c r="M65" s="34" t="str">
        <f>"10/"&amp;$C$2</f>
        <v>10/2016</v>
      </c>
      <c r="N65" s="34" t="str">
        <f>"11/"&amp;$C$2</f>
        <v>11/2016</v>
      </c>
      <c r="O65" s="35" t="str">
        <f>"12/"&amp;$C$2</f>
        <v>12/2016</v>
      </c>
      <c r="P65" s="10"/>
      <c r="R65" s="4" t="str">
        <f>"01/"&amp;$C$2</f>
        <v>01/2016</v>
      </c>
      <c r="S65" s="4" t="str">
        <f>"02/"&amp;$C$2</f>
        <v>02/2016</v>
      </c>
      <c r="T65" s="4" t="str">
        <f>"03/"&amp;$C$2</f>
        <v>03/2016</v>
      </c>
      <c r="U65" s="4" t="str">
        <f>"04/"&amp;$C$2</f>
        <v>04/2016</v>
      </c>
      <c r="V65" s="4" t="str">
        <f>"05/"&amp;$C$2</f>
        <v>05/2016</v>
      </c>
      <c r="W65" s="4" t="str">
        <f>"06/"&amp;$C$2</f>
        <v>06/2016</v>
      </c>
      <c r="X65" s="4" t="str">
        <f>"07/"&amp;$C$2</f>
        <v>07/2016</v>
      </c>
      <c r="Y65" s="4" t="str">
        <f>"08/"&amp;$C$2</f>
        <v>08/2016</v>
      </c>
      <c r="Z65" s="4" t="str">
        <f>"09/"&amp;$C$2</f>
        <v>09/2016</v>
      </c>
      <c r="AA65" s="4" t="str">
        <f>"10/"&amp;$C$2</f>
        <v>10/2016</v>
      </c>
      <c r="AB65" s="4" t="str">
        <f>"11/"&amp;$C$2</f>
        <v>11/2016</v>
      </c>
      <c r="AC65" s="4" t="str">
        <f>"12/"&amp;$C$2</f>
        <v>12/2016</v>
      </c>
    </row>
    <row r="66" spans="2:31" x14ac:dyDescent="0.25">
      <c r="B66">
        <f>Apoio!A3</f>
        <v>1</v>
      </c>
      <c r="C66" s="17" t="str">
        <f>IF(Apoio!B3&lt;&gt;"",Apoio!B3&amp;"_s","")</f>
        <v>SE_s</v>
      </c>
      <c r="D66" s="113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5">
        <v>0</v>
      </c>
      <c r="P66" s="12"/>
      <c r="R66" s="1" t="str">
        <f>virgPonto(D66)</f>
        <v>0.0</v>
      </c>
      <c r="S66" s="1" t="str">
        <f t="shared" ref="S66:AC80" si="4">virgPonto(E66)</f>
        <v>0.0</v>
      </c>
      <c r="T66" s="1" t="str">
        <f t="shared" si="4"/>
        <v>0.0</v>
      </c>
      <c r="U66" s="1" t="str">
        <f t="shared" si="4"/>
        <v>0.0</v>
      </c>
      <c r="V66" s="1" t="str">
        <f t="shared" si="4"/>
        <v>0.0</v>
      </c>
      <c r="W66" s="1" t="str">
        <f t="shared" si="4"/>
        <v>0.0</v>
      </c>
      <c r="X66" s="1" t="str">
        <f t="shared" si="4"/>
        <v>0.0</v>
      </c>
      <c r="Y66" s="1" t="str">
        <f t="shared" si="4"/>
        <v>0.0</v>
      </c>
      <c r="Z66" s="1" t="str">
        <f t="shared" si="4"/>
        <v>0.0</v>
      </c>
      <c r="AA66" s="1" t="str">
        <f t="shared" si="4"/>
        <v>0.0</v>
      </c>
      <c r="AB66" s="1" t="str">
        <f t="shared" si="4"/>
        <v>0.0</v>
      </c>
      <c r="AC66" s="1" t="str">
        <f t="shared" si="4"/>
        <v>0.0</v>
      </c>
      <c r="AE66" s="28" t="str">
        <f>IF(C66="","",CONCATENATE("&lt;VolumePO SubMercado=""",B30,""" MesReferencia=""1""&gt; ",R66," ",S66," ",T66," ",U66," ",V66," ",W66," ",X66," ",Y66," ",Z66," ",AA66," ",AB66," ",AC66," &lt;/VolumePO&gt;"))</f>
        <v>&lt;VolumePO SubMercado="1" MesReferencia="1"&gt; 0.0 0.0 0.0 0.0 0.0 0.0 0.0 0.0 0.0 0.0 0.0 0.0 &lt;/VolumePO&gt;</v>
      </c>
    </row>
    <row r="67" spans="2:31" x14ac:dyDescent="0.25">
      <c r="B67">
        <f>Apoio!A4</f>
        <v>2</v>
      </c>
      <c r="C67" s="18" t="str">
        <f>IF(Apoio!B4&lt;&gt;"",Apoio!B4&amp;"_s","")</f>
        <v>S_s</v>
      </c>
      <c r="D67" s="116">
        <v>0</v>
      </c>
      <c r="E67" s="117">
        <v>0</v>
      </c>
      <c r="F67" s="117">
        <v>0</v>
      </c>
      <c r="G67" s="117">
        <v>0</v>
      </c>
      <c r="H67" s="117">
        <v>0</v>
      </c>
      <c r="I67" s="117">
        <v>0</v>
      </c>
      <c r="J67" s="117">
        <v>0</v>
      </c>
      <c r="K67" s="117">
        <v>0</v>
      </c>
      <c r="L67" s="117">
        <v>0</v>
      </c>
      <c r="M67" s="117">
        <v>0</v>
      </c>
      <c r="N67" s="117">
        <v>0</v>
      </c>
      <c r="O67" s="118">
        <v>0</v>
      </c>
      <c r="P67" s="12"/>
      <c r="R67" s="1" t="str">
        <f t="shared" ref="R67:R80" si="5">virgPonto(D67)</f>
        <v>0.0</v>
      </c>
      <c r="S67" s="1" t="str">
        <f t="shared" si="4"/>
        <v>0.0</v>
      </c>
      <c r="T67" s="1" t="str">
        <f t="shared" si="4"/>
        <v>0.0</v>
      </c>
      <c r="U67" s="1" t="str">
        <f t="shared" si="4"/>
        <v>0.0</v>
      </c>
      <c r="V67" s="1" t="str">
        <f t="shared" si="4"/>
        <v>0.0</v>
      </c>
      <c r="W67" s="1" t="str">
        <f t="shared" si="4"/>
        <v>0.0</v>
      </c>
      <c r="X67" s="1" t="str">
        <f t="shared" si="4"/>
        <v>0.0</v>
      </c>
      <c r="Y67" s="1" t="str">
        <f t="shared" si="4"/>
        <v>0.0</v>
      </c>
      <c r="Z67" s="1" t="str">
        <f t="shared" si="4"/>
        <v>0.0</v>
      </c>
      <c r="AA67" s="1" t="str">
        <f t="shared" si="4"/>
        <v>0.0</v>
      </c>
      <c r="AB67" s="1" t="str">
        <f t="shared" si="4"/>
        <v>0.0</v>
      </c>
      <c r="AC67" s="1" t="str">
        <f t="shared" si="4"/>
        <v>0.0</v>
      </c>
      <c r="AE67" s="28" t="str">
        <f t="shared" ref="AE67:AE80" si="6">IF(C67="","",CONCATENATE("&lt;VolumePO SubMercado=""",B31,""" MesReferencia=""1""&gt; ",R67," ",S67," ",T67," ",U67," ",V67," ",W67," ",X67," ",Y67," ",Z67," ",AA67," ",AB67," ",AC67," &lt;/VolumePO&gt;"))</f>
        <v>&lt;VolumePO SubMercado="2" MesReferencia="1"&gt; 0.0 0.0 0.0 0.0 0.0 0.0 0.0 0.0 0.0 0.0 0.0 0.0 &lt;/VolumePO&gt;</v>
      </c>
    </row>
    <row r="68" spans="2:31" x14ac:dyDescent="0.25">
      <c r="B68">
        <f>Apoio!A5</f>
        <v>3</v>
      </c>
      <c r="C68" s="19" t="str">
        <f>IF(Apoio!B5&lt;&gt;"",Apoio!B5&amp;"_s","")</f>
        <v>NE_s</v>
      </c>
      <c r="D68" s="116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8">
        <v>0</v>
      </c>
      <c r="P68" s="12"/>
      <c r="R68" s="1" t="str">
        <f t="shared" si="5"/>
        <v>0.0</v>
      </c>
      <c r="S68" s="1" t="str">
        <f t="shared" si="4"/>
        <v>0.0</v>
      </c>
      <c r="T68" s="1" t="str">
        <f t="shared" si="4"/>
        <v>0.0</v>
      </c>
      <c r="U68" s="1" t="str">
        <f t="shared" si="4"/>
        <v>0.0</v>
      </c>
      <c r="V68" s="1" t="str">
        <f t="shared" si="4"/>
        <v>0.0</v>
      </c>
      <c r="W68" s="1" t="str">
        <f t="shared" si="4"/>
        <v>0.0</v>
      </c>
      <c r="X68" s="1" t="str">
        <f t="shared" si="4"/>
        <v>0.0</v>
      </c>
      <c r="Y68" s="1" t="str">
        <f t="shared" si="4"/>
        <v>0.0</v>
      </c>
      <c r="Z68" s="1" t="str">
        <f t="shared" si="4"/>
        <v>0.0</v>
      </c>
      <c r="AA68" s="1" t="str">
        <f t="shared" si="4"/>
        <v>0.0</v>
      </c>
      <c r="AB68" s="1" t="str">
        <f t="shared" si="4"/>
        <v>0.0</v>
      </c>
      <c r="AC68" s="1" t="str">
        <f t="shared" si="4"/>
        <v>0.0</v>
      </c>
      <c r="AE68" s="28" t="str">
        <f t="shared" si="6"/>
        <v>&lt;VolumePO SubMercado="3" MesReferencia="1"&gt; 0.0 0.0 0.0 0.0 0.0 0.0 0.0 0.0 0.0 0.0 0.0 0.0 &lt;/VolumePO&gt;</v>
      </c>
    </row>
    <row r="69" spans="2:31" ht="15.75" thickBot="1" x14ac:dyDescent="0.3">
      <c r="B69">
        <f>Apoio!A6</f>
        <v>4</v>
      </c>
      <c r="C69" s="20" t="str">
        <f>IF(Apoio!B6&lt;&gt;"",Apoio!B6&amp;"_s","")</f>
        <v>N_s</v>
      </c>
      <c r="D69" s="119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1">
        <v>0</v>
      </c>
      <c r="P69" s="12"/>
      <c r="R69" s="1" t="str">
        <f t="shared" si="5"/>
        <v>0.0</v>
      </c>
      <c r="S69" s="1" t="str">
        <f t="shared" si="4"/>
        <v>0.0</v>
      </c>
      <c r="T69" s="1" t="str">
        <f t="shared" si="4"/>
        <v>0.0</v>
      </c>
      <c r="U69" s="1" t="str">
        <f t="shared" si="4"/>
        <v>0.0</v>
      </c>
      <c r="V69" s="1" t="str">
        <f t="shared" si="4"/>
        <v>0.0</v>
      </c>
      <c r="W69" s="1" t="str">
        <f t="shared" si="4"/>
        <v>0.0</v>
      </c>
      <c r="X69" s="1" t="str">
        <f t="shared" si="4"/>
        <v>0.0</v>
      </c>
      <c r="Y69" s="1" t="str">
        <f t="shared" si="4"/>
        <v>0.0</v>
      </c>
      <c r="Z69" s="1" t="str">
        <f t="shared" si="4"/>
        <v>0.0</v>
      </c>
      <c r="AA69" s="1" t="str">
        <f t="shared" si="4"/>
        <v>0.0</v>
      </c>
      <c r="AB69" s="1" t="str">
        <f t="shared" si="4"/>
        <v>0.0</v>
      </c>
      <c r="AC69" s="1" t="str">
        <f t="shared" si="4"/>
        <v>0.0</v>
      </c>
      <c r="AE69" s="28" t="str">
        <f t="shared" si="6"/>
        <v>&lt;VolumePO SubMercado="4" MesReferencia="1"&gt; 0.0 0.0 0.0 0.0 0.0 0.0 0.0 0.0 0.0 0.0 0.0 0.0 &lt;/VolumePO&gt;</v>
      </c>
    </row>
    <row r="70" spans="2:31" x14ac:dyDescent="0.25">
      <c r="B70">
        <f>Apoio!A7</f>
        <v>6</v>
      </c>
      <c r="C70" s="72" t="str">
        <f>IF(Apoio!B7&lt;&gt;"",Apoio!B7&amp;"_s","")</f>
        <v>MD_s</v>
      </c>
      <c r="D70" s="119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1">
        <v>0</v>
      </c>
      <c r="P70" s="12"/>
      <c r="R70" s="1" t="str">
        <f t="shared" si="5"/>
        <v>0.0</v>
      </c>
      <c r="S70" s="1" t="str">
        <f t="shared" si="4"/>
        <v>0.0</v>
      </c>
      <c r="T70" s="1" t="str">
        <f t="shared" si="4"/>
        <v>0.0</v>
      </c>
      <c r="U70" s="1" t="str">
        <f t="shared" si="4"/>
        <v>0.0</v>
      </c>
      <c r="V70" s="1" t="str">
        <f t="shared" si="4"/>
        <v>0.0</v>
      </c>
      <c r="W70" s="1" t="str">
        <f t="shared" si="4"/>
        <v>0.0</v>
      </c>
      <c r="X70" s="1" t="str">
        <f t="shared" si="4"/>
        <v>0.0</v>
      </c>
      <c r="Y70" s="1" t="str">
        <f t="shared" si="4"/>
        <v>0.0</v>
      </c>
      <c r="Z70" s="1" t="str">
        <f t="shared" si="4"/>
        <v>0.0</v>
      </c>
      <c r="AA70" s="1" t="str">
        <f t="shared" si="4"/>
        <v>0.0</v>
      </c>
      <c r="AB70" s="1" t="str">
        <f t="shared" si="4"/>
        <v>0.0</v>
      </c>
      <c r="AC70" s="1" t="str">
        <f t="shared" si="4"/>
        <v>0.0</v>
      </c>
      <c r="AE70" s="28" t="str">
        <f t="shared" si="6"/>
        <v>&lt;VolumePO SubMercado="6" MesReferencia="1"&gt; 0.0 0.0 0.0 0.0 0.0 0.0 0.0 0.0 0.0 0.0 0.0 0.0 &lt;/VolumePO&gt;</v>
      </c>
    </row>
    <row r="71" spans="2:31" x14ac:dyDescent="0.25">
      <c r="B71">
        <f>Apoio!A8</f>
        <v>8</v>
      </c>
      <c r="C71" s="73" t="str">
        <f>IF(Apoio!B8&lt;&gt;"",Apoio!B8&amp;"_s","")</f>
        <v>BM_s</v>
      </c>
      <c r="D71" s="119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1">
        <v>0</v>
      </c>
      <c r="P71" s="12"/>
      <c r="R71" s="1" t="str">
        <f t="shared" si="5"/>
        <v>0.0</v>
      </c>
      <c r="S71" s="1" t="str">
        <f t="shared" si="4"/>
        <v>0.0</v>
      </c>
      <c r="T71" s="1" t="str">
        <f t="shared" si="4"/>
        <v>0.0</v>
      </c>
      <c r="U71" s="1" t="str">
        <f t="shared" si="4"/>
        <v>0.0</v>
      </c>
      <c r="V71" s="1" t="str">
        <f t="shared" si="4"/>
        <v>0.0</v>
      </c>
      <c r="W71" s="1" t="str">
        <f t="shared" si="4"/>
        <v>0.0</v>
      </c>
      <c r="X71" s="1" t="str">
        <f t="shared" si="4"/>
        <v>0.0</v>
      </c>
      <c r="Y71" s="1" t="str">
        <f t="shared" si="4"/>
        <v>0.0</v>
      </c>
      <c r="Z71" s="1" t="str">
        <f t="shared" si="4"/>
        <v>0.0</v>
      </c>
      <c r="AA71" s="1" t="str">
        <f t="shared" si="4"/>
        <v>0.0</v>
      </c>
      <c r="AB71" s="1" t="str">
        <f t="shared" si="4"/>
        <v>0.0</v>
      </c>
      <c r="AC71" s="1" t="str">
        <f t="shared" si="4"/>
        <v>0.0</v>
      </c>
      <c r="AE71" s="28" t="str">
        <f t="shared" si="6"/>
        <v>&lt;VolumePO SubMercado="8" MesReferencia="1"&gt; 0.0 0.0 0.0 0.0 0.0 0.0 0.0 0.0 0.0 0.0 0.0 0.0 &lt;/VolumePO&gt;</v>
      </c>
    </row>
    <row r="72" spans="2:31" x14ac:dyDescent="0.25">
      <c r="B72">
        <f>Apoio!A9</f>
        <v>0</v>
      </c>
      <c r="C72" s="74" t="str">
        <f>IF(Apoio!B9&lt;&gt;"",Apoio!B9&amp;"_s","")</f>
        <v/>
      </c>
      <c r="D72" s="119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1"/>
      <c r="P72" s="12"/>
      <c r="R72" s="1" t="str">
        <f t="shared" si="5"/>
        <v>0.0</v>
      </c>
      <c r="S72" s="1" t="str">
        <f t="shared" si="4"/>
        <v>0.0</v>
      </c>
      <c r="T72" s="1" t="str">
        <f t="shared" si="4"/>
        <v>0.0</v>
      </c>
      <c r="U72" s="1" t="str">
        <f t="shared" si="4"/>
        <v>0.0</v>
      </c>
      <c r="V72" s="1" t="str">
        <f t="shared" si="4"/>
        <v>0.0</v>
      </c>
      <c r="W72" s="1" t="str">
        <f t="shared" si="4"/>
        <v>0.0</v>
      </c>
      <c r="X72" s="1" t="str">
        <f t="shared" si="4"/>
        <v>0.0</v>
      </c>
      <c r="Y72" s="1" t="str">
        <f t="shared" si="4"/>
        <v>0.0</v>
      </c>
      <c r="Z72" s="1" t="str">
        <f t="shared" si="4"/>
        <v>0.0</v>
      </c>
      <c r="AA72" s="1" t="str">
        <f t="shared" si="4"/>
        <v>0.0</v>
      </c>
      <c r="AB72" s="1" t="str">
        <f t="shared" si="4"/>
        <v>0.0</v>
      </c>
      <c r="AC72" s="1" t="str">
        <f t="shared" si="4"/>
        <v>0.0</v>
      </c>
      <c r="AE72" s="28" t="str">
        <f t="shared" si="6"/>
        <v/>
      </c>
    </row>
    <row r="73" spans="2:31" x14ac:dyDescent="0.25">
      <c r="B73">
        <f>Apoio!A10</f>
        <v>0</v>
      </c>
      <c r="C73" s="74" t="str">
        <f>IF(Apoio!B10&lt;&gt;"",Apoio!B10&amp;"_s","")</f>
        <v/>
      </c>
      <c r="D73" s="119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1"/>
      <c r="P73" s="12"/>
      <c r="R73" s="1" t="str">
        <f t="shared" si="5"/>
        <v>0.0</v>
      </c>
      <c r="S73" s="1" t="str">
        <f t="shared" si="4"/>
        <v>0.0</v>
      </c>
      <c r="T73" s="1" t="str">
        <f t="shared" si="4"/>
        <v>0.0</v>
      </c>
      <c r="U73" s="1" t="str">
        <f t="shared" si="4"/>
        <v>0.0</v>
      </c>
      <c r="V73" s="1" t="str">
        <f t="shared" si="4"/>
        <v>0.0</v>
      </c>
      <c r="W73" s="1" t="str">
        <f t="shared" si="4"/>
        <v>0.0</v>
      </c>
      <c r="X73" s="1" t="str">
        <f t="shared" si="4"/>
        <v>0.0</v>
      </c>
      <c r="Y73" s="1" t="str">
        <f t="shared" si="4"/>
        <v>0.0</v>
      </c>
      <c r="Z73" s="1" t="str">
        <f t="shared" si="4"/>
        <v>0.0</v>
      </c>
      <c r="AA73" s="1" t="str">
        <f t="shared" si="4"/>
        <v>0.0</v>
      </c>
      <c r="AB73" s="1" t="str">
        <f t="shared" si="4"/>
        <v>0.0</v>
      </c>
      <c r="AC73" s="1" t="str">
        <f t="shared" si="4"/>
        <v>0.0</v>
      </c>
      <c r="AE73" s="28" t="str">
        <f t="shared" si="6"/>
        <v/>
      </c>
    </row>
    <row r="74" spans="2:31" x14ac:dyDescent="0.25">
      <c r="B74">
        <f>Apoio!A11</f>
        <v>0</v>
      </c>
      <c r="C74" s="74" t="str">
        <f>IF(Apoio!B11&lt;&gt;"",Apoio!B11&amp;"_s","")</f>
        <v/>
      </c>
      <c r="D74" s="119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1"/>
      <c r="P74" s="12"/>
      <c r="R74" s="1" t="str">
        <f t="shared" si="5"/>
        <v>0.0</v>
      </c>
      <c r="S74" s="1" t="str">
        <f t="shared" si="4"/>
        <v>0.0</v>
      </c>
      <c r="T74" s="1" t="str">
        <f t="shared" si="4"/>
        <v>0.0</v>
      </c>
      <c r="U74" s="1" t="str">
        <f t="shared" si="4"/>
        <v>0.0</v>
      </c>
      <c r="V74" s="1" t="str">
        <f t="shared" si="4"/>
        <v>0.0</v>
      </c>
      <c r="W74" s="1" t="str">
        <f t="shared" si="4"/>
        <v>0.0</v>
      </c>
      <c r="X74" s="1" t="str">
        <f t="shared" si="4"/>
        <v>0.0</v>
      </c>
      <c r="Y74" s="1" t="str">
        <f t="shared" si="4"/>
        <v>0.0</v>
      </c>
      <c r="Z74" s="1" t="str">
        <f t="shared" si="4"/>
        <v>0.0</v>
      </c>
      <c r="AA74" s="1" t="str">
        <f t="shared" si="4"/>
        <v>0.0</v>
      </c>
      <c r="AB74" s="1" t="str">
        <f t="shared" si="4"/>
        <v>0.0</v>
      </c>
      <c r="AC74" s="1" t="str">
        <f t="shared" si="4"/>
        <v>0.0</v>
      </c>
      <c r="AE74" s="28" t="str">
        <f t="shared" si="6"/>
        <v/>
      </c>
    </row>
    <row r="75" spans="2:31" x14ac:dyDescent="0.25">
      <c r="B75">
        <f>Apoio!A12</f>
        <v>0</v>
      </c>
      <c r="C75" s="74" t="str">
        <f>IF(Apoio!B12&lt;&gt;"",Apoio!B12&amp;"_s","")</f>
        <v/>
      </c>
      <c r="D75" s="119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1"/>
      <c r="P75" s="12"/>
      <c r="R75" s="1" t="str">
        <f t="shared" si="5"/>
        <v>0.0</v>
      </c>
      <c r="S75" s="1" t="str">
        <f t="shared" si="4"/>
        <v>0.0</v>
      </c>
      <c r="T75" s="1" t="str">
        <f t="shared" si="4"/>
        <v>0.0</v>
      </c>
      <c r="U75" s="1" t="str">
        <f t="shared" si="4"/>
        <v>0.0</v>
      </c>
      <c r="V75" s="1" t="str">
        <f t="shared" si="4"/>
        <v>0.0</v>
      </c>
      <c r="W75" s="1" t="str">
        <f t="shared" si="4"/>
        <v>0.0</v>
      </c>
      <c r="X75" s="1" t="str">
        <f t="shared" si="4"/>
        <v>0.0</v>
      </c>
      <c r="Y75" s="1" t="str">
        <f t="shared" si="4"/>
        <v>0.0</v>
      </c>
      <c r="Z75" s="1" t="str">
        <f t="shared" si="4"/>
        <v>0.0</v>
      </c>
      <c r="AA75" s="1" t="str">
        <f t="shared" si="4"/>
        <v>0.0</v>
      </c>
      <c r="AB75" s="1" t="str">
        <f t="shared" si="4"/>
        <v>0.0</v>
      </c>
      <c r="AC75" s="1" t="str">
        <f t="shared" si="4"/>
        <v>0.0</v>
      </c>
      <c r="AE75" s="28" t="str">
        <f t="shared" si="6"/>
        <v/>
      </c>
    </row>
    <row r="76" spans="2:31" x14ac:dyDescent="0.25">
      <c r="B76">
        <f>Apoio!A13</f>
        <v>0</v>
      </c>
      <c r="C76" s="74" t="str">
        <f>IF(Apoio!B13&lt;&gt;"",Apoio!B13&amp;"_s","")</f>
        <v/>
      </c>
      <c r="D76" s="119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1"/>
      <c r="P76" s="12"/>
      <c r="R76" s="1" t="str">
        <f t="shared" si="5"/>
        <v>0.0</v>
      </c>
      <c r="S76" s="1" t="str">
        <f t="shared" si="4"/>
        <v>0.0</v>
      </c>
      <c r="T76" s="1" t="str">
        <f t="shared" si="4"/>
        <v>0.0</v>
      </c>
      <c r="U76" s="1" t="str">
        <f t="shared" si="4"/>
        <v>0.0</v>
      </c>
      <c r="V76" s="1" t="str">
        <f t="shared" si="4"/>
        <v>0.0</v>
      </c>
      <c r="W76" s="1" t="str">
        <f t="shared" si="4"/>
        <v>0.0</v>
      </c>
      <c r="X76" s="1" t="str">
        <f t="shared" si="4"/>
        <v>0.0</v>
      </c>
      <c r="Y76" s="1" t="str">
        <f t="shared" si="4"/>
        <v>0.0</v>
      </c>
      <c r="Z76" s="1" t="str">
        <f t="shared" si="4"/>
        <v>0.0</v>
      </c>
      <c r="AA76" s="1" t="str">
        <f t="shared" si="4"/>
        <v>0.0</v>
      </c>
      <c r="AB76" s="1" t="str">
        <f t="shared" si="4"/>
        <v>0.0</v>
      </c>
      <c r="AC76" s="1" t="str">
        <f t="shared" si="4"/>
        <v>0.0</v>
      </c>
      <c r="AE76" s="28" t="str">
        <f t="shared" si="6"/>
        <v/>
      </c>
    </row>
    <row r="77" spans="2:31" x14ac:dyDescent="0.25">
      <c r="B77">
        <f>Apoio!A14</f>
        <v>0</v>
      </c>
      <c r="C77" s="74" t="str">
        <f>IF(Apoio!B14&lt;&gt;"",Apoio!B14&amp;"_s","")</f>
        <v/>
      </c>
      <c r="D77" s="119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1"/>
      <c r="P77" s="12"/>
      <c r="R77" s="1" t="str">
        <f t="shared" si="5"/>
        <v>0.0</v>
      </c>
      <c r="S77" s="1" t="str">
        <f t="shared" si="4"/>
        <v>0.0</v>
      </c>
      <c r="T77" s="1" t="str">
        <f t="shared" si="4"/>
        <v>0.0</v>
      </c>
      <c r="U77" s="1" t="str">
        <f t="shared" si="4"/>
        <v>0.0</v>
      </c>
      <c r="V77" s="1" t="str">
        <f t="shared" si="4"/>
        <v>0.0</v>
      </c>
      <c r="W77" s="1" t="str">
        <f t="shared" si="4"/>
        <v>0.0</v>
      </c>
      <c r="X77" s="1" t="str">
        <f t="shared" si="4"/>
        <v>0.0</v>
      </c>
      <c r="Y77" s="1" t="str">
        <f t="shared" si="4"/>
        <v>0.0</v>
      </c>
      <c r="Z77" s="1" t="str">
        <f t="shared" si="4"/>
        <v>0.0</v>
      </c>
      <c r="AA77" s="1" t="str">
        <f t="shared" si="4"/>
        <v>0.0</v>
      </c>
      <c r="AB77" s="1" t="str">
        <f t="shared" si="4"/>
        <v>0.0</v>
      </c>
      <c r="AC77" s="1" t="str">
        <f t="shared" si="4"/>
        <v>0.0</v>
      </c>
      <c r="AE77" s="28" t="str">
        <f t="shared" si="6"/>
        <v/>
      </c>
    </row>
    <row r="78" spans="2:31" x14ac:dyDescent="0.25">
      <c r="B78">
        <f>Apoio!A15</f>
        <v>0</v>
      </c>
      <c r="C78" s="74" t="str">
        <f>IF(Apoio!B15&lt;&gt;"",Apoio!B15&amp;"_s","")</f>
        <v/>
      </c>
      <c r="D78" s="119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1"/>
      <c r="P78" s="12"/>
      <c r="R78" s="1" t="str">
        <f t="shared" si="5"/>
        <v>0.0</v>
      </c>
      <c r="S78" s="1" t="str">
        <f t="shared" si="4"/>
        <v>0.0</v>
      </c>
      <c r="T78" s="1" t="str">
        <f t="shared" si="4"/>
        <v>0.0</v>
      </c>
      <c r="U78" s="1" t="str">
        <f t="shared" si="4"/>
        <v>0.0</v>
      </c>
      <c r="V78" s="1" t="str">
        <f t="shared" si="4"/>
        <v>0.0</v>
      </c>
      <c r="W78" s="1" t="str">
        <f t="shared" si="4"/>
        <v>0.0</v>
      </c>
      <c r="X78" s="1" t="str">
        <f t="shared" si="4"/>
        <v>0.0</v>
      </c>
      <c r="Y78" s="1" t="str">
        <f t="shared" si="4"/>
        <v>0.0</v>
      </c>
      <c r="Z78" s="1" t="str">
        <f t="shared" si="4"/>
        <v>0.0</v>
      </c>
      <c r="AA78" s="1" t="str">
        <f t="shared" si="4"/>
        <v>0.0</v>
      </c>
      <c r="AB78" s="1" t="str">
        <f t="shared" si="4"/>
        <v>0.0</v>
      </c>
      <c r="AC78" s="1" t="str">
        <f t="shared" si="4"/>
        <v>0.0</v>
      </c>
      <c r="AE78" s="28" t="str">
        <f t="shared" si="6"/>
        <v/>
      </c>
    </row>
    <row r="79" spans="2:31" x14ac:dyDescent="0.25">
      <c r="B79">
        <f>Apoio!A16</f>
        <v>0</v>
      </c>
      <c r="C79" s="74" t="str">
        <f>IF(Apoio!B16&lt;&gt;"",Apoio!B16&amp;"_s","")</f>
        <v/>
      </c>
      <c r="D79" s="119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1"/>
      <c r="P79" s="12"/>
      <c r="R79" s="1" t="str">
        <f t="shared" si="5"/>
        <v>0.0</v>
      </c>
      <c r="S79" s="1" t="str">
        <f t="shared" si="4"/>
        <v>0.0</v>
      </c>
      <c r="T79" s="1" t="str">
        <f t="shared" si="4"/>
        <v>0.0</v>
      </c>
      <c r="U79" s="1" t="str">
        <f t="shared" si="4"/>
        <v>0.0</v>
      </c>
      <c r="V79" s="1" t="str">
        <f t="shared" si="4"/>
        <v>0.0</v>
      </c>
      <c r="W79" s="1" t="str">
        <f t="shared" si="4"/>
        <v>0.0</v>
      </c>
      <c r="X79" s="1" t="str">
        <f t="shared" si="4"/>
        <v>0.0</v>
      </c>
      <c r="Y79" s="1" t="str">
        <f t="shared" si="4"/>
        <v>0.0</v>
      </c>
      <c r="Z79" s="1" t="str">
        <f t="shared" si="4"/>
        <v>0.0</v>
      </c>
      <c r="AA79" s="1" t="str">
        <f t="shared" si="4"/>
        <v>0.0</v>
      </c>
      <c r="AB79" s="1" t="str">
        <f t="shared" si="4"/>
        <v>0.0</v>
      </c>
      <c r="AC79" s="1" t="str">
        <f t="shared" si="4"/>
        <v>0.0</v>
      </c>
      <c r="AE79" s="28" t="str">
        <f t="shared" si="6"/>
        <v/>
      </c>
    </row>
    <row r="80" spans="2:31" ht="15.75" thickBot="1" x14ac:dyDescent="0.3">
      <c r="B80">
        <f>Apoio!A17</f>
        <v>0</v>
      </c>
      <c r="C80" s="75" t="str">
        <f>IF(Apoio!B17&lt;&gt;"",Apoio!B17&amp;"_s","")</f>
        <v/>
      </c>
      <c r="D80" s="122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4"/>
      <c r="P80" s="12"/>
      <c r="R80" s="1" t="str">
        <f t="shared" si="5"/>
        <v>0.0</v>
      </c>
      <c r="S80" s="1" t="str">
        <f t="shared" si="4"/>
        <v>0.0</v>
      </c>
      <c r="T80" s="1" t="str">
        <f t="shared" si="4"/>
        <v>0.0</v>
      </c>
      <c r="U80" s="1" t="str">
        <f t="shared" si="4"/>
        <v>0.0</v>
      </c>
      <c r="V80" s="1" t="str">
        <f t="shared" si="4"/>
        <v>0.0</v>
      </c>
      <c r="W80" s="1" t="str">
        <f t="shared" si="4"/>
        <v>0.0</v>
      </c>
      <c r="X80" s="1" t="str">
        <f t="shared" si="4"/>
        <v>0.0</v>
      </c>
      <c r="Y80" s="1" t="str">
        <f t="shared" si="4"/>
        <v>0.0</v>
      </c>
      <c r="Z80" s="1" t="str">
        <f t="shared" si="4"/>
        <v>0.0</v>
      </c>
      <c r="AA80" s="1" t="str">
        <f t="shared" si="4"/>
        <v>0.0</v>
      </c>
      <c r="AB80" s="1" t="str">
        <f t="shared" si="4"/>
        <v>0.0</v>
      </c>
      <c r="AC80" s="1" t="str">
        <f t="shared" si="4"/>
        <v>0.0</v>
      </c>
      <c r="AE80" s="28" t="str">
        <f t="shared" si="6"/>
        <v/>
      </c>
    </row>
    <row r="82" spans="2:31" ht="15.75" thickBot="1" x14ac:dyDescent="0.3"/>
    <row r="83" spans="2:31" ht="15.75" thickBot="1" x14ac:dyDescent="0.3">
      <c r="B83" s="33" t="s">
        <v>120</v>
      </c>
      <c r="C83" s="33" t="s">
        <v>121</v>
      </c>
      <c r="D83" s="33" t="str">
        <f>"01/"&amp;$C$2</f>
        <v>01/2016</v>
      </c>
      <c r="E83" s="34" t="str">
        <f>"02/"&amp;$C$2</f>
        <v>02/2016</v>
      </c>
      <c r="F83" s="34" t="str">
        <f>"03/"&amp;$C$2</f>
        <v>03/2016</v>
      </c>
      <c r="G83" s="34" t="str">
        <f>"04/"&amp;$C$2</f>
        <v>04/2016</v>
      </c>
      <c r="H83" s="34" t="str">
        <f>"05/"&amp;$C$2</f>
        <v>05/2016</v>
      </c>
      <c r="I83" s="34" t="str">
        <f>"06/"&amp;$C$2</f>
        <v>06/2016</v>
      </c>
      <c r="J83" s="34" t="str">
        <f>"07/"&amp;$C$2</f>
        <v>07/2016</v>
      </c>
      <c r="K83" s="34" t="str">
        <f>"08/"&amp;$C$2</f>
        <v>08/2016</v>
      </c>
      <c r="L83" s="34" t="str">
        <f>"09/"&amp;$C$2</f>
        <v>09/2016</v>
      </c>
      <c r="M83" s="34" t="str">
        <f>"10/"&amp;$C$2</f>
        <v>10/2016</v>
      </c>
      <c r="N83" s="34" t="str">
        <f>"11/"&amp;$C$2</f>
        <v>11/2016</v>
      </c>
      <c r="O83" s="35" t="str">
        <f>"12/"&amp;$C$2</f>
        <v>12/2016</v>
      </c>
    </row>
    <row r="84" spans="2:31" x14ac:dyDescent="0.25">
      <c r="B84" s="125"/>
      <c r="C84" s="125"/>
      <c r="D84" s="126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8"/>
      <c r="AE84" s="28" t="str">
        <f>IF(B84="","",CONCATENATE("&lt;PrevisaoVAZAO Posto=""",B84,""" MesReferencia=""1""&gt; ",D84," ",E84," ",F84," ",G84," ",H84," ",I84," ",J84," ",K84," ",L84," ",M84," ",N84," ",O84," &lt;/PrevisaoVAZAO&gt;"))</f>
        <v/>
      </c>
    </row>
    <row r="85" spans="2:31" x14ac:dyDescent="0.25">
      <c r="B85" s="125"/>
      <c r="C85" s="125"/>
      <c r="D85" s="126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8"/>
      <c r="AE85" s="28" t="str">
        <f t="shared" ref="AE85:AE148" si="7">IF(B85="","",CONCATENATE("&lt;PrevisaoVAZAO Posto=""",B85,""" MesReferencia=""1""&gt; ",D85," ",E85," ",F85," ",G85," ",H85," ",I85," ",J85," ",K85," ",L85," ",M85," ",N85," ",O85," &lt;/PrevisaoVAZAO&gt;"))</f>
        <v/>
      </c>
    </row>
    <row r="86" spans="2:31" x14ac:dyDescent="0.25">
      <c r="B86" s="125"/>
      <c r="C86" s="125"/>
      <c r="D86" s="126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8"/>
      <c r="AE86" s="28" t="str">
        <f t="shared" si="7"/>
        <v/>
      </c>
    </row>
    <row r="87" spans="2:31" x14ac:dyDescent="0.25">
      <c r="B87" s="125"/>
      <c r="C87" s="125"/>
      <c r="D87" s="126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8"/>
      <c r="AE87" s="28" t="str">
        <f t="shared" si="7"/>
        <v/>
      </c>
    </row>
    <row r="88" spans="2:31" x14ac:dyDescent="0.25">
      <c r="B88" s="125"/>
      <c r="C88" s="125"/>
      <c r="D88" s="126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8"/>
      <c r="AE88" s="28" t="str">
        <f t="shared" si="7"/>
        <v/>
      </c>
    </row>
    <row r="89" spans="2:31" x14ac:dyDescent="0.25">
      <c r="B89" s="125"/>
      <c r="C89" s="125"/>
      <c r="D89" s="126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8"/>
      <c r="AE89" s="28" t="str">
        <f t="shared" si="7"/>
        <v/>
      </c>
    </row>
    <row r="90" spans="2:31" x14ac:dyDescent="0.25">
      <c r="B90" s="125"/>
      <c r="C90" s="125"/>
      <c r="D90" s="126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8"/>
      <c r="AE90" s="28" t="str">
        <f t="shared" si="7"/>
        <v/>
      </c>
    </row>
    <row r="91" spans="2:31" x14ac:dyDescent="0.25">
      <c r="B91" s="125"/>
      <c r="C91" s="125"/>
      <c r="D91" s="126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8"/>
      <c r="AE91" s="28" t="str">
        <f t="shared" si="7"/>
        <v/>
      </c>
    </row>
    <row r="92" spans="2:31" x14ac:dyDescent="0.25">
      <c r="B92" s="125"/>
      <c r="C92" s="125"/>
      <c r="D92" s="126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8"/>
      <c r="AE92" s="28" t="str">
        <f t="shared" si="7"/>
        <v/>
      </c>
    </row>
    <row r="93" spans="2:31" x14ac:dyDescent="0.25">
      <c r="B93" s="125"/>
      <c r="C93" s="125"/>
      <c r="D93" s="126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8"/>
      <c r="AE93" s="28" t="str">
        <f t="shared" si="7"/>
        <v/>
      </c>
    </row>
    <row r="94" spans="2:31" x14ac:dyDescent="0.25">
      <c r="B94" s="125"/>
      <c r="C94" s="125"/>
      <c r="D94" s="126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8"/>
      <c r="AE94" s="28" t="str">
        <f t="shared" si="7"/>
        <v/>
      </c>
    </row>
    <row r="95" spans="2:31" x14ac:dyDescent="0.25">
      <c r="B95" s="125"/>
      <c r="C95" s="125"/>
      <c r="D95" s="126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8"/>
      <c r="AE95" s="28" t="str">
        <f t="shared" si="7"/>
        <v/>
      </c>
    </row>
    <row r="96" spans="2:31" x14ac:dyDescent="0.25">
      <c r="B96" s="125"/>
      <c r="C96" s="125"/>
      <c r="D96" s="126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8"/>
      <c r="AE96" s="28" t="str">
        <f t="shared" si="7"/>
        <v/>
      </c>
    </row>
    <row r="97" spans="2:31" x14ac:dyDescent="0.25">
      <c r="B97" s="125"/>
      <c r="C97" s="125"/>
      <c r="D97" s="126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8"/>
      <c r="AE97" s="28" t="str">
        <f t="shared" si="7"/>
        <v/>
      </c>
    </row>
    <row r="98" spans="2:31" x14ac:dyDescent="0.25">
      <c r="B98" s="125"/>
      <c r="C98" s="125"/>
      <c r="D98" s="126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8"/>
      <c r="AE98" s="28" t="str">
        <f t="shared" si="7"/>
        <v/>
      </c>
    </row>
    <row r="99" spans="2:31" x14ac:dyDescent="0.25">
      <c r="B99" s="125"/>
      <c r="C99" s="125"/>
      <c r="D99" s="126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8"/>
      <c r="AE99" s="28" t="str">
        <f t="shared" si="7"/>
        <v/>
      </c>
    </row>
    <row r="100" spans="2:31" x14ac:dyDescent="0.25">
      <c r="B100" s="125"/>
      <c r="C100" s="125"/>
      <c r="D100" s="126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8"/>
      <c r="AE100" s="28" t="str">
        <f t="shared" si="7"/>
        <v/>
      </c>
    </row>
    <row r="101" spans="2:31" x14ac:dyDescent="0.25">
      <c r="B101" s="125"/>
      <c r="C101" s="125"/>
      <c r="D101" s="126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8"/>
      <c r="AE101" s="28" t="str">
        <f t="shared" si="7"/>
        <v/>
      </c>
    </row>
    <row r="102" spans="2:31" x14ac:dyDescent="0.25">
      <c r="B102" s="125"/>
      <c r="C102" s="125"/>
      <c r="D102" s="126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8"/>
      <c r="AE102" s="28" t="str">
        <f t="shared" si="7"/>
        <v/>
      </c>
    </row>
    <row r="103" spans="2:31" x14ac:dyDescent="0.25">
      <c r="B103" s="125"/>
      <c r="C103" s="125"/>
      <c r="D103" s="126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8"/>
      <c r="AE103" s="28" t="str">
        <f t="shared" si="7"/>
        <v/>
      </c>
    </row>
    <row r="104" spans="2:31" x14ac:dyDescent="0.25">
      <c r="B104" s="125"/>
      <c r="C104" s="125"/>
      <c r="D104" s="126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8"/>
      <c r="AE104" s="28" t="str">
        <f t="shared" si="7"/>
        <v/>
      </c>
    </row>
    <row r="105" spans="2:31" x14ac:dyDescent="0.25">
      <c r="B105" s="125"/>
      <c r="C105" s="125"/>
      <c r="D105" s="126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8"/>
      <c r="AE105" s="28" t="str">
        <f t="shared" si="7"/>
        <v/>
      </c>
    </row>
    <row r="106" spans="2:31" x14ac:dyDescent="0.25">
      <c r="B106" s="125"/>
      <c r="C106" s="125"/>
      <c r="D106" s="126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8"/>
      <c r="AE106" s="28" t="str">
        <f t="shared" si="7"/>
        <v/>
      </c>
    </row>
    <row r="107" spans="2:31" x14ac:dyDescent="0.25">
      <c r="B107" s="125"/>
      <c r="C107" s="125"/>
      <c r="D107" s="126"/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8"/>
      <c r="AE107" s="28" t="str">
        <f t="shared" si="7"/>
        <v/>
      </c>
    </row>
    <row r="108" spans="2:31" x14ac:dyDescent="0.25">
      <c r="B108" s="125"/>
      <c r="C108" s="125"/>
      <c r="D108" s="126"/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8"/>
      <c r="AE108" s="28" t="str">
        <f t="shared" si="7"/>
        <v/>
      </c>
    </row>
    <row r="109" spans="2:31" x14ac:dyDescent="0.25">
      <c r="B109" s="125"/>
      <c r="C109" s="125"/>
      <c r="D109" s="126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8"/>
      <c r="AE109" s="28" t="str">
        <f t="shared" si="7"/>
        <v/>
      </c>
    </row>
    <row r="110" spans="2:31" x14ac:dyDescent="0.25">
      <c r="B110" s="125"/>
      <c r="C110" s="125"/>
      <c r="D110" s="126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8"/>
      <c r="AE110" s="28" t="str">
        <f t="shared" si="7"/>
        <v/>
      </c>
    </row>
    <row r="111" spans="2:31" x14ac:dyDescent="0.25">
      <c r="B111" s="125"/>
      <c r="C111" s="125"/>
      <c r="D111" s="126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8"/>
      <c r="AE111" s="28" t="str">
        <f t="shared" si="7"/>
        <v/>
      </c>
    </row>
    <row r="112" spans="2:31" x14ac:dyDescent="0.25">
      <c r="B112" s="125"/>
      <c r="C112" s="125"/>
      <c r="D112" s="126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8"/>
      <c r="AE112" s="28" t="str">
        <f t="shared" si="7"/>
        <v/>
      </c>
    </row>
    <row r="113" spans="2:31" x14ac:dyDescent="0.25">
      <c r="B113" s="125"/>
      <c r="C113" s="125"/>
      <c r="D113" s="126"/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8"/>
      <c r="AE113" s="28" t="str">
        <f t="shared" si="7"/>
        <v/>
      </c>
    </row>
    <row r="114" spans="2:31" x14ac:dyDescent="0.25">
      <c r="B114" s="125"/>
      <c r="C114" s="125"/>
      <c r="D114" s="126"/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8"/>
      <c r="AE114" s="28" t="str">
        <f t="shared" si="7"/>
        <v/>
      </c>
    </row>
    <row r="115" spans="2:31" x14ac:dyDescent="0.25">
      <c r="B115" s="125"/>
      <c r="C115" s="125"/>
      <c r="D115" s="126"/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8"/>
      <c r="AE115" s="28" t="str">
        <f t="shared" si="7"/>
        <v/>
      </c>
    </row>
    <row r="116" spans="2:31" x14ac:dyDescent="0.25">
      <c r="B116" s="125"/>
      <c r="C116" s="125"/>
      <c r="D116" s="126"/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8"/>
      <c r="AE116" s="28" t="str">
        <f t="shared" si="7"/>
        <v/>
      </c>
    </row>
    <row r="117" spans="2:31" x14ac:dyDescent="0.25">
      <c r="B117" s="125"/>
      <c r="C117" s="125"/>
      <c r="D117" s="126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8"/>
      <c r="AE117" s="28" t="str">
        <f t="shared" si="7"/>
        <v/>
      </c>
    </row>
    <row r="118" spans="2:31" x14ac:dyDescent="0.25">
      <c r="B118" s="125"/>
      <c r="C118" s="125"/>
      <c r="D118" s="126"/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8"/>
      <c r="AE118" s="28" t="str">
        <f t="shared" si="7"/>
        <v/>
      </c>
    </row>
    <row r="119" spans="2:31" x14ac:dyDescent="0.25">
      <c r="B119" s="125"/>
      <c r="C119" s="125"/>
      <c r="D119" s="126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8"/>
      <c r="AE119" s="28" t="str">
        <f t="shared" si="7"/>
        <v/>
      </c>
    </row>
    <row r="120" spans="2:31" x14ac:dyDescent="0.25">
      <c r="B120" s="125"/>
      <c r="C120" s="125"/>
      <c r="D120" s="126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8"/>
      <c r="AE120" s="28" t="str">
        <f t="shared" si="7"/>
        <v/>
      </c>
    </row>
    <row r="121" spans="2:31" x14ac:dyDescent="0.25">
      <c r="B121" s="125"/>
      <c r="C121" s="125"/>
      <c r="D121" s="126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8"/>
      <c r="AE121" s="28" t="str">
        <f t="shared" si="7"/>
        <v/>
      </c>
    </row>
    <row r="122" spans="2:31" x14ac:dyDescent="0.25">
      <c r="B122" s="125"/>
      <c r="C122" s="125"/>
      <c r="D122" s="126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8"/>
      <c r="AE122" s="28" t="str">
        <f t="shared" si="7"/>
        <v/>
      </c>
    </row>
    <row r="123" spans="2:31" x14ac:dyDescent="0.25">
      <c r="B123" s="125"/>
      <c r="C123" s="125"/>
      <c r="D123" s="126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8"/>
      <c r="AE123" s="28" t="str">
        <f t="shared" si="7"/>
        <v/>
      </c>
    </row>
    <row r="124" spans="2:31" x14ac:dyDescent="0.25">
      <c r="B124" s="125"/>
      <c r="C124" s="125"/>
      <c r="D124" s="126"/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8"/>
      <c r="AE124" s="28" t="str">
        <f t="shared" si="7"/>
        <v/>
      </c>
    </row>
    <row r="125" spans="2:31" x14ac:dyDescent="0.25">
      <c r="B125" s="125"/>
      <c r="C125" s="125"/>
      <c r="D125" s="126"/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8"/>
      <c r="AE125" s="28" t="str">
        <f t="shared" si="7"/>
        <v/>
      </c>
    </row>
    <row r="126" spans="2:31" x14ac:dyDescent="0.25">
      <c r="B126" s="125"/>
      <c r="C126" s="125"/>
      <c r="D126" s="126"/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8"/>
      <c r="AE126" s="28" t="str">
        <f t="shared" si="7"/>
        <v/>
      </c>
    </row>
    <row r="127" spans="2:31" x14ac:dyDescent="0.25">
      <c r="B127" s="125"/>
      <c r="C127" s="125"/>
      <c r="D127" s="126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8"/>
      <c r="AE127" s="28" t="str">
        <f t="shared" si="7"/>
        <v/>
      </c>
    </row>
    <row r="128" spans="2:31" x14ac:dyDescent="0.25">
      <c r="B128" s="125"/>
      <c r="C128" s="125"/>
      <c r="D128" s="126"/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8"/>
      <c r="AE128" s="28" t="str">
        <f t="shared" si="7"/>
        <v/>
      </c>
    </row>
    <row r="129" spans="2:31" x14ac:dyDescent="0.25">
      <c r="B129" s="125"/>
      <c r="C129" s="125"/>
      <c r="D129" s="126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8"/>
      <c r="AE129" s="28" t="str">
        <f t="shared" si="7"/>
        <v/>
      </c>
    </row>
    <row r="130" spans="2:31" x14ac:dyDescent="0.25">
      <c r="B130" s="125"/>
      <c r="C130" s="125"/>
      <c r="D130" s="126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8"/>
      <c r="AE130" s="28" t="str">
        <f t="shared" si="7"/>
        <v/>
      </c>
    </row>
    <row r="131" spans="2:31" x14ac:dyDescent="0.25">
      <c r="B131" s="125"/>
      <c r="C131" s="125"/>
      <c r="D131" s="126"/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8"/>
      <c r="AE131" s="28" t="str">
        <f t="shared" si="7"/>
        <v/>
      </c>
    </row>
    <row r="132" spans="2:31" x14ac:dyDescent="0.25">
      <c r="B132" s="125"/>
      <c r="C132" s="125"/>
      <c r="D132" s="126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8"/>
      <c r="AE132" s="28" t="str">
        <f t="shared" si="7"/>
        <v/>
      </c>
    </row>
    <row r="133" spans="2:31" x14ac:dyDescent="0.25">
      <c r="B133" s="125"/>
      <c r="C133" s="125"/>
      <c r="D133" s="126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8"/>
      <c r="AE133" s="28" t="str">
        <f t="shared" si="7"/>
        <v/>
      </c>
    </row>
    <row r="134" spans="2:31" x14ac:dyDescent="0.25">
      <c r="B134" s="125"/>
      <c r="C134" s="125"/>
      <c r="D134" s="126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8"/>
      <c r="AE134" s="28" t="str">
        <f t="shared" si="7"/>
        <v/>
      </c>
    </row>
    <row r="135" spans="2:31" x14ac:dyDescent="0.25">
      <c r="B135" s="125"/>
      <c r="C135" s="125"/>
      <c r="D135" s="126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8"/>
      <c r="AE135" s="28" t="str">
        <f t="shared" si="7"/>
        <v/>
      </c>
    </row>
    <row r="136" spans="2:31" x14ac:dyDescent="0.25">
      <c r="B136" s="125"/>
      <c r="C136" s="125"/>
      <c r="D136" s="126"/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8"/>
      <c r="AE136" s="28" t="str">
        <f t="shared" si="7"/>
        <v/>
      </c>
    </row>
    <row r="137" spans="2:31" x14ac:dyDescent="0.25">
      <c r="B137" s="125"/>
      <c r="C137" s="125"/>
      <c r="D137" s="126"/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8"/>
      <c r="AE137" s="28" t="str">
        <f t="shared" si="7"/>
        <v/>
      </c>
    </row>
    <row r="138" spans="2:31" x14ac:dyDescent="0.25">
      <c r="B138" s="125"/>
      <c r="C138" s="125"/>
      <c r="D138" s="126"/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8"/>
      <c r="AE138" s="28" t="str">
        <f t="shared" si="7"/>
        <v/>
      </c>
    </row>
    <row r="139" spans="2:31" x14ac:dyDescent="0.25">
      <c r="B139" s="125"/>
      <c r="C139" s="125"/>
      <c r="D139" s="126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8"/>
      <c r="AE139" s="28" t="str">
        <f t="shared" si="7"/>
        <v/>
      </c>
    </row>
    <row r="140" spans="2:31" x14ac:dyDescent="0.25">
      <c r="B140" s="125"/>
      <c r="C140" s="125"/>
      <c r="D140" s="126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8"/>
      <c r="AE140" s="28" t="str">
        <f t="shared" si="7"/>
        <v/>
      </c>
    </row>
    <row r="141" spans="2:31" x14ac:dyDescent="0.25">
      <c r="B141" s="125"/>
      <c r="C141" s="125"/>
      <c r="D141" s="126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8"/>
      <c r="AE141" s="28" t="str">
        <f t="shared" si="7"/>
        <v/>
      </c>
    </row>
    <row r="142" spans="2:31" x14ac:dyDescent="0.25">
      <c r="B142" s="125"/>
      <c r="C142" s="125"/>
      <c r="D142" s="126"/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8"/>
      <c r="AE142" s="28" t="str">
        <f t="shared" si="7"/>
        <v/>
      </c>
    </row>
    <row r="143" spans="2:31" x14ac:dyDescent="0.25">
      <c r="B143" s="125"/>
      <c r="C143" s="125"/>
      <c r="D143" s="126"/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8"/>
      <c r="AE143" s="28" t="str">
        <f t="shared" si="7"/>
        <v/>
      </c>
    </row>
    <row r="144" spans="2:31" x14ac:dyDescent="0.25">
      <c r="B144" s="125"/>
      <c r="C144" s="125"/>
      <c r="D144" s="126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8"/>
      <c r="AE144" s="28" t="str">
        <f t="shared" si="7"/>
        <v/>
      </c>
    </row>
    <row r="145" spans="2:31" x14ac:dyDescent="0.25">
      <c r="B145" s="125"/>
      <c r="C145" s="125"/>
      <c r="D145" s="126"/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8"/>
      <c r="AE145" s="28" t="str">
        <f t="shared" si="7"/>
        <v/>
      </c>
    </row>
    <row r="146" spans="2:31" x14ac:dyDescent="0.25">
      <c r="B146" s="125"/>
      <c r="C146" s="125"/>
      <c r="D146" s="126"/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8"/>
      <c r="AE146" s="28" t="str">
        <f t="shared" si="7"/>
        <v/>
      </c>
    </row>
    <row r="147" spans="2:31" x14ac:dyDescent="0.25">
      <c r="B147" s="125"/>
      <c r="C147" s="125"/>
      <c r="D147" s="126"/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8"/>
      <c r="AE147" s="28" t="str">
        <f t="shared" si="7"/>
        <v/>
      </c>
    </row>
    <row r="148" spans="2:31" x14ac:dyDescent="0.25">
      <c r="B148" s="125"/>
      <c r="C148" s="125"/>
      <c r="D148" s="126"/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8"/>
      <c r="AE148" s="28" t="str">
        <f t="shared" si="7"/>
        <v/>
      </c>
    </row>
    <row r="149" spans="2:31" x14ac:dyDescent="0.25">
      <c r="B149" s="125"/>
      <c r="C149" s="125"/>
      <c r="D149" s="126"/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8"/>
      <c r="AE149" s="28" t="str">
        <f t="shared" ref="AE149:AE212" si="8">IF(B149="","",CONCATENATE("&lt;PrevisaoVAZAO Posto=""",B149,""" MesReferencia=""1""&gt; ",D149," ",E149," ",F149," ",G149," ",H149," ",I149," ",J149," ",K149," ",L149," ",M149," ",N149," ",O149," &lt;/PrevisaoVAZAO&gt;"))</f>
        <v/>
      </c>
    </row>
    <row r="150" spans="2:31" x14ac:dyDescent="0.25">
      <c r="B150" s="125"/>
      <c r="C150" s="125"/>
      <c r="D150" s="126"/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8"/>
      <c r="AE150" s="28" t="str">
        <f t="shared" si="8"/>
        <v/>
      </c>
    </row>
    <row r="151" spans="2:31" x14ac:dyDescent="0.25">
      <c r="B151" s="125"/>
      <c r="C151" s="125"/>
      <c r="D151" s="126"/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8"/>
      <c r="AE151" s="28" t="str">
        <f t="shared" si="8"/>
        <v/>
      </c>
    </row>
    <row r="152" spans="2:31" x14ac:dyDescent="0.25">
      <c r="B152" s="125"/>
      <c r="C152" s="125"/>
      <c r="D152" s="126"/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8"/>
      <c r="AE152" s="28" t="str">
        <f t="shared" si="8"/>
        <v/>
      </c>
    </row>
    <row r="153" spans="2:31" x14ac:dyDescent="0.25">
      <c r="B153" s="125"/>
      <c r="C153" s="125"/>
      <c r="D153" s="126"/>
      <c r="E153" s="127"/>
      <c r="F153" s="127"/>
      <c r="G153" s="127"/>
      <c r="H153" s="127"/>
      <c r="I153" s="127"/>
      <c r="J153" s="127"/>
      <c r="K153" s="127"/>
      <c r="L153" s="127"/>
      <c r="M153" s="127"/>
      <c r="N153" s="127"/>
      <c r="O153" s="128"/>
      <c r="AE153" s="28" t="str">
        <f t="shared" si="8"/>
        <v/>
      </c>
    </row>
    <row r="154" spans="2:31" x14ac:dyDescent="0.25">
      <c r="B154" s="125"/>
      <c r="C154" s="125"/>
      <c r="D154" s="126"/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8"/>
      <c r="AE154" s="28" t="str">
        <f t="shared" si="8"/>
        <v/>
      </c>
    </row>
    <row r="155" spans="2:31" x14ac:dyDescent="0.25">
      <c r="B155" s="125"/>
      <c r="C155" s="125"/>
      <c r="D155" s="126"/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8"/>
      <c r="AE155" s="28" t="str">
        <f t="shared" si="8"/>
        <v/>
      </c>
    </row>
    <row r="156" spans="2:31" x14ac:dyDescent="0.25">
      <c r="B156" s="125"/>
      <c r="C156" s="125"/>
      <c r="D156" s="126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8"/>
      <c r="AE156" s="28" t="str">
        <f t="shared" si="8"/>
        <v/>
      </c>
    </row>
    <row r="157" spans="2:31" x14ac:dyDescent="0.25">
      <c r="B157" s="125"/>
      <c r="C157" s="125"/>
      <c r="D157" s="126"/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8"/>
      <c r="AE157" s="28" t="str">
        <f t="shared" si="8"/>
        <v/>
      </c>
    </row>
    <row r="158" spans="2:31" x14ac:dyDescent="0.25">
      <c r="B158" s="125"/>
      <c r="C158" s="125"/>
      <c r="D158" s="126"/>
      <c r="E158" s="127"/>
      <c r="F158" s="127"/>
      <c r="G158" s="127"/>
      <c r="H158" s="127"/>
      <c r="I158" s="127"/>
      <c r="J158" s="127"/>
      <c r="K158" s="127"/>
      <c r="L158" s="127"/>
      <c r="M158" s="127"/>
      <c r="N158" s="127"/>
      <c r="O158" s="128"/>
      <c r="AE158" s="28" t="str">
        <f t="shared" si="8"/>
        <v/>
      </c>
    </row>
    <row r="159" spans="2:31" x14ac:dyDescent="0.25">
      <c r="B159" s="125"/>
      <c r="C159" s="125"/>
      <c r="D159" s="126"/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8"/>
      <c r="AE159" s="28" t="str">
        <f t="shared" si="8"/>
        <v/>
      </c>
    </row>
    <row r="160" spans="2:31" x14ac:dyDescent="0.25">
      <c r="B160" s="125"/>
      <c r="C160" s="125"/>
      <c r="D160" s="126"/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8"/>
      <c r="AE160" s="28" t="str">
        <f t="shared" si="8"/>
        <v/>
      </c>
    </row>
    <row r="161" spans="2:31" x14ac:dyDescent="0.25">
      <c r="B161" s="125"/>
      <c r="C161" s="125"/>
      <c r="D161" s="126"/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8"/>
      <c r="AE161" s="28" t="str">
        <f t="shared" si="8"/>
        <v/>
      </c>
    </row>
    <row r="162" spans="2:31" x14ac:dyDescent="0.25">
      <c r="B162" s="125"/>
      <c r="C162" s="125"/>
      <c r="D162" s="126"/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8"/>
      <c r="AE162" s="28" t="str">
        <f t="shared" si="8"/>
        <v/>
      </c>
    </row>
    <row r="163" spans="2:31" x14ac:dyDescent="0.25">
      <c r="B163" s="125"/>
      <c r="C163" s="125"/>
      <c r="D163" s="126"/>
      <c r="E163" s="127"/>
      <c r="F163" s="127"/>
      <c r="G163" s="127"/>
      <c r="H163" s="127"/>
      <c r="I163" s="127"/>
      <c r="J163" s="127"/>
      <c r="K163" s="127"/>
      <c r="L163" s="127"/>
      <c r="M163" s="127"/>
      <c r="N163" s="127"/>
      <c r="O163" s="128"/>
      <c r="AE163" s="28" t="str">
        <f t="shared" si="8"/>
        <v/>
      </c>
    </row>
    <row r="164" spans="2:31" x14ac:dyDescent="0.25">
      <c r="B164" s="125"/>
      <c r="C164" s="125"/>
      <c r="D164" s="126"/>
      <c r="E164" s="127"/>
      <c r="F164" s="127"/>
      <c r="G164" s="127"/>
      <c r="H164" s="127"/>
      <c r="I164" s="127"/>
      <c r="J164" s="127"/>
      <c r="K164" s="127"/>
      <c r="L164" s="127"/>
      <c r="M164" s="127"/>
      <c r="N164" s="127"/>
      <c r="O164" s="128"/>
      <c r="AE164" s="28" t="str">
        <f t="shared" si="8"/>
        <v/>
      </c>
    </row>
    <row r="165" spans="2:31" x14ac:dyDescent="0.25">
      <c r="B165" s="125"/>
      <c r="C165" s="125"/>
      <c r="D165" s="126"/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8"/>
      <c r="AE165" s="28" t="str">
        <f t="shared" si="8"/>
        <v/>
      </c>
    </row>
    <row r="166" spans="2:31" x14ac:dyDescent="0.25">
      <c r="B166" s="125"/>
      <c r="C166" s="125"/>
      <c r="D166" s="126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8"/>
      <c r="AE166" s="28" t="str">
        <f t="shared" si="8"/>
        <v/>
      </c>
    </row>
    <row r="167" spans="2:31" x14ac:dyDescent="0.25">
      <c r="B167" s="125"/>
      <c r="C167" s="125"/>
      <c r="D167" s="126"/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8"/>
      <c r="AE167" s="28" t="str">
        <f t="shared" si="8"/>
        <v/>
      </c>
    </row>
    <row r="168" spans="2:31" x14ac:dyDescent="0.25">
      <c r="B168" s="125"/>
      <c r="C168" s="125"/>
      <c r="D168" s="126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8"/>
      <c r="AE168" s="28" t="str">
        <f t="shared" si="8"/>
        <v/>
      </c>
    </row>
    <row r="169" spans="2:31" x14ac:dyDescent="0.25">
      <c r="B169" s="125"/>
      <c r="C169" s="125"/>
      <c r="D169" s="126"/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8"/>
      <c r="AE169" s="28" t="str">
        <f t="shared" si="8"/>
        <v/>
      </c>
    </row>
    <row r="170" spans="2:31" x14ac:dyDescent="0.25">
      <c r="B170" s="125"/>
      <c r="C170" s="125"/>
      <c r="D170" s="126"/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8"/>
      <c r="AE170" s="28" t="str">
        <f t="shared" si="8"/>
        <v/>
      </c>
    </row>
    <row r="171" spans="2:31" x14ac:dyDescent="0.25">
      <c r="B171" s="125"/>
      <c r="C171" s="125"/>
      <c r="D171" s="126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8"/>
      <c r="AE171" s="28" t="str">
        <f t="shared" si="8"/>
        <v/>
      </c>
    </row>
    <row r="172" spans="2:31" x14ac:dyDescent="0.25">
      <c r="B172" s="125"/>
      <c r="C172" s="125"/>
      <c r="D172" s="126"/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8"/>
      <c r="AE172" s="28" t="str">
        <f t="shared" si="8"/>
        <v/>
      </c>
    </row>
    <row r="173" spans="2:31" x14ac:dyDescent="0.25">
      <c r="B173" s="125"/>
      <c r="C173" s="125"/>
      <c r="D173" s="126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8"/>
      <c r="AE173" s="28" t="str">
        <f t="shared" si="8"/>
        <v/>
      </c>
    </row>
    <row r="174" spans="2:31" x14ac:dyDescent="0.25">
      <c r="B174" s="125"/>
      <c r="C174" s="125"/>
      <c r="D174" s="126"/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8"/>
      <c r="AE174" s="28" t="str">
        <f t="shared" si="8"/>
        <v/>
      </c>
    </row>
    <row r="175" spans="2:31" x14ac:dyDescent="0.25">
      <c r="B175" s="125"/>
      <c r="C175" s="125"/>
      <c r="D175" s="126"/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8"/>
      <c r="AE175" s="28" t="str">
        <f t="shared" si="8"/>
        <v/>
      </c>
    </row>
    <row r="176" spans="2:31" x14ac:dyDescent="0.25">
      <c r="B176" s="125"/>
      <c r="C176" s="125"/>
      <c r="D176" s="126"/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8"/>
      <c r="AE176" s="28" t="str">
        <f t="shared" si="8"/>
        <v/>
      </c>
    </row>
    <row r="177" spans="2:31" x14ac:dyDescent="0.25">
      <c r="B177" s="125"/>
      <c r="C177" s="125"/>
      <c r="D177" s="126"/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8"/>
      <c r="AE177" s="28" t="str">
        <f t="shared" si="8"/>
        <v/>
      </c>
    </row>
    <row r="178" spans="2:31" x14ac:dyDescent="0.25">
      <c r="B178" s="125"/>
      <c r="C178" s="125"/>
      <c r="D178" s="126"/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8"/>
      <c r="AE178" s="28" t="str">
        <f t="shared" si="8"/>
        <v/>
      </c>
    </row>
    <row r="179" spans="2:31" x14ac:dyDescent="0.25">
      <c r="B179" s="125"/>
      <c r="C179" s="125"/>
      <c r="D179" s="126"/>
      <c r="E179" s="127"/>
      <c r="F179" s="127"/>
      <c r="G179" s="127"/>
      <c r="H179" s="127"/>
      <c r="I179" s="127"/>
      <c r="J179" s="127"/>
      <c r="K179" s="127"/>
      <c r="L179" s="127"/>
      <c r="M179" s="127"/>
      <c r="N179" s="127"/>
      <c r="O179" s="128"/>
      <c r="AE179" s="28" t="str">
        <f t="shared" si="8"/>
        <v/>
      </c>
    </row>
    <row r="180" spans="2:31" x14ac:dyDescent="0.25">
      <c r="B180" s="125"/>
      <c r="C180" s="125"/>
      <c r="D180" s="126"/>
      <c r="E180" s="127"/>
      <c r="F180" s="127"/>
      <c r="G180" s="127"/>
      <c r="H180" s="127"/>
      <c r="I180" s="127"/>
      <c r="J180" s="127"/>
      <c r="K180" s="127"/>
      <c r="L180" s="127"/>
      <c r="M180" s="127"/>
      <c r="N180" s="127"/>
      <c r="O180" s="128"/>
      <c r="AE180" s="28" t="str">
        <f t="shared" si="8"/>
        <v/>
      </c>
    </row>
    <row r="181" spans="2:31" x14ac:dyDescent="0.25">
      <c r="B181" s="125"/>
      <c r="C181" s="125"/>
      <c r="D181" s="126"/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8"/>
      <c r="AE181" s="28" t="str">
        <f t="shared" si="8"/>
        <v/>
      </c>
    </row>
    <row r="182" spans="2:31" x14ac:dyDescent="0.25">
      <c r="B182" s="125"/>
      <c r="C182" s="125"/>
      <c r="D182" s="126"/>
      <c r="E182" s="127"/>
      <c r="F182" s="127"/>
      <c r="G182" s="127"/>
      <c r="H182" s="127"/>
      <c r="I182" s="127"/>
      <c r="J182" s="127"/>
      <c r="K182" s="127"/>
      <c r="L182" s="127"/>
      <c r="M182" s="127"/>
      <c r="N182" s="127"/>
      <c r="O182" s="128"/>
      <c r="AE182" s="28" t="str">
        <f t="shared" si="8"/>
        <v/>
      </c>
    </row>
    <row r="183" spans="2:31" x14ac:dyDescent="0.25">
      <c r="B183" s="125"/>
      <c r="C183" s="125"/>
      <c r="D183" s="126"/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8"/>
      <c r="AE183" s="28" t="str">
        <f t="shared" si="8"/>
        <v/>
      </c>
    </row>
    <row r="184" spans="2:31" x14ac:dyDescent="0.25">
      <c r="B184" s="125"/>
      <c r="C184" s="125"/>
      <c r="D184" s="126"/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8"/>
      <c r="AE184" s="28" t="str">
        <f t="shared" si="8"/>
        <v/>
      </c>
    </row>
    <row r="185" spans="2:31" x14ac:dyDescent="0.25">
      <c r="B185" s="125"/>
      <c r="C185" s="125"/>
      <c r="D185" s="126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8"/>
      <c r="AE185" s="28" t="str">
        <f t="shared" si="8"/>
        <v/>
      </c>
    </row>
    <row r="186" spans="2:31" x14ac:dyDescent="0.25">
      <c r="B186" s="125"/>
      <c r="C186" s="125"/>
      <c r="D186" s="126"/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8"/>
      <c r="AE186" s="28" t="str">
        <f t="shared" si="8"/>
        <v/>
      </c>
    </row>
    <row r="187" spans="2:31" x14ac:dyDescent="0.25">
      <c r="B187" s="125"/>
      <c r="C187" s="125"/>
      <c r="D187" s="126"/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8"/>
      <c r="AE187" s="28" t="str">
        <f t="shared" si="8"/>
        <v/>
      </c>
    </row>
    <row r="188" spans="2:31" x14ac:dyDescent="0.25">
      <c r="B188" s="125"/>
      <c r="C188" s="125"/>
      <c r="D188" s="126"/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8"/>
      <c r="AE188" s="28" t="str">
        <f t="shared" si="8"/>
        <v/>
      </c>
    </row>
    <row r="189" spans="2:31" x14ac:dyDescent="0.25">
      <c r="B189" s="125"/>
      <c r="C189" s="125"/>
      <c r="D189" s="126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8"/>
      <c r="AE189" s="28" t="str">
        <f t="shared" si="8"/>
        <v/>
      </c>
    </row>
    <row r="190" spans="2:31" x14ac:dyDescent="0.25">
      <c r="B190" s="125"/>
      <c r="C190" s="125"/>
      <c r="D190" s="126"/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8"/>
      <c r="AE190" s="28" t="str">
        <f t="shared" si="8"/>
        <v/>
      </c>
    </row>
    <row r="191" spans="2:31" x14ac:dyDescent="0.25">
      <c r="B191" s="125"/>
      <c r="C191" s="125"/>
      <c r="D191" s="126"/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8"/>
      <c r="AE191" s="28" t="str">
        <f t="shared" si="8"/>
        <v/>
      </c>
    </row>
    <row r="192" spans="2:31" x14ac:dyDescent="0.25">
      <c r="B192" s="125"/>
      <c r="C192" s="125"/>
      <c r="D192" s="126"/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8"/>
      <c r="AE192" s="28" t="str">
        <f t="shared" si="8"/>
        <v/>
      </c>
    </row>
    <row r="193" spans="2:31" x14ac:dyDescent="0.25">
      <c r="B193" s="125"/>
      <c r="C193" s="125"/>
      <c r="D193" s="126"/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8"/>
      <c r="AE193" s="28" t="str">
        <f t="shared" si="8"/>
        <v/>
      </c>
    </row>
    <row r="194" spans="2:31" x14ac:dyDescent="0.25">
      <c r="B194" s="125"/>
      <c r="C194" s="125"/>
      <c r="D194" s="126"/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8"/>
      <c r="AE194" s="28" t="str">
        <f t="shared" si="8"/>
        <v/>
      </c>
    </row>
    <row r="195" spans="2:31" x14ac:dyDescent="0.25">
      <c r="B195" s="125"/>
      <c r="C195" s="125"/>
      <c r="D195" s="126"/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128"/>
      <c r="AE195" s="28" t="str">
        <f t="shared" si="8"/>
        <v/>
      </c>
    </row>
    <row r="196" spans="2:31" x14ac:dyDescent="0.25">
      <c r="B196" s="125"/>
      <c r="C196" s="125"/>
      <c r="D196" s="126"/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128"/>
      <c r="AE196" s="28" t="str">
        <f t="shared" si="8"/>
        <v/>
      </c>
    </row>
    <row r="197" spans="2:31" x14ac:dyDescent="0.25">
      <c r="B197" s="125"/>
      <c r="C197" s="125"/>
      <c r="D197" s="126"/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8"/>
      <c r="AE197" s="28" t="str">
        <f t="shared" si="8"/>
        <v/>
      </c>
    </row>
    <row r="198" spans="2:31" x14ac:dyDescent="0.25">
      <c r="B198" s="125"/>
      <c r="C198" s="125"/>
      <c r="D198" s="126"/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128"/>
      <c r="AE198" s="28" t="str">
        <f t="shared" si="8"/>
        <v/>
      </c>
    </row>
    <row r="199" spans="2:31" x14ac:dyDescent="0.25">
      <c r="B199" s="125"/>
      <c r="C199" s="125"/>
      <c r="D199" s="126"/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8"/>
      <c r="AE199" s="28" t="str">
        <f t="shared" si="8"/>
        <v/>
      </c>
    </row>
    <row r="200" spans="2:31" x14ac:dyDescent="0.25">
      <c r="B200" s="125"/>
      <c r="C200" s="125"/>
      <c r="D200" s="126"/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8"/>
      <c r="AE200" s="28" t="str">
        <f t="shared" si="8"/>
        <v/>
      </c>
    </row>
    <row r="201" spans="2:31" x14ac:dyDescent="0.25">
      <c r="B201" s="125"/>
      <c r="C201" s="125"/>
      <c r="D201" s="126"/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8"/>
      <c r="AE201" s="28" t="str">
        <f t="shared" si="8"/>
        <v/>
      </c>
    </row>
    <row r="202" spans="2:31" x14ac:dyDescent="0.25">
      <c r="B202" s="125"/>
      <c r="C202" s="125"/>
      <c r="D202" s="126"/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8"/>
      <c r="AE202" s="28" t="str">
        <f t="shared" si="8"/>
        <v/>
      </c>
    </row>
    <row r="203" spans="2:31" x14ac:dyDescent="0.25">
      <c r="B203" s="125"/>
      <c r="C203" s="125"/>
      <c r="D203" s="126"/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8"/>
      <c r="AE203" s="28" t="str">
        <f t="shared" si="8"/>
        <v/>
      </c>
    </row>
    <row r="204" spans="2:31" x14ac:dyDescent="0.25">
      <c r="B204" s="125"/>
      <c r="C204" s="125"/>
      <c r="D204" s="126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8"/>
      <c r="AE204" s="28" t="str">
        <f t="shared" si="8"/>
        <v/>
      </c>
    </row>
    <row r="205" spans="2:31" x14ac:dyDescent="0.25">
      <c r="B205" s="125"/>
      <c r="C205" s="125"/>
      <c r="D205" s="126"/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8"/>
      <c r="AE205" s="28" t="str">
        <f t="shared" si="8"/>
        <v/>
      </c>
    </row>
    <row r="206" spans="2:31" x14ac:dyDescent="0.25">
      <c r="B206" s="125"/>
      <c r="C206" s="125"/>
      <c r="D206" s="126"/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8"/>
      <c r="AE206" s="28" t="str">
        <f t="shared" si="8"/>
        <v/>
      </c>
    </row>
    <row r="207" spans="2:31" x14ac:dyDescent="0.25">
      <c r="B207" s="125"/>
      <c r="C207" s="125"/>
      <c r="D207" s="126"/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8"/>
      <c r="AE207" s="28" t="str">
        <f t="shared" si="8"/>
        <v/>
      </c>
    </row>
    <row r="208" spans="2:31" x14ac:dyDescent="0.25">
      <c r="B208" s="125"/>
      <c r="C208" s="125"/>
      <c r="D208" s="126"/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8"/>
      <c r="AE208" s="28" t="str">
        <f t="shared" si="8"/>
        <v/>
      </c>
    </row>
    <row r="209" spans="2:31" x14ac:dyDescent="0.25">
      <c r="B209" s="125"/>
      <c r="C209" s="125"/>
      <c r="D209" s="126"/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8"/>
      <c r="AE209" s="28" t="str">
        <f t="shared" si="8"/>
        <v/>
      </c>
    </row>
    <row r="210" spans="2:31" x14ac:dyDescent="0.25">
      <c r="B210" s="125"/>
      <c r="C210" s="125"/>
      <c r="D210" s="126"/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8"/>
      <c r="AE210" s="28" t="str">
        <f t="shared" si="8"/>
        <v/>
      </c>
    </row>
    <row r="211" spans="2:31" x14ac:dyDescent="0.25">
      <c r="B211" s="125"/>
      <c r="C211" s="125"/>
      <c r="D211" s="126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8"/>
      <c r="AE211" s="28" t="str">
        <f t="shared" si="8"/>
        <v/>
      </c>
    </row>
    <row r="212" spans="2:31" x14ac:dyDescent="0.25">
      <c r="B212" s="125"/>
      <c r="C212" s="125"/>
      <c r="D212" s="126"/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8"/>
      <c r="AE212" s="28" t="str">
        <f t="shared" si="8"/>
        <v/>
      </c>
    </row>
    <row r="213" spans="2:31" x14ac:dyDescent="0.25">
      <c r="B213" s="125"/>
      <c r="C213" s="125"/>
      <c r="D213" s="126"/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8"/>
      <c r="AE213" s="28" t="str">
        <f t="shared" ref="AE213:AE276" si="9">IF(B213="","",CONCATENATE("&lt;PrevisaoVAZAO Posto=""",B213,""" MesReferencia=""1""&gt; ",D213," ",E213," ",F213," ",G213," ",H213," ",I213," ",J213," ",K213," ",L213," ",M213," ",N213," ",O213," &lt;/PrevisaoVAZAO&gt;"))</f>
        <v/>
      </c>
    </row>
    <row r="214" spans="2:31" x14ac:dyDescent="0.25">
      <c r="B214" s="125"/>
      <c r="C214" s="125"/>
      <c r="D214" s="126"/>
      <c r="E214" s="127"/>
      <c r="F214" s="127"/>
      <c r="G214" s="127"/>
      <c r="H214" s="127"/>
      <c r="I214" s="127"/>
      <c r="J214" s="127"/>
      <c r="K214" s="127"/>
      <c r="L214" s="127"/>
      <c r="M214" s="127"/>
      <c r="N214" s="127"/>
      <c r="O214" s="128"/>
      <c r="AE214" s="28" t="str">
        <f t="shared" si="9"/>
        <v/>
      </c>
    </row>
    <row r="215" spans="2:31" x14ac:dyDescent="0.25">
      <c r="B215" s="125"/>
      <c r="C215" s="125"/>
      <c r="D215" s="126"/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8"/>
      <c r="AE215" s="28" t="str">
        <f t="shared" si="9"/>
        <v/>
      </c>
    </row>
    <row r="216" spans="2:31" x14ac:dyDescent="0.25">
      <c r="B216" s="125"/>
      <c r="C216" s="125"/>
      <c r="D216" s="126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8"/>
      <c r="AE216" s="28" t="str">
        <f t="shared" si="9"/>
        <v/>
      </c>
    </row>
    <row r="217" spans="2:31" x14ac:dyDescent="0.25">
      <c r="B217" s="125"/>
      <c r="C217" s="125"/>
      <c r="D217" s="126"/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8"/>
      <c r="AE217" s="28" t="str">
        <f t="shared" si="9"/>
        <v/>
      </c>
    </row>
    <row r="218" spans="2:31" x14ac:dyDescent="0.25">
      <c r="B218" s="125"/>
      <c r="C218" s="125"/>
      <c r="D218" s="126"/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8"/>
      <c r="AE218" s="28" t="str">
        <f t="shared" si="9"/>
        <v/>
      </c>
    </row>
    <row r="219" spans="2:31" x14ac:dyDescent="0.25">
      <c r="B219" s="125"/>
      <c r="C219" s="125"/>
      <c r="D219" s="126"/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8"/>
      <c r="AE219" s="28" t="str">
        <f t="shared" si="9"/>
        <v/>
      </c>
    </row>
    <row r="220" spans="2:31" x14ac:dyDescent="0.25">
      <c r="B220" s="125"/>
      <c r="C220" s="125"/>
      <c r="D220" s="126"/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8"/>
      <c r="AE220" s="28" t="str">
        <f t="shared" si="9"/>
        <v/>
      </c>
    </row>
    <row r="221" spans="2:31" x14ac:dyDescent="0.25">
      <c r="B221" s="125"/>
      <c r="C221" s="125"/>
      <c r="D221" s="126"/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8"/>
      <c r="AE221" s="28" t="str">
        <f t="shared" si="9"/>
        <v/>
      </c>
    </row>
    <row r="222" spans="2:31" x14ac:dyDescent="0.25">
      <c r="B222" s="125"/>
      <c r="C222" s="125"/>
      <c r="D222" s="126"/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8"/>
      <c r="AE222" s="28" t="str">
        <f t="shared" si="9"/>
        <v/>
      </c>
    </row>
    <row r="223" spans="2:31" x14ac:dyDescent="0.25">
      <c r="B223" s="125"/>
      <c r="C223" s="125"/>
      <c r="D223" s="126"/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8"/>
      <c r="AE223" s="28" t="str">
        <f t="shared" si="9"/>
        <v/>
      </c>
    </row>
    <row r="224" spans="2:31" x14ac:dyDescent="0.25">
      <c r="B224" s="125"/>
      <c r="C224" s="125"/>
      <c r="D224" s="126"/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8"/>
      <c r="AE224" s="28" t="str">
        <f t="shared" si="9"/>
        <v/>
      </c>
    </row>
    <row r="225" spans="2:31" x14ac:dyDescent="0.25">
      <c r="B225" s="125"/>
      <c r="C225" s="125"/>
      <c r="D225" s="126"/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8"/>
      <c r="AE225" s="28" t="str">
        <f t="shared" si="9"/>
        <v/>
      </c>
    </row>
    <row r="226" spans="2:31" x14ac:dyDescent="0.25">
      <c r="B226" s="125"/>
      <c r="C226" s="125"/>
      <c r="D226" s="126"/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8"/>
      <c r="AE226" s="28" t="str">
        <f t="shared" si="9"/>
        <v/>
      </c>
    </row>
    <row r="227" spans="2:31" x14ac:dyDescent="0.25">
      <c r="B227" s="125"/>
      <c r="C227" s="125"/>
      <c r="D227" s="126"/>
      <c r="E227" s="127"/>
      <c r="F227" s="127"/>
      <c r="G227" s="127"/>
      <c r="H227" s="127"/>
      <c r="I227" s="127"/>
      <c r="J227" s="127"/>
      <c r="K227" s="127"/>
      <c r="L227" s="127"/>
      <c r="M227" s="127"/>
      <c r="N227" s="127"/>
      <c r="O227" s="128"/>
      <c r="AE227" s="28" t="str">
        <f t="shared" si="9"/>
        <v/>
      </c>
    </row>
    <row r="228" spans="2:31" x14ac:dyDescent="0.25">
      <c r="B228" s="125"/>
      <c r="C228" s="125"/>
      <c r="D228" s="126"/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8"/>
      <c r="AE228" s="28" t="str">
        <f t="shared" si="9"/>
        <v/>
      </c>
    </row>
    <row r="229" spans="2:31" x14ac:dyDescent="0.25">
      <c r="B229" s="125"/>
      <c r="C229" s="125"/>
      <c r="D229" s="126"/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8"/>
      <c r="AE229" s="28" t="str">
        <f t="shared" si="9"/>
        <v/>
      </c>
    </row>
    <row r="230" spans="2:31" x14ac:dyDescent="0.25">
      <c r="B230" s="125"/>
      <c r="C230" s="125"/>
      <c r="D230" s="126"/>
      <c r="E230" s="127"/>
      <c r="F230" s="127"/>
      <c r="G230" s="127"/>
      <c r="H230" s="127"/>
      <c r="I230" s="127"/>
      <c r="J230" s="127"/>
      <c r="K230" s="127"/>
      <c r="L230" s="127"/>
      <c r="M230" s="127"/>
      <c r="N230" s="127"/>
      <c r="O230" s="128"/>
      <c r="AE230" s="28" t="str">
        <f t="shared" si="9"/>
        <v/>
      </c>
    </row>
    <row r="231" spans="2:31" x14ac:dyDescent="0.25">
      <c r="B231" s="125"/>
      <c r="C231" s="125"/>
      <c r="D231" s="126"/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8"/>
      <c r="AE231" s="28" t="str">
        <f t="shared" si="9"/>
        <v/>
      </c>
    </row>
    <row r="232" spans="2:31" x14ac:dyDescent="0.25">
      <c r="B232" s="125"/>
      <c r="C232" s="125"/>
      <c r="D232" s="126"/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8"/>
      <c r="AE232" s="28" t="str">
        <f t="shared" si="9"/>
        <v/>
      </c>
    </row>
    <row r="233" spans="2:31" x14ac:dyDescent="0.25">
      <c r="B233" s="125"/>
      <c r="C233" s="125"/>
      <c r="D233" s="126"/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8"/>
      <c r="AE233" s="28" t="str">
        <f t="shared" si="9"/>
        <v/>
      </c>
    </row>
    <row r="234" spans="2:31" x14ac:dyDescent="0.25">
      <c r="B234" s="125"/>
      <c r="C234" s="125"/>
      <c r="D234" s="126"/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8"/>
      <c r="AE234" s="28" t="str">
        <f t="shared" si="9"/>
        <v/>
      </c>
    </row>
    <row r="235" spans="2:31" x14ac:dyDescent="0.25">
      <c r="B235" s="125"/>
      <c r="C235" s="125"/>
      <c r="D235" s="126"/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8"/>
      <c r="AE235" s="28" t="str">
        <f t="shared" si="9"/>
        <v/>
      </c>
    </row>
    <row r="236" spans="2:31" x14ac:dyDescent="0.25">
      <c r="B236" s="125"/>
      <c r="C236" s="125"/>
      <c r="D236" s="126"/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8"/>
      <c r="AE236" s="28" t="str">
        <f t="shared" si="9"/>
        <v/>
      </c>
    </row>
    <row r="237" spans="2:31" x14ac:dyDescent="0.25">
      <c r="B237" s="125"/>
      <c r="C237" s="125"/>
      <c r="D237" s="126"/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8"/>
      <c r="AE237" s="28" t="str">
        <f t="shared" si="9"/>
        <v/>
      </c>
    </row>
    <row r="238" spans="2:31" x14ac:dyDescent="0.25">
      <c r="B238" s="125"/>
      <c r="C238" s="125"/>
      <c r="D238" s="126"/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8"/>
      <c r="AE238" s="28" t="str">
        <f t="shared" si="9"/>
        <v/>
      </c>
    </row>
    <row r="239" spans="2:31" x14ac:dyDescent="0.25">
      <c r="B239" s="125"/>
      <c r="C239" s="125"/>
      <c r="D239" s="126"/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8"/>
      <c r="AE239" s="28" t="str">
        <f t="shared" si="9"/>
        <v/>
      </c>
    </row>
    <row r="240" spans="2:31" x14ac:dyDescent="0.25">
      <c r="B240" s="125"/>
      <c r="C240" s="125"/>
      <c r="D240" s="126"/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8"/>
      <c r="AE240" s="28" t="str">
        <f t="shared" si="9"/>
        <v/>
      </c>
    </row>
    <row r="241" spans="2:31" x14ac:dyDescent="0.25">
      <c r="B241" s="125"/>
      <c r="C241" s="125"/>
      <c r="D241" s="126"/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8"/>
      <c r="AE241" s="28" t="str">
        <f t="shared" si="9"/>
        <v/>
      </c>
    </row>
    <row r="242" spans="2:31" x14ac:dyDescent="0.25">
      <c r="B242" s="125"/>
      <c r="C242" s="125"/>
      <c r="D242" s="126"/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8"/>
      <c r="AE242" s="28" t="str">
        <f t="shared" si="9"/>
        <v/>
      </c>
    </row>
    <row r="243" spans="2:31" x14ac:dyDescent="0.25">
      <c r="B243" s="125"/>
      <c r="C243" s="125"/>
      <c r="D243" s="126"/>
      <c r="E243" s="127"/>
      <c r="F243" s="127"/>
      <c r="G243" s="127"/>
      <c r="H243" s="127"/>
      <c r="I243" s="127"/>
      <c r="J243" s="127"/>
      <c r="K243" s="127"/>
      <c r="L243" s="127"/>
      <c r="M243" s="127"/>
      <c r="N243" s="127"/>
      <c r="O243" s="128"/>
      <c r="AE243" s="28" t="str">
        <f t="shared" si="9"/>
        <v/>
      </c>
    </row>
    <row r="244" spans="2:31" x14ac:dyDescent="0.25">
      <c r="B244" s="125"/>
      <c r="C244" s="125"/>
      <c r="D244" s="126"/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8"/>
      <c r="AE244" s="28" t="str">
        <f t="shared" si="9"/>
        <v/>
      </c>
    </row>
    <row r="245" spans="2:31" x14ac:dyDescent="0.25">
      <c r="B245" s="125"/>
      <c r="C245" s="125"/>
      <c r="D245" s="126"/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8"/>
      <c r="AE245" s="28" t="str">
        <f t="shared" si="9"/>
        <v/>
      </c>
    </row>
    <row r="246" spans="2:31" x14ac:dyDescent="0.25">
      <c r="B246" s="125"/>
      <c r="C246" s="125"/>
      <c r="D246" s="126"/>
      <c r="E246" s="127"/>
      <c r="F246" s="127"/>
      <c r="G246" s="127"/>
      <c r="H246" s="127"/>
      <c r="I246" s="127"/>
      <c r="J246" s="127"/>
      <c r="K246" s="127"/>
      <c r="L246" s="127"/>
      <c r="M246" s="127"/>
      <c r="N246" s="127"/>
      <c r="O246" s="128"/>
      <c r="AE246" s="28" t="str">
        <f t="shared" si="9"/>
        <v/>
      </c>
    </row>
    <row r="247" spans="2:31" x14ac:dyDescent="0.25">
      <c r="B247" s="125"/>
      <c r="C247" s="125"/>
      <c r="D247" s="126"/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8"/>
      <c r="AE247" s="28" t="str">
        <f t="shared" si="9"/>
        <v/>
      </c>
    </row>
    <row r="248" spans="2:31" x14ac:dyDescent="0.25">
      <c r="B248" s="125"/>
      <c r="C248" s="125"/>
      <c r="D248" s="126"/>
      <c r="E248" s="127"/>
      <c r="F248" s="127"/>
      <c r="G248" s="127"/>
      <c r="H248" s="127"/>
      <c r="I248" s="127"/>
      <c r="J248" s="127"/>
      <c r="K248" s="127"/>
      <c r="L248" s="127"/>
      <c r="M248" s="127"/>
      <c r="N248" s="127"/>
      <c r="O248" s="128"/>
      <c r="AE248" s="28" t="str">
        <f t="shared" si="9"/>
        <v/>
      </c>
    </row>
    <row r="249" spans="2:31" x14ac:dyDescent="0.25">
      <c r="B249" s="125"/>
      <c r="C249" s="125"/>
      <c r="D249" s="126"/>
      <c r="E249" s="127"/>
      <c r="F249" s="127"/>
      <c r="G249" s="127"/>
      <c r="H249" s="127"/>
      <c r="I249" s="127"/>
      <c r="J249" s="127"/>
      <c r="K249" s="127"/>
      <c r="L249" s="127"/>
      <c r="M249" s="127"/>
      <c r="N249" s="127"/>
      <c r="O249" s="128"/>
      <c r="AE249" s="28" t="str">
        <f t="shared" si="9"/>
        <v/>
      </c>
    </row>
    <row r="250" spans="2:31" x14ac:dyDescent="0.25">
      <c r="B250" s="125"/>
      <c r="C250" s="125"/>
      <c r="D250" s="126"/>
      <c r="E250" s="127"/>
      <c r="F250" s="127"/>
      <c r="G250" s="127"/>
      <c r="H250" s="127"/>
      <c r="I250" s="127"/>
      <c r="J250" s="127"/>
      <c r="K250" s="127"/>
      <c r="L250" s="127"/>
      <c r="M250" s="127"/>
      <c r="N250" s="127"/>
      <c r="O250" s="128"/>
      <c r="AE250" s="28" t="str">
        <f t="shared" si="9"/>
        <v/>
      </c>
    </row>
    <row r="251" spans="2:31" x14ac:dyDescent="0.25">
      <c r="B251" s="125"/>
      <c r="C251" s="125"/>
      <c r="D251" s="126"/>
      <c r="E251" s="127"/>
      <c r="F251" s="127"/>
      <c r="G251" s="127"/>
      <c r="H251" s="127"/>
      <c r="I251" s="127"/>
      <c r="J251" s="127"/>
      <c r="K251" s="127"/>
      <c r="L251" s="127"/>
      <c r="M251" s="127"/>
      <c r="N251" s="127"/>
      <c r="O251" s="128"/>
      <c r="AE251" s="28" t="str">
        <f t="shared" si="9"/>
        <v/>
      </c>
    </row>
    <row r="252" spans="2:31" x14ac:dyDescent="0.25">
      <c r="B252" s="125"/>
      <c r="C252" s="125"/>
      <c r="D252" s="126"/>
      <c r="E252" s="127"/>
      <c r="F252" s="127"/>
      <c r="G252" s="127"/>
      <c r="H252" s="127"/>
      <c r="I252" s="127"/>
      <c r="J252" s="127"/>
      <c r="K252" s="127"/>
      <c r="L252" s="127"/>
      <c r="M252" s="127"/>
      <c r="N252" s="127"/>
      <c r="O252" s="128"/>
      <c r="AE252" s="28" t="str">
        <f t="shared" si="9"/>
        <v/>
      </c>
    </row>
    <row r="253" spans="2:31" x14ac:dyDescent="0.25">
      <c r="B253" s="125"/>
      <c r="C253" s="125"/>
      <c r="D253" s="126"/>
      <c r="E253" s="127"/>
      <c r="F253" s="127"/>
      <c r="G253" s="127"/>
      <c r="H253" s="127"/>
      <c r="I253" s="127"/>
      <c r="J253" s="127"/>
      <c r="K253" s="127"/>
      <c r="L253" s="127"/>
      <c r="M253" s="127"/>
      <c r="N253" s="127"/>
      <c r="O253" s="128"/>
      <c r="AE253" s="28" t="str">
        <f t="shared" si="9"/>
        <v/>
      </c>
    </row>
    <row r="254" spans="2:31" x14ac:dyDescent="0.25">
      <c r="B254" s="125"/>
      <c r="C254" s="125"/>
      <c r="D254" s="126"/>
      <c r="E254" s="127"/>
      <c r="F254" s="127"/>
      <c r="G254" s="127"/>
      <c r="H254" s="127"/>
      <c r="I254" s="127"/>
      <c r="J254" s="127"/>
      <c r="K254" s="127"/>
      <c r="L254" s="127"/>
      <c r="M254" s="127"/>
      <c r="N254" s="127"/>
      <c r="O254" s="128"/>
      <c r="AE254" s="28" t="str">
        <f t="shared" si="9"/>
        <v/>
      </c>
    </row>
    <row r="255" spans="2:31" x14ac:dyDescent="0.25">
      <c r="B255" s="125"/>
      <c r="C255" s="125"/>
      <c r="D255" s="126"/>
      <c r="E255" s="127"/>
      <c r="F255" s="127"/>
      <c r="G255" s="127"/>
      <c r="H255" s="127"/>
      <c r="I255" s="127"/>
      <c r="J255" s="127"/>
      <c r="K255" s="127"/>
      <c r="L255" s="127"/>
      <c r="M255" s="127"/>
      <c r="N255" s="127"/>
      <c r="O255" s="128"/>
      <c r="AE255" s="28" t="str">
        <f t="shared" si="9"/>
        <v/>
      </c>
    </row>
    <row r="256" spans="2:31" x14ac:dyDescent="0.25">
      <c r="B256" s="125"/>
      <c r="C256" s="125"/>
      <c r="D256" s="126"/>
      <c r="E256" s="127"/>
      <c r="F256" s="127"/>
      <c r="G256" s="127"/>
      <c r="H256" s="127"/>
      <c r="I256" s="127"/>
      <c r="J256" s="127"/>
      <c r="K256" s="127"/>
      <c r="L256" s="127"/>
      <c r="M256" s="127"/>
      <c r="N256" s="127"/>
      <c r="O256" s="128"/>
      <c r="AE256" s="28" t="str">
        <f t="shared" si="9"/>
        <v/>
      </c>
    </row>
    <row r="257" spans="2:31" x14ac:dyDescent="0.25">
      <c r="B257" s="125"/>
      <c r="C257" s="125"/>
      <c r="D257" s="126"/>
      <c r="E257" s="127"/>
      <c r="F257" s="127"/>
      <c r="G257" s="127"/>
      <c r="H257" s="127"/>
      <c r="I257" s="127"/>
      <c r="J257" s="127"/>
      <c r="K257" s="127"/>
      <c r="L257" s="127"/>
      <c r="M257" s="127"/>
      <c r="N257" s="127"/>
      <c r="O257" s="128"/>
      <c r="AE257" s="28" t="str">
        <f t="shared" si="9"/>
        <v/>
      </c>
    </row>
    <row r="258" spans="2:31" x14ac:dyDescent="0.25">
      <c r="B258" s="125"/>
      <c r="C258" s="125"/>
      <c r="D258" s="126"/>
      <c r="E258" s="127"/>
      <c r="F258" s="127"/>
      <c r="G258" s="127"/>
      <c r="H258" s="127"/>
      <c r="I258" s="127"/>
      <c r="J258" s="127"/>
      <c r="K258" s="127"/>
      <c r="L258" s="127"/>
      <c r="M258" s="127"/>
      <c r="N258" s="127"/>
      <c r="O258" s="128"/>
      <c r="AE258" s="28" t="str">
        <f t="shared" si="9"/>
        <v/>
      </c>
    </row>
    <row r="259" spans="2:31" x14ac:dyDescent="0.25">
      <c r="B259" s="125"/>
      <c r="C259" s="125"/>
      <c r="D259" s="126"/>
      <c r="E259" s="127"/>
      <c r="F259" s="127"/>
      <c r="G259" s="127"/>
      <c r="H259" s="127"/>
      <c r="I259" s="127"/>
      <c r="J259" s="127"/>
      <c r="K259" s="127"/>
      <c r="L259" s="127"/>
      <c r="M259" s="127"/>
      <c r="N259" s="127"/>
      <c r="O259" s="128"/>
      <c r="AE259" s="28" t="str">
        <f t="shared" si="9"/>
        <v/>
      </c>
    </row>
    <row r="260" spans="2:31" x14ac:dyDescent="0.25">
      <c r="B260" s="125"/>
      <c r="C260" s="125"/>
      <c r="D260" s="126"/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8"/>
      <c r="AE260" s="28" t="str">
        <f t="shared" si="9"/>
        <v/>
      </c>
    </row>
    <row r="261" spans="2:31" x14ac:dyDescent="0.25">
      <c r="B261" s="125"/>
      <c r="C261" s="125"/>
      <c r="D261" s="126"/>
      <c r="E261" s="127"/>
      <c r="F261" s="127"/>
      <c r="G261" s="127"/>
      <c r="H261" s="127"/>
      <c r="I261" s="127"/>
      <c r="J261" s="127"/>
      <c r="K261" s="127"/>
      <c r="L261" s="127"/>
      <c r="M261" s="127"/>
      <c r="N261" s="127"/>
      <c r="O261" s="128"/>
      <c r="AE261" s="28" t="str">
        <f t="shared" si="9"/>
        <v/>
      </c>
    </row>
    <row r="262" spans="2:31" x14ac:dyDescent="0.25">
      <c r="B262" s="125"/>
      <c r="C262" s="125"/>
      <c r="D262" s="126"/>
      <c r="E262" s="127"/>
      <c r="F262" s="127"/>
      <c r="G262" s="127"/>
      <c r="H262" s="127"/>
      <c r="I262" s="127"/>
      <c r="J262" s="127"/>
      <c r="K262" s="127"/>
      <c r="L262" s="127"/>
      <c r="M262" s="127"/>
      <c r="N262" s="127"/>
      <c r="O262" s="128"/>
      <c r="AE262" s="28" t="str">
        <f t="shared" si="9"/>
        <v/>
      </c>
    </row>
    <row r="263" spans="2:31" x14ac:dyDescent="0.25">
      <c r="B263" s="125"/>
      <c r="C263" s="125"/>
      <c r="D263" s="126"/>
      <c r="E263" s="127"/>
      <c r="F263" s="127"/>
      <c r="G263" s="127"/>
      <c r="H263" s="127"/>
      <c r="I263" s="127"/>
      <c r="J263" s="127"/>
      <c r="K263" s="127"/>
      <c r="L263" s="127"/>
      <c r="M263" s="127"/>
      <c r="N263" s="127"/>
      <c r="O263" s="128"/>
      <c r="AE263" s="28" t="str">
        <f t="shared" si="9"/>
        <v/>
      </c>
    </row>
    <row r="264" spans="2:31" x14ac:dyDescent="0.25">
      <c r="B264" s="125"/>
      <c r="C264" s="125"/>
      <c r="D264" s="126"/>
      <c r="E264" s="127"/>
      <c r="F264" s="127"/>
      <c r="G264" s="127"/>
      <c r="H264" s="127"/>
      <c r="I264" s="127"/>
      <c r="J264" s="127"/>
      <c r="K264" s="127"/>
      <c r="L264" s="127"/>
      <c r="M264" s="127"/>
      <c r="N264" s="127"/>
      <c r="O264" s="128"/>
      <c r="AE264" s="28" t="str">
        <f t="shared" si="9"/>
        <v/>
      </c>
    </row>
    <row r="265" spans="2:31" x14ac:dyDescent="0.25">
      <c r="B265" s="125"/>
      <c r="C265" s="125"/>
      <c r="D265" s="126"/>
      <c r="E265" s="127"/>
      <c r="F265" s="127"/>
      <c r="G265" s="127"/>
      <c r="H265" s="127"/>
      <c r="I265" s="127"/>
      <c r="J265" s="127"/>
      <c r="K265" s="127"/>
      <c r="L265" s="127"/>
      <c r="M265" s="127"/>
      <c r="N265" s="127"/>
      <c r="O265" s="128"/>
      <c r="AE265" s="28" t="str">
        <f t="shared" si="9"/>
        <v/>
      </c>
    </row>
    <row r="266" spans="2:31" x14ac:dyDescent="0.25">
      <c r="B266" s="125"/>
      <c r="C266" s="125"/>
      <c r="D266" s="126"/>
      <c r="E266" s="127"/>
      <c r="F266" s="127"/>
      <c r="G266" s="127"/>
      <c r="H266" s="127"/>
      <c r="I266" s="127"/>
      <c r="J266" s="127"/>
      <c r="K266" s="127"/>
      <c r="L266" s="127"/>
      <c r="M266" s="127"/>
      <c r="N266" s="127"/>
      <c r="O266" s="128"/>
      <c r="AE266" s="28" t="str">
        <f t="shared" si="9"/>
        <v/>
      </c>
    </row>
    <row r="267" spans="2:31" x14ac:dyDescent="0.25">
      <c r="B267" s="125"/>
      <c r="C267" s="125"/>
      <c r="D267" s="126"/>
      <c r="E267" s="127"/>
      <c r="F267" s="127"/>
      <c r="G267" s="127"/>
      <c r="H267" s="127"/>
      <c r="I267" s="127"/>
      <c r="J267" s="127"/>
      <c r="K267" s="127"/>
      <c r="L267" s="127"/>
      <c r="M267" s="127"/>
      <c r="N267" s="127"/>
      <c r="O267" s="128"/>
      <c r="AE267" s="28" t="str">
        <f t="shared" si="9"/>
        <v/>
      </c>
    </row>
    <row r="268" spans="2:31" x14ac:dyDescent="0.25">
      <c r="B268" s="125"/>
      <c r="C268" s="125"/>
      <c r="D268" s="126"/>
      <c r="E268" s="127"/>
      <c r="F268" s="127"/>
      <c r="G268" s="127"/>
      <c r="H268" s="127"/>
      <c r="I268" s="127"/>
      <c r="J268" s="127"/>
      <c r="K268" s="127"/>
      <c r="L268" s="127"/>
      <c r="M268" s="127"/>
      <c r="N268" s="127"/>
      <c r="O268" s="128"/>
      <c r="AE268" s="28" t="str">
        <f t="shared" si="9"/>
        <v/>
      </c>
    </row>
    <row r="269" spans="2:31" x14ac:dyDescent="0.25">
      <c r="B269" s="125"/>
      <c r="C269" s="125"/>
      <c r="D269" s="126"/>
      <c r="E269" s="127"/>
      <c r="F269" s="127"/>
      <c r="G269" s="127"/>
      <c r="H269" s="127"/>
      <c r="I269" s="127"/>
      <c r="J269" s="127"/>
      <c r="K269" s="127"/>
      <c r="L269" s="127"/>
      <c r="M269" s="127"/>
      <c r="N269" s="127"/>
      <c r="O269" s="128"/>
      <c r="AE269" s="28" t="str">
        <f t="shared" si="9"/>
        <v/>
      </c>
    </row>
    <row r="270" spans="2:31" x14ac:dyDescent="0.25">
      <c r="B270" s="125"/>
      <c r="C270" s="125"/>
      <c r="D270" s="126"/>
      <c r="E270" s="127"/>
      <c r="F270" s="127"/>
      <c r="G270" s="127"/>
      <c r="H270" s="127"/>
      <c r="I270" s="127"/>
      <c r="J270" s="127"/>
      <c r="K270" s="127"/>
      <c r="L270" s="127"/>
      <c r="M270" s="127"/>
      <c r="N270" s="127"/>
      <c r="O270" s="128"/>
      <c r="AE270" s="28" t="str">
        <f t="shared" si="9"/>
        <v/>
      </c>
    </row>
    <row r="271" spans="2:31" x14ac:dyDescent="0.25">
      <c r="B271" s="125"/>
      <c r="C271" s="125"/>
      <c r="D271" s="126"/>
      <c r="E271" s="127"/>
      <c r="F271" s="127"/>
      <c r="G271" s="127"/>
      <c r="H271" s="127"/>
      <c r="I271" s="127"/>
      <c r="J271" s="127"/>
      <c r="K271" s="127"/>
      <c r="L271" s="127"/>
      <c r="M271" s="127"/>
      <c r="N271" s="127"/>
      <c r="O271" s="128"/>
      <c r="AE271" s="28" t="str">
        <f t="shared" si="9"/>
        <v/>
      </c>
    </row>
    <row r="272" spans="2:31" x14ac:dyDescent="0.25">
      <c r="B272" s="125"/>
      <c r="C272" s="125"/>
      <c r="D272" s="126"/>
      <c r="E272" s="127"/>
      <c r="F272" s="127"/>
      <c r="G272" s="127"/>
      <c r="H272" s="127"/>
      <c r="I272" s="127"/>
      <c r="J272" s="127"/>
      <c r="K272" s="127"/>
      <c r="L272" s="127"/>
      <c r="M272" s="127"/>
      <c r="N272" s="127"/>
      <c r="O272" s="128"/>
      <c r="AE272" s="28" t="str">
        <f t="shared" si="9"/>
        <v/>
      </c>
    </row>
    <row r="273" spans="2:31" x14ac:dyDescent="0.25">
      <c r="B273" s="125"/>
      <c r="C273" s="125"/>
      <c r="D273" s="126"/>
      <c r="E273" s="127"/>
      <c r="F273" s="127"/>
      <c r="G273" s="127"/>
      <c r="H273" s="127"/>
      <c r="I273" s="127"/>
      <c r="J273" s="127"/>
      <c r="K273" s="127"/>
      <c r="L273" s="127"/>
      <c r="M273" s="127"/>
      <c r="N273" s="127"/>
      <c r="O273" s="128"/>
      <c r="AE273" s="28" t="str">
        <f t="shared" si="9"/>
        <v/>
      </c>
    </row>
    <row r="274" spans="2:31" x14ac:dyDescent="0.25">
      <c r="B274" s="125"/>
      <c r="C274" s="125"/>
      <c r="D274" s="126"/>
      <c r="E274" s="127"/>
      <c r="F274" s="127"/>
      <c r="G274" s="127"/>
      <c r="H274" s="127"/>
      <c r="I274" s="127"/>
      <c r="J274" s="127"/>
      <c r="K274" s="127"/>
      <c r="L274" s="127"/>
      <c r="M274" s="127"/>
      <c r="N274" s="127"/>
      <c r="O274" s="128"/>
      <c r="AE274" s="28" t="str">
        <f t="shared" si="9"/>
        <v/>
      </c>
    </row>
    <row r="275" spans="2:31" x14ac:dyDescent="0.25">
      <c r="B275" s="125"/>
      <c r="C275" s="125"/>
      <c r="D275" s="126"/>
      <c r="E275" s="127"/>
      <c r="F275" s="127"/>
      <c r="G275" s="127"/>
      <c r="H275" s="127"/>
      <c r="I275" s="127"/>
      <c r="J275" s="127"/>
      <c r="K275" s="127"/>
      <c r="L275" s="127"/>
      <c r="M275" s="127"/>
      <c r="N275" s="127"/>
      <c r="O275" s="128"/>
      <c r="AE275" s="28" t="str">
        <f t="shared" si="9"/>
        <v/>
      </c>
    </row>
    <row r="276" spans="2:31" x14ac:dyDescent="0.25">
      <c r="B276" s="125"/>
      <c r="C276" s="125"/>
      <c r="D276" s="126"/>
      <c r="E276" s="127"/>
      <c r="F276" s="127"/>
      <c r="G276" s="127"/>
      <c r="H276" s="127"/>
      <c r="I276" s="127"/>
      <c r="J276" s="127"/>
      <c r="K276" s="127"/>
      <c r="L276" s="127"/>
      <c r="M276" s="127"/>
      <c r="N276" s="127"/>
      <c r="O276" s="128"/>
      <c r="AE276" s="28" t="str">
        <f t="shared" si="9"/>
        <v/>
      </c>
    </row>
    <row r="277" spans="2:31" x14ac:dyDescent="0.25">
      <c r="B277" s="125"/>
      <c r="C277" s="125"/>
      <c r="D277" s="126"/>
      <c r="E277" s="127"/>
      <c r="F277" s="127"/>
      <c r="G277" s="127"/>
      <c r="H277" s="127"/>
      <c r="I277" s="127"/>
      <c r="J277" s="127"/>
      <c r="K277" s="127"/>
      <c r="L277" s="127"/>
      <c r="M277" s="127"/>
      <c r="N277" s="127"/>
      <c r="O277" s="128"/>
      <c r="AE277" s="28" t="str">
        <f t="shared" ref="AE277:AE340" si="10">IF(B277="","",CONCATENATE("&lt;PrevisaoVAZAO Posto=""",B277,""" MesReferencia=""1""&gt; ",D277," ",E277," ",F277," ",G277," ",H277," ",I277," ",J277," ",K277," ",L277," ",M277," ",N277," ",O277," &lt;/PrevisaoVAZAO&gt;"))</f>
        <v/>
      </c>
    </row>
    <row r="278" spans="2:31" x14ac:dyDescent="0.25">
      <c r="B278" s="125"/>
      <c r="C278" s="125"/>
      <c r="D278" s="126"/>
      <c r="E278" s="127"/>
      <c r="F278" s="127"/>
      <c r="G278" s="127"/>
      <c r="H278" s="127"/>
      <c r="I278" s="127"/>
      <c r="J278" s="127"/>
      <c r="K278" s="127"/>
      <c r="L278" s="127"/>
      <c r="M278" s="127"/>
      <c r="N278" s="127"/>
      <c r="O278" s="128"/>
      <c r="AE278" s="28" t="str">
        <f t="shared" si="10"/>
        <v/>
      </c>
    </row>
    <row r="279" spans="2:31" x14ac:dyDescent="0.25">
      <c r="B279" s="125"/>
      <c r="C279" s="125"/>
      <c r="D279" s="126"/>
      <c r="E279" s="127"/>
      <c r="F279" s="127"/>
      <c r="G279" s="127"/>
      <c r="H279" s="127"/>
      <c r="I279" s="127"/>
      <c r="J279" s="127"/>
      <c r="K279" s="127"/>
      <c r="L279" s="127"/>
      <c r="M279" s="127"/>
      <c r="N279" s="127"/>
      <c r="O279" s="128"/>
      <c r="AE279" s="28" t="str">
        <f t="shared" si="10"/>
        <v/>
      </c>
    </row>
    <row r="280" spans="2:31" x14ac:dyDescent="0.25">
      <c r="B280" s="125"/>
      <c r="C280" s="125"/>
      <c r="D280" s="126"/>
      <c r="E280" s="127"/>
      <c r="F280" s="127"/>
      <c r="G280" s="127"/>
      <c r="H280" s="127"/>
      <c r="I280" s="127"/>
      <c r="J280" s="127"/>
      <c r="K280" s="127"/>
      <c r="L280" s="127"/>
      <c r="M280" s="127"/>
      <c r="N280" s="127"/>
      <c r="O280" s="128"/>
      <c r="AE280" s="28" t="str">
        <f t="shared" si="10"/>
        <v/>
      </c>
    </row>
    <row r="281" spans="2:31" x14ac:dyDescent="0.25">
      <c r="B281" s="125"/>
      <c r="C281" s="125"/>
      <c r="D281" s="126"/>
      <c r="E281" s="127"/>
      <c r="F281" s="127"/>
      <c r="G281" s="127"/>
      <c r="H281" s="127"/>
      <c r="I281" s="127"/>
      <c r="J281" s="127"/>
      <c r="K281" s="127"/>
      <c r="L281" s="127"/>
      <c r="M281" s="127"/>
      <c r="N281" s="127"/>
      <c r="O281" s="128"/>
      <c r="AE281" s="28" t="str">
        <f t="shared" si="10"/>
        <v/>
      </c>
    </row>
    <row r="282" spans="2:31" x14ac:dyDescent="0.25">
      <c r="B282" s="125"/>
      <c r="C282" s="125"/>
      <c r="D282" s="126"/>
      <c r="E282" s="127"/>
      <c r="F282" s="127"/>
      <c r="G282" s="127"/>
      <c r="H282" s="127"/>
      <c r="I282" s="127"/>
      <c r="J282" s="127"/>
      <c r="K282" s="127"/>
      <c r="L282" s="127"/>
      <c r="M282" s="127"/>
      <c r="N282" s="127"/>
      <c r="O282" s="128"/>
      <c r="AE282" s="28" t="str">
        <f t="shared" si="10"/>
        <v/>
      </c>
    </row>
    <row r="283" spans="2:31" x14ac:dyDescent="0.25">
      <c r="B283" s="125"/>
      <c r="C283" s="125"/>
      <c r="D283" s="126"/>
      <c r="E283" s="127"/>
      <c r="F283" s="127"/>
      <c r="G283" s="127"/>
      <c r="H283" s="127"/>
      <c r="I283" s="127"/>
      <c r="J283" s="127"/>
      <c r="K283" s="127"/>
      <c r="L283" s="127"/>
      <c r="M283" s="127"/>
      <c r="N283" s="127"/>
      <c r="O283" s="128"/>
      <c r="AE283" s="28" t="str">
        <f t="shared" si="10"/>
        <v/>
      </c>
    </row>
    <row r="284" spans="2:31" x14ac:dyDescent="0.25">
      <c r="B284" s="125"/>
      <c r="C284" s="125"/>
      <c r="D284" s="126"/>
      <c r="E284" s="127"/>
      <c r="F284" s="127"/>
      <c r="G284" s="127"/>
      <c r="H284" s="127"/>
      <c r="I284" s="127"/>
      <c r="J284" s="127"/>
      <c r="K284" s="127"/>
      <c r="L284" s="127"/>
      <c r="M284" s="127"/>
      <c r="N284" s="127"/>
      <c r="O284" s="128"/>
      <c r="AE284" s="28" t="str">
        <f t="shared" si="10"/>
        <v/>
      </c>
    </row>
    <row r="285" spans="2:31" x14ac:dyDescent="0.25">
      <c r="B285" s="125"/>
      <c r="C285" s="125"/>
      <c r="D285" s="126"/>
      <c r="E285" s="127"/>
      <c r="F285" s="127"/>
      <c r="G285" s="127"/>
      <c r="H285" s="127"/>
      <c r="I285" s="127"/>
      <c r="J285" s="127"/>
      <c r="K285" s="127"/>
      <c r="L285" s="127"/>
      <c r="M285" s="127"/>
      <c r="N285" s="127"/>
      <c r="O285" s="128"/>
      <c r="AE285" s="28" t="str">
        <f t="shared" si="10"/>
        <v/>
      </c>
    </row>
    <row r="286" spans="2:31" x14ac:dyDescent="0.25">
      <c r="B286" s="125"/>
      <c r="C286" s="125"/>
      <c r="D286" s="126"/>
      <c r="E286" s="127"/>
      <c r="F286" s="127"/>
      <c r="G286" s="127"/>
      <c r="H286" s="127"/>
      <c r="I286" s="127"/>
      <c r="J286" s="127"/>
      <c r="K286" s="127"/>
      <c r="L286" s="127"/>
      <c r="M286" s="127"/>
      <c r="N286" s="127"/>
      <c r="O286" s="128"/>
      <c r="AE286" s="28" t="str">
        <f t="shared" si="10"/>
        <v/>
      </c>
    </row>
    <row r="287" spans="2:31" x14ac:dyDescent="0.25">
      <c r="B287" s="125"/>
      <c r="C287" s="125"/>
      <c r="D287" s="126"/>
      <c r="E287" s="127"/>
      <c r="F287" s="127"/>
      <c r="G287" s="127"/>
      <c r="H287" s="127"/>
      <c r="I287" s="127"/>
      <c r="J287" s="127"/>
      <c r="K287" s="127"/>
      <c r="L287" s="127"/>
      <c r="M287" s="127"/>
      <c r="N287" s="127"/>
      <c r="O287" s="128"/>
      <c r="AE287" s="28" t="str">
        <f t="shared" si="10"/>
        <v/>
      </c>
    </row>
    <row r="288" spans="2:31" x14ac:dyDescent="0.25">
      <c r="B288" s="125"/>
      <c r="C288" s="125"/>
      <c r="D288" s="126"/>
      <c r="E288" s="127"/>
      <c r="F288" s="127"/>
      <c r="G288" s="127"/>
      <c r="H288" s="127"/>
      <c r="I288" s="127"/>
      <c r="J288" s="127"/>
      <c r="K288" s="127"/>
      <c r="L288" s="127"/>
      <c r="M288" s="127"/>
      <c r="N288" s="127"/>
      <c r="O288" s="128"/>
      <c r="AE288" s="28" t="str">
        <f t="shared" si="10"/>
        <v/>
      </c>
    </row>
    <row r="289" spans="2:31" x14ac:dyDescent="0.25">
      <c r="B289" s="125"/>
      <c r="C289" s="125"/>
      <c r="D289" s="126"/>
      <c r="E289" s="127"/>
      <c r="F289" s="127"/>
      <c r="G289" s="127"/>
      <c r="H289" s="127"/>
      <c r="I289" s="127"/>
      <c r="J289" s="127"/>
      <c r="K289" s="127"/>
      <c r="L289" s="127"/>
      <c r="M289" s="127"/>
      <c r="N289" s="127"/>
      <c r="O289" s="128"/>
      <c r="AE289" s="28" t="str">
        <f t="shared" si="10"/>
        <v/>
      </c>
    </row>
    <row r="290" spans="2:31" x14ac:dyDescent="0.25">
      <c r="B290" s="125"/>
      <c r="C290" s="125"/>
      <c r="D290" s="126"/>
      <c r="E290" s="127"/>
      <c r="F290" s="127"/>
      <c r="G290" s="127"/>
      <c r="H290" s="127"/>
      <c r="I290" s="127"/>
      <c r="J290" s="127"/>
      <c r="K290" s="127"/>
      <c r="L290" s="127"/>
      <c r="M290" s="127"/>
      <c r="N290" s="127"/>
      <c r="O290" s="128"/>
      <c r="AE290" s="28" t="str">
        <f t="shared" si="10"/>
        <v/>
      </c>
    </row>
    <row r="291" spans="2:31" x14ac:dyDescent="0.25">
      <c r="B291" s="125"/>
      <c r="C291" s="125"/>
      <c r="D291" s="126"/>
      <c r="E291" s="127"/>
      <c r="F291" s="127"/>
      <c r="G291" s="127"/>
      <c r="H291" s="127"/>
      <c r="I291" s="127"/>
      <c r="J291" s="127"/>
      <c r="K291" s="127"/>
      <c r="L291" s="127"/>
      <c r="M291" s="127"/>
      <c r="N291" s="127"/>
      <c r="O291" s="128"/>
      <c r="AE291" s="28" t="str">
        <f t="shared" si="10"/>
        <v/>
      </c>
    </row>
    <row r="292" spans="2:31" x14ac:dyDescent="0.25">
      <c r="B292" s="125"/>
      <c r="C292" s="125"/>
      <c r="D292" s="126"/>
      <c r="E292" s="127"/>
      <c r="F292" s="127"/>
      <c r="G292" s="127"/>
      <c r="H292" s="127"/>
      <c r="I292" s="127"/>
      <c r="J292" s="127"/>
      <c r="K292" s="127"/>
      <c r="L292" s="127"/>
      <c r="M292" s="127"/>
      <c r="N292" s="127"/>
      <c r="O292" s="128"/>
      <c r="AE292" s="28" t="str">
        <f t="shared" si="10"/>
        <v/>
      </c>
    </row>
    <row r="293" spans="2:31" x14ac:dyDescent="0.25">
      <c r="B293" s="125"/>
      <c r="C293" s="125"/>
      <c r="D293" s="126"/>
      <c r="E293" s="127"/>
      <c r="F293" s="127"/>
      <c r="G293" s="127"/>
      <c r="H293" s="127"/>
      <c r="I293" s="127"/>
      <c r="J293" s="127"/>
      <c r="K293" s="127"/>
      <c r="L293" s="127"/>
      <c r="M293" s="127"/>
      <c r="N293" s="127"/>
      <c r="O293" s="128"/>
      <c r="AE293" s="28" t="str">
        <f t="shared" si="10"/>
        <v/>
      </c>
    </row>
    <row r="294" spans="2:31" x14ac:dyDescent="0.25">
      <c r="B294" s="125"/>
      <c r="C294" s="125"/>
      <c r="D294" s="126"/>
      <c r="E294" s="127"/>
      <c r="F294" s="127"/>
      <c r="G294" s="127"/>
      <c r="H294" s="127"/>
      <c r="I294" s="127"/>
      <c r="J294" s="127"/>
      <c r="K294" s="127"/>
      <c r="L294" s="127"/>
      <c r="M294" s="127"/>
      <c r="N294" s="127"/>
      <c r="O294" s="128"/>
      <c r="AE294" s="28" t="str">
        <f t="shared" si="10"/>
        <v/>
      </c>
    </row>
    <row r="295" spans="2:31" x14ac:dyDescent="0.25">
      <c r="B295" s="125"/>
      <c r="C295" s="125"/>
      <c r="D295" s="126"/>
      <c r="E295" s="127"/>
      <c r="F295" s="127"/>
      <c r="G295" s="127"/>
      <c r="H295" s="127"/>
      <c r="I295" s="127"/>
      <c r="J295" s="127"/>
      <c r="K295" s="127"/>
      <c r="L295" s="127"/>
      <c r="M295" s="127"/>
      <c r="N295" s="127"/>
      <c r="O295" s="128"/>
      <c r="AE295" s="28" t="str">
        <f t="shared" si="10"/>
        <v/>
      </c>
    </row>
    <row r="296" spans="2:31" x14ac:dyDescent="0.25">
      <c r="B296" s="125"/>
      <c r="C296" s="125"/>
      <c r="D296" s="126"/>
      <c r="E296" s="127"/>
      <c r="F296" s="127"/>
      <c r="G296" s="127"/>
      <c r="H296" s="127"/>
      <c r="I296" s="127"/>
      <c r="J296" s="127"/>
      <c r="K296" s="127"/>
      <c r="L296" s="127"/>
      <c r="M296" s="127"/>
      <c r="N296" s="127"/>
      <c r="O296" s="128"/>
      <c r="AE296" s="28" t="str">
        <f t="shared" si="10"/>
        <v/>
      </c>
    </row>
    <row r="297" spans="2:31" x14ac:dyDescent="0.25">
      <c r="B297" s="125"/>
      <c r="C297" s="125"/>
      <c r="D297" s="126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8"/>
      <c r="AE297" s="28" t="str">
        <f t="shared" si="10"/>
        <v/>
      </c>
    </row>
    <row r="298" spans="2:31" x14ac:dyDescent="0.25">
      <c r="B298" s="125"/>
      <c r="C298" s="125"/>
      <c r="D298" s="126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8"/>
      <c r="AE298" s="28" t="str">
        <f t="shared" si="10"/>
        <v/>
      </c>
    </row>
    <row r="299" spans="2:31" x14ac:dyDescent="0.25">
      <c r="B299" s="125"/>
      <c r="C299" s="125"/>
      <c r="D299" s="126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8"/>
      <c r="AE299" s="28" t="str">
        <f t="shared" si="10"/>
        <v/>
      </c>
    </row>
    <row r="300" spans="2:31" x14ac:dyDescent="0.25">
      <c r="B300" s="125"/>
      <c r="C300" s="125"/>
      <c r="D300" s="126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8"/>
      <c r="AE300" s="28" t="str">
        <f t="shared" si="10"/>
        <v/>
      </c>
    </row>
    <row r="301" spans="2:31" x14ac:dyDescent="0.25">
      <c r="B301" s="125"/>
      <c r="C301" s="125"/>
      <c r="D301" s="126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8"/>
      <c r="AE301" s="28" t="str">
        <f t="shared" si="10"/>
        <v/>
      </c>
    </row>
    <row r="302" spans="2:31" x14ac:dyDescent="0.25">
      <c r="B302" s="125"/>
      <c r="C302" s="125"/>
      <c r="D302" s="126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8"/>
      <c r="AE302" s="28" t="str">
        <f t="shared" si="10"/>
        <v/>
      </c>
    </row>
    <row r="303" spans="2:31" x14ac:dyDescent="0.25">
      <c r="B303" s="125"/>
      <c r="C303" s="125"/>
      <c r="D303" s="126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AE303" s="28" t="str">
        <f t="shared" si="10"/>
        <v/>
      </c>
    </row>
    <row r="304" spans="2:31" x14ac:dyDescent="0.25">
      <c r="B304" s="125"/>
      <c r="C304" s="125"/>
      <c r="D304" s="126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8"/>
      <c r="AE304" s="28" t="str">
        <f t="shared" si="10"/>
        <v/>
      </c>
    </row>
    <row r="305" spans="2:31" x14ac:dyDescent="0.25">
      <c r="B305" s="125"/>
      <c r="C305" s="125"/>
      <c r="D305" s="126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8"/>
      <c r="AE305" s="28" t="str">
        <f t="shared" si="10"/>
        <v/>
      </c>
    </row>
    <row r="306" spans="2:31" x14ac:dyDescent="0.25">
      <c r="B306" s="125"/>
      <c r="C306" s="125"/>
      <c r="D306" s="126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8"/>
      <c r="AE306" s="28" t="str">
        <f t="shared" si="10"/>
        <v/>
      </c>
    </row>
    <row r="307" spans="2:31" x14ac:dyDescent="0.25">
      <c r="B307" s="125"/>
      <c r="C307" s="125"/>
      <c r="D307" s="126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8"/>
      <c r="AE307" s="28" t="str">
        <f t="shared" si="10"/>
        <v/>
      </c>
    </row>
    <row r="308" spans="2:31" x14ac:dyDescent="0.25">
      <c r="B308" s="125"/>
      <c r="C308" s="125"/>
      <c r="D308" s="126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8"/>
      <c r="AE308" s="28" t="str">
        <f t="shared" si="10"/>
        <v/>
      </c>
    </row>
    <row r="309" spans="2:31" x14ac:dyDescent="0.25">
      <c r="B309" s="125"/>
      <c r="C309" s="125"/>
      <c r="D309" s="126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8"/>
      <c r="AE309" s="28" t="str">
        <f t="shared" si="10"/>
        <v/>
      </c>
    </row>
    <row r="310" spans="2:31" x14ac:dyDescent="0.25">
      <c r="B310" s="125"/>
      <c r="C310" s="125"/>
      <c r="D310" s="126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8"/>
      <c r="AE310" s="28" t="str">
        <f t="shared" si="10"/>
        <v/>
      </c>
    </row>
    <row r="311" spans="2:31" x14ac:dyDescent="0.25">
      <c r="B311" s="125"/>
      <c r="C311" s="125"/>
      <c r="D311" s="126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8"/>
      <c r="AE311" s="28" t="str">
        <f t="shared" si="10"/>
        <v/>
      </c>
    </row>
    <row r="312" spans="2:31" x14ac:dyDescent="0.25">
      <c r="B312" s="125"/>
      <c r="C312" s="125"/>
      <c r="D312" s="126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8"/>
      <c r="AE312" s="28" t="str">
        <f t="shared" si="10"/>
        <v/>
      </c>
    </row>
    <row r="313" spans="2:31" x14ac:dyDescent="0.25">
      <c r="B313" s="125"/>
      <c r="C313" s="125"/>
      <c r="D313" s="126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8"/>
      <c r="AE313" s="28" t="str">
        <f t="shared" si="10"/>
        <v/>
      </c>
    </row>
    <row r="314" spans="2:31" x14ac:dyDescent="0.25">
      <c r="B314" s="125"/>
      <c r="C314" s="125"/>
      <c r="D314" s="126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8"/>
      <c r="AE314" s="28" t="str">
        <f t="shared" si="10"/>
        <v/>
      </c>
    </row>
    <row r="315" spans="2:31" x14ac:dyDescent="0.25">
      <c r="B315" s="125"/>
      <c r="C315" s="125"/>
      <c r="D315" s="126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8"/>
      <c r="AE315" s="28" t="str">
        <f t="shared" si="10"/>
        <v/>
      </c>
    </row>
    <row r="316" spans="2:31" x14ac:dyDescent="0.25">
      <c r="B316" s="125"/>
      <c r="C316" s="125"/>
      <c r="D316" s="126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8"/>
      <c r="AE316" s="28" t="str">
        <f t="shared" si="10"/>
        <v/>
      </c>
    </row>
    <row r="317" spans="2:31" x14ac:dyDescent="0.25">
      <c r="B317" s="125"/>
      <c r="C317" s="125"/>
      <c r="D317" s="126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8"/>
      <c r="AE317" s="28" t="str">
        <f t="shared" si="10"/>
        <v/>
      </c>
    </row>
    <row r="318" spans="2:31" x14ac:dyDescent="0.25">
      <c r="B318" s="125"/>
      <c r="C318" s="125"/>
      <c r="D318" s="126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8"/>
      <c r="AE318" s="28" t="str">
        <f t="shared" si="10"/>
        <v/>
      </c>
    </row>
    <row r="319" spans="2:31" x14ac:dyDescent="0.25">
      <c r="B319" s="125"/>
      <c r="C319" s="125"/>
      <c r="D319" s="126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8"/>
      <c r="AE319" s="28" t="str">
        <f t="shared" si="10"/>
        <v/>
      </c>
    </row>
    <row r="320" spans="2:31" x14ac:dyDescent="0.25">
      <c r="B320" s="125"/>
      <c r="C320" s="125"/>
      <c r="D320" s="126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8"/>
      <c r="AE320" s="28" t="str">
        <f t="shared" si="10"/>
        <v/>
      </c>
    </row>
    <row r="321" spans="2:31" x14ac:dyDescent="0.25">
      <c r="B321" s="125"/>
      <c r="C321" s="125"/>
      <c r="D321" s="126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8"/>
      <c r="AE321" s="28" t="str">
        <f t="shared" si="10"/>
        <v/>
      </c>
    </row>
    <row r="322" spans="2:31" x14ac:dyDescent="0.25">
      <c r="B322" s="125"/>
      <c r="C322" s="125"/>
      <c r="D322" s="126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8"/>
      <c r="AE322" s="28" t="str">
        <f t="shared" si="10"/>
        <v/>
      </c>
    </row>
    <row r="323" spans="2:31" x14ac:dyDescent="0.25">
      <c r="B323" s="125"/>
      <c r="C323" s="125"/>
      <c r="D323" s="126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8"/>
      <c r="AE323" s="28" t="str">
        <f t="shared" si="10"/>
        <v/>
      </c>
    </row>
    <row r="324" spans="2:31" x14ac:dyDescent="0.25">
      <c r="B324" s="125"/>
      <c r="C324" s="125"/>
      <c r="D324" s="126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8"/>
      <c r="AE324" s="28" t="str">
        <f t="shared" si="10"/>
        <v/>
      </c>
    </row>
    <row r="325" spans="2:31" x14ac:dyDescent="0.25">
      <c r="B325" s="125"/>
      <c r="C325" s="125"/>
      <c r="D325" s="126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8"/>
      <c r="AE325" s="28" t="str">
        <f t="shared" si="10"/>
        <v/>
      </c>
    </row>
    <row r="326" spans="2:31" x14ac:dyDescent="0.25">
      <c r="B326" s="125"/>
      <c r="C326" s="125"/>
      <c r="D326" s="126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8"/>
      <c r="AE326" s="28" t="str">
        <f t="shared" si="10"/>
        <v/>
      </c>
    </row>
    <row r="327" spans="2:31" x14ac:dyDescent="0.25">
      <c r="B327" s="125"/>
      <c r="C327" s="125"/>
      <c r="D327" s="126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8"/>
      <c r="AE327" s="28" t="str">
        <f t="shared" si="10"/>
        <v/>
      </c>
    </row>
    <row r="328" spans="2:31" x14ac:dyDescent="0.25">
      <c r="B328" s="125"/>
      <c r="C328" s="125"/>
      <c r="D328" s="126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8"/>
      <c r="AE328" s="28" t="str">
        <f t="shared" si="10"/>
        <v/>
      </c>
    </row>
    <row r="329" spans="2:31" x14ac:dyDescent="0.25">
      <c r="B329" s="125"/>
      <c r="C329" s="125"/>
      <c r="D329" s="126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8"/>
      <c r="AE329" s="28" t="str">
        <f t="shared" si="10"/>
        <v/>
      </c>
    </row>
    <row r="330" spans="2:31" x14ac:dyDescent="0.25">
      <c r="B330" s="125"/>
      <c r="C330" s="125"/>
      <c r="D330" s="126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8"/>
      <c r="AE330" s="28" t="str">
        <f t="shared" si="10"/>
        <v/>
      </c>
    </row>
    <row r="331" spans="2:31" x14ac:dyDescent="0.25">
      <c r="B331" s="125"/>
      <c r="C331" s="125"/>
      <c r="D331" s="126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8"/>
      <c r="AE331" s="28" t="str">
        <f t="shared" si="10"/>
        <v/>
      </c>
    </row>
    <row r="332" spans="2:31" x14ac:dyDescent="0.25">
      <c r="B332" s="125"/>
      <c r="C332" s="125"/>
      <c r="D332" s="126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8"/>
      <c r="AE332" s="28" t="str">
        <f t="shared" si="10"/>
        <v/>
      </c>
    </row>
    <row r="333" spans="2:31" x14ac:dyDescent="0.25">
      <c r="B333" s="125"/>
      <c r="C333" s="125"/>
      <c r="D333" s="126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8"/>
      <c r="AE333" s="28" t="str">
        <f t="shared" si="10"/>
        <v/>
      </c>
    </row>
    <row r="334" spans="2:31" x14ac:dyDescent="0.25">
      <c r="B334" s="125"/>
      <c r="C334" s="125"/>
      <c r="D334" s="126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8"/>
      <c r="AE334" s="28" t="str">
        <f t="shared" si="10"/>
        <v/>
      </c>
    </row>
    <row r="335" spans="2:31" x14ac:dyDescent="0.25">
      <c r="B335" s="125"/>
      <c r="C335" s="125"/>
      <c r="D335" s="126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8"/>
      <c r="AE335" s="28" t="str">
        <f t="shared" si="10"/>
        <v/>
      </c>
    </row>
    <row r="336" spans="2:31" x14ac:dyDescent="0.25">
      <c r="B336" s="125"/>
      <c r="C336" s="125"/>
      <c r="D336" s="126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8"/>
      <c r="AE336" s="28" t="str">
        <f t="shared" si="10"/>
        <v/>
      </c>
    </row>
    <row r="337" spans="2:31" x14ac:dyDescent="0.25">
      <c r="B337" s="125"/>
      <c r="C337" s="125"/>
      <c r="D337" s="126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8"/>
      <c r="AE337" s="28" t="str">
        <f t="shared" si="10"/>
        <v/>
      </c>
    </row>
    <row r="338" spans="2:31" x14ac:dyDescent="0.25">
      <c r="B338" s="125"/>
      <c r="C338" s="125"/>
      <c r="D338" s="126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8"/>
      <c r="AE338" s="28" t="str">
        <f t="shared" si="10"/>
        <v/>
      </c>
    </row>
    <row r="339" spans="2:31" x14ac:dyDescent="0.25">
      <c r="B339" s="125"/>
      <c r="C339" s="125"/>
      <c r="D339" s="126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8"/>
      <c r="AE339" s="28" t="str">
        <f t="shared" si="10"/>
        <v/>
      </c>
    </row>
    <row r="340" spans="2:31" x14ac:dyDescent="0.25">
      <c r="B340" s="125"/>
      <c r="C340" s="125"/>
      <c r="D340" s="126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8"/>
      <c r="AE340" s="28" t="str">
        <f t="shared" si="10"/>
        <v/>
      </c>
    </row>
    <row r="341" spans="2:31" x14ac:dyDescent="0.25">
      <c r="B341" s="125"/>
      <c r="C341" s="125"/>
      <c r="D341" s="126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8"/>
      <c r="AE341" s="28" t="str">
        <f t="shared" ref="AE341:AE403" si="11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25"/>
      <c r="C342" s="125"/>
      <c r="D342" s="126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8"/>
      <c r="AE342" s="28" t="str">
        <f t="shared" si="11"/>
        <v/>
      </c>
    </row>
    <row r="343" spans="2:31" x14ac:dyDescent="0.25">
      <c r="B343" s="125"/>
      <c r="C343" s="125"/>
      <c r="D343" s="126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8"/>
      <c r="AE343" s="28" t="str">
        <f t="shared" si="11"/>
        <v/>
      </c>
    </row>
    <row r="344" spans="2:31" x14ac:dyDescent="0.25">
      <c r="B344" s="125"/>
      <c r="C344" s="125"/>
      <c r="D344" s="126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8"/>
      <c r="AE344" s="28" t="str">
        <f t="shared" si="11"/>
        <v/>
      </c>
    </row>
    <row r="345" spans="2:31" x14ac:dyDescent="0.25">
      <c r="B345" s="125"/>
      <c r="C345" s="125"/>
      <c r="D345" s="126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8"/>
      <c r="AE345" s="28" t="str">
        <f t="shared" si="11"/>
        <v/>
      </c>
    </row>
    <row r="346" spans="2:31" x14ac:dyDescent="0.25">
      <c r="B346" s="125"/>
      <c r="C346" s="125"/>
      <c r="D346" s="126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8"/>
      <c r="AE346" s="28" t="str">
        <f t="shared" si="11"/>
        <v/>
      </c>
    </row>
    <row r="347" spans="2:31" x14ac:dyDescent="0.25">
      <c r="B347" s="125"/>
      <c r="C347" s="125"/>
      <c r="D347" s="126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8"/>
      <c r="AE347" s="28" t="str">
        <f t="shared" si="11"/>
        <v/>
      </c>
    </row>
    <row r="348" spans="2:31" x14ac:dyDescent="0.25">
      <c r="B348" s="125"/>
      <c r="C348" s="125"/>
      <c r="D348" s="126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8"/>
      <c r="AE348" s="28" t="str">
        <f t="shared" si="11"/>
        <v/>
      </c>
    </row>
    <row r="349" spans="2:31" x14ac:dyDescent="0.25">
      <c r="B349" s="125"/>
      <c r="C349" s="125"/>
      <c r="D349" s="126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8"/>
      <c r="AE349" s="28" t="str">
        <f t="shared" si="11"/>
        <v/>
      </c>
    </row>
    <row r="350" spans="2:31" x14ac:dyDescent="0.25">
      <c r="B350" s="125"/>
      <c r="C350" s="125"/>
      <c r="D350" s="126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8"/>
      <c r="AE350" s="28" t="str">
        <f t="shared" si="11"/>
        <v/>
      </c>
    </row>
    <row r="351" spans="2:31" x14ac:dyDescent="0.25">
      <c r="B351" s="125"/>
      <c r="C351" s="125"/>
      <c r="D351" s="126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8"/>
      <c r="AE351" s="28" t="str">
        <f t="shared" si="11"/>
        <v/>
      </c>
    </row>
    <row r="352" spans="2:31" x14ac:dyDescent="0.25">
      <c r="B352" s="125"/>
      <c r="C352" s="125"/>
      <c r="D352" s="126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8"/>
      <c r="AE352" s="28" t="str">
        <f t="shared" si="11"/>
        <v/>
      </c>
    </row>
    <row r="353" spans="2:31" x14ac:dyDescent="0.25">
      <c r="B353" s="125"/>
      <c r="C353" s="125"/>
      <c r="D353" s="126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8"/>
      <c r="AE353" s="28" t="str">
        <f t="shared" si="11"/>
        <v/>
      </c>
    </row>
    <row r="354" spans="2:31" x14ac:dyDescent="0.25">
      <c r="B354" s="125"/>
      <c r="C354" s="125"/>
      <c r="D354" s="126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8"/>
      <c r="AE354" s="28" t="str">
        <f t="shared" si="11"/>
        <v/>
      </c>
    </row>
    <row r="355" spans="2:31" x14ac:dyDescent="0.25">
      <c r="B355" s="125"/>
      <c r="C355" s="125"/>
      <c r="D355" s="126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8"/>
      <c r="AE355" s="28" t="str">
        <f t="shared" si="11"/>
        <v/>
      </c>
    </row>
    <row r="356" spans="2:31" x14ac:dyDescent="0.25">
      <c r="B356" s="125"/>
      <c r="C356" s="125"/>
      <c r="D356" s="126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8"/>
      <c r="AE356" s="28" t="str">
        <f t="shared" si="11"/>
        <v/>
      </c>
    </row>
    <row r="357" spans="2:31" x14ac:dyDescent="0.25">
      <c r="B357" s="125"/>
      <c r="C357" s="125"/>
      <c r="D357" s="126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8"/>
      <c r="AE357" s="28" t="str">
        <f t="shared" si="11"/>
        <v/>
      </c>
    </row>
    <row r="358" spans="2:31" x14ac:dyDescent="0.25">
      <c r="B358" s="125"/>
      <c r="C358" s="125"/>
      <c r="D358" s="126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8"/>
      <c r="AE358" s="28" t="str">
        <f t="shared" si="11"/>
        <v/>
      </c>
    </row>
    <row r="359" spans="2:31" x14ac:dyDescent="0.25">
      <c r="B359" s="125"/>
      <c r="C359" s="125"/>
      <c r="D359" s="126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8"/>
      <c r="AE359" s="28" t="str">
        <f t="shared" si="11"/>
        <v/>
      </c>
    </row>
    <row r="360" spans="2:31" x14ac:dyDescent="0.25">
      <c r="B360" s="125"/>
      <c r="C360" s="125"/>
      <c r="D360" s="126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8"/>
      <c r="AE360" s="28" t="str">
        <f t="shared" si="11"/>
        <v/>
      </c>
    </row>
    <row r="361" spans="2:31" x14ac:dyDescent="0.25">
      <c r="B361" s="125"/>
      <c r="C361" s="125"/>
      <c r="D361" s="126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8"/>
      <c r="AE361" s="28" t="str">
        <f t="shared" si="11"/>
        <v/>
      </c>
    </row>
    <row r="362" spans="2:31" x14ac:dyDescent="0.25">
      <c r="B362" s="125"/>
      <c r="C362" s="125"/>
      <c r="D362" s="126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8"/>
      <c r="AE362" s="28" t="str">
        <f t="shared" si="11"/>
        <v/>
      </c>
    </row>
    <row r="363" spans="2:31" x14ac:dyDescent="0.25">
      <c r="B363" s="125"/>
      <c r="C363" s="125"/>
      <c r="D363" s="126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8"/>
      <c r="AE363" s="28" t="str">
        <f t="shared" si="11"/>
        <v/>
      </c>
    </row>
    <row r="364" spans="2:31" x14ac:dyDescent="0.25">
      <c r="B364" s="125"/>
      <c r="C364" s="125"/>
      <c r="D364" s="126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8"/>
      <c r="AE364" s="28" t="str">
        <f t="shared" si="11"/>
        <v/>
      </c>
    </row>
    <row r="365" spans="2:31" x14ac:dyDescent="0.25">
      <c r="B365" s="125"/>
      <c r="C365" s="125"/>
      <c r="D365" s="126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8"/>
      <c r="AE365" s="28" t="str">
        <f t="shared" si="11"/>
        <v/>
      </c>
    </row>
    <row r="366" spans="2:31" x14ac:dyDescent="0.25">
      <c r="B366" s="125"/>
      <c r="C366" s="125"/>
      <c r="D366" s="126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8"/>
      <c r="AE366" s="28" t="str">
        <f t="shared" si="11"/>
        <v/>
      </c>
    </row>
    <row r="367" spans="2:31" x14ac:dyDescent="0.25">
      <c r="B367" s="125"/>
      <c r="C367" s="125"/>
      <c r="D367" s="126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8"/>
      <c r="AE367" s="28" t="str">
        <f t="shared" si="11"/>
        <v/>
      </c>
    </row>
    <row r="368" spans="2:31" x14ac:dyDescent="0.25">
      <c r="B368" s="125"/>
      <c r="C368" s="125"/>
      <c r="D368" s="126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8"/>
      <c r="AE368" s="28" t="str">
        <f t="shared" si="11"/>
        <v/>
      </c>
    </row>
    <row r="369" spans="2:31" x14ac:dyDescent="0.25">
      <c r="B369" s="125"/>
      <c r="C369" s="125"/>
      <c r="D369" s="126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8"/>
      <c r="AE369" s="28" t="str">
        <f t="shared" si="11"/>
        <v/>
      </c>
    </row>
    <row r="370" spans="2:31" x14ac:dyDescent="0.25">
      <c r="B370" s="125"/>
      <c r="C370" s="125"/>
      <c r="D370" s="126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8"/>
      <c r="AE370" s="28" t="str">
        <f t="shared" si="11"/>
        <v/>
      </c>
    </row>
    <row r="371" spans="2:31" x14ac:dyDescent="0.25">
      <c r="B371" s="125"/>
      <c r="C371" s="125"/>
      <c r="D371" s="126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8"/>
      <c r="AE371" s="28" t="str">
        <f t="shared" si="11"/>
        <v/>
      </c>
    </row>
    <row r="372" spans="2:31" x14ac:dyDescent="0.25">
      <c r="B372" s="125"/>
      <c r="C372" s="125"/>
      <c r="D372" s="126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8"/>
      <c r="AE372" s="28" t="str">
        <f t="shared" si="11"/>
        <v/>
      </c>
    </row>
    <row r="373" spans="2:31" x14ac:dyDescent="0.25">
      <c r="B373" s="125"/>
      <c r="C373" s="125"/>
      <c r="D373" s="126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8"/>
      <c r="AE373" s="28" t="str">
        <f t="shared" si="11"/>
        <v/>
      </c>
    </row>
    <row r="374" spans="2:31" x14ac:dyDescent="0.25">
      <c r="B374" s="125"/>
      <c r="C374" s="125"/>
      <c r="D374" s="126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8"/>
      <c r="AE374" s="28" t="str">
        <f t="shared" si="11"/>
        <v/>
      </c>
    </row>
    <row r="375" spans="2:31" x14ac:dyDescent="0.25">
      <c r="B375" s="125"/>
      <c r="C375" s="125"/>
      <c r="D375" s="126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8"/>
      <c r="AE375" s="28" t="str">
        <f t="shared" si="11"/>
        <v/>
      </c>
    </row>
    <row r="376" spans="2:31" x14ac:dyDescent="0.25">
      <c r="B376" s="125"/>
      <c r="C376" s="125"/>
      <c r="D376" s="126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8"/>
      <c r="AE376" s="28" t="str">
        <f t="shared" si="11"/>
        <v/>
      </c>
    </row>
    <row r="377" spans="2:31" x14ac:dyDescent="0.25">
      <c r="B377" s="125"/>
      <c r="C377" s="125"/>
      <c r="D377" s="126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8"/>
      <c r="AE377" s="28" t="str">
        <f t="shared" si="11"/>
        <v/>
      </c>
    </row>
    <row r="378" spans="2:31" x14ac:dyDescent="0.25">
      <c r="B378" s="125"/>
      <c r="C378" s="125"/>
      <c r="D378" s="126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8"/>
      <c r="AE378" s="28" t="str">
        <f t="shared" si="11"/>
        <v/>
      </c>
    </row>
    <row r="379" spans="2:31" x14ac:dyDescent="0.25">
      <c r="B379" s="125"/>
      <c r="C379" s="125"/>
      <c r="D379" s="126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8"/>
      <c r="AE379" s="28" t="str">
        <f t="shared" si="11"/>
        <v/>
      </c>
    </row>
    <row r="380" spans="2:31" x14ac:dyDescent="0.25">
      <c r="B380" s="125"/>
      <c r="C380" s="125"/>
      <c r="D380" s="126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8"/>
      <c r="AE380" s="28" t="str">
        <f t="shared" si="11"/>
        <v/>
      </c>
    </row>
    <row r="381" spans="2:31" x14ac:dyDescent="0.25">
      <c r="B381" s="125"/>
      <c r="C381" s="125"/>
      <c r="D381" s="126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8"/>
      <c r="AE381" s="28" t="str">
        <f t="shared" si="11"/>
        <v/>
      </c>
    </row>
    <row r="382" spans="2:31" x14ac:dyDescent="0.25">
      <c r="B382" s="125"/>
      <c r="C382" s="125"/>
      <c r="D382" s="126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8"/>
      <c r="AE382" s="28" t="str">
        <f t="shared" si="11"/>
        <v/>
      </c>
    </row>
    <row r="383" spans="2:31" x14ac:dyDescent="0.25">
      <c r="B383" s="125"/>
      <c r="C383" s="125"/>
      <c r="D383" s="126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8"/>
      <c r="AE383" s="28" t="str">
        <f t="shared" si="11"/>
        <v/>
      </c>
    </row>
    <row r="384" spans="2:31" x14ac:dyDescent="0.25">
      <c r="B384" s="125"/>
      <c r="C384" s="125"/>
      <c r="D384" s="126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8"/>
      <c r="AE384" s="28" t="str">
        <f t="shared" si="11"/>
        <v/>
      </c>
    </row>
    <row r="385" spans="2:31" x14ac:dyDescent="0.25">
      <c r="B385" s="125"/>
      <c r="C385" s="125"/>
      <c r="D385" s="126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8"/>
      <c r="AE385" s="28" t="str">
        <f t="shared" si="11"/>
        <v/>
      </c>
    </row>
    <row r="386" spans="2:31" x14ac:dyDescent="0.25">
      <c r="B386" s="125"/>
      <c r="C386" s="125"/>
      <c r="D386" s="126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8"/>
      <c r="AE386" s="28" t="str">
        <f t="shared" si="11"/>
        <v/>
      </c>
    </row>
    <row r="387" spans="2:31" x14ac:dyDescent="0.25">
      <c r="B387" s="125"/>
      <c r="C387" s="125"/>
      <c r="D387" s="126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8"/>
      <c r="AE387" s="28" t="str">
        <f t="shared" si="11"/>
        <v/>
      </c>
    </row>
    <row r="388" spans="2:31" x14ac:dyDescent="0.25">
      <c r="B388" s="125"/>
      <c r="C388" s="125"/>
      <c r="D388" s="126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8"/>
      <c r="AE388" s="28" t="str">
        <f t="shared" si="11"/>
        <v/>
      </c>
    </row>
    <row r="389" spans="2:31" x14ac:dyDescent="0.25">
      <c r="B389" s="125"/>
      <c r="C389" s="125"/>
      <c r="D389" s="126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8"/>
      <c r="AE389" s="28" t="str">
        <f t="shared" si="11"/>
        <v/>
      </c>
    </row>
    <row r="390" spans="2:31" x14ac:dyDescent="0.25">
      <c r="B390" s="125"/>
      <c r="C390" s="125"/>
      <c r="D390" s="126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8"/>
      <c r="AE390" s="28" t="str">
        <f t="shared" si="11"/>
        <v/>
      </c>
    </row>
    <row r="391" spans="2:31" x14ac:dyDescent="0.25">
      <c r="B391" s="125"/>
      <c r="C391" s="125"/>
      <c r="D391" s="126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8"/>
      <c r="AE391" s="28" t="str">
        <f t="shared" si="11"/>
        <v/>
      </c>
    </row>
    <row r="392" spans="2:31" x14ac:dyDescent="0.25">
      <c r="B392" s="125"/>
      <c r="C392" s="125"/>
      <c r="D392" s="126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8"/>
      <c r="AE392" s="28" t="str">
        <f t="shared" si="11"/>
        <v/>
      </c>
    </row>
    <row r="393" spans="2:31" x14ac:dyDescent="0.25">
      <c r="B393" s="125"/>
      <c r="C393" s="125"/>
      <c r="D393" s="126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8"/>
      <c r="AE393" s="28" t="str">
        <f t="shared" si="11"/>
        <v/>
      </c>
    </row>
    <row r="394" spans="2:31" x14ac:dyDescent="0.25">
      <c r="B394" s="125"/>
      <c r="C394" s="125"/>
      <c r="D394" s="126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8"/>
      <c r="AE394" s="28" t="str">
        <f t="shared" si="11"/>
        <v/>
      </c>
    </row>
    <row r="395" spans="2:31" x14ac:dyDescent="0.25">
      <c r="B395" s="125"/>
      <c r="C395" s="125"/>
      <c r="D395" s="126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8"/>
      <c r="AE395" s="28" t="str">
        <f t="shared" si="11"/>
        <v/>
      </c>
    </row>
    <row r="396" spans="2:31" x14ac:dyDescent="0.25">
      <c r="B396" s="125"/>
      <c r="C396" s="125"/>
      <c r="D396" s="126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8"/>
      <c r="AE396" s="28" t="str">
        <f t="shared" si="11"/>
        <v/>
      </c>
    </row>
    <row r="397" spans="2:31" x14ac:dyDescent="0.25">
      <c r="B397" s="125"/>
      <c r="C397" s="125"/>
      <c r="D397" s="126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8"/>
      <c r="AE397" s="28" t="str">
        <f t="shared" si="11"/>
        <v/>
      </c>
    </row>
    <row r="398" spans="2:31" x14ac:dyDescent="0.25">
      <c r="B398" s="125"/>
      <c r="C398" s="125"/>
      <c r="D398" s="126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8"/>
      <c r="AE398" s="28" t="str">
        <f t="shared" si="11"/>
        <v/>
      </c>
    </row>
    <row r="399" spans="2:31" x14ac:dyDescent="0.25">
      <c r="B399" s="125"/>
      <c r="C399" s="125"/>
      <c r="D399" s="126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8"/>
      <c r="AE399" s="28" t="str">
        <f t="shared" si="11"/>
        <v/>
      </c>
    </row>
    <row r="400" spans="2:31" x14ac:dyDescent="0.25">
      <c r="B400" s="125"/>
      <c r="C400" s="125"/>
      <c r="D400" s="126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8"/>
      <c r="AE400" s="28" t="str">
        <f t="shared" si="11"/>
        <v/>
      </c>
    </row>
    <row r="401" spans="2:31" x14ac:dyDescent="0.25">
      <c r="B401" s="125"/>
      <c r="C401" s="125"/>
      <c r="D401" s="126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8"/>
      <c r="AE401" s="28" t="str">
        <f t="shared" si="11"/>
        <v/>
      </c>
    </row>
    <row r="402" spans="2:31" x14ac:dyDescent="0.25">
      <c r="B402" s="125"/>
      <c r="C402" s="125"/>
      <c r="D402" s="126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8"/>
      <c r="AE402" s="28" t="str">
        <f t="shared" si="11"/>
        <v/>
      </c>
    </row>
    <row r="403" spans="2:31" x14ac:dyDescent="0.25">
      <c r="B403" s="125"/>
      <c r="C403" s="125"/>
      <c r="D403" s="126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8"/>
      <c r="AE403" s="28" t="str">
        <f t="shared" si="11"/>
        <v/>
      </c>
    </row>
  </sheetData>
  <sheetProtection sheet="1" objects="1" scenarios="1"/>
  <mergeCells count="26">
    <mergeCell ref="F49:G49"/>
    <mergeCell ref="F50:G50"/>
    <mergeCell ref="F51:G51"/>
    <mergeCell ref="F2:I4"/>
    <mergeCell ref="C24:J24"/>
    <mergeCell ref="C26:J26"/>
    <mergeCell ref="D47:E47"/>
    <mergeCell ref="F47:G47"/>
    <mergeCell ref="F48:G48"/>
    <mergeCell ref="C6:J6"/>
    <mergeCell ref="C8:J8"/>
    <mergeCell ref="D13:F13"/>
    <mergeCell ref="D15:F15"/>
    <mergeCell ref="D17:F17"/>
    <mergeCell ref="C22:J22"/>
    <mergeCell ref="F52:G52"/>
    <mergeCell ref="F53:G53"/>
    <mergeCell ref="F54:G54"/>
    <mergeCell ref="F55:G55"/>
    <mergeCell ref="F56:G56"/>
    <mergeCell ref="F62:G62"/>
    <mergeCell ref="F57:G57"/>
    <mergeCell ref="F58:G58"/>
    <mergeCell ref="F59:G59"/>
    <mergeCell ref="F60:G60"/>
    <mergeCell ref="F61:G61"/>
  </mergeCells>
  <conditionalFormatting sqref="G66:G80">
    <cfRule type="expression" dxfId="95" priority="48">
      <formula>IF($C$4-1=4,1,0)</formula>
    </cfRule>
  </conditionalFormatting>
  <conditionalFormatting sqref="D66:D80">
    <cfRule type="expression" dxfId="94" priority="47">
      <formula>IF($C$4-1=1,1,0)</formula>
    </cfRule>
  </conditionalFormatting>
  <conditionalFormatting sqref="E66:E80">
    <cfRule type="expression" dxfId="93" priority="46">
      <formula>IF($C$4-1=2,1,0)</formula>
    </cfRule>
  </conditionalFormatting>
  <conditionalFormatting sqref="F66:F80">
    <cfRule type="expression" dxfId="92" priority="45">
      <formula>IF($C$4-1=3,1,0)</formula>
    </cfRule>
  </conditionalFormatting>
  <conditionalFormatting sqref="H66:H80">
    <cfRule type="expression" dxfId="91" priority="44">
      <formula>IF($C$4-1=5,1,0)</formula>
    </cfRule>
  </conditionalFormatting>
  <conditionalFormatting sqref="I66:I80">
    <cfRule type="expression" dxfId="90" priority="43">
      <formula>IF($C$4-1=6,1,0)</formula>
    </cfRule>
  </conditionalFormatting>
  <conditionalFormatting sqref="J66:J80">
    <cfRule type="expression" dxfId="89" priority="42">
      <formula>IF($C$4-1=7,1,0)</formula>
    </cfRule>
  </conditionalFormatting>
  <conditionalFormatting sqref="K66:K80">
    <cfRule type="expression" dxfId="88" priority="41">
      <formula>IF($C$4-1=8,1,0)</formula>
    </cfRule>
  </conditionalFormatting>
  <conditionalFormatting sqref="L66:L80">
    <cfRule type="expression" dxfId="87" priority="40">
      <formula>IF($C$4-1=9,1,0)</formula>
    </cfRule>
  </conditionalFormatting>
  <conditionalFormatting sqref="M66:M80">
    <cfRule type="expression" dxfId="86" priority="39">
      <formula>IF($C$4-1=10,1,0)</formula>
    </cfRule>
  </conditionalFormatting>
  <conditionalFormatting sqref="N66:N80">
    <cfRule type="expression" dxfId="85" priority="38">
      <formula>IF($C$4-1=11,1,0)</formula>
    </cfRule>
  </conditionalFormatting>
  <conditionalFormatting sqref="O66:O80">
    <cfRule type="expression" dxfId="84" priority="37">
      <formula>IF($C$4-1=12,1,0)</formula>
    </cfRule>
  </conditionalFormatting>
  <conditionalFormatting sqref="O87:O403">
    <cfRule type="expression" dxfId="83" priority="1">
      <formula>IF($C$4-1=12,1,0)</formula>
    </cfRule>
  </conditionalFormatting>
  <conditionalFormatting sqref="G84">
    <cfRule type="expression" dxfId="82" priority="36">
      <formula>IF($C$4-1=4,1,0)</formula>
    </cfRule>
  </conditionalFormatting>
  <conditionalFormatting sqref="D84">
    <cfRule type="expression" dxfId="81" priority="35">
      <formula>IF($C$4-1=1,1,0)</formula>
    </cfRule>
  </conditionalFormatting>
  <conditionalFormatting sqref="E84">
    <cfRule type="expression" dxfId="80" priority="34">
      <formula>IF($C$4-1=2,1,0)</formula>
    </cfRule>
  </conditionalFormatting>
  <conditionalFormatting sqref="F84">
    <cfRule type="expression" dxfId="79" priority="33">
      <formula>IF($C$4-1=3,1,0)</formula>
    </cfRule>
  </conditionalFormatting>
  <conditionalFormatting sqref="H84">
    <cfRule type="expression" dxfId="78" priority="32">
      <formula>IF($C$4-1=5,1,0)</formula>
    </cfRule>
  </conditionalFormatting>
  <conditionalFormatting sqref="I84">
    <cfRule type="expression" dxfId="77" priority="31">
      <formula>IF($C$4-1=6,1,0)</formula>
    </cfRule>
  </conditionalFormatting>
  <conditionalFormatting sqref="J84">
    <cfRule type="expression" dxfId="76" priority="30">
      <formula>IF($C$4-1=7,1,0)</formula>
    </cfRule>
  </conditionalFormatting>
  <conditionalFormatting sqref="K84">
    <cfRule type="expression" dxfId="75" priority="29">
      <formula>IF($C$4-1=8,1,0)</formula>
    </cfRule>
  </conditionalFormatting>
  <conditionalFormatting sqref="L84">
    <cfRule type="expression" dxfId="74" priority="28">
      <formula>IF($C$4-1=9,1,0)</formula>
    </cfRule>
  </conditionalFormatting>
  <conditionalFormatting sqref="M84">
    <cfRule type="expression" dxfId="73" priority="27">
      <formula>IF($C$4-1=10,1,0)</formula>
    </cfRule>
  </conditionalFormatting>
  <conditionalFormatting sqref="N84">
    <cfRule type="expression" dxfId="72" priority="26">
      <formula>IF($C$4-1=11,1,0)</formula>
    </cfRule>
  </conditionalFormatting>
  <conditionalFormatting sqref="O84">
    <cfRule type="expression" dxfId="71" priority="25">
      <formula>IF($C$4-1=12,1,0)</formula>
    </cfRule>
  </conditionalFormatting>
  <conditionalFormatting sqref="G85:G86">
    <cfRule type="expression" dxfId="70" priority="24">
      <formula>IF($C$4-1=4,1,0)</formula>
    </cfRule>
  </conditionalFormatting>
  <conditionalFormatting sqref="D85:D86">
    <cfRule type="expression" dxfId="69" priority="23">
      <formula>IF($C$4-1=1,1,0)</formula>
    </cfRule>
  </conditionalFormatting>
  <conditionalFormatting sqref="E85:E86">
    <cfRule type="expression" dxfId="68" priority="22">
      <formula>IF($C$4-1=2,1,0)</formula>
    </cfRule>
  </conditionalFormatting>
  <conditionalFormatting sqref="F85:F86">
    <cfRule type="expression" dxfId="67" priority="21">
      <formula>IF($C$4-1=3,1,0)</formula>
    </cfRule>
  </conditionalFormatting>
  <conditionalFormatting sqref="H85:H86">
    <cfRule type="expression" dxfId="66" priority="20">
      <formula>IF($C$4-1=5,1,0)</formula>
    </cfRule>
  </conditionalFormatting>
  <conditionalFormatting sqref="I85:I86">
    <cfRule type="expression" dxfId="65" priority="19">
      <formula>IF($C$4-1=6,1,0)</formula>
    </cfRule>
  </conditionalFormatting>
  <conditionalFormatting sqref="J85:J86">
    <cfRule type="expression" dxfId="64" priority="18">
      <formula>IF($C$4-1=7,1,0)</formula>
    </cfRule>
  </conditionalFormatting>
  <conditionalFormatting sqref="K85:K86">
    <cfRule type="expression" dxfId="63" priority="17">
      <formula>IF($C$4-1=8,1,0)</formula>
    </cfRule>
  </conditionalFormatting>
  <conditionalFormatting sqref="L85:L86">
    <cfRule type="expression" dxfId="62" priority="16">
      <formula>IF($C$4-1=9,1,0)</formula>
    </cfRule>
  </conditionalFormatting>
  <conditionalFormatting sqref="M85:M86">
    <cfRule type="expression" dxfId="61" priority="15">
      <formula>IF($C$4-1=10,1,0)</formula>
    </cfRule>
  </conditionalFormatting>
  <conditionalFormatting sqref="N85:N86">
    <cfRule type="expression" dxfId="60" priority="14">
      <formula>IF($C$4-1=11,1,0)</formula>
    </cfRule>
  </conditionalFormatting>
  <conditionalFormatting sqref="O85:O86">
    <cfRule type="expression" dxfId="59" priority="13">
      <formula>IF($C$4-1=12,1,0)</formula>
    </cfRule>
  </conditionalFormatting>
  <conditionalFormatting sqref="G87:G403">
    <cfRule type="expression" dxfId="58" priority="12">
      <formula>IF($C$4-1=4,1,0)</formula>
    </cfRule>
  </conditionalFormatting>
  <conditionalFormatting sqref="D87:D403">
    <cfRule type="expression" dxfId="57" priority="11">
      <formula>IF($C$4-1=1,1,0)</formula>
    </cfRule>
  </conditionalFormatting>
  <conditionalFormatting sqref="E87:E403">
    <cfRule type="expression" dxfId="56" priority="10">
      <formula>IF($C$4-1=2,1,0)</formula>
    </cfRule>
  </conditionalFormatting>
  <conditionalFormatting sqref="F87:F403">
    <cfRule type="expression" dxfId="55" priority="9">
      <formula>IF($C$4-1=3,1,0)</formula>
    </cfRule>
  </conditionalFormatting>
  <conditionalFormatting sqref="H87:H403">
    <cfRule type="expression" dxfId="54" priority="8">
      <formula>IF($C$4-1=5,1,0)</formula>
    </cfRule>
  </conditionalFormatting>
  <conditionalFormatting sqref="I87:I403">
    <cfRule type="expression" dxfId="53" priority="7">
      <formula>IF($C$4-1=6,1,0)</formula>
    </cfRule>
  </conditionalFormatting>
  <conditionalFormatting sqref="J87:J403">
    <cfRule type="expression" dxfId="52" priority="6">
      <formula>IF($C$4-1=7,1,0)</formula>
    </cfRule>
  </conditionalFormatting>
  <conditionalFormatting sqref="K87:K403">
    <cfRule type="expression" dxfId="51" priority="5">
      <formula>IF($C$4-1=8,1,0)</formula>
    </cfRule>
  </conditionalFormatting>
  <conditionalFormatting sqref="L87:L403">
    <cfRule type="expression" dxfId="50" priority="4">
      <formula>IF($C$4-1=9,1,0)</formula>
    </cfRule>
  </conditionalFormatting>
  <conditionalFormatting sqref="M87:M403">
    <cfRule type="expression" dxfId="49" priority="3">
      <formula>IF($C$4-1=10,1,0)</formula>
    </cfRule>
  </conditionalFormatting>
  <conditionalFormatting sqref="N87:N403">
    <cfRule type="expression" dxfId="48" priority="2">
      <formula>IF($C$4-1=11,1,0)</formula>
    </cfRule>
  </conditionalFormatting>
  <dataValidations count="2">
    <dataValidation type="list" allowBlank="1" showInputMessage="1" showErrorMessage="1" sqref="C20:G20 C17">
      <formula1>"0,1"</formula1>
    </dataValidation>
    <dataValidation type="list" allowBlank="1" showInputMessage="1" showErrorMessage="1" sqref="C13">
      <formula1>"0,1,2,3"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xmlSeco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3" tint="0.39997558519241921"/>
  </sheetPr>
  <dimension ref="B1:AE403"/>
  <sheetViews>
    <sheetView showGridLines="0" zoomScale="85" zoomScaleNormal="85" workbookViewId="0">
      <selection activeCell="K20" sqref="K20"/>
    </sheetView>
  </sheetViews>
  <sheetFormatPr defaultRowHeight="15" x14ac:dyDescent="0.25"/>
  <cols>
    <col min="1" max="1" width="5.28515625" customWidth="1"/>
    <col min="2" max="2" width="22.85546875" customWidth="1"/>
    <col min="3" max="3" width="9.85546875" customWidth="1"/>
    <col min="4" max="14" width="9.42578125" customWidth="1"/>
    <col min="16" max="16" width="2.5703125" style="7" customWidth="1"/>
    <col min="17" max="17" width="12.140625" bestFit="1" customWidth="1"/>
  </cols>
  <sheetData>
    <row r="1" spans="2:14" ht="15.75" thickBot="1" x14ac:dyDescent="0.3"/>
    <row r="2" spans="2:14" x14ac:dyDescent="0.25">
      <c r="B2" s="26" t="s">
        <v>58</v>
      </c>
      <c r="C2" s="129">
        <f>base!C2</f>
        <v>2016</v>
      </c>
      <c r="F2" s="193" t="s">
        <v>87</v>
      </c>
      <c r="G2" s="194"/>
      <c r="H2" s="194"/>
      <c r="I2" s="195"/>
    </row>
    <row r="3" spans="2:14" x14ac:dyDescent="0.25">
      <c r="F3" s="196"/>
      <c r="G3" s="197"/>
      <c r="H3" s="197"/>
      <c r="I3" s="198"/>
    </row>
    <row r="4" spans="2:14" ht="15.75" thickBot="1" x14ac:dyDescent="0.3">
      <c r="B4" s="26" t="s">
        <v>84</v>
      </c>
      <c r="C4" s="129">
        <f>base!C4</f>
        <v>1</v>
      </c>
      <c r="D4" s="29" t="str">
        <f>nomeMes(C4)</f>
        <v>Jan</v>
      </c>
      <c r="F4" s="199"/>
      <c r="G4" s="200"/>
      <c r="H4" s="200"/>
      <c r="I4" s="201"/>
    </row>
    <row r="6" spans="2:14" x14ac:dyDescent="0.25">
      <c r="B6" s="6"/>
      <c r="C6" s="192" t="str">
        <f>base!C6</f>
        <v>/home/marco/PrevisaoPLD/3_decks_entrada/201508_ago_z_070815</v>
      </c>
      <c r="D6" s="192"/>
      <c r="E6" s="192"/>
      <c r="F6" s="192"/>
      <c r="G6" s="192"/>
      <c r="H6" s="192"/>
      <c r="I6" s="192"/>
      <c r="J6" s="192"/>
    </row>
    <row r="7" spans="2:14" x14ac:dyDescent="0.25">
      <c r="B7" s="6"/>
      <c r="C7" s="7"/>
    </row>
    <row r="8" spans="2:14" x14ac:dyDescent="0.25">
      <c r="B8" s="6"/>
      <c r="C8" s="165" t="s">
        <v>141</v>
      </c>
      <c r="D8" s="166"/>
      <c r="E8" s="166"/>
      <c r="F8" s="166"/>
      <c r="G8" s="166"/>
      <c r="H8" s="166"/>
      <c r="I8" s="166"/>
      <c r="J8" s="167"/>
      <c r="K8" s="6"/>
      <c r="N8" s="6"/>
    </row>
    <row r="9" spans="2:14" x14ac:dyDescent="0.25">
      <c r="B9" s="6"/>
      <c r="C9" s="6"/>
    </row>
    <row r="10" spans="2:14" x14ac:dyDescent="0.25">
      <c r="B10" s="26" t="s">
        <v>75</v>
      </c>
      <c r="C10" s="94" t="str">
        <f>Apoio!C20</f>
        <v>822.83</v>
      </c>
    </row>
    <row r="11" spans="2:14" x14ac:dyDescent="0.25">
      <c r="B11" s="26" t="s">
        <v>76</v>
      </c>
      <c r="C11" s="94" t="str">
        <f>Apoio!C21</f>
        <v>15.62</v>
      </c>
    </row>
    <row r="13" spans="2:14" x14ac:dyDescent="0.25">
      <c r="B13" s="26" t="s">
        <v>44</v>
      </c>
      <c r="C13" s="95">
        <f>base!C13</f>
        <v>1</v>
      </c>
      <c r="D13" s="169" t="str">
        <f>IF(C13=0,"Não Simula NADA",IF(C13=1,"Simulação Sintética",IF(C13=2,"Simulação Histórica",IF(C13=3,"Checar consistência"))))</f>
        <v>Simulação Sintética</v>
      </c>
      <c r="E13" s="169"/>
      <c r="F13" s="169"/>
    </row>
    <row r="15" spans="2:14" x14ac:dyDescent="0.25">
      <c r="B15" s="26" t="s">
        <v>45</v>
      </c>
      <c r="C15" s="95">
        <f>base!C15</f>
        <v>11</v>
      </c>
      <c r="D15" s="170" t="str">
        <f>"Vai até -&gt; " &amp; IF((C15+C4)&gt;12,nomeMes(C15+C4-12),  nomeMes(C15+C4))</f>
        <v>Vai até -&gt; Dez</v>
      </c>
      <c r="E15" s="170"/>
      <c r="F15" s="170"/>
    </row>
    <row r="16" spans="2:14" s="7" customFormat="1" x14ac:dyDescent="0.25">
      <c r="B16" s="14"/>
      <c r="C16" s="15"/>
      <c r="D16" s="16"/>
      <c r="E16" s="16"/>
    </row>
    <row r="17" spans="2:31" s="7" customFormat="1" x14ac:dyDescent="0.25">
      <c r="B17" s="26" t="s">
        <v>68</v>
      </c>
      <c r="C17" s="95">
        <f>base!C17</f>
        <v>0</v>
      </c>
      <c r="D17" s="169" t="str">
        <f>IF(C17=1,"Cria os decks","Cria e executa os decks")</f>
        <v>Cria e executa os decks</v>
      </c>
      <c r="E17" s="169"/>
      <c r="F17" s="169"/>
    </row>
    <row r="18" spans="2:31" s="7" customFormat="1" x14ac:dyDescent="0.25">
      <c r="B18" s="6"/>
      <c r="C18"/>
    </row>
    <row r="19" spans="2:31" s="7" customFormat="1" x14ac:dyDescent="0.25">
      <c r="B19" s="6"/>
      <c r="C19" s="24" t="s">
        <v>81</v>
      </c>
      <c r="D19" s="24" t="s">
        <v>82</v>
      </c>
      <c r="E19" s="25" t="s">
        <v>83</v>
      </c>
    </row>
    <row r="20" spans="2:31" s="7" customFormat="1" x14ac:dyDescent="0.25">
      <c r="B20" s="26" t="s">
        <v>80</v>
      </c>
      <c r="C20" s="95">
        <f>base!C20</f>
        <v>1</v>
      </c>
      <c r="D20" s="95">
        <f>base!D20</f>
        <v>1</v>
      </c>
      <c r="E20" s="95">
        <f>base!E20</f>
        <v>1</v>
      </c>
      <c r="F20" s="95">
        <f>base!F20</f>
        <v>0</v>
      </c>
      <c r="G20" s="95">
        <f>base!G20</f>
        <v>0</v>
      </c>
    </row>
    <row r="21" spans="2:31" s="7" customFormat="1" x14ac:dyDescent="0.25">
      <c r="B21" s="14"/>
      <c r="C21" s="15"/>
      <c r="D21" s="16"/>
      <c r="E21" s="16"/>
    </row>
    <row r="22" spans="2:31" s="7" customFormat="1" x14ac:dyDescent="0.25">
      <c r="B22" s="27" t="s">
        <v>77</v>
      </c>
      <c r="C22" s="185" t="str">
        <f>"saida_" &amp; MID(C8,38,50) &amp;".out"</f>
        <v>saida_201509_ago_c_umido_030815.out</v>
      </c>
      <c r="D22" s="185"/>
      <c r="E22" s="185"/>
      <c r="F22" s="185"/>
      <c r="G22" s="185"/>
      <c r="H22" s="185"/>
      <c r="I22" s="185"/>
      <c r="J22" s="185"/>
    </row>
    <row r="23" spans="2:31" s="7" customFormat="1" x14ac:dyDescent="0.25"/>
    <row r="24" spans="2:31" s="7" customFormat="1" x14ac:dyDescent="0.25">
      <c r="B24" s="27" t="s">
        <v>78</v>
      </c>
      <c r="C24" s="184" t="str">
        <f>"\\192.168.0.10\PrevisaoPLD\2_xml\" &amp;RIGHT(C6,19)</f>
        <v>\\192.168.0.10\PrevisaoPLD\2_xml\201508_ago_z_070815</v>
      </c>
      <c r="D24" s="185"/>
      <c r="E24" s="185"/>
      <c r="F24" s="185"/>
      <c r="G24" s="185"/>
      <c r="H24" s="185"/>
      <c r="I24" s="185"/>
      <c r="J24" s="185"/>
    </row>
    <row r="25" spans="2:31" s="22" customFormat="1" x14ac:dyDescent="0.25">
      <c r="B25" s="21"/>
      <c r="C25" s="23"/>
      <c r="D25" s="23"/>
      <c r="E25" s="23"/>
      <c r="F25" s="23"/>
      <c r="G25" s="23"/>
      <c r="H25" s="23"/>
      <c r="I25" s="23"/>
      <c r="J25" s="23"/>
    </row>
    <row r="26" spans="2:31" s="7" customFormat="1" x14ac:dyDescent="0.25">
      <c r="B26" s="27" t="s">
        <v>79</v>
      </c>
      <c r="C26" s="185" t="str">
        <f>MID(C8,38,50)</f>
        <v>201509_ago_c_umido_030815</v>
      </c>
      <c r="D26" s="185"/>
      <c r="E26" s="185"/>
      <c r="F26" s="185"/>
      <c r="G26" s="185"/>
      <c r="H26" s="185"/>
      <c r="I26" s="185"/>
      <c r="J26" s="185"/>
    </row>
    <row r="27" spans="2:31" s="7" customFormat="1" x14ac:dyDescent="0.25">
      <c r="B27" s="14"/>
      <c r="C27" s="15"/>
      <c r="D27" s="16"/>
      <c r="E27" s="16"/>
    </row>
    <row r="28" spans="2:31" ht="15.75" thickBot="1" x14ac:dyDescent="0.3"/>
    <row r="29" spans="2:31" ht="15.75" thickBot="1" x14ac:dyDescent="0.3">
      <c r="B29" s="6" t="s">
        <v>59</v>
      </c>
      <c r="D29" s="33" t="str">
        <f>"01/"&amp;$C$2</f>
        <v>01/2016</v>
      </c>
      <c r="E29" s="34" t="str">
        <f>"02/"&amp;$C$2</f>
        <v>02/2016</v>
      </c>
      <c r="F29" s="34" t="str">
        <f>"03/"&amp;$C$2</f>
        <v>03/2016</v>
      </c>
      <c r="G29" s="34" t="str">
        <f>"04/"&amp;$C$2</f>
        <v>04/2016</v>
      </c>
      <c r="H29" s="34" t="str">
        <f>"05/"&amp;$C$2</f>
        <v>05/2016</v>
      </c>
      <c r="I29" s="34" t="str">
        <f>"06/"&amp;$C$2</f>
        <v>06/2016</v>
      </c>
      <c r="J29" s="34" t="str">
        <f>"07/"&amp;$C$2</f>
        <v>07/2016</v>
      </c>
      <c r="K29" s="34" t="str">
        <f>"08/"&amp;$C$2</f>
        <v>08/2016</v>
      </c>
      <c r="L29" s="34" t="str">
        <f>"09/"&amp;$C$2</f>
        <v>09/2016</v>
      </c>
      <c r="M29" s="34" t="str">
        <f>"10/"&amp;$C$2</f>
        <v>10/2016</v>
      </c>
      <c r="N29" s="34" t="str">
        <f>"11/"&amp;$C$2</f>
        <v>11/2016</v>
      </c>
      <c r="O29" s="35" t="str">
        <f>"12/"&amp;$C$2</f>
        <v>12/2016</v>
      </c>
      <c r="P29" s="10"/>
      <c r="Q29" s="6" t="s">
        <v>60</v>
      </c>
      <c r="R29" s="4" t="str">
        <f>"01/"&amp;$C$2</f>
        <v>01/2016</v>
      </c>
      <c r="S29" s="4" t="str">
        <f>"02/"&amp;$C$2</f>
        <v>02/2016</v>
      </c>
      <c r="T29" s="4" t="str">
        <f>"03/"&amp;$C$2</f>
        <v>03/2016</v>
      </c>
      <c r="U29" s="4" t="str">
        <f>"04/"&amp;$C$2</f>
        <v>04/2016</v>
      </c>
      <c r="V29" s="4" t="str">
        <f>"05/"&amp;$C$2</f>
        <v>05/2016</v>
      </c>
      <c r="W29" s="4" t="str">
        <f>"06/"&amp;$C$2</f>
        <v>06/2016</v>
      </c>
      <c r="X29" s="4" t="str">
        <f>"07/"&amp;$C$2</f>
        <v>07/2016</v>
      </c>
      <c r="Y29" s="4" t="str">
        <f>"08/"&amp;$C$2</f>
        <v>08/2016</v>
      </c>
      <c r="Z29" s="4" t="str">
        <f>"09/"&amp;$C$2</f>
        <v>09/2016</v>
      </c>
      <c r="AA29" s="4" t="str">
        <f>"10/"&amp;$C$2</f>
        <v>10/2016</v>
      </c>
      <c r="AB29" s="4" t="str">
        <f>"11/"&amp;$C$2</f>
        <v>11/2016</v>
      </c>
      <c r="AC29" s="4" t="str">
        <f>"12/"&amp;$C$2</f>
        <v>12/2016</v>
      </c>
    </row>
    <row r="30" spans="2:31" x14ac:dyDescent="0.25">
      <c r="B30">
        <f>Apoio!A3</f>
        <v>1</v>
      </c>
      <c r="C30" s="17" t="str">
        <f>IF(Apoio!B3&lt;&gt;"","ENA_"&amp;Apoio!B3&amp;"_u","")</f>
        <v>ENA_SE_u</v>
      </c>
      <c r="D30" s="97">
        <v>1.1499999999999999</v>
      </c>
      <c r="E30" s="98">
        <v>1.1499999999999999</v>
      </c>
      <c r="F30" s="99">
        <v>1.1499999999999999</v>
      </c>
      <c r="G30" s="99">
        <v>1.1499999999999999</v>
      </c>
      <c r="H30" s="99">
        <v>1.1499999999999999</v>
      </c>
      <c r="I30" s="99">
        <v>1.1499999999999999</v>
      </c>
      <c r="J30" s="99">
        <v>1.1499999999999999</v>
      </c>
      <c r="K30" s="99">
        <v>1.1499999999999999</v>
      </c>
      <c r="L30" s="99">
        <v>1.1499999999999999</v>
      </c>
      <c r="M30" s="99">
        <v>1.1499999999999999</v>
      </c>
      <c r="N30" s="99">
        <v>1.1499999999999999</v>
      </c>
      <c r="O30" s="100">
        <v>1.1499999999999999</v>
      </c>
      <c r="P30" s="11"/>
      <c r="R30" s="8">
        <f>ROUND(D30*Apoio!C3,0)</f>
        <v>64352</v>
      </c>
      <c r="S30" s="8">
        <f>ROUND(E30*Apoio!D3,0)</f>
        <v>67328</v>
      </c>
      <c r="T30" s="8">
        <f>ROUND(F30*Apoio!E3,0)</f>
        <v>62872</v>
      </c>
      <c r="U30" s="8">
        <f>ROUND(G30*Apoio!F3,0)</f>
        <v>47655</v>
      </c>
      <c r="V30" s="8">
        <f>ROUND(H30*Apoio!G3,0)</f>
        <v>34387</v>
      </c>
      <c r="W30" s="8">
        <f>ROUND(I30*Apoio!H3,0)</f>
        <v>29355</v>
      </c>
      <c r="X30" s="8">
        <f>ROUND(J30*Apoio!I3,0)</f>
        <v>24354</v>
      </c>
      <c r="Y30" s="8">
        <f>ROUND(K30*Apoio!J3,0)</f>
        <v>20335</v>
      </c>
      <c r="Z30" s="8">
        <f>ROUND(L30*Apoio!K3,0)</f>
        <v>20169</v>
      </c>
      <c r="AA30" s="8">
        <f>ROUND(M30*Apoio!L3,0)</f>
        <v>24265</v>
      </c>
      <c r="AB30" s="8">
        <f>ROUND(N30*Apoio!M3,0)</f>
        <v>31029</v>
      </c>
      <c r="AC30" s="8">
        <f>ROUND(O30*Apoio!N3,0)</f>
        <v>47053</v>
      </c>
      <c r="AE30" s="28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64352 67328 62872 47655 34387 29355 24354 20335 20169 24265 31029 47053 &lt;/PrevisaoENA&gt;</v>
      </c>
    </row>
    <row r="31" spans="2:31" x14ac:dyDescent="0.25">
      <c r="B31">
        <f>Apoio!A4</f>
        <v>2</v>
      </c>
      <c r="C31" s="18" t="str">
        <f>IF(Apoio!B4&lt;&gt;"","ENA_"&amp;Apoio!B4&amp;"_u","")</f>
        <v>ENA_S_u</v>
      </c>
      <c r="D31" s="101">
        <v>1</v>
      </c>
      <c r="E31" s="102">
        <v>1</v>
      </c>
      <c r="F31" s="103">
        <v>1</v>
      </c>
      <c r="G31" s="103">
        <v>1</v>
      </c>
      <c r="H31" s="103">
        <v>1</v>
      </c>
      <c r="I31" s="103">
        <v>1</v>
      </c>
      <c r="J31" s="103">
        <v>1</v>
      </c>
      <c r="K31" s="103">
        <v>1</v>
      </c>
      <c r="L31" s="103">
        <v>1</v>
      </c>
      <c r="M31" s="103">
        <v>1</v>
      </c>
      <c r="N31" s="103">
        <v>1</v>
      </c>
      <c r="O31" s="104">
        <v>1</v>
      </c>
      <c r="P31" s="11"/>
      <c r="R31" s="8">
        <f>ROUND(D31*Apoio!C4,0)</f>
        <v>7271</v>
      </c>
      <c r="S31" s="8">
        <f>ROUND(E31*Apoio!D4,0)</f>
        <v>8350</v>
      </c>
      <c r="T31" s="8">
        <f>ROUND(F31*Apoio!E4,0)</f>
        <v>6999</v>
      </c>
      <c r="U31" s="8">
        <f>ROUND(G31*Apoio!F4,0)</f>
        <v>6584</v>
      </c>
      <c r="V31" s="8">
        <f>ROUND(H31*Apoio!G4,0)</f>
        <v>8561</v>
      </c>
      <c r="W31" s="8">
        <f>ROUND(I31*Apoio!H4,0)</f>
        <v>9928</v>
      </c>
      <c r="X31" s="8">
        <f>ROUND(J31*Apoio!I4,0)</f>
        <v>10915</v>
      </c>
      <c r="Y31" s="8">
        <f>ROUND(K31*Apoio!J4,0)</f>
        <v>10327</v>
      </c>
      <c r="Z31" s="8">
        <f>ROUND(L31*Apoio!K4,0)</f>
        <v>11999</v>
      </c>
      <c r="AA31" s="8">
        <f>ROUND(M31*Apoio!L4,0)</f>
        <v>13256</v>
      </c>
      <c r="AB31" s="8">
        <f>ROUND(N31*Apoio!M4,0)</f>
        <v>9358</v>
      </c>
      <c r="AC31" s="8">
        <f>ROUND(O31*Apoio!N4,0)</f>
        <v>7382</v>
      </c>
      <c r="AE31" s="28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19" t="str">
        <f>IF(Apoio!B5&lt;&gt;"","ENA_"&amp;Apoio!B5&amp;"_u","")</f>
        <v>ENA_NE_u</v>
      </c>
      <c r="D32" s="101">
        <v>0.55000000000000004</v>
      </c>
      <c r="E32" s="102">
        <v>0.55000000000000004</v>
      </c>
      <c r="F32" s="103">
        <v>0.55000000000000004</v>
      </c>
      <c r="G32" s="103">
        <v>0.55000000000000004</v>
      </c>
      <c r="H32" s="103">
        <v>0.55000000000000004</v>
      </c>
      <c r="I32" s="103">
        <v>0.55000000000000004</v>
      </c>
      <c r="J32" s="103">
        <v>0.55000000000000004</v>
      </c>
      <c r="K32" s="103">
        <v>0.55000000000000004</v>
      </c>
      <c r="L32" s="103">
        <v>0.55000000000000004</v>
      </c>
      <c r="M32" s="103">
        <v>0.55000000000000004</v>
      </c>
      <c r="N32" s="103">
        <v>0.55000000000000004</v>
      </c>
      <c r="O32" s="104">
        <v>0.55000000000000004</v>
      </c>
      <c r="P32" s="11"/>
      <c r="R32" s="8">
        <f>ROUND(D32*Apoio!C5,0)</f>
        <v>7788</v>
      </c>
      <c r="S32" s="8">
        <f>ROUND(E32*Apoio!D5,0)</f>
        <v>8191</v>
      </c>
      <c r="T32" s="8">
        <f>ROUND(F32*Apoio!E5,0)</f>
        <v>8156</v>
      </c>
      <c r="U32" s="8">
        <f>ROUND(G32*Apoio!F5,0)</f>
        <v>6641</v>
      </c>
      <c r="V32" s="8">
        <f>ROUND(H32*Apoio!G5,0)</f>
        <v>4022</v>
      </c>
      <c r="W32" s="8">
        <f>ROUND(I32*Apoio!H5,0)</f>
        <v>2653</v>
      </c>
      <c r="X32" s="8">
        <f>ROUND(J32*Apoio!I5,0)</f>
        <v>2186</v>
      </c>
      <c r="Y32" s="8">
        <f>ROUND(K32*Apoio!J5,0)</f>
        <v>1904</v>
      </c>
      <c r="Z32" s="8">
        <f>ROUND(L32*Apoio!K5,0)</f>
        <v>1702</v>
      </c>
      <c r="AA32" s="8">
        <f>ROUND(M32*Apoio!L5,0)</f>
        <v>1866</v>
      </c>
      <c r="AB32" s="8">
        <f>ROUND(N32*Apoio!M5,0)</f>
        <v>3054</v>
      </c>
      <c r="AC32" s="8">
        <f>ROUND(O32*Apoio!N5,0)</f>
        <v>5616</v>
      </c>
      <c r="AE32" s="28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0" t="str">
        <f>IF(Apoio!B6&lt;&gt;"","ENA_"&amp;Apoio!B6&amp;"_u","")</f>
        <v>ENA_N_u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1"/>
      <c r="R33" s="8">
        <f>ROUND(D33*Apoio!C6,0)</f>
        <v>10038</v>
      </c>
      <c r="S33" s="8">
        <f>ROUND(E33*Apoio!D6,0)</f>
        <v>13476</v>
      </c>
      <c r="T33" s="8">
        <f>ROUND(F33*Apoio!E6,0)</f>
        <v>15677</v>
      </c>
      <c r="U33" s="8">
        <f>ROUND(G33*Apoio!F6,0)</f>
        <v>15615</v>
      </c>
      <c r="V33" s="8">
        <f>ROUND(H33*Apoio!G6,0)</f>
        <v>10498</v>
      </c>
      <c r="W33" s="8">
        <f>ROUND(I33*Apoio!H6,0)</f>
        <v>5478</v>
      </c>
      <c r="X33" s="8">
        <f>ROUND(J33*Apoio!I6,0)</f>
        <v>3334</v>
      </c>
      <c r="Y33" s="8">
        <f>ROUND(K33*Apoio!J6,0)</f>
        <v>2337</v>
      </c>
      <c r="Z33" s="8">
        <f>ROUND(L33*Apoio!K6,0)</f>
        <v>1807</v>
      </c>
      <c r="AA33" s="8">
        <f>ROUND(M33*Apoio!L6,0)</f>
        <v>1932</v>
      </c>
      <c r="AB33" s="8">
        <f>ROUND(N33*Apoio!M6,0)</f>
        <v>3065</v>
      </c>
      <c r="AC33" s="8">
        <f>ROUND(O33*Apoio!N6,0)</f>
        <v>5855</v>
      </c>
      <c r="AE33" s="28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6</v>
      </c>
      <c r="C34" s="72" t="str">
        <f>IF(Apoio!B7&lt;&gt;"","ENA_"&amp;Apoio!B7&amp;"_u","")</f>
        <v>ENA_MD_u</v>
      </c>
      <c r="D34" s="105">
        <v>1.1499999999999999</v>
      </c>
      <c r="E34" s="106">
        <v>1.1499999999999999</v>
      </c>
      <c r="F34" s="107">
        <v>1.1499999999999999</v>
      </c>
      <c r="G34" s="107">
        <v>1.1499999999999999</v>
      </c>
      <c r="H34" s="107">
        <v>1.1499999999999999</v>
      </c>
      <c r="I34" s="107">
        <v>1.1499999999999999</v>
      </c>
      <c r="J34" s="107">
        <v>1.1499999999999999</v>
      </c>
      <c r="K34" s="107">
        <v>1.1499999999999999</v>
      </c>
      <c r="L34" s="107">
        <v>1.1499999999999999</v>
      </c>
      <c r="M34" s="107">
        <v>1.1499999999999999</v>
      </c>
      <c r="N34" s="107">
        <v>1.1499999999999999</v>
      </c>
      <c r="O34" s="108">
        <v>1.1499999999999999</v>
      </c>
      <c r="P34" s="11"/>
      <c r="R34" s="8">
        <f>ROUND(D34*Apoio!C7,0)</f>
        <v>0</v>
      </c>
      <c r="S34" s="8">
        <f>ROUND(E34*Apoio!D7,0)</f>
        <v>0</v>
      </c>
      <c r="T34" s="8">
        <f>ROUND(F34*Apoio!E7,0)</f>
        <v>0</v>
      </c>
      <c r="U34" s="8">
        <f>ROUND(G34*Apoio!F7,0)</f>
        <v>0</v>
      </c>
      <c r="V34" s="8">
        <f>ROUND(H34*Apoio!G7,0)</f>
        <v>0</v>
      </c>
      <c r="W34" s="8">
        <f>ROUND(I34*Apoio!H7,0)</f>
        <v>0</v>
      </c>
      <c r="X34" s="8">
        <f>ROUND(J34*Apoio!I7,0)</f>
        <v>0</v>
      </c>
      <c r="Y34" s="8">
        <f>ROUND(K34*Apoio!J7,0)</f>
        <v>0</v>
      </c>
      <c r="Z34" s="8">
        <f>ROUND(L34*Apoio!K7,0)</f>
        <v>0</v>
      </c>
      <c r="AA34" s="8">
        <f>ROUND(M34*Apoio!L7,0)</f>
        <v>0</v>
      </c>
      <c r="AB34" s="8">
        <f>ROUND(N34*Apoio!M7,0)</f>
        <v>0</v>
      </c>
      <c r="AC34" s="8">
        <f>ROUND(O34*Apoio!N7,0)</f>
        <v>0</v>
      </c>
      <c r="AE34" s="28" t="str">
        <f t="shared" si="0"/>
        <v>&lt;PrevisaoENA SubMercado="6" MesReferencia="1"&gt; 0 0 0 0 0 0 0 0 0 0 0 0 &lt;/PrevisaoENA&gt;</v>
      </c>
    </row>
    <row r="35" spans="2:31" x14ac:dyDescent="0.25">
      <c r="B35">
        <f>Apoio!A8</f>
        <v>8</v>
      </c>
      <c r="C35" s="73" t="str">
        <f>IF(Apoio!B8&lt;&gt;"","ENA_"&amp;Apoio!B8&amp;"_u","")</f>
        <v>ENA_BM_u</v>
      </c>
      <c r="D35" s="105">
        <v>1</v>
      </c>
      <c r="E35" s="106">
        <v>1</v>
      </c>
      <c r="F35" s="107">
        <v>1</v>
      </c>
      <c r="G35" s="107">
        <v>1</v>
      </c>
      <c r="H35" s="107">
        <v>1</v>
      </c>
      <c r="I35" s="107">
        <v>1</v>
      </c>
      <c r="J35" s="107">
        <v>1</v>
      </c>
      <c r="K35" s="107">
        <v>1</v>
      </c>
      <c r="L35" s="107">
        <v>1</v>
      </c>
      <c r="M35" s="107">
        <v>1</v>
      </c>
      <c r="N35" s="107">
        <v>1</v>
      </c>
      <c r="O35" s="108">
        <v>1</v>
      </c>
      <c r="P35" s="11"/>
      <c r="R35" s="8">
        <f>ROUND(D35*Apoio!C8,0)</f>
        <v>0</v>
      </c>
      <c r="S35" s="8">
        <f>ROUND(E35*Apoio!D8,0)</f>
        <v>0</v>
      </c>
      <c r="T35" s="8">
        <f>ROUND(F35*Apoio!E8,0)</f>
        <v>0</v>
      </c>
      <c r="U35" s="8">
        <f>ROUND(G35*Apoio!F8,0)</f>
        <v>0</v>
      </c>
      <c r="V35" s="8">
        <f>ROUND(H35*Apoio!G8,0)</f>
        <v>0</v>
      </c>
      <c r="W35" s="8">
        <f>ROUND(I35*Apoio!H8,0)</f>
        <v>0</v>
      </c>
      <c r="X35" s="8">
        <f>ROUND(J35*Apoio!I8,0)</f>
        <v>0</v>
      </c>
      <c r="Y35" s="8">
        <f>ROUND(K35*Apoio!J8,0)</f>
        <v>0</v>
      </c>
      <c r="Z35" s="8">
        <f>ROUND(L35*Apoio!K8,0)</f>
        <v>0</v>
      </c>
      <c r="AA35" s="8">
        <f>ROUND(M35*Apoio!L8,0)</f>
        <v>0</v>
      </c>
      <c r="AB35" s="8">
        <f>ROUND(N35*Apoio!M8,0)</f>
        <v>0</v>
      </c>
      <c r="AC35" s="8">
        <f>ROUND(O35*Apoio!N8,0)</f>
        <v>0</v>
      </c>
      <c r="AE35" s="28" t="str">
        <f t="shared" si="0"/>
        <v>&lt;PrevisaoENA SubMercado="8" MesReferencia="1"&gt; 0 0 0 0 0 0 0 0 0 0 0 0 &lt;/PrevisaoENA&gt;</v>
      </c>
    </row>
    <row r="36" spans="2:31" x14ac:dyDescent="0.25">
      <c r="B36">
        <f>Apoio!A9</f>
        <v>0</v>
      </c>
      <c r="C36" s="74" t="str">
        <f>IF(Apoio!B9&lt;&gt;"","ENA_"&amp;Apoio!B9&amp;"_u","")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1"/>
      <c r="R36" s="8">
        <f>ROUND(D36*Apoio!C9,0)</f>
        <v>0</v>
      </c>
      <c r="S36" s="8">
        <f>ROUND(E36*Apoio!D9,0)</f>
        <v>0</v>
      </c>
      <c r="T36" s="8">
        <f>ROUND(F36*Apoio!E9,0)</f>
        <v>0</v>
      </c>
      <c r="U36" s="8">
        <f>ROUND(G36*Apoio!F9,0)</f>
        <v>0</v>
      </c>
      <c r="V36" s="8">
        <f>ROUND(H36*Apoio!G9,0)</f>
        <v>0</v>
      </c>
      <c r="W36" s="8">
        <f>ROUND(I36*Apoio!H9,0)</f>
        <v>0</v>
      </c>
      <c r="X36" s="8">
        <f>ROUND(J36*Apoio!I9,0)</f>
        <v>0</v>
      </c>
      <c r="Y36" s="8">
        <f>ROUND(K36*Apoio!J9,0)</f>
        <v>0</v>
      </c>
      <c r="Z36" s="8">
        <f>ROUND(L36*Apoio!K9,0)</f>
        <v>0</v>
      </c>
      <c r="AA36" s="8">
        <f>ROUND(M36*Apoio!L9,0)</f>
        <v>0</v>
      </c>
      <c r="AB36" s="8">
        <f>ROUND(N36*Apoio!M9,0)</f>
        <v>0</v>
      </c>
      <c r="AC36" s="8">
        <f>ROUND(O36*Apoio!N9,0)</f>
        <v>0</v>
      </c>
      <c r="AE36" s="28" t="str">
        <f t="shared" si="0"/>
        <v/>
      </c>
    </row>
    <row r="37" spans="2:31" x14ac:dyDescent="0.25">
      <c r="B37">
        <f>Apoio!A10</f>
        <v>0</v>
      </c>
      <c r="C37" s="74" t="str">
        <f>IF(Apoio!B10&lt;&gt;"","ENA_"&amp;Apoio!B10&amp;"_u","")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1"/>
      <c r="R37" s="8">
        <f>ROUND(D37*Apoio!C10,0)</f>
        <v>0</v>
      </c>
      <c r="S37" s="8">
        <f>ROUND(E37*Apoio!D10,0)</f>
        <v>0</v>
      </c>
      <c r="T37" s="8">
        <f>ROUND(F37*Apoio!E10,0)</f>
        <v>0</v>
      </c>
      <c r="U37" s="8">
        <f>ROUND(G37*Apoio!F10,0)</f>
        <v>0</v>
      </c>
      <c r="V37" s="8">
        <f>ROUND(H37*Apoio!G10,0)</f>
        <v>0</v>
      </c>
      <c r="W37" s="8">
        <f>ROUND(I37*Apoio!H10,0)</f>
        <v>0</v>
      </c>
      <c r="X37" s="8">
        <f>ROUND(J37*Apoio!I10,0)</f>
        <v>0</v>
      </c>
      <c r="Y37" s="8">
        <f>ROUND(K37*Apoio!J10,0)</f>
        <v>0</v>
      </c>
      <c r="Z37" s="8">
        <f>ROUND(L37*Apoio!K10,0)</f>
        <v>0</v>
      </c>
      <c r="AA37" s="8">
        <f>ROUND(M37*Apoio!L10,0)</f>
        <v>0</v>
      </c>
      <c r="AB37" s="8">
        <f>ROUND(N37*Apoio!M10,0)</f>
        <v>0</v>
      </c>
      <c r="AC37" s="8">
        <f>ROUND(O37*Apoio!N10,0)</f>
        <v>0</v>
      </c>
      <c r="AE37" s="28" t="str">
        <f t="shared" si="0"/>
        <v/>
      </c>
    </row>
    <row r="38" spans="2:31" x14ac:dyDescent="0.25">
      <c r="B38">
        <f>Apoio!A11</f>
        <v>0</v>
      </c>
      <c r="C38" s="74" t="str">
        <f>IF(Apoio!B11&lt;&gt;"","ENA_"&amp;Apoio!B11&amp;"_u","")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1"/>
      <c r="R38" s="8">
        <f>ROUND(D38*Apoio!C11,0)</f>
        <v>0</v>
      </c>
      <c r="S38" s="8">
        <f>ROUND(E38*Apoio!D11,0)</f>
        <v>0</v>
      </c>
      <c r="T38" s="8">
        <f>ROUND(F38*Apoio!E11,0)</f>
        <v>0</v>
      </c>
      <c r="U38" s="8">
        <f>ROUND(G38*Apoio!F11,0)</f>
        <v>0</v>
      </c>
      <c r="V38" s="8">
        <f>ROUND(H38*Apoio!G11,0)</f>
        <v>0</v>
      </c>
      <c r="W38" s="8">
        <f>ROUND(I38*Apoio!H11,0)</f>
        <v>0</v>
      </c>
      <c r="X38" s="8">
        <f>ROUND(J38*Apoio!I11,0)</f>
        <v>0</v>
      </c>
      <c r="Y38" s="8">
        <f>ROUND(K38*Apoio!J11,0)</f>
        <v>0</v>
      </c>
      <c r="Z38" s="8">
        <f>ROUND(L38*Apoio!K11,0)</f>
        <v>0</v>
      </c>
      <c r="AA38" s="8">
        <f>ROUND(M38*Apoio!L11,0)</f>
        <v>0</v>
      </c>
      <c r="AB38" s="8">
        <f>ROUND(N38*Apoio!M11,0)</f>
        <v>0</v>
      </c>
      <c r="AC38" s="8">
        <f>ROUND(O38*Apoio!N11,0)</f>
        <v>0</v>
      </c>
      <c r="AE38" s="28" t="str">
        <f t="shared" si="0"/>
        <v/>
      </c>
    </row>
    <row r="39" spans="2:31" x14ac:dyDescent="0.25">
      <c r="B39">
        <f>Apoio!A12</f>
        <v>0</v>
      </c>
      <c r="C39" s="74" t="str">
        <f>IF(Apoio!B12&lt;&gt;"","ENA_"&amp;Apoio!B12&amp;"_u","")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1"/>
      <c r="R39" s="8">
        <f>ROUND(D39*Apoio!C12,0)</f>
        <v>0</v>
      </c>
      <c r="S39" s="8">
        <f>ROUND(E39*Apoio!D12,0)</f>
        <v>0</v>
      </c>
      <c r="T39" s="8">
        <f>ROUND(F39*Apoio!E12,0)</f>
        <v>0</v>
      </c>
      <c r="U39" s="8">
        <f>ROUND(G39*Apoio!F12,0)</f>
        <v>0</v>
      </c>
      <c r="V39" s="8">
        <f>ROUND(H39*Apoio!G12,0)</f>
        <v>0</v>
      </c>
      <c r="W39" s="8">
        <f>ROUND(I39*Apoio!H12,0)</f>
        <v>0</v>
      </c>
      <c r="X39" s="8">
        <f>ROUND(J39*Apoio!I12,0)</f>
        <v>0</v>
      </c>
      <c r="Y39" s="8">
        <f>ROUND(K39*Apoio!J12,0)</f>
        <v>0</v>
      </c>
      <c r="Z39" s="8">
        <f>ROUND(L39*Apoio!K12,0)</f>
        <v>0</v>
      </c>
      <c r="AA39" s="8">
        <f>ROUND(M39*Apoio!L12,0)</f>
        <v>0</v>
      </c>
      <c r="AB39" s="8">
        <f>ROUND(N39*Apoio!M12,0)</f>
        <v>0</v>
      </c>
      <c r="AC39" s="8">
        <f>ROUND(O39*Apoio!N12,0)</f>
        <v>0</v>
      </c>
      <c r="AE39" s="28" t="str">
        <f t="shared" si="0"/>
        <v/>
      </c>
    </row>
    <row r="40" spans="2:31" x14ac:dyDescent="0.25">
      <c r="B40">
        <f>Apoio!A13</f>
        <v>0</v>
      </c>
      <c r="C40" s="74" t="str">
        <f>IF(Apoio!B13&lt;&gt;"","ENA_"&amp;Apoio!B13&amp;"_u","")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1"/>
      <c r="R40" s="8">
        <f>ROUND(D40*Apoio!C13,0)</f>
        <v>0</v>
      </c>
      <c r="S40" s="8">
        <f>ROUND(E40*Apoio!D13,0)</f>
        <v>0</v>
      </c>
      <c r="T40" s="8">
        <f>ROUND(F40*Apoio!E13,0)</f>
        <v>0</v>
      </c>
      <c r="U40" s="8">
        <f>ROUND(G40*Apoio!F13,0)</f>
        <v>0</v>
      </c>
      <c r="V40" s="8">
        <f>ROUND(H40*Apoio!G13,0)</f>
        <v>0</v>
      </c>
      <c r="W40" s="8">
        <f>ROUND(I40*Apoio!H13,0)</f>
        <v>0</v>
      </c>
      <c r="X40" s="8">
        <f>ROUND(J40*Apoio!I13,0)</f>
        <v>0</v>
      </c>
      <c r="Y40" s="8">
        <f>ROUND(K40*Apoio!J13,0)</f>
        <v>0</v>
      </c>
      <c r="Z40" s="8">
        <f>ROUND(L40*Apoio!K13,0)</f>
        <v>0</v>
      </c>
      <c r="AA40" s="8">
        <f>ROUND(M40*Apoio!L13,0)</f>
        <v>0</v>
      </c>
      <c r="AB40" s="8">
        <f>ROUND(N40*Apoio!M13,0)</f>
        <v>0</v>
      </c>
      <c r="AC40" s="8">
        <f>ROUND(O40*Apoio!N13,0)</f>
        <v>0</v>
      </c>
      <c r="AE40" s="28" t="str">
        <f t="shared" si="0"/>
        <v/>
      </c>
    </row>
    <row r="41" spans="2:31" x14ac:dyDescent="0.25">
      <c r="B41">
        <f>Apoio!A14</f>
        <v>0</v>
      </c>
      <c r="C41" s="74" t="str">
        <f>IF(Apoio!B14&lt;&gt;"","ENA_"&amp;Apoio!B14&amp;"_u","")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"/>
      <c r="R41" s="8">
        <f>ROUND(D41*Apoio!C14,0)</f>
        <v>0</v>
      </c>
      <c r="S41" s="8">
        <f>ROUND(E41*Apoio!D14,0)</f>
        <v>0</v>
      </c>
      <c r="T41" s="8">
        <f>ROUND(F41*Apoio!E14,0)</f>
        <v>0</v>
      </c>
      <c r="U41" s="8">
        <f>ROUND(G41*Apoio!F14,0)</f>
        <v>0</v>
      </c>
      <c r="V41" s="8">
        <f>ROUND(H41*Apoio!G14,0)</f>
        <v>0</v>
      </c>
      <c r="W41" s="8">
        <f>ROUND(I41*Apoio!H14,0)</f>
        <v>0</v>
      </c>
      <c r="X41" s="8">
        <f>ROUND(J41*Apoio!I14,0)</f>
        <v>0</v>
      </c>
      <c r="Y41" s="8">
        <f>ROUND(K41*Apoio!J14,0)</f>
        <v>0</v>
      </c>
      <c r="Z41" s="8">
        <f>ROUND(L41*Apoio!K14,0)</f>
        <v>0</v>
      </c>
      <c r="AA41" s="8">
        <f>ROUND(M41*Apoio!L14,0)</f>
        <v>0</v>
      </c>
      <c r="AB41" s="8">
        <f>ROUND(N41*Apoio!M14,0)</f>
        <v>0</v>
      </c>
      <c r="AC41" s="8">
        <f>ROUND(O41*Apoio!N14,0)</f>
        <v>0</v>
      </c>
      <c r="AE41" s="28" t="str">
        <f t="shared" si="0"/>
        <v/>
      </c>
    </row>
    <row r="42" spans="2:31" x14ac:dyDescent="0.25">
      <c r="B42">
        <f>Apoio!A15</f>
        <v>0</v>
      </c>
      <c r="C42" s="74" t="str">
        <f>IF(Apoio!B15&lt;&gt;"","ENA_"&amp;Apoio!B15&amp;"_u","")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1"/>
      <c r="R42" s="8">
        <f>ROUND(D42*Apoio!C15,0)</f>
        <v>0</v>
      </c>
      <c r="S42" s="8">
        <f>ROUND(E42*Apoio!D15,0)</f>
        <v>0</v>
      </c>
      <c r="T42" s="8">
        <f>ROUND(F42*Apoio!E15,0)</f>
        <v>0</v>
      </c>
      <c r="U42" s="8">
        <f>ROUND(G42*Apoio!F15,0)</f>
        <v>0</v>
      </c>
      <c r="V42" s="8">
        <f>ROUND(H42*Apoio!G15,0)</f>
        <v>0</v>
      </c>
      <c r="W42" s="8">
        <f>ROUND(I42*Apoio!H15,0)</f>
        <v>0</v>
      </c>
      <c r="X42" s="8">
        <f>ROUND(J42*Apoio!I15,0)</f>
        <v>0</v>
      </c>
      <c r="Y42" s="8">
        <f>ROUND(K42*Apoio!J15,0)</f>
        <v>0</v>
      </c>
      <c r="Z42" s="8">
        <f>ROUND(L42*Apoio!K15,0)</f>
        <v>0</v>
      </c>
      <c r="AA42" s="8">
        <f>ROUND(M42*Apoio!L15,0)</f>
        <v>0</v>
      </c>
      <c r="AB42" s="8">
        <f>ROUND(N42*Apoio!M15,0)</f>
        <v>0</v>
      </c>
      <c r="AC42" s="8">
        <f>ROUND(O42*Apoio!N15,0)</f>
        <v>0</v>
      </c>
      <c r="AE42" s="28" t="str">
        <f t="shared" si="0"/>
        <v/>
      </c>
    </row>
    <row r="43" spans="2:31" x14ac:dyDescent="0.25">
      <c r="B43">
        <f>Apoio!A16</f>
        <v>0</v>
      </c>
      <c r="C43" s="74" t="str">
        <f>IF(Apoio!B16&lt;&gt;"","ENA_"&amp;Apoio!B16&amp;"_u","")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1"/>
      <c r="R43" s="8">
        <f>ROUND(D43*Apoio!C16,0)</f>
        <v>0</v>
      </c>
      <c r="S43" s="8">
        <f>ROUND(E43*Apoio!D16,0)</f>
        <v>0</v>
      </c>
      <c r="T43" s="8">
        <f>ROUND(F43*Apoio!E16,0)</f>
        <v>0</v>
      </c>
      <c r="U43" s="8">
        <f>ROUND(G43*Apoio!F16,0)</f>
        <v>0</v>
      </c>
      <c r="V43" s="8">
        <f>ROUND(H43*Apoio!G16,0)</f>
        <v>0</v>
      </c>
      <c r="W43" s="8">
        <f>ROUND(I43*Apoio!H16,0)</f>
        <v>0</v>
      </c>
      <c r="X43" s="8">
        <f>ROUND(J43*Apoio!I16,0)</f>
        <v>0</v>
      </c>
      <c r="Y43" s="8">
        <f>ROUND(K43*Apoio!J16,0)</f>
        <v>0</v>
      </c>
      <c r="Z43" s="8">
        <f>ROUND(L43*Apoio!K16,0)</f>
        <v>0</v>
      </c>
      <c r="AA43" s="8">
        <f>ROUND(M43*Apoio!L16,0)</f>
        <v>0</v>
      </c>
      <c r="AB43" s="8">
        <f>ROUND(N43*Apoio!M16,0)</f>
        <v>0</v>
      </c>
      <c r="AC43" s="8">
        <f>ROUND(O43*Apoio!N16,0)</f>
        <v>0</v>
      </c>
      <c r="AE43" s="28" t="str">
        <f t="shared" si="0"/>
        <v/>
      </c>
    </row>
    <row r="44" spans="2:31" ht="15.75" thickBot="1" x14ac:dyDescent="0.3">
      <c r="B44">
        <f>Apoio!A17</f>
        <v>0</v>
      </c>
      <c r="C44" s="75" t="str">
        <f>IF(Apoio!B17&lt;&gt;"","ENA_"&amp;Apoio!B17&amp;"_u","")</f>
        <v/>
      </c>
      <c r="D44" s="109"/>
      <c r="E44" s="110"/>
      <c r="F44" s="111"/>
      <c r="G44" s="111"/>
      <c r="H44" s="111"/>
      <c r="I44" s="111"/>
      <c r="J44" s="111"/>
      <c r="K44" s="111"/>
      <c r="L44" s="111"/>
      <c r="M44" s="111"/>
      <c r="N44" s="111"/>
      <c r="O44" s="112"/>
      <c r="P44" s="11"/>
      <c r="R44" s="8">
        <f>ROUND(D44*Apoio!C17,0)</f>
        <v>0</v>
      </c>
      <c r="S44" s="8">
        <f>ROUND(E44*Apoio!D17,0)</f>
        <v>0</v>
      </c>
      <c r="T44" s="8">
        <f>ROUND(F44*Apoio!E17,0)</f>
        <v>0</v>
      </c>
      <c r="U44" s="8">
        <f>ROUND(G44*Apoio!F17,0)</f>
        <v>0</v>
      </c>
      <c r="V44" s="8">
        <f>ROUND(H44*Apoio!G17,0)</f>
        <v>0</v>
      </c>
      <c r="W44" s="8">
        <f>ROUND(I44*Apoio!H17,0)</f>
        <v>0</v>
      </c>
      <c r="X44" s="8">
        <f>ROUND(J44*Apoio!I17,0)</f>
        <v>0</v>
      </c>
      <c r="Y44" s="8">
        <f>ROUND(K44*Apoio!J17,0)</f>
        <v>0</v>
      </c>
      <c r="Z44" s="8">
        <f>ROUND(L44*Apoio!K17,0)</f>
        <v>0</v>
      </c>
      <c r="AA44" s="8">
        <f>ROUND(M44*Apoio!L17,0)</f>
        <v>0</v>
      </c>
      <c r="AB44" s="8">
        <f>ROUND(N44*Apoio!M17,0)</f>
        <v>0</v>
      </c>
      <c r="AC44" s="8">
        <f>ROUND(O44*Apoio!N17,0)</f>
        <v>0</v>
      </c>
      <c r="AE44" s="28" t="str">
        <f t="shared" si="0"/>
        <v/>
      </c>
    </row>
    <row r="45" spans="2:31" hidden="1" x14ac:dyDescent="0.25"/>
    <row r="46" spans="2:31" ht="16.5" hidden="1" thickBot="1" x14ac:dyDescent="0.3">
      <c r="B46" s="6" t="s">
        <v>61</v>
      </c>
      <c r="C46" s="30"/>
      <c r="E46" s="32"/>
    </row>
    <row r="47" spans="2:31" ht="16.5" hidden="1" thickBot="1" x14ac:dyDescent="0.3">
      <c r="C47" s="31" t="str">
        <f>nomeMes(C4-1)</f>
        <v/>
      </c>
      <c r="D47" s="186" t="s">
        <v>65</v>
      </c>
      <c r="E47" s="187"/>
      <c r="F47" s="188" t="s">
        <v>66</v>
      </c>
      <c r="G47" s="189"/>
      <c r="L47" s="37"/>
    </row>
    <row r="48" spans="2:31" hidden="1" x14ac:dyDescent="0.25">
      <c r="B48">
        <f>Apoio!A3</f>
        <v>1</v>
      </c>
      <c r="C48" s="17" t="s">
        <v>70</v>
      </c>
      <c r="D48" s="38">
        <f>base!D48</f>
        <v>0</v>
      </c>
      <c r="E48" s="36">
        <f>INDEX($D$66:$O$80,ROW()-ROW($C$47),$C$4-1)</f>
        <v>0</v>
      </c>
      <c r="F48" s="190">
        <f>ROUND(D48*E48,1)</f>
        <v>0</v>
      </c>
      <c r="G48" s="191"/>
      <c r="AE48" t="str">
        <f>IF(C30="","","&lt;VolumeInicial SubMercado="""&amp;B48&amp;"""&gt; " &amp;F48&amp; " &lt;/VolumeInicial&gt;")</f>
        <v>&lt;VolumeInicial SubMercado="1"&gt; 0 &lt;/VolumeInicial&gt;</v>
      </c>
    </row>
    <row r="49" spans="2:31" hidden="1" x14ac:dyDescent="0.25">
      <c r="B49">
        <f>Apoio!A4</f>
        <v>2</v>
      </c>
      <c r="C49" s="18" t="str">
        <f>IF(Apoio!B4&lt;&gt;"",Apoio!B4,"")</f>
        <v>S</v>
      </c>
      <c r="D49" s="38">
        <f>base!D49</f>
        <v>0</v>
      </c>
      <c r="E49" s="36">
        <f t="shared" ref="E49:E62" si="1">INDEX($D$66:$O$80,ROW()-ROW($C$47),$C$4-1)</f>
        <v>0</v>
      </c>
      <c r="F49" s="173">
        <f t="shared" ref="F49:F62" si="2">ROUND(D49*E49,1)</f>
        <v>0</v>
      </c>
      <c r="G49" s="174"/>
      <c r="AE49" t="str">
        <f t="shared" ref="AE49:AE62" si="3">IF(C31="","","&lt;VolumeInicial SubMercado="""&amp;B49&amp;"""&gt; " &amp;F49&amp; " &lt;/VolumeInicial&gt;")</f>
        <v>&lt;VolumeInicial SubMercado="2"&gt; 0 &lt;/VolumeInicial&gt;</v>
      </c>
    </row>
    <row r="50" spans="2:31" hidden="1" x14ac:dyDescent="0.25">
      <c r="B50">
        <f>Apoio!A5</f>
        <v>3</v>
      </c>
      <c r="C50" s="19" t="str">
        <f>IF(Apoio!B5&lt;&gt;"",Apoio!B5,"")</f>
        <v>NE</v>
      </c>
      <c r="D50" s="38">
        <f>base!D50</f>
        <v>0</v>
      </c>
      <c r="E50" s="36">
        <f t="shared" si="1"/>
        <v>0</v>
      </c>
      <c r="F50" s="173">
        <f t="shared" si="2"/>
        <v>0</v>
      </c>
      <c r="G50" s="174"/>
      <c r="AE50" t="str">
        <f t="shared" si="3"/>
        <v>&lt;VolumeInicial SubMercado="3"&gt; 0 &lt;/VolumeInicial&gt;</v>
      </c>
    </row>
    <row r="51" spans="2:31" ht="15.75" hidden="1" thickBot="1" x14ac:dyDescent="0.3">
      <c r="B51">
        <f>Apoio!A6</f>
        <v>4</v>
      </c>
      <c r="C51" s="20" t="str">
        <f>IF(Apoio!B6&lt;&gt;"",Apoio!B6,"")</f>
        <v>N</v>
      </c>
      <c r="D51" s="38">
        <f>base!D51</f>
        <v>0</v>
      </c>
      <c r="E51" s="36">
        <f t="shared" si="1"/>
        <v>0</v>
      </c>
      <c r="F51" s="173">
        <f t="shared" si="2"/>
        <v>0</v>
      </c>
      <c r="G51" s="174"/>
      <c r="AE51" t="str">
        <f t="shared" si="3"/>
        <v>&lt;VolumeInicial SubMercado="4"&gt; 0 &lt;/VolumeInicial&gt;</v>
      </c>
    </row>
    <row r="52" spans="2:31" hidden="1" x14ac:dyDescent="0.25">
      <c r="B52">
        <f>Apoio!A7</f>
        <v>6</v>
      </c>
      <c r="C52" s="72" t="str">
        <f>IF(Apoio!B7&lt;&gt;"",Apoio!B7,"")</f>
        <v>MD</v>
      </c>
      <c r="D52" s="38">
        <f>base!D52</f>
        <v>0</v>
      </c>
      <c r="E52" s="36">
        <f t="shared" si="1"/>
        <v>0</v>
      </c>
      <c r="F52" s="173">
        <f t="shared" si="2"/>
        <v>0</v>
      </c>
      <c r="G52" s="174"/>
      <c r="AE52" t="str">
        <f t="shared" si="3"/>
        <v>&lt;VolumeInicial SubMercado="6"&gt; 0 &lt;/VolumeInicial&gt;</v>
      </c>
    </row>
    <row r="53" spans="2:31" hidden="1" x14ac:dyDescent="0.25">
      <c r="B53">
        <f>Apoio!A8</f>
        <v>8</v>
      </c>
      <c r="C53" s="73" t="str">
        <f>IF(Apoio!B8&lt;&gt;"",Apoio!B8,"")</f>
        <v>BM</v>
      </c>
      <c r="D53" s="38">
        <f>base!D53</f>
        <v>0</v>
      </c>
      <c r="E53" s="36">
        <f t="shared" si="1"/>
        <v>0</v>
      </c>
      <c r="F53" s="173">
        <f t="shared" si="2"/>
        <v>0</v>
      </c>
      <c r="G53" s="174"/>
      <c r="AE53" t="str">
        <f t="shared" si="3"/>
        <v>&lt;VolumeInicial SubMercado="8"&gt; 0 &lt;/VolumeInicial&gt;</v>
      </c>
    </row>
    <row r="54" spans="2:31" hidden="1" x14ac:dyDescent="0.25">
      <c r="B54">
        <f>Apoio!A9</f>
        <v>0</v>
      </c>
      <c r="C54" s="74" t="str">
        <f>IF(Apoio!B9&lt;&gt;"",Apoio!B9,"")</f>
        <v/>
      </c>
      <c r="D54" s="38">
        <f>base!D54</f>
        <v>0</v>
      </c>
      <c r="E54" s="36">
        <f t="shared" si="1"/>
        <v>0</v>
      </c>
      <c r="F54" s="173">
        <f t="shared" si="2"/>
        <v>0</v>
      </c>
      <c r="G54" s="174"/>
      <c r="AE54" t="str">
        <f t="shared" si="3"/>
        <v/>
      </c>
    </row>
    <row r="55" spans="2:31" hidden="1" x14ac:dyDescent="0.25">
      <c r="B55">
        <f>Apoio!A10</f>
        <v>0</v>
      </c>
      <c r="C55" s="74" t="str">
        <f>IF(Apoio!B10&lt;&gt;"",Apoio!B10,"")</f>
        <v/>
      </c>
      <c r="D55" s="38">
        <f>base!D55</f>
        <v>0</v>
      </c>
      <c r="E55" s="36">
        <f t="shared" si="1"/>
        <v>0</v>
      </c>
      <c r="F55" s="173">
        <f t="shared" si="2"/>
        <v>0</v>
      </c>
      <c r="G55" s="174"/>
      <c r="AE55" t="str">
        <f t="shared" si="3"/>
        <v/>
      </c>
    </row>
    <row r="56" spans="2:31" hidden="1" x14ac:dyDescent="0.25">
      <c r="B56">
        <f>Apoio!A11</f>
        <v>0</v>
      </c>
      <c r="C56" s="74" t="str">
        <f>IF(Apoio!B11&lt;&gt;"",Apoio!B11,"")</f>
        <v/>
      </c>
      <c r="D56" s="38">
        <f>base!D56</f>
        <v>0</v>
      </c>
      <c r="E56" s="36">
        <f t="shared" si="1"/>
        <v>0</v>
      </c>
      <c r="F56" s="173">
        <f t="shared" si="2"/>
        <v>0</v>
      </c>
      <c r="G56" s="174"/>
      <c r="AE56" t="str">
        <f t="shared" si="3"/>
        <v/>
      </c>
    </row>
    <row r="57" spans="2:31" hidden="1" x14ac:dyDescent="0.25">
      <c r="B57">
        <f>Apoio!A12</f>
        <v>0</v>
      </c>
      <c r="C57" s="74" t="str">
        <f>IF(Apoio!B12&lt;&gt;"",Apoio!B12,"")</f>
        <v/>
      </c>
      <c r="D57" s="38">
        <f>base!D57</f>
        <v>0</v>
      </c>
      <c r="E57" s="36">
        <f t="shared" si="1"/>
        <v>0</v>
      </c>
      <c r="F57" s="173">
        <f t="shared" si="2"/>
        <v>0</v>
      </c>
      <c r="G57" s="174"/>
      <c r="AE57" t="str">
        <f t="shared" si="3"/>
        <v/>
      </c>
    </row>
    <row r="58" spans="2:31" hidden="1" x14ac:dyDescent="0.25">
      <c r="B58">
        <f>Apoio!A13</f>
        <v>0</v>
      </c>
      <c r="C58" s="74" t="str">
        <f>IF(Apoio!B13&lt;&gt;"",Apoio!B13,"")</f>
        <v/>
      </c>
      <c r="D58" s="38">
        <f>base!D58</f>
        <v>0</v>
      </c>
      <c r="E58" s="36">
        <f t="shared" si="1"/>
        <v>0</v>
      </c>
      <c r="F58" s="173">
        <f t="shared" si="2"/>
        <v>0</v>
      </c>
      <c r="G58" s="174"/>
      <c r="AE58" t="str">
        <f t="shared" si="3"/>
        <v/>
      </c>
    </row>
    <row r="59" spans="2:31" hidden="1" x14ac:dyDescent="0.25">
      <c r="B59">
        <f>Apoio!A14</f>
        <v>0</v>
      </c>
      <c r="C59" s="74" t="str">
        <f>IF(Apoio!B14&lt;&gt;"",Apoio!B14,"")</f>
        <v/>
      </c>
      <c r="D59" s="38">
        <f>base!D59</f>
        <v>0</v>
      </c>
      <c r="E59" s="36">
        <f t="shared" si="1"/>
        <v>0</v>
      </c>
      <c r="F59" s="173">
        <f t="shared" si="2"/>
        <v>0</v>
      </c>
      <c r="G59" s="174"/>
      <c r="AE59" t="str">
        <f t="shared" si="3"/>
        <v/>
      </c>
    </row>
    <row r="60" spans="2:31" hidden="1" x14ac:dyDescent="0.25">
      <c r="B60">
        <f>Apoio!A15</f>
        <v>0</v>
      </c>
      <c r="C60" s="74" t="str">
        <f>IF(Apoio!B15&lt;&gt;"",Apoio!B15,"")</f>
        <v/>
      </c>
      <c r="D60" s="38">
        <f>base!D60</f>
        <v>0</v>
      </c>
      <c r="E60" s="36">
        <f t="shared" si="1"/>
        <v>0</v>
      </c>
      <c r="F60" s="173">
        <f t="shared" si="2"/>
        <v>0</v>
      </c>
      <c r="G60" s="174"/>
      <c r="AE60" t="str">
        <f t="shared" si="3"/>
        <v/>
      </c>
    </row>
    <row r="61" spans="2:31" hidden="1" x14ac:dyDescent="0.25">
      <c r="B61">
        <f>Apoio!A16</f>
        <v>0</v>
      </c>
      <c r="C61" s="74" t="str">
        <f>IF(Apoio!B16&lt;&gt;"",Apoio!B16,"")</f>
        <v/>
      </c>
      <c r="D61" s="38">
        <f>base!D61</f>
        <v>0</v>
      </c>
      <c r="E61" s="36">
        <f t="shared" si="1"/>
        <v>0</v>
      </c>
      <c r="F61" s="173">
        <f t="shared" si="2"/>
        <v>0</v>
      </c>
      <c r="G61" s="174"/>
      <c r="AE61" t="str">
        <f t="shared" si="3"/>
        <v/>
      </c>
    </row>
    <row r="62" spans="2:31" ht="15.75" hidden="1" thickBot="1" x14ac:dyDescent="0.3">
      <c r="B62">
        <f>Apoio!A17</f>
        <v>0</v>
      </c>
      <c r="C62" s="75" t="str">
        <f>IF(Apoio!B17&lt;&gt;"",Apoio!B17,"")</f>
        <v/>
      </c>
      <c r="D62" s="38">
        <f>base!D62</f>
        <v>0</v>
      </c>
      <c r="E62" s="36">
        <f t="shared" si="1"/>
        <v>0</v>
      </c>
      <c r="F62" s="171">
        <f t="shared" si="2"/>
        <v>0</v>
      </c>
      <c r="G62" s="172"/>
      <c r="AE62" t="str">
        <f t="shared" si="3"/>
        <v/>
      </c>
    </row>
    <row r="63" spans="2:31" x14ac:dyDescent="0.25">
      <c r="B63" s="26" t="str">
        <f>base!B63</f>
        <v>Usar Newdesp:</v>
      </c>
      <c r="C63" s="95">
        <f>base!C63</f>
        <v>1</v>
      </c>
    </row>
    <row r="64" spans="2:31" ht="15.75" thickBot="1" x14ac:dyDescent="0.3">
      <c r="B64" s="26" t="str">
        <f>base!B64</f>
        <v>Definir VolumePO:</v>
      </c>
      <c r="C64" s="95">
        <f>base!C64</f>
        <v>1</v>
      </c>
    </row>
    <row r="65" spans="2:31" ht="15.75" thickBot="1" x14ac:dyDescent="0.3">
      <c r="B65" s="9" t="s">
        <v>67</v>
      </c>
      <c r="D65" s="33" t="str">
        <f>"01/"&amp;$C$2</f>
        <v>01/2016</v>
      </c>
      <c r="E65" s="34" t="str">
        <f>"02/"&amp;$C$2</f>
        <v>02/2016</v>
      </c>
      <c r="F65" s="34" t="str">
        <f>"03/"&amp;$C$2</f>
        <v>03/2016</v>
      </c>
      <c r="G65" s="34" t="str">
        <f>"04/"&amp;$C$2</f>
        <v>04/2016</v>
      </c>
      <c r="H65" s="34" t="str">
        <f>"05/"&amp;$C$2</f>
        <v>05/2016</v>
      </c>
      <c r="I65" s="34" t="str">
        <f>"06/"&amp;$C$2</f>
        <v>06/2016</v>
      </c>
      <c r="J65" s="34" t="str">
        <f>"07/"&amp;$C$2</f>
        <v>07/2016</v>
      </c>
      <c r="K65" s="34" t="str">
        <f>"08/"&amp;$C$2</f>
        <v>08/2016</v>
      </c>
      <c r="L65" s="34" t="str">
        <f>"09/"&amp;$C$2</f>
        <v>09/2016</v>
      </c>
      <c r="M65" s="34" t="str">
        <f>"10/"&amp;$C$2</f>
        <v>10/2016</v>
      </c>
      <c r="N65" s="34" t="str">
        <f>"11/"&amp;$C$2</f>
        <v>11/2016</v>
      </c>
      <c r="O65" s="35" t="str">
        <f>"12/"&amp;$C$2</f>
        <v>12/2016</v>
      </c>
      <c r="P65" s="10"/>
      <c r="R65" s="4" t="str">
        <f>"01/"&amp;$C$2</f>
        <v>01/2016</v>
      </c>
      <c r="S65" s="4" t="str">
        <f>"02/"&amp;$C$2</f>
        <v>02/2016</v>
      </c>
      <c r="T65" s="4" t="str">
        <f>"03/"&amp;$C$2</f>
        <v>03/2016</v>
      </c>
      <c r="U65" s="4" t="str">
        <f>"04/"&amp;$C$2</f>
        <v>04/2016</v>
      </c>
      <c r="V65" s="4" t="str">
        <f>"05/"&amp;$C$2</f>
        <v>05/2016</v>
      </c>
      <c r="W65" s="4" t="str">
        <f>"06/"&amp;$C$2</f>
        <v>06/2016</v>
      </c>
      <c r="X65" s="4" t="str">
        <f>"07/"&amp;$C$2</f>
        <v>07/2016</v>
      </c>
      <c r="Y65" s="4" t="str">
        <f>"08/"&amp;$C$2</f>
        <v>08/2016</v>
      </c>
      <c r="Z65" s="4" t="str">
        <f>"09/"&amp;$C$2</f>
        <v>09/2016</v>
      </c>
      <c r="AA65" s="4" t="str">
        <f>"10/"&amp;$C$2</f>
        <v>10/2016</v>
      </c>
      <c r="AB65" s="4" t="str">
        <f>"11/"&amp;$C$2</f>
        <v>11/2016</v>
      </c>
      <c r="AC65" s="4" t="str">
        <f>"12/"&amp;$C$2</f>
        <v>12/2016</v>
      </c>
    </row>
    <row r="66" spans="2:31" x14ac:dyDescent="0.25">
      <c r="B66">
        <f>Apoio!A3</f>
        <v>1</v>
      </c>
      <c r="C66" s="17" t="str">
        <f>IF(Apoio!B3&lt;&gt;"",Apoio!B3&amp;"_u","")</f>
        <v>SE_u</v>
      </c>
      <c r="D66" s="113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5">
        <v>0</v>
      </c>
      <c r="P66" s="12"/>
      <c r="R66" s="1" t="str">
        <f>virgPonto(D66)</f>
        <v>0.0</v>
      </c>
      <c r="S66" s="1" t="str">
        <f t="shared" ref="S66:AC80" si="4">virgPonto(E66)</f>
        <v>0.0</v>
      </c>
      <c r="T66" s="1" t="str">
        <f t="shared" si="4"/>
        <v>0.0</v>
      </c>
      <c r="U66" s="1" t="str">
        <f t="shared" si="4"/>
        <v>0.0</v>
      </c>
      <c r="V66" s="1" t="str">
        <f t="shared" si="4"/>
        <v>0.0</v>
      </c>
      <c r="W66" s="1" t="str">
        <f t="shared" si="4"/>
        <v>0.0</v>
      </c>
      <c r="X66" s="1" t="str">
        <f t="shared" si="4"/>
        <v>0.0</v>
      </c>
      <c r="Y66" s="1" t="str">
        <f t="shared" si="4"/>
        <v>0.0</v>
      </c>
      <c r="Z66" s="1" t="str">
        <f t="shared" si="4"/>
        <v>0.0</v>
      </c>
      <c r="AA66" s="1" t="str">
        <f t="shared" si="4"/>
        <v>0.0</v>
      </c>
      <c r="AB66" s="1" t="str">
        <f t="shared" si="4"/>
        <v>0.0</v>
      </c>
      <c r="AC66" s="1" t="str">
        <f t="shared" si="4"/>
        <v>0.0</v>
      </c>
      <c r="AE66" s="28" t="str">
        <f>IF(C66="","",CONCATENATE("&lt;VolumePO SubMercado=""",B30,""" MesReferencia=""1""&gt; ",R66," ",S66," ",T66," ",U66," ",V66," ",W66," ",X66," ",Y66," ",Z66," ",AA66," ",AB66," ",AC66," &lt;/VolumePO&gt;"))</f>
        <v>&lt;VolumePO SubMercado="1" MesReferencia="1"&gt; 0.0 0.0 0.0 0.0 0.0 0.0 0.0 0.0 0.0 0.0 0.0 0.0 &lt;/VolumePO&gt;</v>
      </c>
    </row>
    <row r="67" spans="2:31" x14ac:dyDescent="0.25">
      <c r="B67">
        <f>Apoio!A4</f>
        <v>2</v>
      </c>
      <c r="C67" s="18" t="str">
        <f>IF(Apoio!B4&lt;&gt;"",Apoio!B4&amp;"_u","")</f>
        <v>S_u</v>
      </c>
      <c r="D67" s="116">
        <v>0</v>
      </c>
      <c r="E67" s="117">
        <v>0</v>
      </c>
      <c r="F67" s="117">
        <v>0</v>
      </c>
      <c r="G67" s="117">
        <v>0</v>
      </c>
      <c r="H67" s="117">
        <v>0</v>
      </c>
      <c r="I67" s="117">
        <v>0</v>
      </c>
      <c r="J67" s="117">
        <v>0</v>
      </c>
      <c r="K67" s="117">
        <v>0</v>
      </c>
      <c r="L67" s="117">
        <v>0</v>
      </c>
      <c r="M67" s="117">
        <v>0</v>
      </c>
      <c r="N67" s="117">
        <v>0</v>
      </c>
      <c r="O67" s="118">
        <v>0</v>
      </c>
      <c r="P67" s="12"/>
      <c r="R67" s="1" t="str">
        <f t="shared" ref="R67:R80" si="5">virgPonto(D67)</f>
        <v>0.0</v>
      </c>
      <c r="S67" s="1" t="str">
        <f t="shared" si="4"/>
        <v>0.0</v>
      </c>
      <c r="T67" s="1" t="str">
        <f t="shared" si="4"/>
        <v>0.0</v>
      </c>
      <c r="U67" s="1" t="str">
        <f t="shared" si="4"/>
        <v>0.0</v>
      </c>
      <c r="V67" s="1" t="str">
        <f t="shared" si="4"/>
        <v>0.0</v>
      </c>
      <c r="W67" s="1" t="str">
        <f t="shared" si="4"/>
        <v>0.0</v>
      </c>
      <c r="X67" s="1" t="str">
        <f t="shared" si="4"/>
        <v>0.0</v>
      </c>
      <c r="Y67" s="1" t="str">
        <f t="shared" si="4"/>
        <v>0.0</v>
      </c>
      <c r="Z67" s="1" t="str">
        <f t="shared" si="4"/>
        <v>0.0</v>
      </c>
      <c r="AA67" s="1" t="str">
        <f t="shared" si="4"/>
        <v>0.0</v>
      </c>
      <c r="AB67" s="1" t="str">
        <f t="shared" si="4"/>
        <v>0.0</v>
      </c>
      <c r="AC67" s="1" t="str">
        <f t="shared" si="4"/>
        <v>0.0</v>
      </c>
      <c r="AE67" s="28" t="str">
        <f t="shared" ref="AE67:AE80" si="6">IF(C67="","",CONCATENATE("&lt;VolumePO SubMercado=""",B31,""" MesReferencia=""1""&gt; ",R67," ",S67," ",T67," ",U67," ",V67," ",W67," ",X67," ",Y67," ",Z67," ",AA67," ",AB67," ",AC67," &lt;/VolumePO&gt;"))</f>
        <v>&lt;VolumePO SubMercado="2" MesReferencia="1"&gt; 0.0 0.0 0.0 0.0 0.0 0.0 0.0 0.0 0.0 0.0 0.0 0.0 &lt;/VolumePO&gt;</v>
      </c>
    </row>
    <row r="68" spans="2:31" x14ac:dyDescent="0.25">
      <c r="B68">
        <f>Apoio!A5</f>
        <v>3</v>
      </c>
      <c r="C68" s="19" t="str">
        <f>IF(Apoio!B5&lt;&gt;"",Apoio!B5&amp;"_u","")</f>
        <v>NE_u</v>
      </c>
      <c r="D68" s="116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8">
        <v>0</v>
      </c>
      <c r="P68" s="12"/>
      <c r="R68" s="1" t="str">
        <f t="shared" si="5"/>
        <v>0.0</v>
      </c>
      <c r="S68" s="1" t="str">
        <f t="shared" si="4"/>
        <v>0.0</v>
      </c>
      <c r="T68" s="1" t="str">
        <f t="shared" si="4"/>
        <v>0.0</v>
      </c>
      <c r="U68" s="1" t="str">
        <f t="shared" si="4"/>
        <v>0.0</v>
      </c>
      <c r="V68" s="1" t="str">
        <f t="shared" si="4"/>
        <v>0.0</v>
      </c>
      <c r="W68" s="1" t="str">
        <f t="shared" si="4"/>
        <v>0.0</v>
      </c>
      <c r="X68" s="1" t="str">
        <f t="shared" si="4"/>
        <v>0.0</v>
      </c>
      <c r="Y68" s="1" t="str">
        <f t="shared" si="4"/>
        <v>0.0</v>
      </c>
      <c r="Z68" s="1" t="str">
        <f t="shared" si="4"/>
        <v>0.0</v>
      </c>
      <c r="AA68" s="1" t="str">
        <f t="shared" si="4"/>
        <v>0.0</v>
      </c>
      <c r="AB68" s="1" t="str">
        <f t="shared" si="4"/>
        <v>0.0</v>
      </c>
      <c r="AC68" s="1" t="str">
        <f t="shared" si="4"/>
        <v>0.0</v>
      </c>
      <c r="AE68" s="28" t="str">
        <f t="shared" si="6"/>
        <v>&lt;VolumePO SubMercado="3" MesReferencia="1"&gt; 0.0 0.0 0.0 0.0 0.0 0.0 0.0 0.0 0.0 0.0 0.0 0.0 &lt;/VolumePO&gt;</v>
      </c>
    </row>
    <row r="69" spans="2:31" ht="15.75" thickBot="1" x14ac:dyDescent="0.3">
      <c r="B69">
        <f>Apoio!A6</f>
        <v>4</v>
      </c>
      <c r="C69" s="20" t="str">
        <f>IF(Apoio!B6&lt;&gt;"",Apoio!B6&amp;"_u","")</f>
        <v>N_u</v>
      </c>
      <c r="D69" s="119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1">
        <v>0</v>
      </c>
      <c r="P69" s="12"/>
      <c r="R69" s="1" t="str">
        <f t="shared" si="5"/>
        <v>0.0</v>
      </c>
      <c r="S69" s="1" t="str">
        <f t="shared" si="4"/>
        <v>0.0</v>
      </c>
      <c r="T69" s="1" t="str">
        <f t="shared" si="4"/>
        <v>0.0</v>
      </c>
      <c r="U69" s="1" t="str">
        <f t="shared" si="4"/>
        <v>0.0</v>
      </c>
      <c r="V69" s="1" t="str">
        <f t="shared" si="4"/>
        <v>0.0</v>
      </c>
      <c r="W69" s="1" t="str">
        <f t="shared" si="4"/>
        <v>0.0</v>
      </c>
      <c r="X69" s="1" t="str">
        <f t="shared" si="4"/>
        <v>0.0</v>
      </c>
      <c r="Y69" s="1" t="str">
        <f t="shared" si="4"/>
        <v>0.0</v>
      </c>
      <c r="Z69" s="1" t="str">
        <f t="shared" si="4"/>
        <v>0.0</v>
      </c>
      <c r="AA69" s="1" t="str">
        <f t="shared" si="4"/>
        <v>0.0</v>
      </c>
      <c r="AB69" s="1" t="str">
        <f t="shared" si="4"/>
        <v>0.0</v>
      </c>
      <c r="AC69" s="1" t="str">
        <f t="shared" si="4"/>
        <v>0.0</v>
      </c>
      <c r="AE69" s="28" t="str">
        <f t="shared" si="6"/>
        <v>&lt;VolumePO SubMercado="4" MesReferencia="1"&gt; 0.0 0.0 0.0 0.0 0.0 0.0 0.0 0.0 0.0 0.0 0.0 0.0 &lt;/VolumePO&gt;</v>
      </c>
    </row>
    <row r="70" spans="2:31" x14ac:dyDescent="0.25">
      <c r="B70">
        <f>Apoio!A7</f>
        <v>6</v>
      </c>
      <c r="C70" s="72" t="str">
        <f>IF(Apoio!B7&lt;&gt;"",Apoio!B7&amp;"_u","")</f>
        <v>MD_u</v>
      </c>
      <c r="D70" s="119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1">
        <v>0</v>
      </c>
      <c r="P70" s="12"/>
      <c r="R70" s="1" t="str">
        <f t="shared" si="5"/>
        <v>0.0</v>
      </c>
      <c r="S70" s="1" t="str">
        <f t="shared" si="4"/>
        <v>0.0</v>
      </c>
      <c r="T70" s="1" t="str">
        <f t="shared" si="4"/>
        <v>0.0</v>
      </c>
      <c r="U70" s="1" t="str">
        <f t="shared" si="4"/>
        <v>0.0</v>
      </c>
      <c r="V70" s="1" t="str">
        <f t="shared" si="4"/>
        <v>0.0</v>
      </c>
      <c r="W70" s="1" t="str">
        <f t="shared" si="4"/>
        <v>0.0</v>
      </c>
      <c r="X70" s="1" t="str">
        <f t="shared" si="4"/>
        <v>0.0</v>
      </c>
      <c r="Y70" s="1" t="str">
        <f t="shared" si="4"/>
        <v>0.0</v>
      </c>
      <c r="Z70" s="1" t="str">
        <f t="shared" si="4"/>
        <v>0.0</v>
      </c>
      <c r="AA70" s="1" t="str">
        <f t="shared" si="4"/>
        <v>0.0</v>
      </c>
      <c r="AB70" s="1" t="str">
        <f t="shared" si="4"/>
        <v>0.0</v>
      </c>
      <c r="AC70" s="1" t="str">
        <f t="shared" si="4"/>
        <v>0.0</v>
      </c>
      <c r="AE70" s="28" t="str">
        <f t="shared" si="6"/>
        <v>&lt;VolumePO SubMercado="6" MesReferencia="1"&gt; 0.0 0.0 0.0 0.0 0.0 0.0 0.0 0.0 0.0 0.0 0.0 0.0 &lt;/VolumePO&gt;</v>
      </c>
    </row>
    <row r="71" spans="2:31" x14ac:dyDescent="0.25">
      <c r="B71">
        <f>Apoio!A8</f>
        <v>8</v>
      </c>
      <c r="C71" s="73" t="str">
        <f>IF(Apoio!B8&lt;&gt;"",Apoio!B8&amp;"_u","")</f>
        <v>BM_u</v>
      </c>
      <c r="D71" s="119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1">
        <v>0</v>
      </c>
      <c r="P71" s="12"/>
      <c r="R71" s="1" t="str">
        <f t="shared" si="5"/>
        <v>0.0</v>
      </c>
      <c r="S71" s="1" t="str">
        <f t="shared" si="4"/>
        <v>0.0</v>
      </c>
      <c r="T71" s="1" t="str">
        <f t="shared" si="4"/>
        <v>0.0</v>
      </c>
      <c r="U71" s="1" t="str">
        <f t="shared" si="4"/>
        <v>0.0</v>
      </c>
      <c r="V71" s="1" t="str">
        <f t="shared" si="4"/>
        <v>0.0</v>
      </c>
      <c r="W71" s="1" t="str">
        <f t="shared" si="4"/>
        <v>0.0</v>
      </c>
      <c r="X71" s="1" t="str">
        <f t="shared" si="4"/>
        <v>0.0</v>
      </c>
      <c r="Y71" s="1" t="str">
        <f t="shared" si="4"/>
        <v>0.0</v>
      </c>
      <c r="Z71" s="1" t="str">
        <f t="shared" si="4"/>
        <v>0.0</v>
      </c>
      <c r="AA71" s="1" t="str">
        <f t="shared" si="4"/>
        <v>0.0</v>
      </c>
      <c r="AB71" s="1" t="str">
        <f t="shared" si="4"/>
        <v>0.0</v>
      </c>
      <c r="AC71" s="1" t="str">
        <f t="shared" si="4"/>
        <v>0.0</v>
      </c>
      <c r="AE71" s="28" t="str">
        <f t="shared" si="6"/>
        <v>&lt;VolumePO SubMercado="8" MesReferencia="1"&gt; 0.0 0.0 0.0 0.0 0.0 0.0 0.0 0.0 0.0 0.0 0.0 0.0 &lt;/VolumePO&gt;</v>
      </c>
    </row>
    <row r="72" spans="2:31" x14ac:dyDescent="0.25">
      <c r="B72">
        <f>Apoio!A9</f>
        <v>0</v>
      </c>
      <c r="C72" s="74" t="str">
        <f>IF(Apoio!B9&lt;&gt;"",Apoio!B9&amp;"_u","")</f>
        <v/>
      </c>
      <c r="D72" s="119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1"/>
      <c r="P72" s="12"/>
      <c r="R72" s="1" t="str">
        <f t="shared" si="5"/>
        <v>0.0</v>
      </c>
      <c r="S72" s="1" t="str">
        <f t="shared" si="4"/>
        <v>0.0</v>
      </c>
      <c r="T72" s="1" t="str">
        <f t="shared" si="4"/>
        <v>0.0</v>
      </c>
      <c r="U72" s="1" t="str">
        <f t="shared" si="4"/>
        <v>0.0</v>
      </c>
      <c r="V72" s="1" t="str">
        <f t="shared" si="4"/>
        <v>0.0</v>
      </c>
      <c r="W72" s="1" t="str">
        <f t="shared" si="4"/>
        <v>0.0</v>
      </c>
      <c r="X72" s="1" t="str">
        <f t="shared" si="4"/>
        <v>0.0</v>
      </c>
      <c r="Y72" s="1" t="str">
        <f t="shared" si="4"/>
        <v>0.0</v>
      </c>
      <c r="Z72" s="1" t="str">
        <f t="shared" si="4"/>
        <v>0.0</v>
      </c>
      <c r="AA72" s="1" t="str">
        <f t="shared" si="4"/>
        <v>0.0</v>
      </c>
      <c r="AB72" s="1" t="str">
        <f t="shared" si="4"/>
        <v>0.0</v>
      </c>
      <c r="AC72" s="1" t="str">
        <f t="shared" si="4"/>
        <v>0.0</v>
      </c>
      <c r="AE72" s="28" t="str">
        <f t="shared" si="6"/>
        <v/>
      </c>
    </row>
    <row r="73" spans="2:31" x14ac:dyDescent="0.25">
      <c r="B73">
        <f>Apoio!A10</f>
        <v>0</v>
      </c>
      <c r="C73" s="74" t="str">
        <f>IF(Apoio!B10&lt;&gt;"",Apoio!B10&amp;"_u","")</f>
        <v/>
      </c>
      <c r="D73" s="119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1"/>
      <c r="P73" s="12"/>
      <c r="R73" s="1" t="str">
        <f t="shared" si="5"/>
        <v>0.0</v>
      </c>
      <c r="S73" s="1" t="str">
        <f t="shared" si="4"/>
        <v>0.0</v>
      </c>
      <c r="T73" s="1" t="str">
        <f t="shared" si="4"/>
        <v>0.0</v>
      </c>
      <c r="U73" s="1" t="str">
        <f t="shared" si="4"/>
        <v>0.0</v>
      </c>
      <c r="V73" s="1" t="str">
        <f t="shared" si="4"/>
        <v>0.0</v>
      </c>
      <c r="W73" s="1" t="str">
        <f t="shared" si="4"/>
        <v>0.0</v>
      </c>
      <c r="X73" s="1" t="str">
        <f t="shared" si="4"/>
        <v>0.0</v>
      </c>
      <c r="Y73" s="1" t="str">
        <f t="shared" si="4"/>
        <v>0.0</v>
      </c>
      <c r="Z73" s="1" t="str">
        <f t="shared" si="4"/>
        <v>0.0</v>
      </c>
      <c r="AA73" s="1" t="str">
        <f t="shared" si="4"/>
        <v>0.0</v>
      </c>
      <c r="AB73" s="1" t="str">
        <f t="shared" si="4"/>
        <v>0.0</v>
      </c>
      <c r="AC73" s="1" t="str">
        <f t="shared" si="4"/>
        <v>0.0</v>
      </c>
      <c r="AE73" s="28" t="str">
        <f t="shared" si="6"/>
        <v/>
      </c>
    </row>
    <row r="74" spans="2:31" x14ac:dyDescent="0.25">
      <c r="B74">
        <f>Apoio!A11</f>
        <v>0</v>
      </c>
      <c r="C74" s="74" t="str">
        <f>IF(Apoio!B11&lt;&gt;"",Apoio!B11&amp;"_u","")</f>
        <v/>
      </c>
      <c r="D74" s="119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1"/>
      <c r="P74" s="12"/>
      <c r="R74" s="1" t="str">
        <f t="shared" si="5"/>
        <v>0.0</v>
      </c>
      <c r="S74" s="1" t="str">
        <f t="shared" si="4"/>
        <v>0.0</v>
      </c>
      <c r="T74" s="1" t="str">
        <f t="shared" si="4"/>
        <v>0.0</v>
      </c>
      <c r="U74" s="1" t="str">
        <f t="shared" si="4"/>
        <v>0.0</v>
      </c>
      <c r="V74" s="1" t="str">
        <f t="shared" si="4"/>
        <v>0.0</v>
      </c>
      <c r="W74" s="1" t="str">
        <f t="shared" si="4"/>
        <v>0.0</v>
      </c>
      <c r="X74" s="1" t="str">
        <f t="shared" si="4"/>
        <v>0.0</v>
      </c>
      <c r="Y74" s="1" t="str">
        <f t="shared" si="4"/>
        <v>0.0</v>
      </c>
      <c r="Z74" s="1" t="str">
        <f t="shared" si="4"/>
        <v>0.0</v>
      </c>
      <c r="AA74" s="1" t="str">
        <f t="shared" si="4"/>
        <v>0.0</v>
      </c>
      <c r="AB74" s="1" t="str">
        <f t="shared" si="4"/>
        <v>0.0</v>
      </c>
      <c r="AC74" s="1" t="str">
        <f t="shared" si="4"/>
        <v>0.0</v>
      </c>
      <c r="AE74" s="28" t="str">
        <f t="shared" si="6"/>
        <v/>
      </c>
    </row>
    <row r="75" spans="2:31" x14ac:dyDescent="0.25">
      <c r="B75">
        <f>Apoio!A12</f>
        <v>0</v>
      </c>
      <c r="C75" s="74" t="str">
        <f>IF(Apoio!B12&lt;&gt;"",Apoio!B12&amp;"_u","")</f>
        <v/>
      </c>
      <c r="D75" s="119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1"/>
      <c r="P75" s="12"/>
      <c r="R75" s="1" t="str">
        <f t="shared" si="5"/>
        <v>0.0</v>
      </c>
      <c r="S75" s="1" t="str">
        <f t="shared" si="4"/>
        <v>0.0</v>
      </c>
      <c r="T75" s="1" t="str">
        <f t="shared" si="4"/>
        <v>0.0</v>
      </c>
      <c r="U75" s="1" t="str">
        <f t="shared" si="4"/>
        <v>0.0</v>
      </c>
      <c r="V75" s="1" t="str">
        <f t="shared" si="4"/>
        <v>0.0</v>
      </c>
      <c r="W75" s="1" t="str">
        <f t="shared" si="4"/>
        <v>0.0</v>
      </c>
      <c r="X75" s="1" t="str">
        <f t="shared" si="4"/>
        <v>0.0</v>
      </c>
      <c r="Y75" s="1" t="str">
        <f t="shared" si="4"/>
        <v>0.0</v>
      </c>
      <c r="Z75" s="1" t="str">
        <f t="shared" si="4"/>
        <v>0.0</v>
      </c>
      <c r="AA75" s="1" t="str">
        <f t="shared" si="4"/>
        <v>0.0</v>
      </c>
      <c r="AB75" s="1" t="str">
        <f t="shared" si="4"/>
        <v>0.0</v>
      </c>
      <c r="AC75" s="1" t="str">
        <f t="shared" si="4"/>
        <v>0.0</v>
      </c>
      <c r="AE75" s="28" t="str">
        <f t="shared" si="6"/>
        <v/>
      </c>
    </row>
    <row r="76" spans="2:31" x14ac:dyDescent="0.25">
      <c r="B76">
        <f>Apoio!A13</f>
        <v>0</v>
      </c>
      <c r="C76" s="74" t="str">
        <f>IF(Apoio!B13&lt;&gt;"",Apoio!B13&amp;"_u","")</f>
        <v/>
      </c>
      <c r="D76" s="119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1"/>
      <c r="P76" s="12"/>
      <c r="R76" s="1" t="str">
        <f t="shared" si="5"/>
        <v>0.0</v>
      </c>
      <c r="S76" s="1" t="str">
        <f t="shared" si="4"/>
        <v>0.0</v>
      </c>
      <c r="T76" s="1" t="str">
        <f t="shared" si="4"/>
        <v>0.0</v>
      </c>
      <c r="U76" s="1" t="str">
        <f t="shared" si="4"/>
        <v>0.0</v>
      </c>
      <c r="V76" s="1" t="str">
        <f t="shared" si="4"/>
        <v>0.0</v>
      </c>
      <c r="W76" s="1" t="str">
        <f t="shared" si="4"/>
        <v>0.0</v>
      </c>
      <c r="X76" s="1" t="str">
        <f t="shared" si="4"/>
        <v>0.0</v>
      </c>
      <c r="Y76" s="1" t="str">
        <f t="shared" si="4"/>
        <v>0.0</v>
      </c>
      <c r="Z76" s="1" t="str">
        <f t="shared" si="4"/>
        <v>0.0</v>
      </c>
      <c r="AA76" s="1" t="str">
        <f t="shared" si="4"/>
        <v>0.0</v>
      </c>
      <c r="AB76" s="1" t="str">
        <f t="shared" si="4"/>
        <v>0.0</v>
      </c>
      <c r="AC76" s="1" t="str">
        <f t="shared" si="4"/>
        <v>0.0</v>
      </c>
      <c r="AE76" s="28" t="str">
        <f t="shared" si="6"/>
        <v/>
      </c>
    </row>
    <row r="77" spans="2:31" x14ac:dyDescent="0.25">
      <c r="B77">
        <f>Apoio!A14</f>
        <v>0</v>
      </c>
      <c r="C77" s="74" t="str">
        <f>IF(Apoio!B14&lt;&gt;"",Apoio!B14&amp;"_u","")</f>
        <v/>
      </c>
      <c r="D77" s="119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1"/>
      <c r="P77" s="12"/>
      <c r="R77" s="1" t="str">
        <f t="shared" si="5"/>
        <v>0.0</v>
      </c>
      <c r="S77" s="1" t="str">
        <f t="shared" si="4"/>
        <v>0.0</v>
      </c>
      <c r="T77" s="1" t="str">
        <f t="shared" si="4"/>
        <v>0.0</v>
      </c>
      <c r="U77" s="1" t="str">
        <f t="shared" si="4"/>
        <v>0.0</v>
      </c>
      <c r="V77" s="1" t="str">
        <f t="shared" si="4"/>
        <v>0.0</v>
      </c>
      <c r="W77" s="1" t="str">
        <f t="shared" si="4"/>
        <v>0.0</v>
      </c>
      <c r="X77" s="1" t="str">
        <f t="shared" si="4"/>
        <v>0.0</v>
      </c>
      <c r="Y77" s="1" t="str">
        <f t="shared" si="4"/>
        <v>0.0</v>
      </c>
      <c r="Z77" s="1" t="str">
        <f t="shared" si="4"/>
        <v>0.0</v>
      </c>
      <c r="AA77" s="1" t="str">
        <f t="shared" si="4"/>
        <v>0.0</v>
      </c>
      <c r="AB77" s="1" t="str">
        <f t="shared" si="4"/>
        <v>0.0</v>
      </c>
      <c r="AC77" s="1" t="str">
        <f t="shared" si="4"/>
        <v>0.0</v>
      </c>
      <c r="AE77" s="28" t="str">
        <f t="shared" si="6"/>
        <v/>
      </c>
    </row>
    <row r="78" spans="2:31" x14ac:dyDescent="0.25">
      <c r="B78">
        <f>Apoio!A15</f>
        <v>0</v>
      </c>
      <c r="C78" s="74" t="str">
        <f>IF(Apoio!B15&lt;&gt;"",Apoio!B15&amp;"_u","")</f>
        <v/>
      </c>
      <c r="D78" s="119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1"/>
      <c r="P78" s="12"/>
      <c r="R78" s="1" t="str">
        <f t="shared" si="5"/>
        <v>0.0</v>
      </c>
      <c r="S78" s="1" t="str">
        <f t="shared" si="4"/>
        <v>0.0</v>
      </c>
      <c r="T78" s="1" t="str">
        <f t="shared" si="4"/>
        <v>0.0</v>
      </c>
      <c r="U78" s="1" t="str">
        <f t="shared" si="4"/>
        <v>0.0</v>
      </c>
      <c r="V78" s="1" t="str">
        <f t="shared" si="4"/>
        <v>0.0</v>
      </c>
      <c r="W78" s="1" t="str">
        <f t="shared" si="4"/>
        <v>0.0</v>
      </c>
      <c r="X78" s="1" t="str">
        <f t="shared" si="4"/>
        <v>0.0</v>
      </c>
      <c r="Y78" s="1" t="str">
        <f t="shared" si="4"/>
        <v>0.0</v>
      </c>
      <c r="Z78" s="1" t="str">
        <f t="shared" si="4"/>
        <v>0.0</v>
      </c>
      <c r="AA78" s="1" t="str">
        <f t="shared" si="4"/>
        <v>0.0</v>
      </c>
      <c r="AB78" s="1" t="str">
        <f t="shared" si="4"/>
        <v>0.0</v>
      </c>
      <c r="AC78" s="1" t="str">
        <f t="shared" si="4"/>
        <v>0.0</v>
      </c>
      <c r="AE78" s="28" t="str">
        <f t="shared" si="6"/>
        <v/>
      </c>
    </row>
    <row r="79" spans="2:31" x14ac:dyDescent="0.25">
      <c r="B79">
        <f>Apoio!A16</f>
        <v>0</v>
      </c>
      <c r="C79" s="74" t="str">
        <f>IF(Apoio!B16&lt;&gt;"",Apoio!B16&amp;"_u","")</f>
        <v/>
      </c>
      <c r="D79" s="119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1"/>
      <c r="P79" s="12"/>
      <c r="R79" s="1" t="str">
        <f t="shared" si="5"/>
        <v>0.0</v>
      </c>
      <c r="S79" s="1" t="str">
        <f t="shared" si="4"/>
        <v>0.0</v>
      </c>
      <c r="T79" s="1" t="str">
        <f t="shared" si="4"/>
        <v>0.0</v>
      </c>
      <c r="U79" s="1" t="str">
        <f t="shared" si="4"/>
        <v>0.0</v>
      </c>
      <c r="V79" s="1" t="str">
        <f t="shared" si="4"/>
        <v>0.0</v>
      </c>
      <c r="W79" s="1" t="str">
        <f t="shared" si="4"/>
        <v>0.0</v>
      </c>
      <c r="X79" s="1" t="str">
        <f t="shared" si="4"/>
        <v>0.0</v>
      </c>
      <c r="Y79" s="1" t="str">
        <f t="shared" si="4"/>
        <v>0.0</v>
      </c>
      <c r="Z79" s="1" t="str">
        <f t="shared" si="4"/>
        <v>0.0</v>
      </c>
      <c r="AA79" s="1" t="str">
        <f t="shared" si="4"/>
        <v>0.0</v>
      </c>
      <c r="AB79" s="1" t="str">
        <f t="shared" si="4"/>
        <v>0.0</v>
      </c>
      <c r="AC79" s="1" t="str">
        <f t="shared" si="4"/>
        <v>0.0</v>
      </c>
      <c r="AE79" s="28" t="str">
        <f t="shared" si="6"/>
        <v/>
      </c>
    </row>
    <row r="80" spans="2:31" ht="15.75" thickBot="1" x14ac:dyDescent="0.3">
      <c r="B80">
        <f>Apoio!A17</f>
        <v>0</v>
      </c>
      <c r="C80" s="75" t="str">
        <f>IF(Apoio!B17&lt;&gt;"",Apoio!B17&amp;"_u","")</f>
        <v/>
      </c>
      <c r="D80" s="122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4"/>
      <c r="P80" s="12"/>
      <c r="R80" s="1" t="str">
        <f t="shared" si="5"/>
        <v>0.0</v>
      </c>
      <c r="S80" s="1" t="str">
        <f t="shared" si="4"/>
        <v>0.0</v>
      </c>
      <c r="T80" s="1" t="str">
        <f t="shared" si="4"/>
        <v>0.0</v>
      </c>
      <c r="U80" s="1" t="str">
        <f t="shared" si="4"/>
        <v>0.0</v>
      </c>
      <c r="V80" s="1" t="str">
        <f t="shared" si="4"/>
        <v>0.0</v>
      </c>
      <c r="W80" s="1" t="str">
        <f t="shared" si="4"/>
        <v>0.0</v>
      </c>
      <c r="X80" s="1" t="str">
        <f t="shared" si="4"/>
        <v>0.0</v>
      </c>
      <c r="Y80" s="1" t="str">
        <f t="shared" si="4"/>
        <v>0.0</v>
      </c>
      <c r="Z80" s="1" t="str">
        <f t="shared" si="4"/>
        <v>0.0</v>
      </c>
      <c r="AA80" s="1" t="str">
        <f t="shared" si="4"/>
        <v>0.0</v>
      </c>
      <c r="AB80" s="1" t="str">
        <f t="shared" si="4"/>
        <v>0.0</v>
      </c>
      <c r="AC80" s="1" t="str">
        <f t="shared" si="4"/>
        <v>0.0</v>
      </c>
      <c r="AE80" s="28" t="str">
        <f t="shared" si="6"/>
        <v/>
      </c>
    </row>
    <row r="82" spans="2:31" ht="15.75" thickBot="1" x14ac:dyDescent="0.3"/>
    <row r="83" spans="2:31" ht="15.75" thickBot="1" x14ac:dyDescent="0.3">
      <c r="B83" s="33" t="s">
        <v>120</v>
      </c>
      <c r="C83" s="33" t="s">
        <v>121</v>
      </c>
      <c r="D83" s="33" t="str">
        <f>"01/"&amp;$C$2</f>
        <v>01/2016</v>
      </c>
      <c r="E83" s="34" t="str">
        <f>"02/"&amp;$C$2</f>
        <v>02/2016</v>
      </c>
      <c r="F83" s="34" t="str">
        <f>"03/"&amp;$C$2</f>
        <v>03/2016</v>
      </c>
      <c r="G83" s="34" t="str">
        <f>"04/"&amp;$C$2</f>
        <v>04/2016</v>
      </c>
      <c r="H83" s="34" t="str">
        <f>"05/"&amp;$C$2</f>
        <v>05/2016</v>
      </c>
      <c r="I83" s="34" t="str">
        <f>"06/"&amp;$C$2</f>
        <v>06/2016</v>
      </c>
      <c r="J83" s="34" t="str">
        <f>"07/"&amp;$C$2</f>
        <v>07/2016</v>
      </c>
      <c r="K83" s="34" t="str">
        <f>"08/"&amp;$C$2</f>
        <v>08/2016</v>
      </c>
      <c r="L83" s="34" t="str">
        <f>"09/"&amp;$C$2</f>
        <v>09/2016</v>
      </c>
      <c r="M83" s="34" t="str">
        <f>"10/"&amp;$C$2</f>
        <v>10/2016</v>
      </c>
      <c r="N83" s="34" t="str">
        <f>"11/"&amp;$C$2</f>
        <v>11/2016</v>
      </c>
      <c r="O83" s="35" t="str">
        <f>"12/"&amp;$C$2</f>
        <v>12/2016</v>
      </c>
    </row>
    <row r="84" spans="2:31" x14ac:dyDescent="0.25">
      <c r="B84" s="125"/>
      <c r="C84" s="125"/>
      <c r="D84" s="126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8"/>
      <c r="AE84" s="28" t="str">
        <f>IF(B84="","",CONCATENATE("&lt;PrevisaoVAZAO Posto=""",B84,""" MesReferencia=""1""&gt; ",D84," ",E84," ",F84," ",G84," ",H84," ",I84," ",J84," ",K84," ",L84," ",M84," ",N84," ",O84," &lt;/PrevisaoVAZAO&gt;"))</f>
        <v/>
      </c>
    </row>
    <row r="85" spans="2:31" x14ac:dyDescent="0.25">
      <c r="B85" s="125"/>
      <c r="C85" s="125"/>
      <c r="D85" s="126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8"/>
      <c r="AE85" s="28" t="str">
        <f t="shared" ref="AE85:AE148" si="7">IF(B85="","",CONCATENATE("&lt;PrevisaoVAZAO Posto=""",B85,""" MesReferencia=""1""&gt; ",D85," ",E85," ",F85," ",G85," ",H85," ",I85," ",J85," ",K85," ",L85," ",M85," ",N85," ",O85," &lt;/PrevisaoVAZAO&gt;"))</f>
        <v/>
      </c>
    </row>
    <row r="86" spans="2:31" x14ac:dyDescent="0.25">
      <c r="B86" s="125"/>
      <c r="C86" s="125"/>
      <c r="D86" s="126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8"/>
      <c r="AE86" s="28" t="str">
        <f t="shared" si="7"/>
        <v/>
      </c>
    </row>
    <row r="87" spans="2:31" x14ac:dyDescent="0.25">
      <c r="B87" s="125"/>
      <c r="C87" s="125"/>
      <c r="D87" s="126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8"/>
      <c r="AE87" s="28" t="str">
        <f t="shared" si="7"/>
        <v/>
      </c>
    </row>
    <row r="88" spans="2:31" x14ac:dyDescent="0.25">
      <c r="B88" s="125"/>
      <c r="C88" s="125"/>
      <c r="D88" s="126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8"/>
      <c r="AE88" s="28" t="str">
        <f t="shared" si="7"/>
        <v/>
      </c>
    </row>
    <row r="89" spans="2:31" x14ac:dyDescent="0.25">
      <c r="B89" s="125"/>
      <c r="C89" s="125"/>
      <c r="D89" s="126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8"/>
      <c r="AE89" s="28" t="str">
        <f t="shared" si="7"/>
        <v/>
      </c>
    </row>
    <row r="90" spans="2:31" x14ac:dyDescent="0.25">
      <c r="B90" s="125"/>
      <c r="C90" s="125"/>
      <c r="D90" s="126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8"/>
      <c r="AE90" s="28" t="str">
        <f t="shared" si="7"/>
        <v/>
      </c>
    </row>
    <row r="91" spans="2:31" x14ac:dyDescent="0.25">
      <c r="B91" s="125"/>
      <c r="C91" s="125"/>
      <c r="D91" s="126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8"/>
      <c r="AE91" s="28" t="str">
        <f t="shared" si="7"/>
        <v/>
      </c>
    </row>
    <row r="92" spans="2:31" x14ac:dyDescent="0.25">
      <c r="B92" s="125"/>
      <c r="C92" s="125"/>
      <c r="D92" s="126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8"/>
      <c r="AE92" s="28" t="str">
        <f t="shared" si="7"/>
        <v/>
      </c>
    </row>
    <row r="93" spans="2:31" x14ac:dyDescent="0.25">
      <c r="B93" s="125"/>
      <c r="C93" s="125"/>
      <c r="D93" s="126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8"/>
      <c r="AE93" s="28" t="str">
        <f t="shared" si="7"/>
        <v/>
      </c>
    </row>
    <row r="94" spans="2:31" x14ac:dyDescent="0.25">
      <c r="B94" s="125"/>
      <c r="C94" s="125"/>
      <c r="D94" s="126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8"/>
      <c r="AE94" s="28" t="str">
        <f t="shared" si="7"/>
        <v/>
      </c>
    </row>
    <row r="95" spans="2:31" x14ac:dyDescent="0.25">
      <c r="B95" s="125"/>
      <c r="C95" s="125"/>
      <c r="D95" s="126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8"/>
      <c r="AE95" s="28" t="str">
        <f t="shared" si="7"/>
        <v/>
      </c>
    </row>
    <row r="96" spans="2:31" x14ac:dyDescent="0.25">
      <c r="B96" s="125"/>
      <c r="C96" s="125"/>
      <c r="D96" s="126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8"/>
      <c r="AE96" s="28" t="str">
        <f t="shared" si="7"/>
        <v/>
      </c>
    </row>
    <row r="97" spans="2:31" x14ac:dyDescent="0.25">
      <c r="B97" s="125"/>
      <c r="C97" s="125"/>
      <c r="D97" s="126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8"/>
      <c r="AE97" s="28" t="str">
        <f t="shared" si="7"/>
        <v/>
      </c>
    </row>
    <row r="98" spans="2:31" x14ac:dyDescent="0.25">
      <c r="B98" s="125"/>
      <c r="C98" s="125"/>
      <c r="D98" s="126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8"/>
      <c r="AE98" s="28" t="str">
        <f t="shared" si="7"/>
        <v/>
      </c>
    </row>
    <row r="99" spans="2:31" x14ac:dyDescent="0.25">
      <c r="B99" s="125"/>
      <c r="C99" s="125"/>
      <c r="D99" s="126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8"/>
      <c r="AE99" s="28" t="str">
        <f t="shared" si="7"/>
        <v/>
      </c>
    </row>
    <row r="100" spans="2:31" x14ac:dyDescent="0.25">
      <c r="B100" s="125"/>
      <c r="C100" s="125"/>
      <c r="D100" s="126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8"/>
      <c r="AE100" s="28" t="str">
        <f t="shared" si="7"/>
        <v/>
      </c>
    </row>
    <row r="101" spans="2:31" x14ac:dyDescent="0.25">
      <c r="B101" s="125"/>
      <c r="C101" s="125"/>
      <c r="D101" s="126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8"/>
      <c r="AE101" s="28" t="str">
        <f t="shared" si="7"/>
        <v/>
      </c>
    </row>
    <row r="102" spans="2:31" x14ac:dyDescent="0.25">
      <c r="B102" s="125"/>
      <c r="C102" s="125"/>
      <c r="D102" s="126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8"/>
      <c r="AE102" s="28" t="str">
        <f t="shared" si="7"/>
        <v/>
      </c>
    </row>
    <row r="103" spans="2:31" x14ac:dyDescent="0.25">
      <c r="B103" s="125"/>
      <c r="C103" s="125"/>
      <c r="D103" s="126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8"/>
      <c r="AE103" s="28" t="str">
        <f t="shared" si="7"/>
        <v/>
      </c>
    </row>
    <row r="104" spans="2:31" x14ac:dyDescent="0.25">
      <c r="B104" s="125"/>
      <c r="C104" s="125"/>
      <c r="D104" s="126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8"/>
      <c r="AE104" s="28" t="str">
        <f t="shared" si="7"/>
        <v/>
      </c>
    </row>
    <row r="105" spans="2:31" x14ac:dyDescent="0.25">
      <c r="B105" s="125"/>
      <c r="C105" s="125"/>
      <c r="D105" s="126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8"/>
      <c r="AE105" s="28" t="str">
        <f t="shared" si="7"/>
        <v/>
      </c>
    </row>
    <row r="106" spans="2:31" x14ac:dyDescent="0.25">
      <c r="B106" s="125"/>
      <c r="C106" s="125"/>
      <c r="D106" s="126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8"/>
      <c r="AE106" s="28" t="str">
        <f t="shared" si="7"/>
        <v/>
      </c>
    </row>
    <row r="107" spans="2:31" x14ac:dyDescent="0.25">
      <c r="B107" s="125"/>
      <c r="C107" s="125"/>
      <c r="D107" s="126"/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8"/>
      <c r="AE107" s="28" t="str">
        <f t="shared" si="7"/>
        <v/>
      </c>
    </row>
    <row r="108" spans="2:31" x14ac:dyDescent="0.25">
      <c r="B108" s="125"/>
      <c r="C108" s="125"/>
      <c r="D108" s="126"/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8"/>
      <c r="AE108" s="28" t="str">
        <f t="shared" si="7"/>
        <v/>
      </c>
    </row>
    <row r="109" spans="2:31" x14ac:dyDescent="0.25">
      <c r="B109" s="125"/>
      <c r="C109" s="125"/>
      <c r="D109" s="126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8"/>
      <c r="AE109" s="28" t="str">
        <f t="shared" si="7"/>
        <v/>
      </c>
    </row>
    <row r="110" spans="2:31" x14ac:dyDescent="0.25">
      <c r="B110" s="125"/>
      <c r="C110" s="125"/>
      <c r="D110" s="126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8"/>
      <c r="AE110" s="28" t="str">
        <f t="shared" si="7"/>
        <v/>
      </c>
    </row>
    <row r="111" spans="2:31" x14ac:dyDescent="0.25">
      <c r="B111" s="125"/>
      <c r="C111" s="125"/>
      <c r="D111" s="126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8"/>
      <c r="AE111" s="28" t="str">
        <f t="shared" si="7"/>
        <v/>
      </c>
    </row>
    <row r="112" spans="2:31" x14ac:dyDescent="0.25">
      <c r="B112" s="125"/>
      <c r="C112" s="125"/>
      <c r="D112" s="126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8"/>
      <c r="AE112" s="28" t="str">
        <f t="shared" si="7"/>
        <v/>
      </c>
    </row>
    <row r="113" spans="2:31" x14ac:dyDescent="0.25">
      <c r="B113" s="125"/>
      <c r="C113" s="125"/>
      <c r="D113" s="126"/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8"/>
      <c r="AE113" s="28" t="str">
        <f t="shared" si="7"/>
        <v/>
      </c>
    </row>
    <row r="114" spans="2:31" x14ac:dyDescent="0.25">
      <c r="B114" s="125"/>
      <c r="C114" s="125"/>
      <c r="D114" s="126"/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8"/>
      <c r="AE114" s="28" t="str">
        <f t="shared" si="7"/>
        <v/>
      </c>
    </row>
    <row r="115" spans="2:31" x14ac:dyDescent="0.25">
      <c r="B115" s="125"/>
      <c r="C115" s="125"/>
      <c r="D115" s="126"/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8"/>
      <c r="AE115" s="28" t="str">
        <f t="shared" si="7"/>
        <v/>
      </c>
    </row>
    <row r="116" spans="2:31" x14ac:dyDescent="0.25">
      <c r="B116" s="125"/>
      <c r="C116" s="125"/>
      <c r="D116" s="126"/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8"/>
      <c r="AE116" s="28" t="str">
        <f t="shared" si="7"/>
        <v/>
      </c>
    </row>
    <row r="117" spans="2:31" x14ac:dyDescent="0.25">
      <c r="B117" s="125"/>
      <c r="C117" s="125"/>
      <c r="D117" s="126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8"/>
      <c r="AE117" s="28" t="str">
        <f t="shared" si="7"/>
        <v/>
      </c>
    </row>
    <row r="118" spans="2:31" x14ac:dyDescent="0.25">
      <c r="B118" s="125"/>
      <c r="C118" s="125"/>
      <c r="D118" s="126"/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8"/>
      <c r="AE118" s="28" t="str">
        <f t="shared" si="7"/>
        <v/>
      </c>
    </row>
    <row r="119" spans="2:31" x14ac:dyDescent="0.25">
      <c r="B119" s="125"/>
      <c r="C119" s="125"/>
      <c r="D119" s="126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8"/>
      <c r="AE119" s="28" t="str">
        <f t="shared" si="7"/>
        <v/>
      </c>
    </row>
    <row r="120" spans="2:31" x14ac:dyDescent="0.25">
      <c r="B120" s="125"/>
      <c r="C120" s="125"/>
      <c r="D120" s="126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8"/>
      <c r="AE120" s="28" t="str">
        <f t="shared" si="7"/>
        <v/>
      </c>
    </row>
    <row r="121" spans="2:31" x14ac:dyDescent="0.25">
      <c r="B121" s="125"/>
      <c r="C121" s="125"/>
      <c r="D121" s="126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8"/>
      <c r="AE121" s="28" t="str">
        <f t="shared" si="7"/>
        <v/>
      </c>
    </row>
    <row r="122" spans="2:31" x14ac:dyDescent="0.25">
      <c r="B122" s="125"/>
      <c r="C122" s="125"/>
      <c r="D122" s="126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8"/>
      <c r="AE122" s="28" t="str">
        <f t="shared" si="7"/>
        <v/>
      </c>
    </row>
    <row r="123" spans="2:31" x14ac:dyDescent="0.25">
      <c r="B123" s="125"/>
      <c r="C123" s="125"/>
      <c r="D123" s="126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8"/>
      <c r="AE123" s="28" t="str">
        <f t="shared" si="7"/>
        <v/>
      </c>
    </row>
    <row r="124" spans="2:31" x14ac:dyDescent="0.25">
      <c r="B124" s="125"/>
      <c r="C124" s="125"/>
      <c r="D124" s="126"/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8"/>
      <c r="AE124" s="28" t="str">
        <f t="shared" si="7"/>
        <v/>
      </c>
    </row>
    <row r="125" spans="2:31" x14ac:dyDescent="0.25">
      <c r="B125" s="125"/>
      <c r="C125" s="125"/>
      <c r="D125" s="126"/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8"/>
      <c r="AE125" s="28" t="str">
        <f t="shared" si="7"/>
        <v/>
      </c>
    </row>
    <row r="126" spans="2:31" x14ac:dyDescent="0.25">
      <c r="B126" s="125"/>
      <c r="C126" s="125"/>
      <c r="D126" s="126"/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8"/>
      <c r="AE126" s="28" t="str">
        <f t="shared" si="7"/>
        <v/>
      </c>
    </row>
    <row r="127" spans="2:31" x14ac:dyDescent="0.25">
      <c r="B127" s="125"/>
      <c r="C127" s="125"/>
      <c r="D127" s="126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8"/>
      <c r="AE127" s="28" t="str">
        <f t="shared" si="7"/>
        <v/>
      </c>
    </row>
    <row r="128" spans="2:31" x14ac:dyDescent="0.25">
      <c r="B128" s="125"/>
      <c r="C128" s="125"/>
      <c r="D128" s="126"/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8"/>
      <c r="AE128" s="28" t="str">
        <f t="shared" si="7"/>
        <v/>
      </c>
    </row>
    <row r="129" spans="2:31" x14ac:dyDescent="0.25">
      <c r="B129" s="125"/>
      <c r="C129" s="125"/>
      <c r="D129" s="126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8"/>
      <c r="AE129" s="28" t="str">
        <f t="shared" si="7"/>
        <v/>
      </c>
    </row>
    <row r="130" spans="2:31" x14ac:dyDescent="0.25">
      <c r="B130" s="125"/>
      <c r="C130" s="125"/>
      <c r="D130" s="126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8"/>
      <c r="AE130" s="28" t="str">
        <f t="shared" si="7"/>
        <v/>
      </c>
    </row>
    <row r="131" spans="2:31" x14ac:dyDescent="0.25">
      <c r="B131" s="125"/>
      <c r="C131" s="125"/>
      <c r="D131" s="126"/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8"/>
      <c r="AE131" s="28" t="str">
        <f t="shared" si="7"/>
        <v/>
      </c>
    </row>
    <row r="132" spans="2:31" x14ac:dyDescent="0.25">
      <c r="B132" s="125"/>
      <c r="C132" s="125"/>
      <c r="D132" s="126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8"/>
      <c r="AE132" s="28" t="str">
        <f t="shared" si="7"/>
        <v/>
      </c>
    </row>
    <row r="133" spans="2:31" x14ac:dyDescent="0.25">
      <c r="B133" s="125"/>
      <c r="C133" s="125"/>
      <c r="D133" s="126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8"/>
      <c r="AE133" s="28" t="str">
        <f t="shared" si="7"/>
        <v/>
      </c>
    </row>
    <row r="134" spans="2:31" x14ac:dyDescent="0.25">
      <c r="B134" s="125"/>
      <c r="C134" s="125"/>
      <c r="D134" s="126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8"/>
      <c r="AE134" s="28" t="str">
        <f t="shared" si="7"/>
        <v/>
      </c>
    </row>
    <row r="135" spans="2:31" x14ac:dyDescent="0.25">
      <c r="B135" s="125"/>
      <c r="C135" s="125"/>
      <c r="D135" s="126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8"/>
      <c r="AE135" s="28" t="str">
        <f t="shared" si="7"/>
        <v/>
      </c>
    </row>
    <row r="136" spans="2:31" x14ac:dyDescent="0.25">
      <c r="B136" s="125"/>
      <c r="C136" s="125"/>
      <c r="D136" s="126"/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8"/>
      <c r="AE136" s="28" t="str">
        <f t="shared" si="7"/>
        <v/>
      </c>
    </row>
    <row r="137" spans="2:31" x14ac:dyDescent="0.25">
      <c r="B137" s="125"/>
      <c r="C137" s="125"/>
      <c r="D137" s="126"/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8"/>
      <c r="AE137" s="28" t="str">
        <f t="shared" si="7"/>
        <v/>
      </c>
    </row>
    <row r="138" spans="2:31" x14ac:dyDescent="0.25">
      <c r="B138" s="125"/>
      <c r="C138" s="125"/>
      <c r="D138" s="126"/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8"/>
      <c r="AE138" s="28" t="str">
        <f t="shared" si="7"/>
        <v/>
      </c>
    </row>
    <row r="139" spans="2:31" x14ac:dyDescent="0.25">
      <c r="B139" s="125"/>
      <c r="C139" s="125"/>
      <c r="D139" s="126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8"/>
      <c r="AE139" s="28" t="str">
        <f t="shared" si="7"/>
        <v/>
      </c>
    </row>
    <row r="140" spans="2:31" x14ac:dyDescent="0.25">
      <c r="B140" s="125"/>
      <c r="C140" s="125"/>
      <c r="D140" s="126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8"/>
      <c r="AE140" s="28" t="str">
        <f t="shared" si="7"/>
        <v/>
      </c>
    </row>
    <row r="141" spans="2:31" x14ac:dyDescent="0.25">
      <c r="B141" s="125"/>
      <c r="C141" s="125"/>
      <c r="D141" s="126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8"/>
      <c r="AE141" s="28" t="str">
        <f t="shared" si="7"/>
        <v/>
      </c>
    </row>
    <row r="142" spans="2:31" x14ac:dyDescent="0.25">
      <c r="B142" s="125"/>
      <c r="C142" s="125"/>
      <c r="D142" s="126"/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8"/>
      <c r="AE142" s="28" t="str">
        <f t="shared" si="7"/>
        <v/>
      </c>
    </row>
    <row r="143" spans="2:31" x14ac:dyDescent="0.25">
      <c r="B143" s="125"/>
      <c r="C143" s="125"/>
      <c r="D143" s="126"/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8"/>
      <c r="AE143" s="28" t="str">
        <f t="shared" si="7"/>
        <v/>
      </c>
    </row>
    <row r="144" spans="2:31" x14ac:dyDescent="0.25">
      <c r="B144" s="125"/>
      <c r="C144" s="125"/>
      <c r="D144" s="126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8"/>
      <c r="AE144" s="28" t="str">
        <f t="shared" si="7"/>
        <v/>
      </c>
    </row>
    <row r="145" spans="2:31" x14ac:dyDescent="0.25">
      <c r="B145" s="125"/>
      <c r="C145" s="125"/>
      <c r="D145" s="126"/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8"/>
      <c r="AE145" s="28" t="str">
        <f t="shared" si="7"/>
        <v/>
      </c>
    </row>
    <row r="146" spans="2:31" x14ac:dyDescent="0.25">
      <c r="B146" s="125"/>
      <c r="C146" s="125"/>
      <c r="D146" s="126"/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8"/>
      <c r="AE146" s="28" t="str">
        <f t="shared" si="7"/>
        <v/>
      </c>
    </row>
    <row r="147" spans="2:31" x14ac:dyDescent="0.25">
      <c r="B147" s="125"/>
      <c r="C147" s="125"/>
      <c r="D147" s="126"/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8"/>
      <c r="AE147" s="28" t="str">
        <f t="shared" si="7"/>
        <v/>
      </c>
    </row>
    <row r="148" spans="2:31" x14ac:dyDescent="0.25">
      <c r="B148" s="125"/>
      <c r="C148" s="125"/>
      <c r="D148" s="126"/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8"/>
      <c r="AE148" s="28" t="str">
        <f t="shared" si="7"/>
        <v/>
      </c>
    </row>
    <row r="149" spans="2:31" x14ac:dyDescent="0.25">
      <c r="B149" s="125"/>
      <c r="C149" s="125"/>
      <c r="D149" s="126"/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8"/>
      <c r="AE149" s="28" t="str">
        <f t="shared" ref="AE149:AE212" si="8">IF(B149="","",CONCATENATE("&lt;PrevisaoVAZAO Posto=""",B149,""" MesReferencia=""1""&gt; ",D149," ",E149," ",F149," ",G149," ",H149," ",I149," ",J149," ",K149," ",L149," ",M149," ",N149," ",O149," &lt;/PrevisaoVAZAO&gt;"))</f>
        <v/>
      </c>
    </row>
    <row r="150" spans="2:31" x14ac:dyDescent="0.25">
      <c r="B150" s="125"/>
      <c r="C150" s="125"/>
      <c r="D150" s="126"/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8"/>
      <c r="AE150" s="28" t="str">
        <f t="shared" si="8"/>
        <v/>
      </c>
    </row>
    <row r="151" spans="2:31" x14ac:dyDescent="0.25">
      <c r="B151" s="125"/>
      <c r="C151" s="125"/>
      <c r="D151" s="126"/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8"/>
      <c r="AE151" s="28" t="str">
        <f t="shared" si="8"/>
        <v/>
      </c>
    </row>
    <row r="152" spans="2:31" x14ac:dyDescent="0.25">
      <c r="B152" s="125"/>
      <c r="C152" s="125"/>
      <c r="D152" s="126"/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8"/>
      <c r="AE152" s="28" t="str">
        <f t="shared" si="8"/>
        <v/>
      </c>
    </row>
    <row r="153" spans="2:31" x14ac:dyDescent="0.25">
      <c r="B153" s="125"/>
      <c r="C153" s="125"/>
      <c r="D153" s="126"/>
      <c r="E153" s="127"/>
      <c r="F153" s="127"/>
      <c r="G153" s="127"/>
      <c r="H153" s="127"/>
      <c r="I153" s="127"/>
      <c r="J153" s="127"/>
      <c r="K153" s="127"/>
      <c r="L153" s="127"/>
      <c r="M153" s="127"/>
      <c r="N153" s="127"/>
      <c r="O153" s="128"/>
      <c r="AE153" s="28" t="str">
        <f t="shared" si="8"/>
        <v/>
      </c>
    </row>
    <row r="154" spans="2:31" x14ac:dyDescent="0.25">
      <c r="B154" s="125"/>
      <c r="C154" s="125"/>
      <c r="D154" s="126"/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8"/>
      <c r="AE154" s="28" t="str">
        <f t="shared" si="8"/>
        <v/>
      </c>
    </row>
    <row r="155" spans="2:31" x14ac:dyDescent="0.25">
      <c r="B155" s="125"/>
      <c r="C155" s="125"/>
      <c r="D155" s="126"/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8"/>
      <c r="AE155" s="28" t="str">
        <f t="shared" si="8"/>
        <v/>
      </c>
    </row>
    <row r="156" spans="2:31" x14ac:dyDescent="0.25">
      <c r="B156" s="125"/>
      <c r="C156" s="125"/>
      <c r="D156" s="126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8"/>
      <c r="AE156" s="28" t="str">
        <f t="shared" si="8"/>
        <v/>
      </c>
    </row>
    <row r="157" spans="2:31" x14ac:dyDescent="0.25">
      <c r="B157" s="125"/>
      <c r="C157" s="125"/>
      <c r="D157" s="126"/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8"/>
      <c r="AE157" s="28" t="str">
        <f t="shared" si="8"/>
        <v/>
      </c>
    </row>
    <row r="158" spans="2:31" x14ac:dyDescent="0.25">
      <c r="B158" s="125"/>
      <c r="C158" s="125"/>
      <c r="D158" s="126"/>
      <c r="E158" s="127"/>
      <c r="F158" s="127"/>
      <c r="G158" s="127"/>
      <c r="H158" s="127"/>
      <c r="I158" s="127"/>
      <c r="J158" s="127"/>
      <c r="K158" s="127"/>
      <c r="L158" s="127"/>
      <c r="M158" s="127"/>
      <c r="N158" s="127"/>
      <c r="O158" s="128"/>
      <c r="AE158" s="28" t="str">
        <f t="shared" si="8"/>
        <v/>
      </c>
    </row>
    <row r="159" spans="2:31" x14ac:dyDescent="0.25">
      <c r="B159" s="125"/>
      <c r="C159" s="125"/>
      <c r="D159" s="126"/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8"/>
      <c r="AE159" s="28" t="str">
        <f t="shared" si="8"/>
        <v/>
      </c>
    </row>
    <row r="160" spans="2:31" x14ac:dyDescent="0.25">
      <c r="B160" s="125"/>
      <c r="C160" s="125"/>
      <c r="D160" s="126"/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8"/>
      <c r="AE160" s="28" t="str">
        <f t="shared" si="8"/>
        <v/>
      </c>
    </row>
    <row r="161" spans="2:31" x14ac:dyDescent="0.25">
      <c r="B161" s="125"/>
      <c r="C161" s="125"/>
      <c r="D161" s="126"/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8"/>
      <c r="AE161" s="28" t="str">
        <f t="shared" si="8"/>
        <v/>
      </c>
    </row>
    <row r="162" spans="2:31" x14ac:dyDescent="0.25">
      <c r="B162" s="125"/>
      <c r="C162" s="125"/>
      <c r="D162" s="126"/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8"/>
      <c r="AE162" s="28" t="str">
        <f t="shared" si="8"/>
        <v/>
      </c>
    </row>
    <row r="163" spans="2:31" x14ac:dyDescent="0.25">
      <c r="B163" s="125"/>
      <c r="C163" s="125"/>
      <c r="D163" s="126"/>
      <c r="E163" s="127"/>
      <c r="F163" s="127"/>
      <c r="G163" s="127"/>
      <c r="H163" s="127"/>
      <c r="I163" s="127"/>
      <c r="J163" s="127"/>
      <c r="K163" s="127"/>
      <c r="L163" s="127"/>
      <c r="M163" s="127"/>
      <c r="N163" s="127"/>
      <c r="O163" s="128"/>
      <c r="AE163" s="28" t="str">
        <f t="shared" si="8"/>
        <v/>
      </c>
    </row>
    <row r="164" spans="2:31" x14ac:dyDescent="0.25">
      <c r="B164" s="125"/>
      <c r="C164" s="125"/>
      <c r="D164" s="126"/>
      <c r="E164" s="127"/>
      <c r="F164" s="127"/>
      <c r="G164" s="127"/>
      <c r="H164" s="127"/>
      <c r="I164" s="127"/>
      <c r="J164" s="127"/>
      <c r="K164" s="127"/>
      <c r="L164" s="127"/>
      <c r="M164" s="127"/>
      <c r="N164" s="127"/>
      <c r="O164" s="128"/>
      <c r="AE164" s="28" t="str">
        <f t="shared" si="8"/>
        <v/>
      </c>
    </row>
    <row r="165" spans="2:31" x14ac:dyDescent="0.25">
      <c r="B165" s="125"/>
      <c r="C165" s="125"/>
      <c r="D165" s="126"/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8"/>
      <c r="AE165" s="28" t="str">
        <f t="shared" si="8"/>
        <v/>
      </c>
    </row>
    <row r="166" spans="2:31" x14ac:dyDescent="0.25">
      <c r="B166" s="125"/>
      <c r="C166" s="125"/>
      <c r="D166" s="126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8"/>
      <c r="AE166" s="28" t="str">
        <f t="shared" si="8"/>
        <v/>
      </c>
    </row>
    <row r="167" spans="2:31" x14ac:dyDescent="0.25">
      <c r="B167" s="125"/>
      <c r="C167" s="125"/>
      <c r="D167" s="126"/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8"/>
      <c r="AE167" s="28" t="str">
        <f t="shared" si="8"/>
        <v/>
      </c>
    </row>
    <row r="168" spans="2:31" x14ac:dyDescent="0.25">
      <c r="B168" s="125"/>
      <c r="C168" s="125"/>
      <c r="D168" s="126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8"/>
      <c r="AE168" s="28" t="str">
        <f t="shared" si="8"/>
        <v/>
      </c>
    </row>
    <row r="169" spans="2:31" x14ac:dyDescent="0.25">
      <c r="B169" s="125"/>
      <c r="C169" s="125"/>
      <c r="D169" s="126"/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8"/>
      <c r="AE169" s="28" t="str">
        <f t="shared" si="8"/>
        <v/>
      </c>
    </row>
    <row r="170" spans="2:31" x14ac:dyDescent="0.25">
      <c r="B170" s="125"/>
      <c r="C170" s="125"/>
      <c r="D170" s="126"/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8"/>
      <c r="AE170" s="28" t="str">
        <f t="shared" si="8"/>
        <v/>
      </c>
    </row>
    <row r="171" spans="2:31" x14ac:dyDescent="0.25">
      <c r="B171" s="125"/>
      <c r="C171" s="125"/>
      <c r="D171" s="126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8"/>
      <c r="AE171" s="28" t="str">
        <f t="shared" si="8"/>
        <v/>
      </c>
    </row>
    <row r="172" spans="2:31" x14ac:dyDescent="0.25">
      <c r="B172" s="125"/>
      <c r="C172" s="125"/>
      <c r="D172" s="126"/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8"/>
      <c r="AE172" s="28" t="str">
        <f t="shared" si="8"/>
        <v/>
      </c>
    </row>
    <row r="173" spans="2:31" x14ac:dyDescent="0.25">
      <c r="B173" s="125"/>
      <c r="C173" s="125"/>
      <c r="D173" s="126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8"/>
      <c r="AE173" s="28" t="str">
        <f t="shared" si="8"/>
        <v/>
      </c>
    </row>
    <row r="174" spans="2:31" x14ac:dyDescent="0.25">
      <c r="B174" s="125"/>
      <c r="C174" s="125"/>
      <c r="D174" s="126"/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8"/>
      <c r="AE174" s="28" t="str">
        <f t="shared" si="8"/>
        <v/>
      </c>
    </row>
    <row r="175" spans="2:31" x14ac:dyDescent="0.25">
      <c r="B175" s="125"/>
      <c r="C175" s="125"/>
      <c r="D175" s="126"/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8"/>
      <c r="AE175" s="28" t="str">
        <f t="shared" si="8"/>
        <v/>
      </c>
    </row>
    <row r="176" spans="2:31" x14ac:dyDescent="0.25">
      <c r="B176" s="125"/>
      <c r="C176" s="125"/>
      <c r="D176" s="126"/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8"/>
      <c r="AE176" s="28" t="str">
        <f t="shared" si="8"/>
        <v/>
      </c>
    </row>
    <row r="177" spans="2:31" x14ac:dyDescent="0.25">
      <c r="B177" s="125"/>
      <c r="C177" s="125"/>
      <c r="D177" s="126"/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8"/>
      <c r="AE177" s="28" t="str">
        <f t="shared" si="8"/>
        <v/>
      </c>
    </row>
    <row r="178" spans="2:31" x14ac:dyDescent="0.25">
      <c r="B178" s="125"/>
      <c r="C178" s="125"/>
      <c r="D178" s="126"/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8"/>
      <c r="AE178" s="28" t="str">
        <f t="shared" si="8"/>
        <v/>
      </c>
    </row>
    <row r="179" spans="2:31" x14ac:dyDescent="0.25">
      <c r="B179" s="125"/>
      <c r="C179" s="125"/>
      <c r="D179" s="126"/>
      <c r="E179" s="127"/>
      <c r="F179" s="127"/>
      <c r="G179" s="127"/>
      <c r="H179" s="127"/>
      <c r="I179" s="127"/>
      <c r="J179" s="127"/>
      <c r="K179" s="127"/>
      <c r="L179" s="127"/>
      <c r="M179" s="127"/>
      <c r="N179" s="127"/>
      <c r="O179" s="128"/>
      <c r="AE179" s="28" t="str">
        <f t="shared" si="8"/>
        <v/>
      </c>
    </row>
    <row r="180" spans="2:31" x14ac:dyDescent="0.25">
      <c r="B180" s="125"/>
      <c r="C180" s="125"/>
      <c r="D180" s="126"/>
      <c r="E180" s="127"/>
      <c r="F180" s="127"/>
      <c r="G180" s="127"/>
      <c r="H180" s="127"/>
      <c r="I180" s="127"/>
      <c r="J180" s="127"/>
      <c r="K180" s="127"/>
      <c r="L180" s="127"/>
      <c r="M180" s="127"/>
      <c r="N180" s="127"/>
      <c r="O180" s="128"/>
      <c r="AE180" s="28" t="str">
        <f t="shared" si="8"/>
        <v/>
      </c>
    </row>
    <row r="181" spans="2:31" x14ac:dyDescent="0.25">
      <c r="B181" s="125"/>
      <c r="C181" s="125"/>
      <c r="D181" s="126"/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8"/>
      <c r="AE181" s="28" t="str">
        <f t="shared" si="8"/>
        <v/>
      </c>
    </row>
    <row r="182" spans="2:31" x14ac:dyDescent="0.25">
      <c r="B182" s="125"/>
      <c r="C182" s="125"/>
      <c r="D182" s="126"/>
      <c r="E182" s="127"/>
      <c r="F182" s="127"/>
      <c r="G182" s="127"/>
      <c r="H182" s="127"/>
      <c r="I182" s="127"/>
      <c r="J182" s="127"/>
      <c r="K182" s="127"/>
      <c r="L182" s="127"/>
      <c r="M182" s="127"/>
      <c r="N182" s="127"/>
      <c r="O182" s="128"/>
      <c r="AE182" s="28" t="str">
        <f t="shared" si="8"/>
        <v/>
      </c>
    </row>
    <row r="183" spans="2:31" x14ac:dyDescent="0.25">
      <c r="B183" s="125"/>
      <c r="C183" s="125"/>
      <c r="D183" s="126"/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8"/>
      <c r="AE183" s="28" t="str">
        <f t="shared" si="8"/>
        <v/>
      </c>
    </row>
    <row r="184" spans="2:31" x14ac:dyDescent="0.25">
      <c r="B184" s="125"/>
      <c r="C184" s="125"/>
      <c r="D184" s="126"/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8"/>
      <c r="AE184" s="28" t="str">
        <f t="shared" si="8"/>
        <v/>
      </c>
    </row>
    <row r="185" spans="2:31" x14ac:dyDescent="0.25">
      <c r="B185" s="125"/>
      <c r="C185" s="125"/>
      <c r="D185" s="126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8"/>
      <c r="AE185" s="28" t="str">
        <f t="shared" si="8"/>
        <v/>
      </c>
    </row>
    <row r="186" spans="2:31" x14ac:dyDescent="0.25">
      <c r="B186" s="125"/>
      <c r="C186" s="125"/>
      <c r="D186" s="126"/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8"/>
      <c r="AE186" s="28" t="str">
        <f t="shared" si="8"/>
        <v/>
      </c>
    </row>
    <row r="187" spans="2:31" x14ac:dyDescent="0.25">
      <c r="B187" s="125"/>
      <c r="C187" s="125"/>
      <c r="D187" s="126"/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8"/>
      <c r="AE187" s="28" t="str">
        <f t="shared" si="8"/>
        <v/>
      </c>
    </row>
    <row r="188" spans="2:31" x14ac:dyDescent="0.25">
      <c r="B188" s="125"/>
      <c r="C188" s="125"/>
      <c r="D188" s="126"/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8"/>
      <c r="AE188" s="28" t="str">
        <f t="shared" si="8"/>
        <v/>
      </c>
    </row>
    <row r="189" spans="2:31" x14ac:dyDescent="0.25">
      <c r="B189" s="125"/>
      <c r="C189" s="125"/>
      <c r="D189" s="126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8"/>
      <c r="AE189" s="28" t="str">
        <f t="shared" si="8"/>
        <v/>
      </c>
    </row>
    <row r="190" spans="2:31" x14ac:dyDescent="0.25">
      <c r="B190" s="125"/>
      <c r="C190" s="125"/>
      <c r="D190" s="126"/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8"/>
      <c r="AE190" s="28" t="str">
        <f t="shared" si="8"/>
        <v/>
      </c>
    </row>
    <row r="191" spans="2:31" x14ac:dyDescent="0.25">
      <c r="B191" s="125"/>
      <c r="C191" s="125"/>
      <c r="D191" s="126"/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8"/>
      <c r="AE191" s="28" t="str">
        <f t="shared" si="8"/>
        <v/>
      </c>
    </row>
    <row r="192" spans="2:31" x14ac:dyDescent="0.25">
      <c r="B192" s="125"/>
      <c r="C192" s="125"/>
      <c r="D192" s="126"/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8"/>
      <c r="AE192" s="28" t="str">
        <f t="shared" si="8"/>
        <v/>
      </c>
    </row>
    <row r="193" spans="2:31" x14ac:dyDescent="0.25">
      <c r="B193" s="125"/>
      <c r="C193" s="125"/>
      <c r="D193" s="126"/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8"/>
      <c r="AE193" s="28" t="str">
        <f t="shared" si="8"/>
        <v/>
      </c>
    </row>
    <row r="194" spans="2:31" x14ac:dyDescent="0.25">
      <c r="B194" s="125"/>
      <c r="C194" s="125"/>
      <c r="D194" s="126"/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8"/>
      <c r="AE194" s="28" t="str">
        <f t="shared" si="8"/>
        <v/>
      </c>
    </row>
    <row r="195" spans="2:31" x14ac:dyDescent="0.25">
      <c r="B195" s="125"/>
      <c r="C195" s="125"/>
      <c r="D195" s="126"/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128"/>
      <c r="AE195" s="28" t="str">
        <f t="shared" si="8"/>
        <v/>
      </c>
    </row>
    <row r="196" spans="2:31" x14ac:dyDescent="0.25">
      <c r="B196" s="125"/>
      <c r="C196" s="125"/>
      <c r="D196" s="126"/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128"/>
      <c r="AE196" s="28" t="str">
        <f t="shared" si="8"/>
        <v/>
      </c>
    </row>
    <row r="197" spans="2:31" x14ac:dyDescent="0.25">
      <c r="B197" s="125"/>
      <c r="C197" s="125"/>
      <c r="D197" s="126"/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8"/>
      <c r="AE197" s="28" t="str">
        <f t="shared" si="8"/>
        <v/>
      </c>
    </row>
    <row r="198" spans="2:31" x14ac:dyDescent="0.25">
      <c r="B198" s="125"/>
      <c r="C198" s="125"/>
      <c r="D198" s="126"/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128"/>
      <c r="AE198" s="28" t="str">
        <f t="shared" si="8"/>
        <v/>
      </c>
    </row>
    <row r="199" spans="2:31" x14ac:dyDescent="0.25">
      <c r="B199" s="125"/>
      <c r="C199" s="125"/>
      <c r="D199" s="126"/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8"/>
      <c r="AE199" s="28" t="str">
        <f t="shared" si="8"/>
        <v/>
      </c>
    </row>
    <row r="200" spans="2:31" x14ac:dyDescent="0.25">
      <c r="B200" s="125"/>
      <c r="C200" s="125"/>
      <c r="D200" s="126"/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8"/>
      <c r="AE200" s="28" t="str">
        <f t="shared" si="8"/>
        <v/>
      </c>
    </row>
    <row r="201" spans="2:31" x14ac:dyDescent="0.25">
      <c r="B201" s="125"/>
      <c r="C201" s="125"/>
      <c r="D201" s="126"/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8"/>
      <c r="AE201" s="28" t="str">
        <f t="shared" si="8"/>
        <v/>
      </c>
    </row>
    <row r="202" spans="2:31" x14ac:dyDescent="0.25">
      <c r="B202" s="125"/>
      <c r="C202" s="125"/>
      <c r="D202" s="126"/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8"/>
      <c r="AE202" s="28" t="str">
        <f t="shared" si="8"/>
        <v/>
      </c>
    </row>
    <row r="203" spans="2:31" x14ac:dyDescent="0.25">
      <c r="B203" s="125"/>
      <c r="C203" s="125"/>
      <c r="D203" s="126"/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8"/>
      <c r="AE203" s="28" t="str">
        <f t="shared" si="8"/>
        <v/>
      </c>
    </row>
    <row r="204" spans="2:31" x14ac:dyDescent="0.25">
      <c r="B204" s="125"/>
      <c r="C204" s="125"/>
      <c r="D204" s="126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8"/>
      <c r="AE204" s="28" t="str">
        <f t="shared" si="8"/>
        <v/>
      </c>
    </row>
    <row r="205" spans="2:31" x14ac:dyDescent="0.25">
      <c r="B205" s="125"/>
      <c r="C205" s="125"/>
      <c r="D205" s="126"/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8"/>
      <c r="AE205" s="28" t="str">
        <f t="shared" si="8"/>
        <v/>
      </c>
    </row>
    <row r="206" spans="2:31" x14ac:dyDescent="0.25">
      <c r="B206" s="125"/>
      <c r="C206" s="125"/>
      <c r="D206" s="126"/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8"/>
      <c r="AE206" s="28" t="str">
        <f t="shared" si="8"/>
        <v/>
      </c>
    </row>
    <row r="207" spans="2:31" x14ac:dyDescent="0.25">
      <c r="B207" s="125"/>
      <c r="C207" s="125"/>
      <c r="D207" s="126"/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8"/>
      <c r="AE207" s="28" t="str">
        <f t="shared" si="8"/>
        <v/>
      </c>
    </row>
    <row r="208" spans="2:31" x14ac:dyDescent="0.25">
      <c r="B208" s="125"/>
      <c r="C208" s="125"/>
      <c r="D208" s="126"/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8"/>
      <c r="AE208" s="28" t="str">
        <f t="shared" si="8"/>
        <v/>
      </c>
    </row>
    <row r="209" spans="2:31" x14ac:dyDescent="0.25">
      <c r="B209" s="125"/>
      <c r="C209" s="125"/>
      <c r="D209" s="126"/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8"/>
      <c r="AE209" s="28" t="str">
        <f t="shared" si="8"/>
        <v/>
      </c>
    </row>
    <row r="210" spans="2:31" x14ac:dyDescent="0.25">
      <c r="B210" s="125"/>
      <c r="C210" s="125"/>
      <c r="D210" s="126"/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8"/>
      <c r="AE210" s="28" t="str">
        <f t="shared" si="8"/>
        <v/>
      </c>
    </row>
    <row r="211" spans="2:31" x14ac:dyDescent="0.25">
      <c r="B211" s="125"/>
      <c r="C211" s="125"/>
      <c r="D211" s="126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8"/>
      <c r="AE211" s="28" t="str">
        <f t="shared" si="8"/>
        <v/>
      </c>
    </row>
    <row r="212" spans="2:31" x14ac:dyDescent="0.25">
      <c r="B212" s="125"/>
      <c r="C212" s="125"/>
      <c r="D212" s="126"/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8"/>
      <c r="AE212" s="28" t="str">
        <f t="shared" si="8"/>
        <v/>
      </c>
    </row>
    <row r="213" spans="2:31" x14ac:dyDescent="0.25">
      <c r="B213" s="125"/>
      <c r="C213" s="125"/>
      <c r="D213" s="126"/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8"/>
      <c r="AE213" s="28" t="str">
        <f t="shared" ref="AE213:AE276" si="9">IF(B213="","",CONCATENATE("&lt;PrevisaoVAZAO Posto=""",B213,""" MesReferencia=""1""&gt; ",D213," ",E213," ",F213," ",G213," ",H213," ",I213," ",J213," ",K213," ",L213," ",M213," ",N213," ",O213," &lt;/PrevisaoVAZAO&gt;"))</f>
        <v/>
      </c>
    </row>
    <row r="214" spans="2:31" x14ac:dyDescent="0.25">
      <c r="B214" s="125"/>
      <c r="C214" s="125"/>
      <c r="D214" s="126"/>
      <c r="E214" s="127"/>
      <c r="F214" s="127"/>
      <c r="G214" s="127"/>
      <c r="H214" s="127"/>
      <c r="I214" s="127"/>
      <c r="J214" s="127"/>
      <c r="K214" s="127"/>
      <c r="L214" s="127"/>
      <c r="M214" s="127"/>
      <c r="N214" s="127"/>
      <c r="O214" s="128"/>
      <c r="AE214" s="28" t="str">
        <f t="shared" si="9"/>
        <v/>
      </c>
    </row>
    <row r="215" spans="2:31" x14ac:dyDescent="0.25">
      <c r="B215" s="125"/>
      <c r="C215" s="125"/>
      <c r="D215" s="126"/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8"/>
      <c r="AE215" s="28" t="str">
        <f t="shared" si="9"/>
        <v/>
      </c>
    </row>
    <row r="216" spans="2:31" x14ac:dyDescent="0.25">
      <c r="B216" s="125"/>
      <c r="C216" s="125"/>
      <c r="D216" s="126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8"/>
      <c r="AE216" s="28" t="str">
        <f t="shared" si="9"/>
        <v/>
      </c>
    </row>
    <row r="217" spans="2:31" x14ac:dyDescent="0.25">
      <c r="B217" s="125"/>
      <c r="C217" s="125"/>
      <c r="D217" s="126"/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8"/>
      <c r="AE217" s="28" t="str">
        <f t="shared" si="9"/>
        <v/>
      </c>
    </row>
    <row r="218" spans="2:31" x14ac:dyDescent="0.25">
      <c r="B218" s="125"/>
      <c r="C218" s="125"/>
      <c r="D218" s="126"/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8"/>
      <c r="AE218" s="28" t="str">
        <f t="shared" si="9"/>
        <v/>
      </c>
    </row>
    <row r="219" spans="2:31" x14ac:dyDescent="0.25">
      <c r="B219" s="125"/>
      <c r="C219" s="125"/>
      <c r="D219" s="126"/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8"/>
      <c r="AE219" s="28" t="str">
        <f t="shared" si="9"/>
        <v/>
      </c>
    </row>
    <row r="220" spans="2:31" x14ac:dyDescent="0.25">
      <c r="B220" s="125"/>
      <c r="C220" s="125"/>
      <c r="D220" s="126"/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8"/>
      <c r="AE220" s="28" t="str">
        <f t="shared" si="9"/>
        <v/>
      </c>
    </row>
    <row r="221" spans="2:31" x14ac:dyDescent="0.25">
      <c r="B221" s="125"/>
      <c r="C221" s="125"/>
      <c r="D221" s="126"/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8"/>
      <c r="AE221" s="28" t="str">
        <f t="shared" si="9"/>
        <v/>
      </c>
    </row>
    <row r="222" spans="2:31" x14ac:dyDescent="0.25">
      <c r="B222" s="125"/>
      <c r="C222" s="125"/>
      <c r="D222" s="126"/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8"/>
      <c r="AE222" s="28" t="str">
        <f t="shared" si="9"/>
        <v/>
      </c>
    </row>
    <row r="223" spans="2:31" x14ac:dyDescent="0.25">
      <c r="B223" s="125"/>
      <c r="C223" s="125"/>
      <c r="D223" s="126"/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8"/>
      <c r="AE223" s="28" t="str">
        <f t="shared" si="9"/>
        <v/>
      </c>
    </row>
    <row r="224" spans="2:31" x14ac:dyDescent="0.25">
      <c r="B224" s="125"/>
      <c r="C224" s="125"/>
      <c r="D224" s="126"/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8"/>
      <c r="AE224" s="28" t="str">
        <f t="shared" si="9"/>
        <v/>
      </c>
    </row>
    <row r="225" spans="2:31" x14ac:dyDescent="0.25">
      <c r="B225" s="125"/>
      <c r="C225" s="125"/>
      <c r="D225" s="126"/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8"/>
      <c r="AE225" s="28" t="str">
        <f t="shared" si="9"/>
        <v/>
      </c>
    </row>
    <row r="226" spans="2:31" x14ac:dyDescent="0.25">
      <c r="B226" s="125"/>
      <c r="C226" s="125"/>
      <c r="D226" s="126"/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8"/>
      <c r="AE226" s="28" t="str">
        <f t="shared" si="9"/>
        <v/>
      </c>
    </row>
    <row r="227" spans="2:31" x14ac:dyDescent="0.25">
      <c r="B227" s="125"/>
      <c r="C227" s="125"/>
      <c r="D227" s="126"/>
      <c r="E227" s="127"/>
      <c r="F227" s="127"/>
      <c r="G227" s="127"/>
      <c r="H227" s="127"/>
      <c r="I227" s="127"/>
      <c r="J227" s="127"/>
      <c r="K227" s="127"/>
      <c r="L227" s="127"/>
      <c r="M227" s="127"/>
      <c r="N227" s="127"/>
      <c r="O227" s="128"/>
      <c r="AE227" s="28" t="str">
        <f t="shared" si="9"/>
        <v/>
      </c>
    </row>
    <row r="228" spans="2:31" x14ac:dyDescent="0.25">
      <c r="B228" s="125"/>
      <c r="C228" s="125"/>
      <c r="D228" s="126"/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8"/>
      <c r="AE228" s="28" t="str">
        <f t="shared" si="9"/>
        <v/>
      </c>
    </row>
    <row r="229" spans="2:31" x14ac:dyDescent="0.25">
      <c r="B229" s="125"/>
      <c r="C229" s="125"/>
      <c r="D229" s="126"/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8"/>
      <c r="AE229" s="28" t="str">
        <f t="shared" si="9"/>
        <v/>
      </c>
    </row>
    <row r="230" spans="2:31" x14ac:dyDescent="0.25">
      <c r="B230" s="125"/>
      <c r="C230" s="125"/>
      <c r="D230" s="126"/>
      <c r="E230" s="127"/>
      <c r="F230" s="127"/>
      <c r="G230" s="127"/>
      <c r="H230" s="127"/>
      <c r="I230" s="127"/>
      <c r="J230" s="127"/>
      <c r="K230" s="127"/>
      <c r="L230" s="127"/>
      <c r="M230" s="127"/>
      <c r="N230" s="127"/>
      <c r="O230" s="128"/>
      <c r="AE230" s="28" t="str">
        <f t="shared" si="9"/>
        <v/>
      </c>
    </row>
    <row r="231" spans="2:31" x14ac:dyDescent="0.25">
      <c r="B231" s="125"/>
      <c r="C231" s="125"/>
      <c r="D231" s="126"/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8"/>
      <c r="AE231" s="28" t="str">
        <f t="shared" si="9"/>
        <v/>
      </c>
    </row>
    <row r="232" spans="2:31" x14ac:dyDescent="0.25">
      <c r="B232" s="125"/>
      <c r="C232" s="125"/>
      <c r="D232" s="126"/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8"/>
      <c r="AE232" s="28" t="str">
        <f t="shared" si="9"/>
        <v/>
      </c>
    </row>
    <row r="233" spans="2:31" x14ac:dyDescent="0.25">
      <c r="B233" s="125"/>
      <c r="C233" s="125"/>
      <c r="D233" s="126"/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8"/>
      <c r="AE233" s="28" t="str">
        <f t="shared" si="9"/>
        <v/>
      </c>
    </row>
    <row r="234" spans="2:31" x14ac:dyDescent="0.25">
      <c r="B234" s="125"/>
      <c r="C234" s="125"/>
      <c r="D234" s="126"/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8"/>
      <c r="AE234" s="28" t="str">
        <f t="shared" si="9"/>
        <v/>
      </c>
    </row>
    <row r="235" spans="2:31" x14ac:dyDescent="0.25">
      <c r="B235" s="125"/>
      <c r="C235" s="125"/>
      <c r="D235" s="126"/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8"/>
      <c r="AE235" s="28" t="str">
        <f t="shared" si="9"/>
        <v/>
      </c>
    </row>
    <row r="236" spans="2:31" x14ac:dyDescent="0.25">
      <c r="B236" s="125"/>
      <c r="C236" s="125"/>
      <c r="D236" s="126"/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8"/>
      <c r="AE236" s="28" t="str">
        <f t="shared" si="9"/>
        <v/>
      </c>
    </row>
    <row r="237" spans="2:31" x14ac:dyDescent="0.25">
      <c r="B237" s="125"/>
      <c r="C237" s="125"/>
      <c r="D237" s="126"/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8"/>
      <c r="AE237" s="28" t="str">
        <f t="shared" si="9"/>
        <v/>
      </c>
    </row>
    <row r="238" spans="2:31" x14ac:dyDescent="0.25">
      <c r="B238" s="125"/>
      <c r="C238" s="125"/>
      <c r="D238" s="126"/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8"/>
      <c r="AE238" s="28" t="str">
        <f t="shared" si="9"/>
        <v/>
      </c>
    </row>
    <row r="239" spans="2:31" x14ac:dyDescent="0.25">
      <c r="B239" s="125"/>
      <c r="C239" s="125"/>
      <c r="D239" s="126"/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8"/>
      <c r="AE239" s="28" t="str">
        <f t="shared" si="9"/>
        <v/>
      </c>
    </row>
    <row r="240" spans="2:31" x14ac:dyDescent="0.25">
      <c r="B240" s="125"/>
      <c r="C240" s="125"/>
      <c r="D240" s="126"/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8"/>
      <c r="AE240" s="28" t="str">
        <f t="shared" si="9"/>
        <v/>
      </c>
    </row>
    <row r="241" spans="2:31" x14ac:dyDescent="0.25">
      <c r="B241" s="125"/>
      <c r="C241" s="125"/>
      <c r="D241" s="126"/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8"/>
      <c r="AE241" s="28" t="str">
        <f t="shared" si="9"/>
        <v/>
      </c>
    </row>
    <row r="242" spans="2:31" x14ac:dyDescent="0.25">
      <c r="B242" s="125"/>
      <c r="C242" s="125"/>
      <c r="D242" s="126"/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8"/>
      <c r="AE242" s="28" t="str">
        <f t="shared" si="9"/>
        <v/>
      </c>
    </row>
    <row r="243" spans="2:31" x14ac:dyDescent="0.25">
      <c r="B243" s="125"/>
      <c r="C243" s="125"/>
      <c r="D243" s="126"/>
      <c r="E243" s="127"/>
      <c r="F243" s="127"/>
      <c r="G243" s="127"/>
      <c r="H243" s="127"/>
      <c r="I243" s="127"/>
      <c r="J243" s="127"/>
      <c r="K243" s="127"/>
      <c r="L243" s="127"/>
      <c r="M243" s="127"/>
      <c r="N243" s="127"/>
      <c r="O243" s="128"/>
      <c r="AE243" s="28" t="str">
        <f t="shared" si="9"/>
        <v/>
      </c>
    </row>
    <row r="244" spans="2:31" x14ac:dyDescent="0.25">
      <c r="B244" s="125"/>
      <c r="C244" s="125"/>
      <c r="D244" s="126"/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8"/>
      <c r="AE244" s="28" t="str">
        <f t="shared" si="9"/>
        <v/>
      </c>
    </row>
    <row r="245" spans="2:31" x14ac:dyDescent="0.25">
      <c r="B245" s="125"/>
      <c r="C245" s="125"/>
      <c r="D245" s="126"/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8"/>
      <c r="AE245" s="28" t="str">
        <f t="shared" si="9"/>
        <v/>
      </c>
    </row>
    <row r="246" spans="2:31" x14ac:dyDescent="0.25">
      <c r="B246" s="125"/>
      <c r="C246" s="125"/>
      <c r="D246" s="126"/>
      <c r="E246" s="127"/>
      <c r="F246" s="127"/>
      <c r="G246" s="127"/>
      <c r="H246" s="127"/>
      <c r="I246" s="127"/>
      <c r="J246" s="127"/>
      <c r="K246" s="127"/>
      <c r="L246" s="127"/>
      <c r="M246" s="127"/>
      <c r="N246" s="127"/>
      <c r="O246" s="128"/>
      <c r="AE246" s="28" t="str">
        <f t="shared" si="9"/>
        <v/>
      </c>
    </row>
    <row r="247" spans="2:31" x14ac:dyDescent="0.25">
      <c r="B247" s="125"/>
      <c r="C247" s="125"/>
      <c r="D247" s="126"/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8"/>
      <c r="AE247" s="28" t="str">
        <f t="shared" si="9"/>
        <v/>
      </c>
    </row>
    <row r="248" spans="2:31" x14ac:dyDescent="0.25">
      <c r="B248" s="125"/>
      <c r="C248" s="125"/>
      <c r="D248" s="126"/>
      <c r="E248" s="127"/>
      <c r="F248" s="127"/>
      <c r="G248" s="127"/>
      <c r="H248" s="127"/>
      <c r="I248" s="127"/>
      <c r="J248" s="127"/>
      <c r="K248" s="127"/>
      <c r="L248" s="127"/>
      <c r="M248" s="127"/>
      <c r="N248" s="127"/>
      <c r="O248" s="128"/>
      <c r="AE248" s="28" t="str">
        <f t="shared" si="9"/>
        <v/>
      </c>
    </row>
    <row r="249" spans="2:31" x14ac:dyDescent="0.25">
      <c r="B249" s="125"/>
      <c r="C249" s="125"/>
      <c r="D249" s="126"/>
      <c r="E249" s="127"/>
      <c r="F249" s="127"/>
      <c r="G249" s="127"/>
      <c r="H249" s="127"/>
      <c r="I249" s="127"/>
      <c r="J249" s="127"/>
      <c r="K249" s="127"/>
      <c r="L249" s="127"/>
      <c r="M249" s="127"/>
      <c r="N249" s="127"/>
      <c r="O249" s="128"/>
      <c r="AE249" s="28" t="str">
        <f t="shared" si="9"/>
        <v/>
      </c>
    </row>
    <row r="250" spans="2:31" x14ac:dyDescent="0.25">
      <c r="B250" s="125"/>
      <c r="C250" s="125"/>
      <c r="D250" s="126"/>
      <c r="E250" s="127"/>
      <c r="F250" s="127"/>
      <c r="G250" s="127"/>
      <c r="H250" s="127"/>
      <c r="I250" s="127"/>
      <c r="J250" s="127"/>
      <c r="K250" s="127"/>
      <c r="L250" s="127"/>
      <c r="M250" s="127"/>
      <c r="N250" s="127"/>
      <c r="O250" s="128"/>
      <c r="AE250" s="28" t="str">
        <f t="shared" si="9"/>
        <v/>
      </c>
    </row>
    <row r="251" spans="2:31" x14ac:dyDescent="0.25">
      <c r="B251" s="125"/>
      <c r="C251" s="125"/>
      <c r="D251" s="126"/>
      <c r="E251" s="127"/>
      <c r="F251" s="127"/>
      <c r="G251" s="127"/>
      <c r="H251" s="127"/>
      <c r="I251" s="127"/>
      <c r="J251" s="127"/>
      <c r="K251" s="127"/>
      <c r="L251" s="127"/>
      <c r="M251" s="127"/>
      <c r="N251" s="127"/>
      <c r="O251" s="128"/>
      <c r="AE251" s="28" t="str">
        <f t="shared" si="9"/>
        <v/>
      </c>
    </row>
    <row r="252" spans="2:31" x14ac:dyDescent="0.25">
      <c r="B252" s="125"/>
      <c r="C252" s="125"/>
      <c r="D252" s="126"/>
      <c r="E252" s="127"/>
      <c r="F252" s="127"/>
      <c r="G252" s="127"/>
      <c r="H252" s="127"/>
      <c r="I252" s="127"/>
      <c r="J252" s="127"/>
      <c r="K252" s="127"/>
      <c r="L252" s="127"/>
      <c r="M252" s="127"/>
      <c r="N252" s="127"/>
      <c r="O252" s="128"/>
      <c r="AE252" s="28" t="str">
        <f t="shared" si="9"/>
        <v/>
      </c>
    </row>
    <row r="253" spans="2:31" x14ac:dyDescent="0.25">
      <c r="B253" s="125"/>
      <c r="C253" s="125"/>
      <c r="D253" s="126"/>
      <c r="E253" s="127"/>
      <c r="F253" s="127"/>
      <c r="G253" s="127"/>
      <c r="H253" s="127"/>
      <c r="I253" s="127"/>
      <c r="J253" s="127"/>
      <c r="K253" s="127"/>
      <c r="L253" s="127"/>
      <c r="M253" s="127"/>
      <c r="N253" s="127"/>
      <c r="O253" s="128"/>
      <c r="AE253" s="28" t="str">
        <f t="shared" si="9"/>
        <v/>
      </c>
    </row>
    <row r="254" spans="2:31" x14ac:dyDescent="0.25">
      <c r="B254" s="125"/>
      <c r="C254" s="125"/>
      <c r="D254" s="126"/>
      <c r="E254" s="127"/>
      <c r="F254" s="127"/>
      <c r="G254" s="127"/>
      <c r="H254" s="127"/>
      <c r="I254" s="127"/>
      <c r="J254" s="127"/>
      <c r="K254" s="127"/>
      <c r="L254" s="127"/>
      <c r="M254" s="127"/>
      <c r="N254" s="127"/>
      <c r="O254" s="128"/>
      <c r="AE254" s="28" t="str">
        <f t="shared" si="9"/>
        <v/>
      </c>
    </row>
    <row r="255" spans="2:31" x14ac:dyDescent="0.25">
      <c r="B255" s="125"/>
      <c r="C255" s="125"/>
      <c r="D255" s="126"/>
      <c r="E255" s="127"/>
      <c r="F255" s="127"/>
      <c r="G255" s="127"/>
      <c r="H255" s="127"/>
      <c r="I255" s="127"/>
      <c r="J255" s="127"/>
      <c r="K255" s="127"/>
      <c r="L255" s="127"/>
      <c r="M255" s="127"/>
      <c r="N255" s="127"/>
      <c r="O255" s="128"/>
      <c r="AE255" s="28" t="str">
        <f t="shared" si="9"/>
        <v/>
      </c>
    </row>
    <row r="256" spans="2:31" x14ac:dyDescent="0.25">
      <c r="B256" s="125"/>
      <c r="C256" s="125"/>
      <c r="D256" s="126"/>
      <c r="E256" s="127"/>
      <c r="F256" s="127"/>
      <c r="G256" s="127"/>
      <c r="H256" s="127"/>
      <c r="I256" s="127"/>
      <c r="J256" s="127"/>
      <c r="K256" s="127"/>
      <c r="L256" s="127"/>
      <c r="M256" s="127"/>
      <c r="N256" s="127"/>
      <c r="O256" s="128"/>
      <c r="AE256" s="28" t="str">
        <f t="shared" si="9"/>
        <v/>
      </c>
    </row>
    <row r="257" spans="2:31" x14ac:dyDescent="0.25">
      <c r="B257" s="125"/>
      <c r="C257" s="125"/>
      <c r="D257" s="126"/>
      <c r="E257" s="127"/>
      <c r="F257" s="127"/>
      <c r="G257" s="127"/>
      <c r="H257" s="127"/>
      <c r="I257" s="127"/>
      <c r="J257" s="127"/>
      <c r="K257" s="127"/>
      <c r="L257" s="127"/>
      <c r="M257" s="127"/>
      <c r="N257" s="127"/>
      <c r="O257" s="128"/>
      <c r="AE257" s="28" t="str">
        <f t="shared" si="9"/>
        <v/>
      </c>
    </row>
    <row r="258" spans="2:31" x14ac:dyDescent="0.25">
      <c r="B258" s="125"/>
      <c r="C258" s="125"/>
      <c r="D258" s="126"/>
      <c r="E258" s="127"/>
      <c r="F258" s="127"/>
      <c r="G258" s="127"/>
      <c r="H258" s="127"/>
      <c r="I258" s="127"/>
      <c r="J258" s="127"/>
      <c r="K258" s="127"/>
      <c r="L258" s="127"/>
      <c r="M258" s="127"/>
      <c r="N258" s="127"/>
      <c r="O258" s="128"/>
      <c r="AE258" s="28" t="str">
        <f t="shared" si="9"/>
        <v/>
      </c>
    </row>
    <row r="259" spans="2:31" x14ac:dyDescent="0.25">
      <c r="B259" s="125"/>
      <c r="C259" s="125"/>
      <c r="D259" s="126"/>
      <c r="E259" s="127"/>
      <c r="F259" s="127"/>
      <c r="G259" s="127"/>
      <c r="H259" s="127"/>
      <c r="I259" s="127"/>
      <c r="J259" s="127"/>
      <c r="K259" s="127"/>
      <c r="L259" s="127"/>
      <c r="M259" s="127"/>
      <c r="N259" s="127"/>
      <c r="O259" s="128"/>
      <c r="AE259" s="28" t="str">
        <f t="shared" si="9"/>
        <v/>
      </c>
    </row>
    <row r="260" spans="2:31" x14ac:dyDescent="0.25">
      <c r="B260" s="125"/>
      <c r="C260" s="125"/>
      <c r="D260" s="126"/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8"/>
      <c r="AE260" s="28" t="str">
        <f t="shared" si="9"/>
        <v/>
      </c>
    </row>
    <row r="261" spans="2:31" x14ac:dyDescent="0.25">
      <c r="B261" s="125"/>
      <c r="C261" s="125"/>
      <c r="D261" s="126"/>
      <c r="E261" s="127"/>
      <c r="F261" s="127"/>
      <c r="G261" s="127"/>
      <c r="H261" s="127"/>
      <c r="I261" s="127"/>
      <c r="J261" s="127"/>
      <c r="K261" s="127"/>
      <c r="L261" s="127"/>
      <c r="M261" s="127"/>
      <c r="N261" s="127"/>
      <c r="O261" s="128"/>
      <c r="AE261" s="28" t="str">
        <f t="shared" si="9"/>
        <v/>
      </c>
    </row>
    <row r="262" spans="2:31" x14ac:dyDescent="0.25">
      <c r="B262" s="125"/>
      <c r="C262" s="125"/>
      <c r="D262" s="126"/>
      <c r="E262" s="127"/>
      <c r="F262" s="127"/>
      <c r="G262" s="127"/>
      <c r="H262" s="127"/>
      <c r="I262" s="127"/>
      <c r="J262" s="127"/>
      <c r="K262" s="127"/>
      <c r="L262" s="127"/>
      <c r="M262" s="127"/>
      <c r="N262" s="127"/>
      <c r="O262" s="128"/>
      <c r="AE262" s="28" t="str">
        <f t="shared" si="9"/>
        <v/>
      </c>
    </row>
    <row r="263" spans="2:31" x14ac:dyDescent="0.25">
      <c r="B263" s="125"/>
      <c r="C263" s="125"/>
      <c r="D263" s="126"/>
      <c r="E263" s="127"/>
      <c r="F263" s="127"/>
      <c r="G263" s="127"/>
      <c r="H263" s="127"/>
      <c r="I263" s="127"/>
      <c r="J263" s="127"/>
      <c r="K263" s="127"/>
      <c r="L263" s="127"/>
      <c r="M263" s="127"/>
      <c r="N263" s="127"/>
      <c r="O263" s="128"/>
      <c r="AE263" s="28" t="str">
        <f t="shared" si="9"/>
        <v/>
      </c>
    </row>
    <row r="264" spans="2:31" x14ac:dyDescent="0.25">
      <c r="B264" s="125"/>
      <c r="C264" s="125"/>
      <c r="D264" s="126"/>
      <c r="E264" s="127"/>
      <c r="F264" s="127"/>
      <c r="G264" s="127"/>
      <c r="H264" s="127"/>
      <c r="I264" s="127"/>
      <c r="J264" s="127"/>
      <c r="K264" s="127"/>
      <c r="L264" s="127"/>
      <c r="M264" s="127"/>
      <c r="N264" s="127"/>
      <c r="O264" s="128"/>
      <c r="AE264" s="28" t="str">
        <f t="shared" si="9"/>
        <v/>
      </c>
    </row>
    <row r="265" spans="2:31" x14ac:dyDescent="0.25">
      <c r="B265" s="125"/>
      <c r="C265" s="125"/>
      <c r="D265" s="126"/>
      <c r="E265" s="127"/>
      <c r="F265" s="127"/>
      <c r="G265" s="127"/>
      <c r="H265" s="127"/>
      <c r="I265" s="127"/>
      <c r="J265" s="127"/>
      <c r="K265" s="127"/>
      <c r="L265" s="127"/>
      <c r="M265" s="127"/>
      <c r="N265" s="127"/>
      <c r="O265" s="128"/>
      <c r="AE265" s="28" t="str">
        <f t="shared" si="9"/>
        <v/>
      </c>
    </row>
    <row r="266" spans="2:31" x14ac:dyDescent="0.25">
      <c r="B266" s="125"/>
      <c r="C266" s="125"/>
      <c r="D266" s="126"/>
      <c r="E266" s="127"/>
      <c r="F266" s="127"/>
      <c r="G266" s="127"/>
      <c r="H266" s="127"/>
      <c r="I266" s="127"/>
      <c r="J266" s="127"/>
      <c r="K266" s="127"/>
      <c r="L266" s="127"/>
      <c r="M266" s="127"/>
      <c r="N266" s="127"/>
      <c r="O266" s="128"/>
      <c r="AE266" s="28" t="str">
        <f t="shared" si="9"/>
        <v/>
      </c>
    </row>
    <row r="267" spans="2:31" x14ac:dyDescent="0.25">
      <c r="B267" s="125"/>
      <c r="C267" s="125"/>
      <c r="D267" s="126"/>
      <c r="E267" s="127"/>
      <c r="F267" s="127"/>
      <c r="G267" s="127"/>
      <c r="H267" s="127"/>
      <c r="I267" s="127"/>
      <c r="J267" s="127"/>
      <c r="K267" s="127"/>
      <c r="L267" s="127"/>
      <c r="M267" s="127"/>
      <c r="N267" s="127"/>
      <c r="O267" s="128"/>
      <c r="AE267" s="28" t="str">
        <f t="shared" si="9"/>
        <v/>
      </c>
    </row>
    <row r="268" spans="2:31" x14ac:dyDescent="0.25">
      <c r="B268" s="125"/>
      <c r="C268" s="125"/>
      <c r="D268" s="126"/>
      <c r="E268" s="127"/>
      <c r="F268" s="127"/>
      <c r="G268" s="127"/>
      <c r="H268" s="127"/>
      <c r="I268" s="127"/>
      <c r="J268" s="127"/>
      <c r="K268" s="127"/>
      <c r="L268" s="127"/>
      <c r="M268" s="127"/>
      <c r="N268" s="127"/>
      <c r="O268" s="128"/>
      <c r="AE268" s="28" t="str">
        <f t="shared" si="9"/>
        <v/>
      </c>
    </row>
    <row r="269" spans="2:31" x14ac:dyDescent="0.25">
      <c r="B269" s="125"/>
      <c r="C269" s="125"/>
      <c r="D269" s="126"/>
      <c r="E269" s="127"/>
      <c r="F269" s="127"/>
      <c r="G269" s="127"/>
      <c r="H269" s="127"/>
      <c r="I269" s="127"/>
      <c r="J269" s="127"/>
      <c r="K269" s="127"/>
      <c r="L269" s="127"/>
      <c r="M269" s="127"/>
      <c r="N269" s="127"/>
      <c r="O269" s="128"/>
      <c r="AE269" s="28" t="str">
        <f t="shared" si="9"/>
        <v/>
      </c>
    </row>
    <row r="270" spans="2:31" x14ac:dyDescent="0.25">
      <c r="B270" s="125"/>
      <c r="C270" s="125"/>
      <c r="D270" s="126"/>
      <c r="E270" s="127"/>
      <c r="F270" s="127"/>
      <c r="G270" s="127"/>
      <c r="H270" s="127"/>
      <c r="I270" s="127"/>
      <c r="J270" s="127"/>
      <c r="K270" s="127"/>
      <c r="L270" s="127"/>
      <c r="M270" s="127"/>
      <c r="N270" s="127"/>
      <c r="O270" s="128"/>
      <c r="AE270" s="28" t="str">
        <f t="shared" si="9"/>
        <v/>
      </c>
    </row>
    <row r="271" spans="2:31" x14ac:dyDescent="0.25">
      <c r="B271" s="125"/>
      <c r="C271" s="125"/>
      <c r="D271" s="126"/>
      <c r="E271" s="127"/>
      <c r="F271" s="127"/>
      <c r="G271" s="127"/>
      <c r="H271" s="127"/>
      <c r="I271" s="127"/>
      <c r="J271" s="127"/>
      <c r="K271" s="127"/>
      <c r="L271" s="127"/>
      <c r="M271" s="127"/>
      <c r="N271" s="127"/>
      <c r="O271" s="128"/>
      <c r="AE271" s="28" t="str">
        <f t="shared" si="9"/>
        <v/>
      </c>
    </row>
    <row r="272" spans="2:31" x14ac:dyDescent="0.25">
      <c r="B272" s="125"/>
      <c r="C272" s="125"/>
      <c r="D272" s="126"/>
      <c r="E272" s="127"/>
      <c r="F272" s="127"/>
      <c r="G272" s="127"/>
      <c r="H272" s="127"/>
      <c r="I272" s="127"/>
      <c r="J272" s="127"/>
      <c r="K272" s="127"/>
      <c r="L272" s="127"/>
      <c r="M272" s="127"/>
      <c r="N272" s="127"/>
      <c r="O272" s="128"/>
      <c r="AE272" s="28" t="str">
        <f t="shared" si="9"/>
        <v/>
      </c>
    </row>
    <row r="273" spans="2:31" x14ac:dyDescent="0.25">
      <c r="B273" s="125"/>
      <c r="C273" s="125"/>
      <c r="D273" s="126"/>
      <c r="E273" s="127"/>
      <c r="F273" s="127"/>
      <c r="G273" s="127"/>
      <c r="H273" s="127"/>
      <c r="I273" s="127"/>
      <c r="J273" s="127"/>
      <c r="K273" s="127"/>
      <c r="L273" s="127"/>
      <c r="M273" s="127"/>
      <c r="N273" s="127"/>
      <c r="O273" s="128"/>
      <c r="AE273" s="28" t="str">
        <f t="shared" si="9"/>
        <v/>
      </c>
    </row>
    <row r="274" spans="2:31" x14ac:dyDescent="0.25">
      <c r="B274" s="125"/>
      <c r="C274" s="125"/>
      <c r="D274" s="126"/>
      <c r="E274" s="127"/>
      <c r="F274" s="127"/>
      <c r="G274" s="127"/>
      <c r="H274" s="127"/>
      <c r="I274" s="127"/>
      <c r="J274" s="127"/>
      <c r="K274" s="127"/>
      <c r="L274" s="127"/>
      <c r="M274" s="127"/>
      <c r="N274" s="127"/>
      <c r="O274" s="128"/>
      <c r="AE274" s="28" t="str">
        <f t="shared" si="9"/>
        <v/>
      </c>
    </row>
    <row r="275" spans="2:31" x14ac:dyDescent="0.25">
      <c r="B275" s="125"/>
      <c r="C275" s="125"/>
      <c r="D275" s="126"/>
      <c r="E275" s="127"/>
      <c r="F275" s="127"/>
      <c r="G275" s="127"/>
      <c r="H275" s="127"/>
      <c r="I275" s="127"/>
      <c r="J275" s="127"/>
      <c r="K275" s="127"/>
      <c r="L275" s="127"/>
      <c r="M275" s="127"/>
      <c r="N275" s="127"/>
      <c r="O275" s="128"/>
      <c r="AE275" s="28" t="str">
        <f t="shared" si="9"/>
        <v/>
      </c>
    </row>
    <row r="276" spans="2:31" x14ac:dyDescent="0.25">
      <c r="B276" s="125"/>
      <c r="C276" s="125"/>
      <c r="D276" s="126"/>
      <c r="E276" s="127"/>
      <c r="F276" s="127"/>
      <c r="G276" s="127"/>
      <c r="H276" s="127"/>
      <c r="I276" s="127"/>
      <c r="J276" s="127"/>
      <c r="K276" s="127"/>
      <c r="L276" s="127"/>
      <c r="M276" s="127"/>
      <c r="N276" s="127"/>
      <c r="O276" s="128"/>
      <c r="AE276" s="28" t="str">
        <f t="shared" si="9"/>
        <v/>
      </c>
    </row>
    <row r="277" spans="2:31" x14ac:dyDescent="0.25">
      <c r="B277" s="125"/>
      <c r="C277" s="125"/>
      <c r="D277" s="126"/>
      <c r="E277" s="127"/>
      <c r="F277" s="127"/>
      <c r="G277" s="127"/>
      <c r="H277" s="127"/>
      <c r="I277" s="127"/>
      <c r="J277" s="127"/>
      <c r="K277" s="127"/>
      <c r="L277" s="127"/>
      <c r="M277" s="127"/>
      <c r="N277" s="127"/>
      <c r="O277" s="128"/>
      <c r="AE277" s="28" t="str">
        <f t="shared" ref="AE277:AE340" si="10">IF(B277="","",CONCATENATE("&lt;PrevisaoVAZAO Posto=""",B277,""" MesReferencia=""1""&gt; ",D277," ",E277," ",F277," ",G277," ",H277," ",I277," ",J277," ",K277," ",L277," ",M277," ",N277," ",O277," &lt;/PrevisaoVAZAO&gt;"))</f>
        <v/>
      </c>
    </row>
    <row r="278" spans="2:31" x14ac:dyDescent="0.25">
      <c r="B278" s="125"/>
      <c r="C278" s="125"/>
      <c r="D278" s="126"/>
      <c r="E278" s="127"/>
      <c r="F278" s="127"/>
      <c r="G278" s="127"/>
      <c r="H278" s="127"/>
      <c r="I278" s="127"/>
      <c r="J278" s="127"/>
      <c r="K278" s="127"/>
      <c r="L278" s="127"/>
      <c r="M278" s="127"/>
      <c r="N278" s="127"/>
      <c r="O278" s="128"/>
      <c r="AE278" s="28" t="str">
        <f t="shared" si="10"/>
        <v/>
      </c>
    </row>
    <row r="279" spans="2:31" x14ac:dyDescent="0.25">
      <c r="B279" s="125"/>
      <c r="C279" s="125"/>
      <c r="D279" s="126"/>
      <c r="E279" s="127"/>
      <c r="F279" s="127"/>
      <c r="G279" s="127"/>
      <c r="H279" s="127"/>
      <c r="I279" s="127"/>
      <c r="J279" s="127"/>
      <c r="K279" s="127"/>
      <c r="L279" s="127"/>
      <c r="M279" s="127"/>
      <c r="N279" s="127"/>
      <c r="O279" s="128"/>
      <c r="AE279" s="28" t="str">
        <f t="shared" si="10"/>
        <v/>
      </c>
    </row>
    <row r="280" spans="2:31" x14ac:dyDescent="0.25">
      <c r="B280" s="125"/>
      <c r="C280" s="125"/>
      <c r="D280" s="126"/>
      <c r="E280" s="127"/>
      <c r="F280" s="127"/>
      <c r="G280" s="127"/>
      <c r="H280" s="127"/>
      <c r="I280" s="127"/>
      <c r="J280" s="127"/>
      <c r="K280" s="127"/>
      <c r="L280" s="127"/>
      <c r="M280" s="127"/>
      <c r="N280" s="127"/>
      <c r="O280" s="128"/>
      <c r="AE280" s="28" t="str">
        <f t="shared" si="10"/>
        <v/>
      </c>
    </row>
    <row r="281" spans="2:31" x14ac:dyDescent="0.25">
      <c r="B281" s="125"/>
      <c r="C281" s="125"/>
      <c r="D281" s="126"/>
      <c r="E281" s="127"/>
      <c r="F281" s="127"/>
      <c r="G281" s="127"/>
      <c r="H281" s="127"/>
      <c r="I281" s="127"/>
      <c r="J281" s="127"/>
      <c r="K281" s="127"/>
      <c r="L281" s="127"/>
      <c r="M281" s="127"/>
      <c r="N281" s="127"/>
      <c r="O281" s="128"/>
      <c r="AE281" s="28" t="str">
        <f t="shared" si="10"/>
        <v/>
      </c>
    </row>
    <row r="282" spans="2:31" x14ac:dyDescent="0.25">
      <c r="B282" s="125"/>
      <c r="C282" s="125"/>
      <c r="D282" s="126"/>
      <c r="E282" s="127"/>
      <c r="F282" s="127"/>
      <c r="G282" s="127"/>
      <c r="H282" s="127"/>
      <c r="I282" s="127"/>
      <c r="J282" s="127"/>
      <c r="K282" s="127"/>
      <c r="L282" s="127"/>
      <c r="M282" s="127"/>
      <c r="N282" s="127"/>
      <c r="O282" s="128"/>
      <c r="AE282" s="28" t="str">
        <f t="shared" si="10"/>
        <v/>
      </c>
    </row>
    <row r="283" spans="2:31" x14ac:dyDescent="0.25">
      <c r="B283" s="125"/>
      <c r="C283" s="125"/>
      <c r="D283" s="126"/>
      <c r="E283" s="127"/>
      <c r="F283" s="127"/>
      <c r="G283" s="127"/>
      <c r="H283" s="127"/>
      <c r="I283" s="127"/>
      <c r="J283" s="127"/>
      <c r="K283" s="127"/>
      <c r="L283" s="127"/>
      <c r="M283" s="127"/>
      <c r="N283" s="127"/>
      <c r="O283" s="128"/>
      <c r="AE283" s="28" t="str">
        <f t="shared" si="10"/>
        <v/>
      </c>
    </row>
    <row r="284" spans="2:31" x14ac:dyDescent="0.25">
      <c r="B284" s="125"/>
      <c r="C284" s="125"/>
      <c r="D284" s="126"/>
      <c r="E284" s="127"/>
      <c r="F284" s="127"/>
      <c r="G284" s="127"/>
      <c r="H284" s="127"/>
      <c r="I284" s="127"/>
      <c r="J284" s="127"/>
      <c r="K284" s="127"/>
      <c r="L284" s="127"/>
      <c r="M284" s="127"/>
      <c r="N284" s="127"/>
      <c r="O284" s="128"/>
      <c r="AE284" s="28" t="str">
        <f t="shared" si="10"/>
        <v/>
      </c>
    </row>
    <row r="285" spans="2:31" x14ac:dyDescent="0.25">
      <c r="B285" s="125"/>
      <c r="C285" s="125"/>
      <c r="D285" s="126"/>
      <c r="E285" s="127"/>
      <c r="F285" s="127"/>
      <c r="G285" s="127"/>
      <c r="H285" s="127"/>
      <c r="I285" s="127"/>
      <c r="J285" s="127"/>
      <c r="K285" s="127"/>
      <c r="L285" s="127"/>
      <c r="M285" s="127"/>
      <c r="N285" s="127"/>
      <c r="O285" s="128"/>
      <c r="AE285" s="28" t="str">
        <f t="shared" si="10"/>
        <v/>
      </c>
    </row>
    <row r="286" spans="2:31" x14ac:dyDescent="0.25">
      <c r="B286" s="125"/>
      <c r="C286" s="125"/>
      <c r="D286" s="126"/>
      <c r="E286" s="127"/>
      <c r="F286" s="127"/>
      <c r="G286" s="127"/>
      <c r="H286" s="127"/>
      <c r="I286" s="127"/>
      <c r="J286" s="127"/>
      <c r="K286" s="127"/>
      <c r="L286" s="127"/>
      <c r="M286" s="127"/>
      <c r="N286" s="127"/>
      <c r="O286" s="128"/>
      <c r="AE286" s="28" t="str">
        <f t="shared" si="10"/>
        <v/>
      </c>
    </row>
    <row r="287" spans="2:31" x14ac:dyDescent="0.25">
      <c r="B287" s="125"/>
      <c r="C287" s="125"/>
      <c r="D287" s="126"/>
      <c r="E287" s="127"/>
      <c r="F287" s="127"/>
      <c r="G287" s="127"/>
      <c r="H287" s="127"/>
      <c r="I287" s="127"/>
      <c r="J287" s="127"/>
      <c r="K287" s="127"/>
      <c r="L287" s="127"/>
      <c r="M287" s="127"/>
      <c r="N287" s="127"/>
      <c r="O287" s="128"/>
      <c r="AE287" s="28" t="str">
        <f t="shared" si="10"/>
        <v/>
      </c>
    </row>
    <row r="288" spans="2:31" x14ac:dyDescent="0.25">
      <c r="B288" s="125"/>
      <c r="C288" s="125"/>
      <c r="D288" s="126"/>
      <c r="E288" s="127"/>
      <c r="F288" s="127"/>
      <c r="G288" s="127"/>
      <c r="H288" s="127"/>
      <c r="I288" s="127"/>
      <c r="J288" s="127"/>
      <c r="K288" s="127"/>
      <c r="L288" s="127"/>
      <c r="M288" s="127"/>
      <c r="N288" s="127"/>
      <c r="O288" s="128"/>
      <c r="AE288" s="28" t="str">
        <f t="shared" si="10"/>
        <v/>
      </c>
    </row>
    <row r="289" spans="2:31" x14ac:dyDescent="0.25">
      <c r="B289" s="125"/>
      <c r="C289" s="125"/>
      <c r="D289" s="126"/>
      <c r="E289" s="127"/>
      <c r="F289" s="127"/>
      <c r="G289" s="127"/>
      <c r="H289" s="127"/>
      <c r="I289" s="127"/>
      <c r="J289" s="127"/>
      <c r="K289" s="127"/>
      <c r="L289" s="127"/>
      <c r="M289" s="127"/>
      <c r="N289" s="127"/>
      <c r="O289" s="128"/>
      <c r="AE289" s="28" t="str">
        <f t="shared" si="10"/>
        <v/>
      </c>
    </row>
    <row r="290" spans="2:31" x14ac:dyDescent="0.25">
      <c r="B290" s="125"/>
      <c r="C290" s="125"/>
      <c r="D290" s="126"/>
      <c r="E290" s="127"/>
      <c r="F290" s="127"/>
      <c r="G290" s="127"/>
      <c r="H290" s="127"/>
      <c r="I290" s="127"/>
      <c r="J290" s="127"/>
      <c r="K290" s="127"/>
      <c r="L290" s="127"/>
      <c r="M290" s="127"/>
      <c r="N290" s="127"/>
      <c r="O290" s="128"/>
      <c r="AE290" s="28" t="str">
        <f t="shared" si="10"/>
        <v/>
      </c>
    </row>
    <row r="291" spans="2:31" x14ac:dyDescent="0.25">
      <c r="B291" s="125"/>
      <c r="C291" s="125"/>
      <c r="D291" s="126"/>
      <c r="E291" s="127"/>
      <c r="F291" s="127"/>
      <c r="G291" s="127"/>
      <c r="H291" s="127"/>
      <c r="I291" s="127"/>
      <c r="J291" s="127"/>
      <c r="K291" s="127"/>
      <c r="L291" s="127"/>
      <c r="M291" s="127"/>
      <c r="N291" s="127"/>
      <c r="O291" s="128"/>
      <c r="AE291" s="28" t="str">
        <f t="shared" si="10"/>
        <v/>
      </c>
    </row>
    <row r="292" spans="2:31" x14ac:dyDescent="0.25">
      <c r="B292" s="125"/>
      <c r="C292" s="125"/>
      <c r="D292" s="126"/>
      <c r="E292" s="127"/>
      <c r="F292" s="127"/>
      <c r="G292" s="127"/>
      <c r="H292" s="127"/>
      <c r="I292" s="127"/>
      <c r="J292" s="127"/>
      <c r="K292" s="127"/>
      <c r="L292" s="127"/>
      <c r="M292" s="127"/>
      <c r="N292" s="127"/>
      <c r="O292" s="128"/>
      <c r="AE292" s="28" t="str">
        <f t="shared" si="10"/>
        <v/>
      </c>
    </row>
    <row r="293" spans="2:31" x14ac:dyDescent="0.25">
      <c r="B293" s="125"/>
      <c r="C293" s="125"/>
      <c r="D293" s="126"/>
      <c r="E293" s="127"/>
      <c r="F293" s="127"/>
      <c r="G293" s="127"/>
      <c r="H293" s="127"/>
      <c r="I293" s="127"/>
      <c r="J293" s="127"/>
      <c r="K293" s="127"/>
      <c r="L293" s="127"/>
      <c r="M293" s="127"/>
      <c r="N293" s="127"/>
      <c r="O293" s="128"/>
      <c r="AE293" s="28" t="str">
        <f t="shared" si="10"/>
        <v/>
      </c>
    </row>
    <row r="294" spans="2:31" x14ac:dyDescent="0.25">
      <c r="B294" s="125"/>
      <c r="C294" s="125"/>
      <c r="D294" s="126"/>
      <c r="E294" s="127"/>
      <c r="F294" s="127"/>
      <c r="G294" s="127"/>
      <c r="H294" s="127"/>
      <c r="I294" s="127"/>
      <c r="J294" s="127"/>
      <c r="K294" s="127"/>
      <c r="L294" s="127"/>
      <c r="M294" s="127"/>
      <c r="N294" s="127"/>
      <c r="O294" s="128"/>
      <c r="AE294" s="28" t="str">
        <f t="shared" si="10"/>
        <v/>
      </c>
    </row>
    <row r="295" spans="2:31" x14ac:dyDescent="0.25">
      <c r="B295" s="125"/>
      <c r="C295" s="125"/>
      <c r="D295" s="126"/>
      <c r="E295" s="127"/>
      <c r="F295" s="127"/>
      <c r="G295" s="127"/>
      <c r="H295" s="127"/>
      <c r="I295" s="127"/>
      <c r="J295" s="127"/>
      <c r="K295" s="127"/>
      <c r="L295" s="127"/>
      <c r="M295" s="127"/>
      <c r="N295" s="127"/>
      <c r="O295" s="128"/>
      <c r="AE295" s="28" t="str">
        <f t="shared" si="10"/>
        <v/>
      </c>
    </row>
    <row r="296" spans="2:31" x14ac:dyDescent="0.25">
      <c r="B296" s="125"/>
      <c r="C296" s="125"/>
      <c r="D296" s="126"/>
      <c r="E296" s="127"/>
      <c r="F296" s="127"/>
      <c r="G296" s="127"/>
      <c r="H296" s="127"/>
      <c r="I296" s="127"/>
      <c r="J296" s="127"/>
      <c r="K296" s="127"/>
      <c r="L296" s="127"/>
      <c r="M296" s="127"/>
      <c r="N296" s="127"/>
      <c r="O296" s="128"/>
      <c r="AE296" s="28" t="str">
        <f t="shared" si="10"/>
        <v/>
      </c>
    </row>
    <row r="297" spans="2:31" x14ac:dyDescent="0.25">
      <c r="B297" s="125"/>
      <c r="C297" s="125"/>
      <c r="D297" s="126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8"/>
      <c r="AE297" s="28" t="str">
        <f t="shared" si="10"/>
        <v/>
      </c>
    </row>
    <row r="298" spans="2:31" x14ac:dyDescent="0.25">
      <c r="B298" s="125"/>
      <c r="C298" s="125"/>
      <c r="D298" s="126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8"/>
      <c r="AE298" s="28" t="str">
        <f t="shared" si="10"/>
        <v/>
      </c>
    </row>
    <row r="299" spans="2:31" x14ac:dyDescent="0.25">
      <c r="B299" s="125"/>
      <c r="C299" s="125"/>
      <c r="D299" s="126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8"/>
      <c r="AE299" s="28" t="str">
        <f t="shared" si="10"/>
        <v/>
      </c>
    </row>
    <row r="300" spans="2:31" x14ac:dyDescent="0.25">
      <c r="B300" s="125"/>
      <c r="C300" s="125"/>
      <c r="D300" s="126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8"/>
      <c r="AE300" s="28" t="str">
        <f t="shared" si="10"/>
        <v/>
      </c>
    </row>
    <row r="301" spans="2:31" x14ac:dyDescent="0.25">
      <c r="B301" s="125"/>
      <c r="C301" s="125"/>
      <c r="D301" s="126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8"/>
      <c r="AE301" s="28" t="str">
        <f t="shared" si="10"/>
        <v/>
      </c>
    </row>
    <row r="302" spans="2:31" x14ac:dyDescent="0.25">
      <c r="B302" s="125"/>
      <c r="C302" s="125"/>
      <c r="D302" s="126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8"/>
      <c r="AE302" s="28" t="str">
        <f t="shared" si="10"/>
        <v/>
      </c>
    </row>
    <row r="303" spans="2:31" x14ac:dyDescent="0.25">
      <c r="B303" s="125"/>
      <c r="C303" s="125"/>
      <c r="D303" s="126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AE303" s="28" t="str">
        <f t="shared" si="10"/>
        <v/>
      </c>
    </row>
    <row r="304" spans="2:31" x14ac:dyDescent="0.25">
      <c r="B304" s="125"/>
      <c r="C304" s="125"/>
      <c r="D304" s="126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8"/>
      <c r="AE304" s="28" t="str">
        <f t="shared" si="10"/>
        <v/>
      </c>
    </row>
    <row r="305" spans="2:31" x14ac:dyDescent="0.25">
      <c r="B305" s="125"/>
      <c r="C305" s="125"/>
      <c r="D305" s="126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8"/>
      <c r="AE305" s="28" t="str">
        <f t="shared" si="10"/>
        <v/>
      </c>
    </row>
    <row r="306" spans="2:31" x14ac:dyDescent="0.25">
      <c r="B306" s="125"/>
      <c r="C306" s="125"/>
      <c r="D306" s="126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8"/>
      <c r="AE306" s="28" t="str">
        <f t="shared" si="10"/>
        <v/>
      </c>
    </row>
    <row r="307" spans="2:31" x14ac:dyDescent="0.25">
      <c r="B307" s="125"/>
      <c r="C307" s="125"/>
      <c r="D307" s="126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8"/>
      <c r="AE307" s="28" t="str">
        <f t="shared" si="10"/>
        <v/>
      </c>
    </row>
    <row r="308" spans="2:31" x14ac:dyDescent="0.25">
      <c r="B308" s="125"/>
      <c r="C308" s="125"/>
      <c r="D308" s="126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8"/>
      <c r="AE308" s="28" t="str">
        <f t="shared" si="10"/>
        <v/>
      </c>
    </row>
    <row r="309" spans="2:31" x14ac:dyDescent="0.25">
      <c r="B309" s="125"/>
      <c r="C309" s="125"/>
      <c r="D309" s="126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8"/>
      <c r="AE309" s="28" t="str">
        <f t="shared" si="10"/>
        <v/>
      </c>
    </row>
    <row r="310" spans="2:31" x14ac:dyDescent="0.25">
      <c r="B310" s="125"/>
      <c r="C310" s="125"/>
      <c r="D310" s="126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8"/>
      <c r="AE310" s="28" t="str">
        <f t="shared" si="10"/>
        <v/>
      </c>
    </row>
    <row r="311" spans="2:31" x14ac:dyDescent="0.25">
      <c r="B311" s="125"/>
      <c r="C311" s="125"/>
      <c r="D311" s="126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8"/>
      <c r="AE311" s="28" t="str">
        <f t="shared" si="10"/>
        <v/>
      </c>
    </row>
    <row r="312" spans="2:31" x14ac:dyDescent="0.25">
      <c r="B312" s="125"/>
      <c r="C312" s="125"/>
      <c r="D312" s="126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8"/>
      <c r="AE312" s="28" t="str">
        <f t="shared" si="10"/>
        <v/>
      </c>
    </row>
    <row r="313" spans="2:31" x14ac:dyDescent="0.25">
      <c r="B313" s="125"/>
      <c r="C313" s="125"/>
      <c r="D313" s="126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8"/>
      <c r="AE313" s="28" t="str">
        <f t="shared" si="10"/>
        <v/>
      </c>
    </row>
    <row r="314" spans="2:31" x14ac:dyDescent="0.25">
      <c r="B314" s="125"/>
      <c r="C314" s="125"/>
      <c r="D314" s="126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8"/>
      <c r="AE314" s="28" t="str">
        <f t="shared" si="10"/>
        <v/>
      </c>
    </row>
    <row r="315" spans="2:31" x14ac:dyDescent="0.25">
      <c r="B315" s="125"/>
      <c r="C315" s="125"/>
      <c r="D315" s="126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8"/>
      <c r="AE315" s="28" t="str">
        <f t="shared" si="10"/>
        <v/>
      </c>
    </row>
    <row r="316" spans="2:31" x14ac:dyDescent="0.25">
      <c r="B316" s="125"/>
      <c r="C316" s="125"/>
      <c r="D316" s="126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8"/>
      <c r="AE316" s="28" t="str">
        <f t="shared" si="10"/>
        <v/>
      </c>
    </row>
    <row r="317" spans="2:31" x14ac:dyDescent="0.25">
      <c r="B317" s="125"/>
      <c r="C317" s="125"/>
      <c r="D317" s="126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8"/>
      <c r="AE317" s="28" t="str">
        <f t="shared" si="10"/>
        <v/>
      </c>
    </row>
    <row r="318" spans="2:31" x14ac:dyDescent="0.25">
      <c r="B318" s="125"/>
      <c r="C318" s="125"/>
      <c r="D318" s="126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8"/>
      <c r="AE318" s="28" t="str">
        <f t="shared" si="10"/>
        <v/>
      </c>
    </row>
    <row r="319" spans="2:31" x14ac:dyDescent="0.25">
      <c r="B319" s="125"/>
      <c r="C319" s="125"/>
      <c r="D319" s="126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8"/>
      <c r="AE319" s="28" t="str">
        <f t="shared" si="10"/>
        <v/>
      </c>
    </row>
    <row r="320" spans="2:31" x14ac:dyDescent="0.25">
      <c r="B320" s="125"/>
      <c r="C320" s="125"/>
      <c r="D320" s="126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8"/>
      <c r="AE320" s="28" t="str">
        <f t="shared" si="10"/>
        <v/>
      </c>
    </row>
    <row r="321" spans="2:31" x14ac:dyDescent="0.25">
      <c r="B321" s="125"/>
      <c r="C321" s="125"/>
      <c r="D321" s="126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8"/>
      <c r="AE321" s="28" t="str">
        <f t="shared" si="10"/>
        <v/>
      </c>
    </row>
    <row r="322" spans="2:31" x14ac:dyDescent="0.25">
      <c r="B322" s="125"/>
      <c r="C322" s="125"/>
      <c r="D322" s="126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8"/>
      <c r="AE322" s="28" t="str">
        <f t="shared" si="10"/>
        <v/>
      </c>
    </row>
    <row r="323" spans="2:31" x14ac:dyDescent="0.25">
      <c r="B323" s="125"/>
      <c r="C323" s="125"/>
      <c r="D323" s="126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8"/>
      <c r="AE323" s="28" t="str">
        <f t="shared" si="10"/>
        <v/>
      </c>
    </row>
    <row r="324" spans="2:31" x14ac:dyDescent="0.25">
      <c r="B324" s="125"/>
      <c r="C324" s="125"/>
      <c r="D324" s="126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8"/>
      <c r="AE324" s="28" t="str">
        <f t="shared" si="10"/>
        <v/>
      </c>
    </row>
    <row r="325" spans="2:31" x14ac:dyDescent="0.25">
      <c r="B325" s="125"/>
      <c r="C325" s="125"/>
      <c r="D325" s="126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8"/>
      <c r="AE325" s="28" t="str">
        <f t="shared" si="10"/>
        <v/>
      </c>
    </row>
    <row r="326" spans="2:31" x14ac:dyDescent="0.25">
      <c r="B326" s="125"/>
      <c r="C326" s="125"/>
      <c r="D326" s="126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8"/>
      <c r="AE326" s="28" t="str">
        <f t="shared" si="10"/>
        <v/>
      </c>
    </row>
    <row r="327" spans="2:31" x14ac:dyDescent="0.25">
      <c r="B327" s="125"/>
      <c r="C327" s="125"/>
      <c r="D327" s="126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8"/>
      <c r="AE327" s="28" t="str">
        <f t="shared" si="10"/>
        <v/>
      </c>
    </row>
    <row r="328" spans="2:31" x14ac:dyDescent="0.25">
      <c r="B328" s="125"/>
      <c r="C328" s="125"/>
      <c r="D328" s="126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8"/>
      <c r="AE328" s="28" t="str">
        <f t="shared" si="10"/>
        <v/>
      </c>
    </row>
    <row r="329" spans="2:31" x14ac:dyDescent="0.25">
      <c r="B329" s="125"/>
      <c r="C329" s="125"/>
      <c r="D329" s="126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8"/>
      <c r="AE329" s="28" t="str">
        <f t="shared" si="10"/>
        <v/>
      </c>
    </row>
    <row r="330" spans="2:31" x14ac:dyDescent="0.25">
      <c r="B330" s="125"/>
      <c r="C330" s="125"/>
      <c r="D330" s="126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8"/>
      <c r="AE330" s="28" t="str">
        <f t="shared" si="10"/>
        <v/>
      </c>
    </row>
    <row r="331" spans="2:31" x14ac:dyDescent="0.25">
      <c r="B331" s="125"/>
      <c r="C331" s="125"/>
      <c r="D331" s="126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8"/>
      <c r="AE331" s="28" t="str">
        <f t="shared" si="10"/>
        <v/>
      </c>
    </row>
    <row r="332" spans="2:31" x14ac:dyDescent="0.25">
      <c r="B332" s="125"/>
      <c r="C332" s="125"/>
      <c r="D332" s="126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8"/>
      <c r="AE332" s="28" t="str">
        <f t="shared" si="10"/>
        <v/>
      </c>
    </row>
    <row r="333" spans="2:31" x14ac:dyDescent="0.25">
      <c r="B333" s="125"/>
      <c r="C333" s="125"/>
      <c r="D333" s="126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8"/>
      <c r="AE333" s="28" t="str">
        <f t="shared" si="10"/>
        <v/>
      </c>
    </row>
    <row r="334" spans="2:31" x14ac:dyDescent="0.25">
      <c r="B334" s="125"/>
      <c r="C334" s="125"/>
      <c r="D334" s="126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8"/>
      <c r="AE334" s="28" t="str">
        <f t="shared" si="10"/>
        <v/>
      </c>
    </row>
    <row r="335" spans="2:31" x14ac:dyDescent="0.25">
      <c r="B335" s="125"/>
      <c r="C335" s="125"/>
      <c r="D335" s="126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8"/>
      <c r="AE335" s="28" t="str">
        <f t="shared" si="10"/>
        <v/>
      </c>
    </row>
    <row r="336" spans="2:31" x14ac:dyDescent="0.25">
      <c r="B336" s="125"/>
      <c r="C336" s="125"/>
      <c r="D336" s="126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8"/>
      <c r="AE336" s="28" t="str">
        <f t="shared" si="10"/>
        <v/>
      </c>
    </row>
    <row r="337" spans="2:31" x14ac:dyDescent="0.25">
      <c r="B337" s="125"/>
      <c r="C337" s="125"/>
      <c r="D337" s="126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8"/>
      <c r="AE337" s="28" t="str">
        <f t="shared" si="10"/>
        <v/>
      </c>
    </row>
    <row r="338" spans="2:31" x14ac:dyDescent="0.25">
      <c r="B338" s="125"/>
      <c r="C338" s="125"/>
      <c r="D338" s="126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8"/>
      <c r="AE338" s="28" t="str">
        <f t="shared" si="10"/>
        <v/>
      </c>
    </row>
    <row r="339" spans="2:31" x14ac:dyDescent="0.25">
      <c r="B339" s="125"/>
      <c r="C339" s="125"/>
      <c r="D339" s="126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8"/>
      <c r="AE339" s="28" t="str">
        <f t="shared" si="10"/>
        <v/>
      </c>
    </row>
    <row r="340" spans="2:31" x14ac:dyDescent="0.25">
      <c r="B340" s="125"/>
      <c r="C340" s="125"/>
      <c r="D340" s="126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8"/>
      <c r="AE340" s="28" t="str">
        <f t="shared" si="10"/>
        <v/>
      </c>
    </row>
    <row r="341" spans="2:31" x14ac:dyDescent="0.25">
      <c r="B341" s="125"/>
      <c r="C341" s="125"/>
      <c r="D341" s="126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8"/>
      <c r="AE341" s="28" t="str">
        <f t="shared" ref="AE341:AE403" si="11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25"/>
      <c r="C342" s="125"/>
      <c r="D342" s="126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8"/>
      <c r="AE342" s="28" t="str">
        <f t="shared" si="11"/>
        <v/>
      </c>
    </row>
    <row r="343" spans="2:31" x14ac:dyDescent="0.25">
      <c r="B343" s="125"/>
      <c r="C343" s="125"/>
      <c r="D343" s="126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8"/>
      <c r="AE343" s="28" t="str">
        <f t="shared" si="11"/>
        <v/>
      </c>
    </row>
    <row r="344" spans="2:31" x14ac:dyDescent="0.25">
      <c r="B344" s="125"/>
      <c r="C344" s="125"/>
      <c r="D344" s="126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8"/>
      <c r="AE344" s="28" t="str">
        <f t="shared" si="11"/>
        <v/>
      </c>
    </row>
    <row r="345" spans="2:31" x14ac:dyDescent="0.25">
      <c r="B345" s="125"/>
      <c r="C345" s="125"/>
      <c r="D345" s="126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8"/>
      <c r="AE345" s="28" t="str">
        <f t="shared" si="11"/>
        <v/>
      </c>
    </row>
    <row r="346" spans="2:31" x14ac:dyDescent="0.25">
      <c r="B346" s="125"/>
      <c r="C346" s="125"/>
      <c r="D346" s="126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8"/>
      <c r="AE346" s="28" t="str">
        <f t="shared" si="11"/>
        <v/>
      </c>
    </row>
    <row r="347" spans="2:31" x14ac:dyDescent="0.25">
      <c r="B347" s="125"/>
      <c r="C347" s="125"/>
      <c r="D347" s="126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8"/>
      <c r="AE347" s="28" t="str">
        <f t="shared" si="11"/>
        <v/>
      </c>
    </row>
    <row r="348" spans="2:31" x14ac:dyDescent="0.25">
      <c r="B348" s="125"/>
      <c r="C348" s="125"/>
      <c r="D348" s="126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8"/>
      <c r="AE348" s="28" t="str">
        <f t="shared" si="11"/>
        <v/>
      </c>
    </row>
    <row r="349" spans="2:31" x14ac:dyDescent="0.25">
      <c r="B349" s="125"/>
      <c r="C349" s="125"/>
      <c r="D349" s="126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8"/>
      <c r="AE349" s="28" t="str">
        <f t="shared" si="11"/>
        <v/>
      </c>
    </row>
    <row r="350" spans="2:31" x14ac:dyDescent="0.25">
      <c r="B350" s="125"/>
      <c r="C350" s="125"/>
      <c r="D350" s="126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8"/>
      <c r="AE350" s="28" t="str">
        <f t="shared" si="11"/>
        <v/>
      </c>
    </row>
    <row r="351" spans="2:31" x14ac:dyDescent="0.25">
      <c r="B351" s="125"/>
      <c r="C351" s="125"/>
      <c r="D351" s="126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8"/>
      <c r="AE351" s="28" t="str">
        <f t="shared" si="11"/>
        <v/>
      </c>
    </row>
    <row r="352" spans="2:31" x14ac:dyDescent="0.25">
      <c r="B352" s="125"/>
      <c r="C352" s="125"/>
      <c r="D352" s="126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8"/>
      <c r="AE352" s="28" t="str">
        <f t="shared" si="11"/>
        <v/>
      </c>
    </row>
    <row r="353" spans="2:31" x14ac:dyDescent="0.25">
      <c r="B353" s="125"/>
      <c r="C353" s="125"/>
      <c r="D353" s="126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8"/>
      <c r="AE353" s="28" t="str">
        <f t="shared" si="11"/>
        <v/>
      </c>
    </row>
    <row r="354" spans="2:31" x14ac:dyDescent="0.25">
      <c r="B354" s="125"/>
      <c r="C354" s="125"/>
      <c r="D354" s="126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8"/>
      <c r="AE354" s="28" t="str">
        <f t="shared" si="11"/>
        <v/>
      </c>
    </row>
    <row r="355" spans="2:31" x14ac:dyDescent="0.25">
      <c r="B355" s="125"/>
      <c r="C355" s="125"/>
      <c r="D355" s="126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8"/>
      <c r="AE355" s="28" t="str">
        <f t="shared" si="11"/>
        <v/>
      </c>
    </row>
    <row r="356" spans="2:31" x14ac:dyDescent="0.25">
      <c r="B356" s="125"/>
      <c r="C356" s="125"/>
      <c r="D356" s="126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8"/>
      <c r="AE356" s="28" t="str">
        <f t="shared" si="11"/>
        <v/>
      </c>
    </row>
    <row r="357" spans="2:31" x14ac:dyDescent="0.25">
      <c r="B357" s="125"/>
      <c r="C357" s="125"/>
      <c r="D357" s="126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8"/>
      <c r="AE357" s="28" t="str">
        <f t="shared" si="11"/>
        <v/>
      </c>
    </row>
    <row r="358" spans="2:31" x14ac:dyDescent="0.25">
      <c r="B358" s="125"/>
      <c r="C358" s="125"/>
      <c r="D358" s="126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8"/>
      <c r="AE358" s="28" t="str">
        <f t="shared" si="11"/>
        <v/>
      </c>
    </row>
    <row r="359" spans="2:31" x14ac:dyDescent="0.25">
      <c r="B359" s="125"/>
      <c r="C359" s="125"/>
      <c r="D359" s="126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8"/>
      <c r="AE359" s="28" t="str">
        <f t="shared" si="11"/>
        <v/>
      </c>
    </row>
    <row r="360" spans="2:31" x14ac:dyDescent="0.25">
      <c r="B360" s="125"/>
      <c r="C360" s="125"/>
      <c r="D360" s="126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8"/>
      <c r="AE360" s="28" t="str">
        <f t="shared" si="11"/>
        <v/>
      </c>
    </row>
    <row r="361" spans="2:31" x14ac:dyDescent="0.25">
      <c r="B361" s="125"/>
      <c r="C361" s="125"/>
      <c r="D361" s="126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8"/>
      <c r="AE361" s="28" t="str">
        <f t="shared" si="11"/>
        <v/>
      </c>
    </row>
    <row r="362" spans="2:31" x14ac:dyDescent="0.25">
      <c r="B362" s="125"/>
      <c r="C362" s="125"/>
      <c r="D362" s="126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8"/>
      <c r="AE362" s="28" t="str">
        <f t="shared" si="11"/>
        <v/>
      </c>
    </row>
    <row r="363" spans="2:31" x14ac:dyDescent="0.25">
      <c r="B363" s="125"/>
      <c r="C363" s="125"/>
      <c r="D363" s="126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8"/>
      <c r="AE363" s="28" t="str">
        <f t="shared" si="11"/>
        <v/>
      </c>
    </row>
    <row r="364" spans="2:31" x14ac:dyDescent="0.25">
      <c r="B364" s="125"/>
      <c r="C364" s="125"/>
      <c r="D364" s="126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8"/>
      <c r="AE364" s="28" t="str">
        <f t="shared" si="11"/>
        <v/>
      </c>
    </row>
    <row r="365" spans="2:31" x14ac:dyDescent="0.25">
      <c r="B365" s="125"/>
      <c r="C365" s="125"/>
      <c r="D365" s="126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8"/>
      <c r="AE365" s="28" t="str">
        <f t="shared" si="11"/>
        <v/>
      </c>
    </row>
    <row r="366" spans="2:31" x14ac:dyDescent="0.25">
      <c r="B366" s="125"/>
      <c r="C366" s="125"/>
      <c r="D366" s="126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8"/>
      <c r="AE366" s="28" t="str">
        <f t="shared" si="11"/>
        <v/>
      </c>
    </row>
    <row r="367" spans="2:31" x14ac:dyDescent="0.25">
      <c r="B367" s="125"/>
      <c r="C367" s="125"/>
      <c r="D367" s="126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8"/>
      <c r="AE367" s="28" t="str">
        <f t="shared" si="11"/>
        <v/>
      </c>
    </row>
    <row r="368" spans="2:31" x14ac:dyDescent="0.25">
      <c r="B368" s="125"/>
      <c r="C368" s="125"/>
      <c r="D368" s="126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8"/>
      <c r="AE368" s="28" t="str">
        <f t="shared" si="11"/>
        <v/>
      </c>
    </row>
    <row r="369" spans="2:31" x14ac:dyDescent="0.25">
      <c r="B369" s="125"/>
      <c r="C369" s="125"/>
      <c r="D369" s="126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8"/>
      <c r="AE369" s="28" t="str">
        <f t="shared" si="11"/>
        <v/>
      </c>
    </row>
    <row r="370" spans="2:31" x14ac:dyDescent="0.25">
      <c r="B370" s="125"/>
      <c r="C370" s="125"/>
      <c r="D370" s="126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8"/>
      <c r="AE370" s="28" t="str">
        <f t="shared" si="11"/>
        <v/>
      </c>
    </row>
    <row r="371" spans="2:31" x14ac:dyDescent="0.25">
      <c r="B371" s="125"/>
      <c r="C371" s="125"/>
      <c r="D371" s="126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8"/>
      <c r="AE371" s="28" t="str">
        <f t="shared" si="11"/>
        <v/>
      </c>
    </row>
    <row r="372" spans="2:31" x14ac:dyDescent="0.25">
      <c r="B372" s="125"/>
      <c r="C372" s="125"/>
      <c r="D372" s="126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8"/>
      <c r="AE372" s="28" t="str">
        <f t="shared" si="11"/>
        <v/>
      </c>
    </row>
    <row r="373" spans="2:31" x14ac:dyDescent="0.25">
      <c r="B373" s="125"/>
      <c r="C373" s="125"/>
      <c r="D373" s="126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8"/>
      <c r="AE373" s="28" t="str">
        <f t="shared" si="11"/>
        <v/>
      </c>
    </row>
    <row r="374" spans="2:31" x14ac:dyDescent="0.25">
      <c r="B374" s="125"/>
      <c r="C374" s="125"/>
      <c r="D374" s="126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8"/>
      <c r="AE374" s="28" t="str">
        <f t="shared" si="11"/>
        <v/>
      </c>
    </row>
    <row r="375" spans="2:31" x14ac:dyDescent="0.25">
      <c r="B375" s="125"/>
      <c r="C375" s="125"/>
      <c r="D375" s="126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8"/>
      <c r="AE375" s="28" t="str">
        <f t="shared" si="11"/>
        <v/>
      </c>
    </row>
    <row r="376" spans="2:31" x14ac:dyDescent="0.25">
      <c r="B376" s="125"/>
      <c r="C376" s="125"/>
      <c r="D376" s="126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8"/>
      <c r="AE376" s="28" t="str">
        <f t="shared" si="11"/>
        <v/>
      </c>
    </row>
    <row r="377" spans="2:31" x14ac:dyDescent="0.25">
      <c r="B377" s="125"/>
      <c r="C377" s="125"/>
      <c r="D377" s="126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8"/>
      <c r="AE377" s="28" t="str">
        <f t="shared" si="11"/>
        <v/>
      </c>
    </row>
    <row r="378" spans="2:31" x14ac:dyDescent="0.25">
      <c r="B378" s="125"/>
      <c r="C378" s="125"/>
      <c r="D378" s="126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8"/>
      <c r="AE378" s="28" t="str">
        <f t="shared" si="11"/>
        <v/>
      </c>
    </row>
    <row r="379" spans="2:31" x14ac:dyDescent="0.25">
      <c r="B379" s="125"/>
      <c r="C379" s="125"/>
      <c r="D379" s="126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8"/>
      <c r="AE379" s="28" t="str">
        <f t="shared" si="11"/>
        <v/>
      </c>
    </row>
    <row r="380" spans="2:31" x14ac:dyDescent="0.25">
      <c r="B380" s="125"/>
      <c r="C380" s="125"/>
      <c r="D380" s="126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8"/>
      <c r="AE380" s="28" t="str">
        <f t="shared" si="11"/>
        <v/>
      </c>
    </row>
    <row r="381" spans="2:31" x14ac:dyDescent="0.25">
      <c r="B381" s="125"/>
      <c r="C381" s="125"/>
      <c r="D381" s="126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8"/>
      <c r="AE381" s="28" t="str">
        <f t="shared" si="11"/>
        <v/>
      </c>
    </row>
    <row r="382" spans="2:31" x14ac:dyDescent="0.25">
      <c r="B382" s="125"/>
      <c r="C382" s="125"/>
      <c r="D382" s="126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8"/>
      <c r="AE382" s="28" t="str">
        <f t="shared" si="11"/>
        <v/>
      </c>
    </row>
    <row r="383" spans="2:31" x14ac:dyDescent="0.25">
      <c r="B383" s="125"/>
      <c r="C383" s="125"/>
      <c r="D383" s="126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8"/>
      <c r="AE383" s="28" t="str">
        <f t="shared" si="11"/>
        <v/>
      </c>
    </row>
    <row r="384" spans="2:31" x14ac:dyDescent="0.25">
      <c r="B384" s="125"/>
      <c r="C384" s="125"/>
      <c r="D384" s="126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8"/>
      <c r="AE384" s="28" t="str">
        <f t="shared" si="11"/>
        <v/>
      </c>
    </row>
    <row r="385" spans="2:31" x14ac:dyDescent="0.25">
      <c r="B385" s="125"/>
      <c r="C385" s="125"/>
      <c r="D385" s="126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8"/>
      <c r="AE385" s="28" t="str">
        <f t="shared" si="11"/>
        <v/>
      </c>
    </row>
    <row r="386" spans="2:31" x14ac:dyDescent="0.25">
      <c r="B386" s="125"/>
      <c r="C386" s="125"/>
      <c r="D386" s="126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8"/>
      <c r="AE386" s="28" t="str">
        <f t="shared" si="11"/>
        <v/>
      </c>
    </row>
    <row r="387" spans="2:31" x14ac:dyDescent="0.25">
      <c r="B387" s="125"/>
      <c r="C387" s="125"/>
      <c r="D387" s="126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8"/>
      <c r="AE387" s="28" t="str">
        <f t="shared" si="11"/>
        <v/>
      </c>
    </row>
    <row r="388" spans="2:31" x14ac:dyDescent="0.25">
      <c r="B388" s="125"/>
      <c r="C388" s="125"/>
      <c r="D388" s="126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8"/>
      <c r="AE388" s="28" t="str">
        <f t="shared" si="11"/>
        <v/>
      </c>
    </row>
    <row r="389" spans="2:31" x14ac:dyDescent="0.25">
      <c r="B389" s="125"/>
      <c r="C389" s="125"/>
      <c r="D389" s="126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8"/>
      <c r="AE389" s="28" t="str">
        <f t="shared" si="11"/>
        <v/>
      </c>
    </row>
    <row r="390" spans="2:31" x14ac:dyDescent="0.25">
      <c r="B390" s="125"/>
      <c r="C390" s="125"/>
      <c r="D390" s="126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8"/>
      <c r="AE390" s="28" t="str">
        <f t="shared" si="11"/>
        <v/>
      </c>
    </row>
    <row r="391" spans="2:31" x14ac:dyDescent="0.25">
      <c r="B391" s="125"/>
      <c r="C391" s="125"/>
      <c r="D391" s="126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8"/>
      <c r="AE391" s="28" t="str">
        <f t="shared" si="11"/>
        <v/>
      </c>
    </row>
    <row r="392" spans="2:31" x14ac:dyDescent="0.25">
      <c r="B392" s="125"/>
      <c r="C392" s="125"/>
      <c r="D392" s="126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8"/>
      <c r="AE392" s="28" t="str">
        <f t="shared" si="11"/>
        <v/>
      </c>
    </row>
    <row r="393" spans="2:31" x14ac:dyDescent="0.25">
      <c r="B393" s="125"/>
      <c r="C393" s="125"/>
      <c r="D393" s="126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8"/>
      <c r="AE393" s="28" t="str">
        <f t="shared" si="11"/>
        <v/>
      </c>
    </row>
    <row r="394" spans="2:31" x14ac:dyDescent="0.25">
      <c r="B394" s="125"/>
      <c r="C394" s="125"/>
      <c r="D394" s="126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8"/>
      <c r="AE394" s="28" t="str">
        <f t="shared" si="11"/>
        <v/>
      </c>
    </row>
    <row r="395" spans="2:31" x14ac:dyDescent="0.25">
      <c r="B395" s="125"/>
      <c r="C395" s="125"/>
      <c r="D395" s="126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8"/>
      <c r="AE395" s="28" t="str">
        <f t="shared" si="11"/>
        <v/>
      </c>
    </row>
    <row r="396" spans="2:31" x14ac:dyDescent="0.25">
      <c r="B396" s="125"/>
      <c r="C396" s="125"/>
      <c r="D396" s="126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8"/>
      <c r="AE396" s="28" t="str">
        <f t="shared" si="11"/>
        <v/>
      </c>
    </row>
    <row r="397" spans="2:31" x14ac:dyDescent="0.25">
      <c r="B397" s="125"/>
      <c r="C397" s="125"/>
      <c r="D397" s="126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8"/>
      <c r="AE397" s="28" t="str">
        <f t="shared" si="11"/>
        <v/>
      </c>
    </row>
    <row r="398" spans="2:31" x14ac:dyDescent="0.25">
      <c r="B398" s="125"/>
      <c r="C398" s="125"/>
      <c r="D398" s="126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8"/>
      <c r="AE398" s="28" t="str">
        <f t="shared" si="11"/>
        <v/>
      </c>
    </row>
    <row r="399" spans="2:31" x14ac:dyDescent="0.25">
      <c r="B399" s="125"/>
      <c r="C399" s="125"/>
      <c r="D399" s="126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8"/>
      <c r="AE399" s="28" t="str">
        <f t="shared" si="11"/>
        <v/>
      </c>
    </row>
    <row r="400" spans="2:31" x14ac:dyDescent="0.25">
      <c r="B400" s="125"/>
      <c r="C400" s="125"/>
      <c r="D400" s="126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8"/>
      <c r="AE400" s="28" t="str">
        <f t="shared" si="11"/>
        <v/>
      </c>
    </row>
    <row r="401" spans="2:31" x14ac:dyDescent="0.25">
      <c r="B401" s="125"/>
      <c r="C401" s="125"/>
      <c r="D401" s="126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8"/>
      <c r="AE401" s="28" t="str">
        <f t="shared" si="11"/>
        <v/>
      </c>
    </row>
    <row r="402" spans="2:31" x14ac:dyDescent="0.25">
      <c r="B402" s="125"/>
      <c r="C402" s="125"/>
      <c r="D402" s="126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8"/>
      <c r="AE402" s="28" t="str">
        <f t="shared" si="11"/>
        <v/>
      </c>
    </row>
    <row r="403" spans="2:31" x14ac:dyDescent="0.25">
      <c r="B403" s="125"/>
      <c r="C403" s="125"/>
      <c r="D403" s="126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8"/>
      <c r="AE403" s="28" t="str">
        <f t="shared" si="11"/>
        <v/>
      </c>
    </row>
  </sheetData>
  <sheetProtection sheet="1" objects="1" scenarios="1"/>
  <mergeCells count="26">
    <mergeCell ref="F2:I4"/>
    <mergeCell ref="C24:J24"/>
    <mergeCell ref="C26:J26"/>
    <mergeCell ref="D47:E47"/>
    <mergeCell ref="C6:J6"/>
    <mergeCell ref="C8:J8"/>
    <mergeCell ref="D13:F13"/>
    <mergeCell ref="D15:F15"/>
    <mergeCell ref="D17:F17"/>
    <mergeCell ref="C22:J22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62:G62"/>
    <mergeCell ref="F57:G57"/>
    <mergeCell ref="F58:G58"/>
    <mergeCell ref="F59:G59"/>
    <mergeCell ref="F60:G60"/>
    <mergeCell ref="F61:G61"/>
  </mergeCells>
  <conditionalFormatting sqref="G66:G80">
    <cfRule type="expression" dxfId="47" priority="48">
      <formula>IF($C$4-1=4,1,0)</formula>
    </cfRule>
  </conditionalFormatting>
  <conditionalFormatting sqref="D66:D80">
    <cfRule type="expression" dxfId="46" priority="47">
      <formula>IF($C$4-1=1,1,0)</formula>
    </cfRule>
  </conditionalFormatting>
  <conditionalFormatting sqref="E66:E80">
    <cfRule type="expression" dxfId="45" priority="46">
      <formula>IF($C$4-1=2,1,0)</formula>
    </cfRule>
  </conditionalFormatting>
  <conditionalFormatting sqref="F66:F80">
    <cfRule type="expression" dxfId="44" priority="45">
      <formula>IF($C$4-1=3,1,0)</formula>
    </cfRule>
  </conditionalFormatting>
  <conditionalFormatting sqref="H66:H80">
    <cfRule type="expression" dxfId="43" priority="44">
      <formula>IF($C$4-1=5,1,0)</formula>
    </cfRule>
  </conditionalFormatting>
  <conditionalFormatting sqref="I66:I80">
    <cfRule type="expression" dxfId="42" priority="43">
      <formula>IF($C$4-1=6,1,0)</formula>
    </cfRule>
  </conditionalFormatting>
  <conditionalFormatting sqref="J66:J80">
    <cfRule type="expression" dxfId="41" priority="42">
      <formula>IF($C$4-1=7,1,0)</formula>
    </cfRule>
  </conditionalFormatting>
  <conditionalFormatting sqref="K66:K80">
    <cfRule type="expression" dxfId="40" priority="41">
      <formula>IF($C$4-1=8,1,0)</formula>
    </cfRule>
  </conditionalFormatting>
  <conditionalFormatting sqref="L66:L80">
    <cfRule type="expression" dxfId="39" priority="40">
      <formula>IF($C$4-1=9,1,0)</formula>
    </cfRule>
  </conditionalFormatting>
  <conditionalFormatting sqref="M66:M80">
    <cfRule type="expression" dxfId="38" priority="39">
      <formula>IF($C$4-1=10,1,0)</formula>
    </cfRule>
  </conditionalFormatting>
  <conditionalFormatting sqref="N66:N80">
    <cfRule type="expression" dxfId="37" priority="38">
      <formula>IF($C$4-1=11,1,0)</formula>
    </cfRule>
  </conditionalFormatting>
  <conditionalFormatting sqref="O66:O80">
    <cfRule type="expression" dxfId="36" priority="37">
      <formula>IF($C$4-1=12,1,0)</formula>
    </cfRule>
  </conditionalFormatting>
  <conditionalFormatting sqref="O87:O403">
    <cfRule type="expression" dxfId="35" priority="1">
      <formula>IF($C$4-1=12,1,0)</formula>
    </cfRule>
  </conditionalFormatting>
  <conditionalFormatting sqref="G84">
    <cfRule type="expression" dxfId="34" priority="36">
      <formula>IF($C$4-1=4,1,0)</formula>
    </cfRule>
  </conditionalFormatting>
  <conditionalFormatting sqref="D84">
    <cfRule type="expression" dxfId="33" priority="35">
      <formula>IF($C$4-1=1,1,0)</formula>
    </cfRule>
  </conditionalFormatting>
  <conditionalFormatting sqref="E84">
    <cfRule type="expression" dxfId="32" priority="34">
      <formula>IF($C$4-1=2,1,0)</formula>
    </cfRule>
  </conditionalFormatting>
  <conditionalFormatting sqref="F84">
    <cfRule type="expression" dxfId="31" priority="33">
      <formula>IF($C$4-1=3,1,0)</formula>
    </cfRule>
  </conditionalFormatting>
  <conditionalFormatting sqref="H84">
    <cfRule type="expression" dxfId="30" priority="32">
      <formula>IF($C$4-1=5,1,0)</formula>
    </cfRule>
  </conditionalFormatting>
  <conditionalFormatting sqref="I84">
    <cfRule type="expression" dxfId="29" priority="31">
      <formula>IF($C$4-1=6,1,0)</formula>
    </cfRule>
  </conditionalFormatting>
  <conditionalFormatting sqref="J84">
    <cfRule type="expression" dxfId="28" priority="30">
      <formula>IF($C$4-1=7,1,0)</formula>
    </cfRule>
  </conditionalFormatting>
  <conditionalFormatting sqref="K84">
    <cfRule type="expression" dxfId="27" priority="29">
      <formula>IF($C$4-1=8,1,0)</formula>
    </cfRule>
  </conditionalFormatting>
  <conditionalFormatting sqref="L84">
    <cfRule type="expression" dxfId="26" priority="28">
      <formula>IF($C$4-1=9,1,0)</formula>
    </cfRule>
  </conditionalFormatting>
  <conditionalFormatting sqref="M84">
    <cfRule type="expression" dxfId="25" priority="27">
      <formula>IF($C$4-1=10,1,0)</formula>
    </cfRule>
  </conditionalFormatting>
  <conditionalFormatting sqref="N84">
    <cfRule type="expression" dxfId="24" priority="26">
      <formula>IF($C$4-1=11,1,0)</formula>
    </cfRule>
  </conditionalFormatting>
  <conditionalFormatting sqref="O84">
    <cfRule type="expression" dxfId="23" priority="25">
      <formula>IF($C$4-1=12,1,0)</formula>
    </cfRule>
  </conditionalFormatting>
  <conditionalFormatting sqref="G85:G86">
    <cfRule type="expression" dxfId="22" priority="24">
      <formula>IF($C$4-1=4,1,0)</formula>
    </cfRule>
  </conditionalFormatting>
  <conditionalFormatting sqref="D85:D86">
    <cfRule type="expression" dxfId="21" priority="23">
      <formula>IF($C$4-1=1,1,0)</formula>
    </cfRule>
  </conditionalFormatting>
  <conditionalFormatting sqref="E85:E86">
    <cfRule type="expression" dxfId="20" priority="22">
      <formula>IF($C$4-1=2,1,0)</formula>
    </cfRule>
  </conditionalFormatting>
  <conditionalFormatting sqref="F85:F86">
    <cfRule type="expression" dxfId="19" priority="21">
      <formula>IF($C$4-1=3,1,0)</formula>
    </cfRule>
  </conditionalFormatting>
  <conditionalFormatting sqref="H85:H86">
    <cfRule type="expression" dxfId="18" priority="20">
      <formula>IF($C$4-1=5,1,0)</formula>
    </cfRule>
  </conditionalFormatting>
  <conditionalFormatting sqref="I85:I86">
    <cfRule type="expression" dxfId="17" priority="19">
      <formula>IF($C$4-1=6,1,0)</formula>
    </cfRule>
  </conditionalFormatting>
  <conditionalFormatting sqref="J85:J86">
    <cfRule type="expression" dxfId="16" priority="18">
      <formula>IF($C$4-1=7,1,0)</formula>
    </cfRule>
  </conditionalFormatting>
  <conditionalFormatting sqref="K85:K86">
    <cfRule type="expression" dxfId="15" priority="17">
      <formula>IF($C$4-1=8,1,0)</formula>
    </cfRule>
  </conditionalFormatting>
  <conditionalFormatting sqref="L85:L86">
    <cfRule type="expression" dxfId="14" priority="16">
      <formula>IF($C$4-1=9,1,0)</formula>
    </cfRule>
  </conditionalFormatting>
  <conditionalFormatting sqref="M85:M86">
    <cfRule type="expression" dxfId="13" priority="15">
      <formula>IF($C$4-1=10,1,0)</formula>
    </cfRule>
  </conditionalFormatting>
  <conditionalFormatting sqref="N85:N86">
    <cfRule type="expression" dxfId="12" priority="14">
      <formula>IF($C$4-1=11,1,0)</formula>
    </cfRule>
  </conditionalFormatting>
  <conditionalFormatting sqref="O85:O86">
    <cfRule type="expression" dxfId="11" priority="13">
      <formula>IF($C$4-1=12,1,0)</formula>
    </cfRule>
  </conditionalFormatting>
  <conditionalFormatting sqref="G87:G403">
    <cfRule type="expression" dxfId="10" priority="12">
      <formula>IF($C$4-1=4,1,0)</formula>
    </cfRule>
  </conditionalFormatting>
  <conditionalFormatting sqref="D87:D403">
    <cfRule type="expression" dxfId="9" priority="11">
      <formula>IF($C$4-1=1,1,0)</formula>
    </cfRule>
  </conditionalFormatting>
  <conditionalFormatting sqref="E87:E403">
    <cfRule type="expression" dxfId="8" priority="10">
      <formula>IF($C$4-1=2,1,0)</formula>
    </cfRule>
  </conditionalFormatting>
  <conditionalFormatting sqref="F87:F403">
    <cfRule type="expression" dxfId="7" priority="9">
      <formula>IF($C$4-1=3,1,0)</formula>
    </cfRule>
  </conditionalFormatting>
  <conditionalFormatting sqref="H87:H403">
    <cfRule type="expression" dxfId="6" priority="8">
      <formula>IF($C$4-1=5,1,0)</formula>
    </cfRule>
  </conditionalFormatting>
  <conditionalFormatting sqref="I87:I403">
    <cfRule type="expression" dxfId="5" priority="7">
      <formula>IF($C$4-1=6,1,0)</formula>
    </cfRule>
  </conditionalFormatting>
  <conditionalFormatting sqref="J87:J403">
    <cfRule type="expression" dxfId="4" priority="6">
      <formula>IF($C$4-1=7,1,0)</formula>
    </cfRule>
  </conditionalFormatting>
  <conditionalFormatting sqref="K87:K403">
    <cfRule type="expression" dxfId="3" priority="5">
      <formula>IF($C$4-1=8,1,0)</formula>
    </cfRule>
  </conditionalFormatting>
  <conditionalFormatting sqref="L87:L403">
    <cfRule type="expression" dxfId="2" priority="4">
      <formula>IF($C$4-1=9,1,0)</formula>
    </cfRule>
  </conditionalFormatting>
  <conditionalFormatting sqref="M87:M403">
    <cfRule type="expression" dxfId="1" priority="3">
      <formula>IF($C$4-1=10,1,0)</formula>
    </cfRule>
  </conditionalFormatting>
  <conditionalFormatting sqref="N87:N403">
    <cfRule type="expression" dxfId="0" priority="2">
      <formula>IF($C$4-1=11,1,0)</formula>
    </cfRule>
  </conditionalFormatting>
  <dataValidations count="2">
    <dataValidation type="list" allowBlank="1" showInputMessage="1" showErrorMessage="1" sqref="C17 C20:G20">
      <formula1>"0,1"</formula1>
    </dataValidation>
    <dataValidation type="list" allowBlank="1" showInputMessage="1" showErrorMessage="1" sqref="C13">
      <formula1>"0,1,2,3"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xmlUmido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topLeftCell="A7" zoomScale="90" zoomScaleNormal="9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"/>
  <sheetViews>
    <sheetView showGridLines="0" zoomScale="90" zoomScaleNormal="9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P33"/>
  <sheetViews>
    <sheetView showGridLines="0" workbookViewId="0">
      <selection activeCell="C20" sqref="C20:C21"/>
    </sheetView>
  </sheetViews>
  <sheetFormatPr defaultRowHeight="15" x14ac:dyDescent="0.25"/>
  <cols>
    <col min="2" max="2" width="10.28515625" bestFit="1" customWidth="1"/>
  </cols>
  <sheetData>
    <row r="2" spans="1:14" ht="15.75" thickBot="1" x14ac:dyDescent="0.3">
      <c r="A2" t="s">
        <v>112</v>
      </c>
      <c r="B2" t="s">
        <v>69</v>
      </c>
      <c r="C2" s="3" t="s">
        <v>46</v>
      </c>
      <c r="D2" s="3" t="s">
        <v>47</v>
      </c>
      <c r="E2" s="3" t="s">
        <v>48</v>
      </c>
      <c r="F2" s="3" t="s">
        <v>49</v>
      </c>
      <c r="G2" s="3" t="s">
        <v>50</v>
      </c>
      <c r="H2" s="3" t="s">
        <v>51</v>
      </c>
      <c r="I2" s="3" t="s">
        <v>52</v>
      </c>
      <c r="J2" s="3" t="s">
        <v>53</v>
      </c>
      <c r="K2" s="3" t="s">
        <v>54</v>
      </c>
      <c r="L2" s="3" t="s">
        <v>55</v>
      </c>
      <c r="M2" s="3" t="s">
        <v>56</v>
      </c>
      <c r="N2" s="3" t="s">
        <v>57</v>
      </c>
    </row>
    <row r="3" spans="1:14" x14ac:dyDescent="0.25">
      <c r="A3" s="130">
        <v>1</v>
      </c>
      <c r="B3" s="131" t="s">
        <v>70</v>
      </c>
      <c r="C3" s="132">
        <v>55958</v>
      </c>
      <c r="D3" s="132">
        <v>58546</v>
      </c>
      <c r="E3" s="132">
        <v>54671</v>
      </c>
      <c r="F3" s="132">
        <v>41439</v>
      </c>
      <c r="G3" s="132">
        <v>29902</v>
      </c>
      <c r="H3" s="132">
        <v>25526</v>
      </c>
      <c r="I3" s="132">
        <v>21177</v>
      </c>
      <c r="J3" s="132">
        <v>17683</v>
      </c>
      <c r="K3" s="132">
        <v>17538</v>
      </c>
      <c r="L3" s="132">
        <v>21100</v>
      </c>
      <c r="M3" s="132">
        <v>26982</v>
      </c>
      <c r="N3" s="132">
        <v>40916</v>
      </c>
    </row>
    <row r="4" spans="1:14" x14ac:dyDescent="0.25">
      <c r="A4" s="130">
        <v>2</v>
      </c>
      <c r="B4" s="133" t="s">
        <v>62</v>
      </c>
      <c r="C4" s="132">
        <v>7271</v>
      </c>
      <c r="D4" s="132">
        <v>8350</v>
      </c>
      <c r="E4" s="132">
        <v>6999</v>
      </c>
      <c r="F4" s="132">
        <v>6584</v>
      </c>
      <c r="G4" s="132">
        <v>8561</v>
      </c>
      <c r="H4" s="132">
        <v>9928</v>
      </c>
      <c r="I4" s="132">
        <v>10915</v>
      </c>
      <c r="J4" s="132">
        <v>10327</v>
      </c>
      <c r="K4" s="132">
        <v>11999</v>
      </c>
      <c r="L4" s="132">
        <v>13256</v>
      </c>
      <c r="M4" s="132">
        <v>9358</v>
      </c>
      <c r="N4" s="132">
        <v>7382</v>
      </c>
    </row>
    <row r="5" spans="1:14" x14ac:dyDescent="0.25">
      <c r="A5" s="130">
        <v>3</v>
      </c>
      <c r="B5" s="134" t="s">
        <v>63</v>
      </c>
      <c r="C5" s="132">
        <v>14160</v>
      </c>
      <c r="D5" s="132">
        <v>14892</v>
      </c>
      <c r="E5" s="132">
        <v>14829</v>
      </c>
      <c r="F5" s="132">
        <v>12074</v>
      </c>
      <c r="G5" s="132">
        <v>7313</v>
      </c>
      <c r="H5" s="132">
        <v>4824</v>
      </c>
      <c r="I5" s="132">
        <v>3974</v>
      </c>
      <c r="J5" s="132">
        <v>3461</v>
      </c>
      <c r="K5" s="132">
        <v>3095</v>
      </c>
      <c r="L5" s="132">
        <v>3392</v>
      </c>
      <c r="M5" s="132">
        <v>5552</v>
      </c>
      <c r="N5" s="132">
        <v>10211</v>
      </c>
    </row>
    <row r="6" spans="1:14" ht="15.75" thickBot="1" x14ac:dyDescent="0.3">
      <c r="A6" s="130">
        <v>4</v>
      </c>
      <c r="B6" s="135" t="s">
        <v>64</v>
      </c>
      <c r="C6" s="132">
        <v>10038</v>
      </c>
      <c r="D6" s="132">
        <v>13476</v>
      </c>
      <c r="E6" s="132">
        <v>15677</v>
      </c>
      <c r="F6" s="132">
        <v>15615</v>
      </c>
      <c r="G6" s="132">
        <v>10498</v>
      </c>
      <c r="H6" s="132">
        <v>5478</v>
      </c>
      <c r="I6" s="132">
        <v>3334</v>
      </c>
      <c r="J6" s="132">
        <v>2337</v>
      </c>
      <c r="K6" s="132">
        <v>1807</v>
      </c>
      <c r="L6" s="132">
        <v>1932</v>
      </c>
      <c r="M6" s="132">
        <v>3065</v>
      </c>
      <c r="N6" s="132">
        <v>5855</v>
      </c>
    </row>
    <row r="7" spans="1:14" x14ac:dyDescent="0.25">
      <c r="A7" s="130">
        <v>6</v>
      </c>
      <c r="B7" s="136" t="s">
        <v>113</v>
      </c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</row>
    <row r="8" spans="1:14" x14ac:dyDescent="0.25">
      <c r="A8" s="130">
        <v>8</v>
      </c>
      <c r="B8" s="137" t="s">
        <v>114</v>
      </c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</row>
    <row r="9" spans="1:14" x14ac:dyDescent="0.25">
      <c r="A9" s="130"/>
      <c r="B9" s="138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</row>
    <row r="10" spans="1:14" x14ac:dyDescent="0.25">
      <c r="A10" s="130"/>
      <c r="B10" s="138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</row>
    <row r="11" spans="1:14" x14ac:dyDescent="0.25">
      <c r="A11" s="130"/>
      <c r="B11" s="138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</row>
    <row r="12" spans="1:14" x14ac:dyDescent="0.25">
      <c r="A12" s="130"/>
      <c r="B12" s="138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</row>
    <row r="13" spans="1:14" x14ac:dyDescent="0.25">
      <c r="A13" s="130"/>
      <c r="B13" s="138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</row>
    <row r="14" spans="1:14" x14ac:dyDescent="0.25">
      <c r="A14" s="130"/>
      <c r="B14" s="138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</row>
    <row r="15" spans="1:14" x14ac:dyDescent="0.25">
      <c r="A15" s="130"/>
      <c r="B15" s="138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</row>
    <row r="16" spans="1:14" x14ac:dyDescent="0.25">
      <c r="A16" s="130"/>
      <c r="B16" s="138"/>
      <c r="C16" s="132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</row>
    <row r="17" spans="1:16" ht="15.75" thickBot="1" x14ac:dyDescent="0.3">
      <c r="A17" s="130"/>
      <c r="B17" s="139"/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</row>
    <row r="20" spans="1:16" x14ac:dyDescent="0.25">
      <c r="B20" s="2" t="s">
        <v>71</v>
      </c>
      <c r="C20" s="140" t="s">
        <v>72</v>
      </c>
    </row>
    <row r="21" spans="1:16" x14ac:dyDescent="0.25">
      <c r="B21" s="2" t="s">
        <v>74</v>
      </c>
      <c r="C21" s="140" t="s">
        <v>73</v>
      </c>
    </row>
    <row r="32" spans="1:16" x14ac:dyDescent="0.25">
      <c r="M32" s="71"/>
      <c r="N32" s="71"/>
      <c r="O32" s="71"/>
      <c r="P32" s="71"/>
    </row>
    <row r="33" spans="13:16" x14ac:dyDescent="0.25">
      <c r="M33" s="71"/>
      <c r="N33" s="71"/>
      <c r="O33" s="71"/>
      <c r="P33" s="7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500"/>
  <sheetViews>
    <sheetView showGridLines="0" topLeftCell="A71" workbookViewId="0">
      <selection activeCell="A78" sqref="A78"/>
    </sheetView>
  </sheetViews>
  <sheetFormatPr defaultRowHeight="15" x14ac:dyDescent="0.25"/>
  <cols>
    <col min="1" max="1" width="149.5703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109</v>
      </c>
    </row>
    <row r="4" spans="1:1" x14ac:dyDescent="0.25">
      <c r="A4" t="s">
        <v>2</v>
      </c>
    </row>
    <row r="6" spans="1:1" x14ac:dyDescent="0.25">
      <c r="A6" t="s">
        <v>3</v>
      </c>
    </row>
    <row r="7" spans="1:1" x14ac:dyDescent="0.25">
      <c r="A7" s="5" t="s">
        <v>330</v>
      </c>
    </row>
    <row r="9" spans="1:1" x14ac:dyDescent="0.25">
      <c r="A9" t="s">
        <v>4</v>
      </c>
    </row>
    <row r="10" spans="1:1" x14ac:dyDescent="0.25">
      <c r="A10" s="5" t="s">
        <v>331</v>
      </c>
    </row>
    <row r="12" spans="1:1" x14ac:dyDescent="0.25">
      <c r="A12" t="s">
        <v>5</v>
      </c>
    </row>
    <row r="13" spans="1:1" x14ac:dyDescent="0.25">
      <c r="A13" t="str">
        <f>"&lt;ExecutavelNEWAVE&gt;"&amp; INDEX(base!$W$2:$W$4,MATCH(base!$R$2,base!$V$2:$V$4,0)) &amp;"&lt;/ExecutavelNEWAVE&gt;"</f>
        <v>&lt;ExecutavelNEWAVE&gt;/opt/aplicacoes/cpas_ctl/scripts/newave22&lt;/ExecutavelNEWAVE&gt;</v>
      </c>
    </row>
    <row r="15" spans="1:1" x14ac:dyDescent="0.25">
      <c r="A15" t="s">
        <v>6</v>
      </c>
    </row>
    <row r="16" spans="1:1" x14ac:dyDescent="0.25">
      <c r="A16" t="str">
        <f>"&lt;ExecutavelNEWDESP&gt;"&amp; INDEX(base!$X$2:$X$4,MATCH(base!$R$2,base!$V$2:$V$4,0)) &amp;"&lt;/ExecutavelNEWDESP&gt;"</f>
        <v>&lt;ExecutavelNEWDESP&gt;/opt/aplicacoes/cpas_ctl/scripts/newdesp22&lt;/ExecutavelNEWDESP&gt;</v>
      </c>
    </row>
    <row r="18" spans="1:1" x14ac:dyDescent="0.25">
      <c r="A18" t="s">
        <v>7</v>
      </c>
    </row>
    <row r="19" spans="1:1" x14ac:dyDescent="0.25">
      <c r="A19" t="str">
        <f>"&lt;ExecutavelNWLISTOP&gt;"&amp; INDEX(base!$Y$2:$Y$4,MATCH(base!$R$2,base!$V$2:$V$4,0)) &amp;"&lt;/ExecutavelNWLISTOP&gt;"</f>
        <v>&lt;ExecutavelNWLISTOP&gt;/opt/aplicacoes/cpas_ctl/scripts/nwlistop22&lt;/ExecutavelNWLISTOP&gt;</v>
      </c>
    </row>
    <row r="21" spans="1:1" x14ac:dyDescent="0.25">
      <c r="A21" t="s">
        <v>8</v>
      </c>
    </row>
    <row r="22" spans="1:1" x14ac:dyDescent="0.25">
      <c r="A22" s="5" t="s">
        <v>122</v>
      </c>
    </row>
    <row r="24" spans="1:1" x14ac:dyDescent="0.25">
      <c r="A24" t="s">
        <v>9</v>
      </c>
    </row>
    <row r="25" spans="1:1" x14ac:dyDescent="0.25">
      <c r="A25" s="5" t="s">
        <v>123</v>
      </c>
    </row>
    <row r="27" spans="1:1" x14ac:dyDescent="0.25">
      <c r="A27" t="s">
        <v>10</v>
      </c>
    </row>
    <row r="28" spans="1:1" x14ac:dyDescent="0.25">
      <c r="A28" s="5" t="s">
        <v>124</v>
      </c>
    </row>
    <row r="30" spans="1:1" x14ac:dyDescent="0.25">
      <c r="A30" t="s">
        <v>11</v>
      </c>
    </row>
    <row r="31" spans="1:1" x14ac:dyDescent="0.25">
      <c r="A31" s="91" t="s">
        <v>12</v>
      </c>
    </row>
    <row r="33" spans="1:1" x14ac:dyDescent="0.25">
      <c r="A33" t="s">
        <v>13</v>
      </c>
    </row>
    <row r="34" spans="1:1" x14ac:dyDescent="0.25">
      <c r="A34" t="s">
        <v>14</v>
      </c>
    </row>
    <row r="36" spans="1:1" x14ac:dyDescent="0.25">
      <c r="A36" t="s">
        <v>15</v>
      </c>
    </row>
    <row r="37" spans="1:1" x14ac:dyDescent="0.25">
      <c r="A37" s="5" t="s">
        <v>332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s="5" t="s">
        <v>333</v>
      </c>
    </row>
    <row r="42" spans="1:1" x14ac:dyDescent="0.25">
      <c r="A42" s="5" t="s">
        <v>125</v>
      </c>
    </row>
    <row r="43" spans="1:1" x14ac:dyDescent="0.25">
      <c r="A43" s="5" t="s">
        <v>126</v>
      </c>
    </row>
    <row r="44" spans="1:1" x14ac:dyDescent="0.25">
      <c r="A44" s="5" t="s">
        <v>127</v>
      </c>
    </row>
    <row r="45" spans="1:1" x14ac:dyDescent="0.25">
      <c r="A45" s="5" t="s">
        <v>128</v>
      </c>
    </row>
    <row r="46" spans="1:1" x14ac:dyDescent="0.25">
      <c r="A46" s="5" t="s">
        <v>129</v>
      </c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4" spans="1:1" x14ac:dyDescent="0.25">
      <c r="A64" t="s">
        <v>24</v>
      </c>
    </row>
    <row r="65" spans="1:1" x14ac:dyDescent="0.25">
      <c r="A65" s="5" t="s">
        <v>334</v>
      </c>
    </row>
    <row r="66" spans="1:1" x14ac:dyDescent="0.25">
      <c r="A66" s="5" t="s">
        <v>334</v>
      </c>
    </row>
    <row r="67" spans="1:1" x14ac:dyDescent="0.25">
      <c r="A67" s="5" t="s">
        <v>334</v>
      </c>
    </row>
    <row r="68" spans="1:1" x14ac:dyDescent="0.25">
      <c r="A68" s="5" t="s">
        <v>334</v>
      </c>
    </row>
    <row r="69" spans="1:1" x14ac:dyDescent="0.25">
      <c r="A69" s="5" t="s">
        <v>334</v>
      </c>
    </row>
    <row r="70" spans="1:1" x14ac:dyDescent="0.25">
      <c r="A70" s="5" t="s">
        <v>334</v>
      </c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1" spans="1:1" x14ac:dyDescent="0.25">
      <c r="A81" t="s">
        <v>25</v>
      </c>
    </row>
    <row r="82" spans="1:1" x14ac:dyDescent="0.25">
      <c r="A82" s="91" t="s">
        <v>26</v>
      </c>
    </row>
    <row r="83" spans="1:1" x14ac:dyDescent="0.25">
      <c r="A83" s="5" t="s">
        <v>130</v>
      </c>
    </row>
    <row r="84" spans="1:1" x14ac:dyDescent="0.25">
      <c r="A84" s="5" t="s">
        <v>131</v>
      </c>
    </row>
    <row r="85" spans="1:1" x14ac:dyDescent="0.25">
      <c r="A85" s="5" t="s">
        <v>132</v>
      </c>
    </row>
    <row r="86" spans="1:1" x14ac:dyDescent="0.25">
      <c r="A86" s="5" t="s">
        <v>133</v>
      </c>
    </row>
    <row r="87" spans="1:1" x14ac:dyDescent="0.25">
      <c r="A87" s="5" t="s">
        <v>134</v>
      </c>
    </row>
    <row r="88" spans="1:1" x14ac:dyDescent="0.25">
      <c r="A88" s="5" t="s">
        <v>135</v>
      </c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100" spans="1:1" x14ac:dyDescent="0.25">
      <c r="A100" t="s">
        <v>27</v>
      </c>
    </row>
    <row r="101" spans="1:1" x14ac:dyDescent="0.25">
      <c r="A101" s="5" t="s">
        <v>136</v>
      </c>
    </row>
    <row r="103" spans="1:1" x14ac:dyDescent="0.25">
      <c r="A103" t="s">
        <v>28</v>
      </c>
    </row>
    <row r="104" spans="1:1" x14ac:dyDescent="0.25">
      <c r="A104" s="5" t="s">
        <v>335</v>
      </c>
    </row>
    <row r="106" spans="1:1" x14ac:dyDescent="0.25">
      <c r="A106" t="s">
        <v>29</v>
      </c>
    </row>
    <row r="107" spans="1:1" x14ac:dyDescent="0.25">
      <c r="A107" t="s">
        <v>30</v>
      </c>
    </row>
    <row r="109" spans="1:1" x14ac:dyDescent="0.25">
      <c r="A109" t="s">
        <v>31</v>
      </c>
    </row>
    <row r="110" spans="1:1" x14ac:dyDescent="0.25">
      <c r="A110" t="s">
        <v>32</v>
      </c>
    </row>
    <row r="112" spans="1:1" x14ac:dyDescent="0.25">
      <c r="A112" t="s">
        <v>33</v>
      </c>
    </row>
    <row r="113" spans="1:1" x14ac:dyDescent="0.25">
      <c r="A113" t="s">
        <v>34</v>
      </c>
    </row>
    <row r="114" spans="1:1" x14ac:dyDescent="0.25">
      <c r="A114" t="s">
        <v>35</v>
      </c>
    </row>
    <row r="116" spans="1:1" x14ac:dyDescent="0.25">
      <c r="A116" t="s">
        <v>36</v>
      </c>
    </row>
    <row r="117" spans="1:1" x14ac:dyDescent="0.25">
      <c r="A117" t="s">
        <v>550</v>
      </c>
    </row>
    <row r="119" spans="1:1" x14ac:dyDescent="0.25">
      <c r="A119" t="s">
        <v>37</v>
      </c>
    </row>
    <row r="120" spans="1:1" x14ac:dyDescent="0.25">
      <c r="A120" s="5" t="s">
        <v>137</v>
      </c>
    </row>
    <row r="122" spans="1:1" x14ac:dyDescent="0.25">
      <c r="A122" t="s">
        <v>38</v>
      </c>
    </row>
    <row r="123" spans="1:1" x14ac:dyDescent="0.25">
      <c r="A123" s="5" t="s">
        <v>138</v>
      </c>
    </row>
    <row r="125" spans="1:1" x14ac:dyDescent="0.25">
      <c r="A125" t="s">
        <v>39</v>
      </c>
    </row>
    <row r="126" spans="1:1" x14ac:dyDescent="0.25">
      <c r="A126" s="5" t="s">
        <v>139</v>
      </c>
    </row>
    <row r="128" spans="1:1" x14ac:dyDescent="0.25">
      <c r="A128" t="s">
        <v>117</v>
      </c>
    </row>
    <row r="129" spans="1:1" x14ac:dyDescent="0.25">
      <c r="A129" s="5" t="s">
        <v>115</v>
      </c>
    </row>
    <row r="131" spans="1:1" x14ac:dyDescent="0.25">
      <c r="A131" t="s">
        <v>118</v>
      </c>
    </row>
    <row r="132" spans="1:1" x14ac:dyDescent="0.25">
      <c r="A132" s="5" t="s">
        <v>116</v>
      </c>
    </row>
    <row r="134" spans="1:1" x14ac:dyDescent="0.25">
      <c r="A134" t="s">
        <v>40</v>
      </c>
    </row>
    <row r="135" spans="1:1" x14ac:dyDescent="0.25">
      <c r="A135" t="s">
        <v>41</v>
      </c>
    </row>
    <row r="136" spans="1:1" x14ac:dyDescent="0.25">
      <c r="A136" t="s">
        <v>42</v>
      </c>
    </row>
    <row r="138" spans="1:1" x14ac:dyDescent="0.25">
      <c r="A138" t="s">
        <v>108</v>
      </c>
    </row>
    <row r="141" spans="1:1" x14ac:dyDescent="0.25">
      <c r="A141" t="s">
        <v>336</v>
      </c>
    </row>
    <row r="142" spans="1:1" x14ac:dyDescent="0.25">
      <c r="A142" t="s">
        <v>337</v>
      </c>
    </row>
    <row r="143" spans="1:1" x14ac:dyDescent="0.25">
      <c r="A143" t="s">
        <v>338</v>
      </c>
    </row>
    <row r="144" spans="1:1" x14ac:dyDescent="0.25">
      <c r="A144" t="s">
        <v>339</v>
      </c>
    </row>
    <row r="145" spans="1:1" x14ac:dyDescent="0.25">
      <c r="A145" t="s">
        <v>340</v>
      </c>
    </row>
    <row r="146" spans="1:1" x14ac:dyDescent="0.25">
      <c r="A146" t="s">
        <v>341</v>
      </c>
    </row>
    <row r="147" spans="1:1" x14ac:dyDescent="0.25">
      <c r="A147" t="s">
        <v>342</v>
      </c>
    </row>
    <row r="148" spans="1:1" x14ac:dyDescent="0.25">
      <c r="A148" t="s">
        <v>343</v>
      </c>
    </row>
    <row r="149" spans="1:1" x14ac:dyDescent="0.25">
      <c r="A149" t="s">
        <v>344</v>
      </c>
    </row>
    <row r="150" spans="1:1" x14ac:dyDescent="0.25">
      <c r="A150" t="s">
        <v>345</v>
      </c>
    </row>
    <row r="151" spans="1:1" x14ac:dyDescent="0.25">
      <c r="A151" t="s">
        <v>346</v>
      </c>
    </row>
    <row r="152" spans="1:1" x14ac:dyDescent="0.25">
      <c r="A152" t="s">
        <v>347</v>
      </c>
    </row>
    <row r="153" spans="1:1" x14ac:dyDescent="0.25">
      <c r="A153" t="s">
        <v>348</v>
      </c>
    </row>
    <row r="154" spans="1:1" x14ac:dyDescent="0.25">
      <c r="A154" t="s">
        <v>349</v>
      </c>
    </row>
    <row r="155" spans="1:1" x14ac:dyDescent="0.25">
      <c r="A155" t="s">
        <v>350</v>
      </c>
    </row>
    <row r="156" spans="1:1" x14ac:dyDescent="0.25">
      <c r="A156" t="s">
        <v>351</v>
      </c>
    </row>
    <row r="157" spans="1:1" x14ac:dyDescent="0.25">
      <c r="A157" t="s">
        <v>352</v>
      </c>
    </row>
    <row r="158" spans="1:1" x14ac:dyDescent="0.25">
      <c r="A158" t="s">
        <v>353</v>
      </c>
    </row>
    <row r="159" spans="1:1" x14ac:dyDescent="0.25">
      <c r="A159" t="s">
        <v>354</v>
      </c>
    </row>
    <row r="160" spans="1:1" x14ac:dyDescent="0.25">
      <c r="A160" t="s">
        <v>355</v>
      </c>
    </row>
    <row r="161" spans="1:1" x14ac:dyDescent="0.25">
      <c r="A161" t="s">
        <v>356</v>
      </c>
    </row>
    <row r="162" spans="1:1" x14ac:dyDescent="0.25">
      <c r="A162" t="s">
        <v>357</v>
      </c>
    </row>
    <row r="163" spans="1:1" x14ac:dyDescent="0.25">
      <c r="A163" t="s">
        <v>358</v>
      </c>
    </row>
    <row r="164" spans="1:1" x14ac:dyDescent="0.25">
      <c r="A164" t="s">
        <v>359</v>
      </c>
    </row>
    <row r="165" spans="1:1" x14ac:dyDescent="0.25">
      <c r="A165" t="s">
        <v>360</v>
      </c>
    </row>
    <row r="166" spans="1:1" x14ac:dyDescent="0.25">
      <c r="A166" t="s">
        <v>361</v>
      </c>
    </row>
    <row r="167" spans="1:1" x14ac:dyDescent="0.25">
      <c r="A167" t="s">
        <v>362</v>
      </c>
    </row>
    <row r="168" spans="1:1" x14ac:dyDescent="0.25">
      <c r="A168" t="s">
        <v>363</v>
      </c>
    </row>
    <row r="169" spans="1:1" x14ac:dyDescent="0.25">
      <c r="A169" t="s">
        <v>364</v>
      </c>
    </row>
    <row r="170" spans="1:1" x14ac:dyDescent="0.25">
      <c r="A170" t="s">
        <v>365</v>
      </c>
    </row>
    <row r="171" spans="1:1" x14ac:dyDescent="0.25">
      <c r="A171" t="s">
        <v>366</v>
      </c>
    </row>
    <row r="172" spans="1:1" x14ac:dyDescent="0.25">
      <c r="A172" t="s">
        <v>367</v>
      </c>
    </row>
    <row r="173" spans="1:1" x14ac:dyDescent="0.25">
      <c r="A173" t="s">
        <v>368</v>
      </c>
    </row>
    <row r="174" spans="1:1" x14ac:dyDescent="0.25">
      <c r="A174" t="s">
        <v>369</v>
      </c>
    </row>
    <row r="175" spans="1:1" x14ac:dyDescent="0.25">
      <c r="A175" t="s">
        <v>370</v>
      </c>
    </row>
    <row r="176" spans="1:1" x14ac:dyDescent="0.25">
      <c r="A176" t="s">
        <v>371</v>
      </c>
    </row>
    <row r="177" spans="1:1" x14ac:dyDescent="0.25">
      <c r="A177" t="s">
        <v>372</v>
      </c>
    </row>
    <row r="178" spans="1:1" x14ac:dyDescent="0.25">
      <c r="A178" t="s">
        <v>373</v>
      </c>
    </row>
    <row r="179" spans="1:1" x14ac:dyDescent="0.25">
      <c r="A179" t="s">
        <v>374</v>
      </c>
    </row>
    <row r="180" spans="1:1" x14ac:dyDescent="0.25">
      <c r="A180" t="s">
        <v>375</v>
      </c>
    </row>
    <row r="181" spans="1:1" x14ac:dyDescent="0.25">
      <c r="A181" t="s">
        <v>376</v>
      </c>
    </row>
    <row r="182" spans="1:1" x14ac:dyDescent="0.25">
      <c r="A182" t="s">
        <v>377</v>
      </c>
    </row>
    <row r="183" spans="1:1" x14ac:dyDescent="0.25">
      <c r="A183" t="s">
        <v>378</v>
      </c>
    </row>
    <row r="184" spans="1:1" x14ac:dyDescent="0.25">
      <c r="A184" t="s">
        <v>379</v>
      </c>
    </row>
    <row r="185" spans="1:1" x14ac:dyDescent="0.25">
      <c r="A185" t="s">
        <v>380</v>
      </c>
    </row>
    <row r="186" spans="1:1" x14ac:dyDescent="0.25">
      <c r="A186" t="s">
        <v>381</v>
      </c>
    </row>
    <row r="187" spans="1:1" x14ac:dyDescent="0.25">
      <c r="A187" t="s">
        <v>382</v>
      </c>
    </row>
    <row r="188" spans="1:1" x14ac:dyDescent="0.25">
      <c r="A188" t="s">
        <v>383</v>
      </c>
    </row>
    <row r="189" spans="1:1" x14ac:dyDescent="0.25">
      <c r="A189" t="s">
        <v>384</v>
      </c>
    </row>
    <row r="190" spans="1:1" x14ac:dyDescent="0.25">
      <c r="A190" t="s">
        <v>385</v>
      </c>
    </row>
    <row r="191" spans="1:1" x14ac:dyDescent="0.25">
      <c r="A191" t="s">
        <v>386</v>
      </c>
    </row>
    <row r="192" spans="1:1" x14ac:dyDescent="0.25">
      <c r="A192" t="s">
        <v>387</v>
      </c>
    </row>
    <row r="193" spans="1:1" x14ac:dyDescent="0.25">
      <c r="A193" t="s">
        <v>388</v>
      </c>
    </row>
    <row r="194" spans="1:1" x14ac:dyDescent="0.25">
      <c r="A194" t="s">
        <v>389</v>
      </c>
    </row>
    <row r="195" spans="1:1" x14ac:dyDescent="0.25">
      <c r="A195" t="s">
        <v>390</v>
      </c>
    </row>
    <row r="196" spans="1:1" x14ac:dyDescent="0.25">
      <c r="A196" t="s">
        <v>391</v>
      </c>
    </row>
    <row r="197" spans="1:1" x14ac:dyDescent="0.25">
      <c r="A197" t="s">
        <v>392</v>
      </c>
    </row>
    <row r="198" spans="1:1" x14ac:dyDescent="0.25">
      <c r="A198" t="s">
        <v>393</v>
      </c>
    </row>
    <row r="199" spans="1:1" x14ac:dyDescent="0.25">
      <c r="A199" t="s">
        <v>394</v>
      </c>
    </row>
    <row r="200" spans="1:1" x14ac:dyDescent="0.25">
      <c r="A200" t="s">
        <v>395</v>
      </c>
    </row>
    <row r="201" spans="1:1" x14ac:dyDescent="0.25">
      <c r="A201" t="s">
        <v>396</v>
      </c>
    </row>
    <row r="202" spans="1:1" x14ac:dyDescent="0.25">
      <c r="A202" t="s">
        <v>397</v>
      </c>
    </row>
    <row r="203" spans="1:1" x14ac:dyDescent="0.25">
      <c r="A203" t="s">
        <v>398</v>
      </c>
    </row>
    <row r="204" spans="1:1" x14ac:dyDescent="0.25">
      <c r="A204" t="s">
        <v>399</v>
      </c>
    </row>
    <row r="205" spans="1:1" x14ac:dyDescent="0.25">
      <c r="A205" t="s">
        <v>400</v>
      </c>
    </row>
    <row r="206" spans="1:1" x14ac:dyDescent="0.25">
      <c r="A206" t="s">
        <v>401</v>
      </c>
    </row>
    <row r="207" spans="1:1" x14ac:dyDescent="0.25">
      <c r="A207" t="s">
        <v>402</v>
      </c>
    </row>
    <row r="208" spans="1:1" x14ac:dyDescent="0.25">
      <c r="A208" t="s">
        <v>403</v>
      </c>
    </row>
    <row r="209" spans="1:1" x14ac:dyDescent="0.25">
      <c r="A209" t="s">
        <v>404</v>
      </c>
    </row>
    <row r="210" spans="1:1" x14ac:dyDescent="0.25">
      <c r="A210" t="s">
        <v>405</v>
      </c>
    </row>
    <row r="211" spans="1:1" x14ac:dyDescent="0.25">
      <c r="A211" t="s">
        <v>406</v>
      </c>
    </row>
    <row r="212" spans="1:1" x14ac:dyDescent="0.25">
      <c r="A212" t="s">
        <v>407</v>
      </c>
    </row>
    <row r="213" spans="1:1" x14ac:dyDescent="0.25">
      <c r="A213" t="s">
        <v>408</v>
      </c>
    </row>
    <row r="214" spans="1:1" x14ac:dyDescent="0.25">
      <c r="A214" t="s">
        <v>409</v>
      </c>
    </row>
    <row r="215" spans="1:1" x14ac:dyDescent="0.25">
      <c r="A215" t="s">
        <v>410</v>
      </c>
    </row>
    <row r="216" spans="1:1" x14ac:dyDescent="0.25">
      <c r="A216" t="s">
        <v>411</v>
      </c>
    </row>
    <row r="217" spans="1:1" x14ac:dyDescent="0.25">
      <c r="A217" t="s">
        <v>412</v>
      </c>
    </row>
    <row r="218" spans="1:1" x14ac:dyDescent="0.25">
      <c r="A218" t="s">
        <v>413</v>
      </c>
    </row>
    <row r="219" spans="1:1" x14ac:dyDescent="0.25">
      <c r="A219" t="s">
        <v>414</v>
      </c>
    </row>
    <row r="220" spans="1:1" x14ac:dyDescent="0.25">
      <c r="A220" t="s">
        <v>415</v>
      </c>
    </row>
    <row r="221" spans="1:1" x14ac:dyDescent="0.25">
      <c r="A221" t="s">
        <v>416</v>
      </c>
    </row>
    <row r="222" spans="1:1" x14ac:dyDescent="0.25">
      <c r="A222" t="s">
        <v>417</v>
      </c>
    </row>
    <row r="223" spans="1:1" x14ac:dyDescent="0.25">
      <c r="A223" t="s">
        <v>418</v>
      </c>
    </row>
    <row r="224" spans="1:1" x14ac:dyDescent="0.25">
      <c r="A224" t="s">
        <v>419</v>
      </c>
    </row>
    <row r="225" spans="1:1" x14ac:dyDescent="0.25">
      <c r="A225" t="s">
        <v>420</v>
      </c>
    </row>
    <row r="226" spans="1:1" x14ac:dyDescent="0.25">
      <c r="A226" t="s">
        <v>421</v>
      </c>
    </row>
    <row r="227" spans="1:1" x14ac:dyDescent="0.25">
      <c r="A227" t="s">
        <v>422</v>
      </c>
    </row>
    <row r="228" spans="1:1" x14ac:dyDescent="0.25">
      <c r="A228" t="s">
        <v>423</v>
      </c>
    </row>
    <row r="229" spans="1:1" x14ac:dyDescent="0.25">
      <c r="A229" t="s">
        <v>424</v>
      </c>
    </row>
    <row r="230" spans="1:1" x14ac:dyDescent="0.25">
      <c r="A230" t="s">
        <v>425</v>
      </c>
    </row>
    <row r="231" spans="1:1" x14ac:dyDescent="0.25">
      <c r="A231" t="s">
        <v>426</v>
      </c>
    </row>
    <row r="232" spans="1:1" x14ac:dyDescent="0.25">
      <c r="A232" t="s">
        <v>427</v>
      </c>
    </row>
    <row r="233" spans="1:1" x14ac:dyDescent="0.25">
      <c r="A233" t="s">
        <v>428</v>
      </c>
    </row>
    <row r="234" spans="1:1" x14ac:dyDescent="0.25">
      <c r="A234" t="s">
        <v>429</v>
      </c>
    </row>
    <row r="235" spans="1:1" x14ac:dyDescent="0.25">
      <c r="A235" t="s">
        <v>430</v>
      </c>
    </row>
    <row r="236" spans="1:1" x14ac:dyDescent="0.25">
      <c r="A236" t="s">
        <v>431</v>
      </c>
    </row>
    <row r="237" spans="1:1" x14ac:dyDescent="0.25">
      <c r="A237" t="s">
        <v>432</v>
      </c>
    </row>
    <row r="238" spans="1:1" x14ac:dyDescent="0.25">
      <c r="A238" t="s">
        <v>433</v>
      </c>
    </row>
    <row r="239" spans="1:1" x14ac:dyDescent="0.25">
      <c r="A239" t="s">
        <v>434</v>
      </c>
    </row>
    <row r="240" spans="1:1" x14ac:dyDescent="0.25">
      <c r="A240" t="s">
        <v>435</v>
      </c>
    </row>
    <row r="241" spans="1:1" x14ac:dyDescent="0.25">
      <c r="A241" t="s">
        <v>436</v>
      </c>
    </row>
    <row r="242" spans="1:1" x14ac:dyDescent="0.25">
      <c r="A242" t="s">
        <v>437</v>
      </c>
    </row>
    <row r="243" spans="1:1" x14ac:dyDescent="0.25">
      <c r="A243" t="s">
        <v>438</v>
      </c>
    </row>
    <row r="244" spans="1:1" x14ac:dyDescent="0.25">
      <c r="A244" t="s">
        <v>439</v>
      </c>
    </row>
    <row r="245" spans="1:1" x14ac:dyDescent="0.25">
      <c r="A245" t="s">
        <v>440</v>
      </c>
    </row>
    <row r="246" spans="1:1" x14ac:dyDescent="0.25">
      <c r="A246" t="s">
        <v>441</v>
      </c>
    </row>
    <row r="247" spans="1:1" x14ac:dyDescent="0.25">
      <c r="A247" t="s">
        <v>442</v>
      </c>
    </row>
    <row r="248" spans="1:1" x14ac:dyDescent="0.25">
      <c r="A248" t="s">
        <v>443</v>
      </c>
    </row>
    <row r="249" spans="1:1" x14ac:dyDescent="0.25">
      <c r="A249" t="s">
        <v>444</v>
      </c>
    </row>
    <row r="250" spans="1:1" x14ac:dyDescent="0.25">
      <c r="A250" t="s">
        <v>445</v>
      </c>
    </row>
    <row r="251" spans="1:1" x14ac:dyDescent="0.25">
      <c r="A251" t="s">
        <v>446</v>
      </c>
    </row>
    <row r="252" spans="1:1" x14ac:dyDescent="0.25">
      <c r="A252" t="s">
        <v>447</v>
      </c>
    </row>
    <row r="253" spans="1:1" x14ac:dyDescent="0.25">
      <c r="A253" t="s">
        <v>448</v>
      </c>
    </row>
    <row r="254" spans="1:1" x14ac:dyDescent="0.25">
      <c r="A254" t="s">
        <v>449</v>
      </c>
    </row>
    <row r="255" spans="1:1" x14ac:dyDescent="0.25">
      <c r="A255" t="s">
        <v>450</v>
      </c>
    </row>
    <row r="256" spans="1:1" x14ac:dyDescent="0.25">
      <c r="A256" t="s">
        <v>451</v>
      </c>
    </row>
    <row r="257" spans="1:1" x14ac:dyDescent="0.25">
      <c r="A257" t="s">
        <v>452</v>
      </c>
    </row>
    <row r="258" spans="1:1" x14ac:dyDescent="0.25">
      <c r="A258" t="s">
        <v>453</v>
      </c>
    </row>
    <row r="259" spans="1:1" x14ac:dyDescent="0.25">
      <c r="A259" t="s">
        <v>454</v>
      </c>
    </row>
    <row r="260" spans="1:1" x14ac:dyDescent="0.25">
      <c r="A260" t="s">
        <v>455</v>
      </c>
    </row>
    <row r="261" spans="1:1" x14ac:dyDescent="0.25">
      <c r="A261" t="s">
        <v>456</v>
      </c>
    </row>
    <row r="262" spans="1:1" x14ac:dyDescent="0.25">
      <c r="A262" t="s">
        <v>457</v>
      </c>
    </row>
    <row r="263" spans="1:1" x14ac:dyDescent="0.25">
      <c r="A263" t="s">
        <v>458</v>
      </c>
    </row>
    <row r="264" spans="1:1" x14ac:dyDescent="0.25">
      <c r="A264" t="s">
        <v>459</v>
      </c>
    </row>
    <row r="265" spans="1:1" x14ac:dyDescent="0.25">
      <c r="A265" t="s">
        <v>460</v>
      </c>
    </row>
    <row r="266" spans="1:1" x14ac:dyDescent="0.25">
      <c r="A266" t="s">
        <v>461</v>
      </c>
    </row>
    <row r="267" spans="1:1" x14ac:dyDescent="0.25">
      <c r="A267" t="s">
        <v>462</v>
      </c>
    </row>
    <row r="268" spans="1:1" x14ac:dyDescent="0.25">
      <c r="A268" t="s">
        <v>463</v>
      </c>
    </row>
    <row r="269" spans="1:1" x14ac:dyDescent="0.25">
      <c r="A269" t="s">
        <v>464</v>
      </c>
    </row>
    <row r="270" spans="1:1" x14ac:dyDescent="0.25">
      <c r="A270" t="s">
        <v>465</v>
      </c>
    </row>
    <row r="271" spans="1:1" x14ac:dyDescent="0.25">
      <c r="A271" t="s">
        <v>466</v>
      </c>
    </row>
    <row r="272" spans="1:1" x14ac:dyDescent="0.25">
      <c r="A272" t="s">
        <v>467</v>
      </c>
    </row>
    <row r="273" spans="1:1" x14ac:dyDescent="0.25">
      <c r="A273" t="s">
        <v>468</v>
      </c>
    </row>
    <row r="274" spans="1:1" x14ac:dyDescent="0.25">
      <c r="A274" t="s">
        <v>469</v>
      </c>
    </row>
    <row r="275" spans="1:1" x14ac:dyDescent="0.25">
      <c r="A275" t="s">
        <v>470</v>
      </c>
    </row>
    <row r="276" spans="1:1" x14ac:dyDescent="0.25">
      <c r="A276" t="s">
        <v>471</v>
      </c>
    </row>
    <row r="277" spans="1:1" x14ac:dyDescent="0.25">
      <c r="A277" t="s">
        <v>472</v>
      </c>
    </row>
    <row r="278" spans="1:1" x14ac:dyDescent="0.25">
      <c r="A278" t="s">
        <v>473</v>
      </c>
    </row>
    <row r="279" spans="1:1" x14ac:dyDescent="0.25">
      <c r="A279" t="s">
        <v>474</v>
      </c>
    </row>
    <row r="280" spans="1:1" x14ac:dyDescent="0.25">
      <c r="A280" t="s">
        <v>475</v>
      </c>
    </row>
    <row r="281" spans="1:1" x14ac:dyDescent="0.25">
      <c r="A281" t="s">
        <v>476</v>
      </c>
    </row>
    <row r="282" spans="1:1" x14ac:dyDescent="0.25">
      <c r="A282" t="s">
        <v>477</v>
      </c>
    </row>
    <row r="283" spans="1:1" x14ac:dyDescent="0.25">
      <c r="A283" t="s">
        <v>478</v>
      </c>
    </row>
    <row r="284" spans="1:1" x14ac:dyDescent="0.25">
      <c r="A284" t="s">
        <v>479</v>
      </c>
    </row>
    <row r="285" spans="1:1" x14ac:dyDescent="0.25">
      <c r="A285" t="s">
        <v>480</v>
      </c>
    </row>
    <row r="286" spans="1:1" x14ac:dyDescent="0.25">
      <c r="A286" t="s">
        <v>481</v>
      </c>
    </row>
    <row r="287" spans="1:1" x14ac:dyDescent="0.25">
      <c r="A287" t="s">
        <v>482</v>
      </c>
    </row>
    <row r="288" spans="1:1" x14ac:dyDescent="0.25">
      <c r="A288" t="s">
        <v>483</v>
      </c>
    </row>
    <row r="289" spans="1:1" x14ac:dyDescent="0.25">
      <c r="A289" t="s">
        <v>484</v>
      </c>
    </row>
    <row r="290" spans="1:1" x14ac:dyDescent="0.25">
      <c r="A290" t="s">
        <v>485</v>
      </c>
    </row>
    <row r="291" spans="1:1" x14ac:dyDescent="0.25">
      <c r="A291" t="s">
        <v>486</v>
      </c>
    </row>
    <row r="292" spans="1:1" x14ac:dyDescent="0.25">
      <c r="A292" t="s">
        <v>487</v>
      </c>
    </row>
    <row r="293" spans="1:1" x14ac:dyDescent="0.25">
      <c r="A293" t="s">
        <v>488</v>
      </c>
    </row>
    <row r="294" spans="1:1" x14ac:dyDescent="0.25">
      <c r="A294" t="s">
        <v>489</v>
      </c>
    </row>
    <row r="295" spans="1:1" x14ac:dyDescent="0.25">
      <c r="A295" t="s">
        <v>490</v>
      </c>
    </row>
    <row r="296" spans="1:1" x14ac:dyDescent="0.25">
      <c r="A296" t="s">
        <v>491</v>
      </c>
    </row>
    <row r="297" spans="1:1" x14ac:dyDescent="0.25">
      <c r="A297" t="s">
        <v>492</v>
      </c>
    </row>
    <row r="298" spans="1:1" x14ac:dyDescent="0.25">
      <c r="A298" t="s">
        <v>493</v>
      </c>
    </row>
    <row r="299" spans="1:1" x14ac:dyDescent="0.25">
      <c r="A299" t="s">
        <v>494</v>
      </c>
    </row>
    <row r="300" spans="1:1" x14ac:dyDescent="0.25">
      <c r="A300" t="s">
        <v>495</v>
      </c>
    </row>
    <row r="301" spans="1:1" x14ac:dyDescent="0.25">
      <c r="A301" t="s">
        <v>496</v>
      </c>
    </row>
    <row r="302" spans="1:1" x14ac:dyDescent="0.25">
      <c r="A302" t="s">
        <v>497</v>
      </c>
    </row>
    <row r="303" spans="1:1" x14ac:dyDescent="0.25">
      <c r="A303" t="s">
        <v>498</v>
      </c>
    </row>
    <row r="304" spans="1:1" x14ac:dyDescent="0.25">
      <c r="A304" t="s">
        <v>499</v>
      </c>
    </row>
    <row r="305" spans="1:1" x14ac:dyDescent="0.25">
      <c r="A305" t="s">
        <v>500</v>
      </c>
    </row>
    <row r="306" spans="1:1" x14ac:dyDescent="0.25">
      <c r="A306" t="s">
        <v>501</v>
      </c>
    </row>
    <row r="307" spans="1:1" x14ac:dyDescent="0.25">
      <c r="A307" t="s">
        <v>502</v>
      </c>
    </row>
    <row r="308" spans="1:1" x14ac:dyDescent="0.25">
      <c r="A308" t="s">
        <v>503</v>
      </c>
    </row>
    <row r="309" spans="1:1" x14ac:dyDescent="0.25">
      <c r="A309" t="s">
        <v>504</v>
      </c>
    </row>
    <row r="310" spans="1:1" x14ac:dyDescent="0.25">
      <c r="A310" t="s">
        <v>505</v>
      </c>
    </row>
    <row r="311" spans="1:1" x14ac:dyDescent="0.25">
      <c r="A311" t="s">
        <v>506</v>
      </c>
    </row>
    <row r="312" spans="1:1" x14ac:dyDescent="0.25">
      <c r="A312" t="s">
        <v>507</v>
      </c>
    </row>
    <row r="313" spans="1:1" x14ac:dyDescent="0.25">
      <c r="A313" t="s">
        <v>508</v>
      </c>
    </row>
    <row r="314" spans="1:1" x14ac:dyDescent="0.25">
      <c r="A314" t="s">
        <v>509</v>
      </c>
    </row>
    <row r="315" spans="1:1" x14ac:dyDescent="0.25">
      <c r="A315" t="s">
        <v>510</v>
      </c>
    </row>
    <row r="316" spans="1:1" x14ac:dyDescent="0.25">
      <c r="A316" t="s">
        <v>511</v>
      </c>
    </row>
    <row r="317" spans="1:1" x14ac:dyDescent="0.25">
      <c r="A317" t="s">
        <v>512</v>
      </c>
    </row>
    <row r="318" spans="1:1" x14ac:dyDescent="0.25">
      <c r="A318" t="s">
        <v>513</v>
      </c>
    </row>
    <row r="319" spans="1:1" x14ac:dyDescent="0.25">
      <c r="A319" t="s">
        <v>514</v>
      </c>
    </row>
    <row r="320" spans="1:1" x14ac:dyDescent="0.25">
      <c r="A320" t="s">
        <v>515</v>
      </c>
    </row>
    <row r="321" spans="1:1" x14ac:dyDescent="0.25">
      <c r="A321" t="s">
        <v>516</v>
      </c>
    </row>
    <row r="322" spans="1:1" x14ac:dyDescent="0.25">
      <c r="A322" t="s">
        <v>517</v>
      </c>
    </row>
    <row r="323" spans="1:1" x14ac:dyDescent="0.25">
      <c r="A323" t="s">
        <v>518</v>
      </c>
    </row>
    <row r="324" spans="1:1" x14ac:dyDescent="0.25">
      <c r="A324" t="s">
        <v>519</v>
      </c>
    </row>
    <row r="325" spans="1:1" x14ac:dyDescent="0.25">
      <c r="A325" t="s">
        <v>520</v>
      </c>
    </row>
    <row r="326" spans="1:1" x14ac:dyDescent="0.25">
      <c r="A326" t="s">
        <v>521</v>
      </c>
    </row>
    <row r="327" spans="1:1" x14ac:dyDescent="0.25">
      <c r="A327" t="s">
        <v>522</v>
      </c>
    </row>
    <row r="328" spans="1:1" x14ac:dyDescent="0.25">
      <c r="A328" t="s">
        <v>523</v>
      </c>
    </row>
    <row r="329" spans="1:1" x14ac:dyDescent="0.25">
      <c r="A329" t="s">
        <v>524</v>
      </c>
    </row>
    <row r="330" spans="1:1" x14ac:dyDescent="0.25">
      <c r="A330" t="s">
        <v>525</v>
      </c>
    </row>
    <row r="331" spans="1:1" x14ac:dyDescent="0.25">
      <c r="A331" t="s">
        <v>526</v>
      </c>
    </row>
    <row r="332" spans="1:1" x14ac:dyDescent="0.25">
      <c r="A332" t="s">
        <v>527</v>
      </c>
    </row>
    <row r="333" spans="1:1" x14ac:dyDescent="0.25">
      <c r="A333" t="s">
        <v>528</v>
      </c>
    </row>
    <row r="334" spans="1:1" x14ac:dyDescent="0.25">
      <c r="A334" t="s">
        <v>529</v>
      </c>
    </row>
    <row r="335" spans="1:1" x14ac:dyDescent="0.25">
      <c r="A335" t="s">
        <v>530</v>
      </c>
    </row>
    <row r="336" spans="1:1" x14ac:dyDescent="0.25">
      <c r="A336" t="s">
        <v>531</v>
      </c>
    </row>
    <row r="337" spans="1:1" x14ac:dyDescent="0.25">
      <c r="A337" t="s">
        <v>532</v>
      </c>
    </row>
    <row r="338" spans="1:1" x14ac:dyDescent="0.25">
      <c r="A338" t="s">
        <v>533</v>
      </c>
    </row>
    <row r="339" spans="1:1" x14ac:dyDescent="0.25">
      <c r="A339" t="s">
        <v>534</v>
      </c>
    </row>
    <row r="340" spans="1:1" x14ac:dyDescent="0.25">
      <c r="A340" t="s">
        <v>535</v>
      </c>
    </row>
    <row r="341" spans="1:1" x14ac:dyDescent="0.25">
      <c r="A341" t="s">
        <v>536</v>
      </c>
    </row>
    <row r="342" spans="1:1" x14ac:dyDescent="0.25">
      <c r="A342" t="s">
        <v>537</v>
      </c>
    </row>
    <row r="343" spans="1:1" x14ac:dyDescent="0.25">
      <c r="A343" t="s">
        <v>538</v>
      </c>
    </row>
    <row r="344" spans="1:1" x14ac:dyDescent="0.25">
      <c r="A344" t="s">
        <v>539</v>
      </c>
    </row>
    <row r="345" spans="1:1" x14ac:dyDescent="0.25">
      <c r="A345" t="s">
        <v>540</v>
      </c>
    </row>
    <row r="346" spans="1:1" x14ac:dyDescent="0.25">
      <c r="A346" t="s">
        <v>541</v>
      </c>
    </row>
    <row r="347" spans="1:1" x14ac:dyDescent="0.25">
      <c r="A347" t="s">
        <v>542</v>
      </c>
    </row>
    <row r="348" spans="1:1" x14ac:dyDescent="0.25">
      <c r="A348" t="s">
        <v>543</v>
      </c>
    </row>
    <row r="349" spans="1:1" x14ac:dyDescent="0.25">
      <c r="A349" t="s">
        <v>544</v>
      </c>
    </row>
    <row r="350" spans="1:1" x14ac:dyDescent="0.25">
      <c r="A350" t="s">
        <v>545</v>
      </c>
    </row>
    <row r="351" spans="1:1" x14ac:dyDescent="0.25">
      <c r="A351" t="s">
        <v>546</v>
      </c>
    </row>
    <row r="352" spans="1:1" x14ac:dyDescent="0.25">
      <c r="A352" t="s">
        <v>547</v>
      </c>
    </row>
    <row r="353" spans="1:1" x14ac:dyDescent="0.25">
      <c r="A353" t="s">
        <v>548</v>
      </c>
    </row>
    <row r="500" spans="1:1" x14ac:dyDescent="0.25">
      <c r="A500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D1:AV68"/>
  <sheetViews>
    <sheetView topLeftCell="N1" zoomScaleNormal="100" workbookViewId="0">
      <selection activeCell="U8" sqref="U8"/>
    </sheetView>
  </sheetViews>
  <sheetFormatPr defaultRowHeight="15" x14ac:dyDescent="0.25"/>
  <cols>
    <col min="1" max="3" width="9.140625" style="40"/>
    <col min="4" max="4" width="14.28515625" style="40" customWidth="1"/>
    <col min="5" max="8" width="12.42578125" style="47" customWidth="1"/>
    <col min="9" max="9" width="9.140625" style="47"/>
    <col min="10" max="14" width="13.5703125" style="47" customWidth="1"/>
    <col min="15" max="15" width="9.140625" style="47"/>
    <col min="16" max="16" width="15" style="47" customWidth="1"/>
    <col min="17" max="20" width="15" style="40" customWidth="1"/>
    <col min="21" max="22" width="9.140625" style="40"/>
    <col min="23" max="23" width="14.140625" style="40" customWidth="1"/>
    <col min="24" max="16384" width="9.140625" style="40"/>
  </cols>
  <sheetData>
    <row r="1" spans="4:48" ht="15.75" thickBot="1" x14ac:dyDescent="0.3"/>
    <row r="2" spans="4:48" ht="15.75" thickBot="1" x14ac:dyDescent="0.3"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R2" s="41"/>
      <c r="S2" s="41"/>
      <c r="W2" s="57" t="s">
        <v>89</v>
      </c>
      <c r="X2" s="58" t="s">
        <v>46</v>
      </c>
      <c r="Y2" s="58" t="s">
        <v>47</v>
      </c>
      <c r="Z2" s="58" t="s">
        <v>48</v>
      </c>
      <c r="AA2" s="58" t="s">
        <v>49</v>
      </c>
      <c r="AB2" s="58" t="s">
        <v>50</v>
      </c>
      <c r="AC2" s="58" t="s">
        <v>51</v>
      </c>
      <c r="AD2" s="58" t="s">
        <v>52</v>
      </c>
      <c r="AE2" s="58" t="s">
        <v>53</v>
      </c>
      <c r="AF2" s="58" t="s">
        <v>54</v>
      </c>
      <c r="AG2" s="58" t="s">
        <v>55</v>
      </c>
      <c r="AH2" s="58" t="s">
        <v>56</v>
      </c>
      <c r="AI2" s="59" t="s">
        <v>57</v>
      </c>
    </row>
    <row r="3" spans="4:48" ht="18" customHeight="1" thickTop="1" x14ac:dyDescent="0.25"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R3" s="41"/>
      <c r="S3" s="41"/>
      <c r="W3" s="60" t="s">
        <v>90</v>
      </c>
      <c r="X3" s="62">
        <v>0.1008</v>
      </c>
      <c r="Y3" s="62">
        <v>0.1033</v>
      </c>
      <c r="Z3" s="62">
        <v>0.1048</v>
      </c>
      <c r="AA3" s="62">
        <v>0.1042</v>
      </c>
      <c r="AB3" s="63">
        <v>0.1008</v>
      </c>
      <c r="AC3" s="63">
        <v>0.10829999999999999</v>
      </c>
      <c r="AD3" s="63">
        <v>0.1048</v>
      </c>
      <c r="AE3" s="63">
        <v>0.1089</v>
      </c>
      <c r="AF3" s="63">
        <v>0.1042</v>
      </c>
      <c r="AG3" s="63">
        <v>0.1009</v>
      </c>
      <c r="AH3" s="63">
        <v>0.1</v>
      </c>
      <c r="AI3" s="64">
        <v>0.1089</v>
      </c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</row>
    <row r="4" spans="4:48" ht="18" customHeight="1" x14ac:dyDescent="0.25"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R4" s="41"/>
      <c r="S4" s="41"/>
      <c r="W4" s="60" t="s">
        <v>91</v>
      </c>
      <c r="X4" s="62">
        <v>0.51080000000000003</v>
      </c>
      <c r="Y4" s="62">
        <v>0.51939999999999997</v>
      </c>
      <c r="Z4" s="62">
        <v>0.52280000000000004</v>
      </c>
      <c r="AA4" s="62">
        <v>0.52080000000000004</v>
      </c>
      <c r="AB4" s="63">
        <v>0.51080000000000003</v>
      </c>
      <c r="AC4" s="63">
        <v>0.5333</v>
      </c>
      <c r="AD4" s="63">
        <v>0.52280000000000004</v>
      </c>
      <c r="AE4" s="63">
        <v>0.53490000000000004</v>
      </c>
      <c r="AF4" s="63">
        <v>0.52080000000000004</v>
      </c>
      <c r="AG4" s="63">
        <v>0.51139999999999997</v>
      </c>
      <c r="AH4" s="63">
        <v>0.50829999999999997</v>
      </c>
      <c r="AI4" s="64">
        <v>0.53490000000000004</v>
      </c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</row>
    <row r="5" spans="4:48" ht="18" customHeight="1" thickBot="1" x14ac:dyDescent="0.3"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R5" s="41"/>
      <c r="W5" s="61" t="s">
        <v>92</v>
      </c>
      <c r="X5" s="65">
        <v>0.38840000000000002</v>
      </c>
      <c r="Y5" s="65">
        <v>0.37730000000000002</v>
      </c>
      <c r="Z5" s="65">
        <v>0.37240000000000001</v>
      </c>
      <c r="AA5" s="65">
        <v>0.375</v>
      </c>
      <c r="AB5" s="66">
        <v>0.38840000000000002</v>
      </c>
      <c r="AC5" s="66">
        <v>0.3584</v>
      </c>
      <c r="AD5" s="66">
        <v>0.37240000000000001</v>
      </c>
      <c r="AE5" s="66">
        <v>0.35620000000000002</v>
      </c>
      <c r="AF5" s="66">
        <v>0.375</v>
      </c>
      <c r="AG5" s="66">
        <v>0.38769999999999999</v>
      </c>
      <c r="AH5" s="66">
        <v>0.39169999999999999</v>
      </c>
      <c r="AI5" s="67">
        <v>0.35620000000000002</v>
      </c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</row>
    <row r="6" spans="4:48" ht="18" customHeight="1" x14ac:dyDescent="0.25">
      <c r="D6" s="43"/>
      <c r="E6" s="44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</row>
    <row r="7" spans="4:48" ht="18.75" customHeight="1" thickBot="1" x14ac:dyDescent="0.3">
      <c r="E7" s="141" t="s">
        <v>549</v>
      </c>
      <c r="F7" s="142"/>
      <c r="G7" s="142"/>
      <c r="H7" s="142"/>
      <c r="I7" s="143"/>
      <c r="J7" s="143"/>
      <c r="K7" s="144" t="s">
        <v>143</v>
      </c>
      <c r="L7" s="145"/>
      <c r="M7" s="145"/>
      <c r="N7" s="145"/>
      <c r="O7" s="143"/>
      <c r="P7" s="143"/>
      <c r="Q7" s="146" t="s">
        <v>142</v>
      </c>
      <c r="R7" s="147"/>
      <c r="S7" s="147"/>
      <c r="T7" s="147"/>
      <c r="W7" s="54" t="s">
        <v>93</v>
      </c>
      <c r="X7" s="46" t="s">
        <v>46</v>
      </c>
      <c r="Y7" s="46" t="s">
        <v>47</v>
      </c>
      <c r="Z7" s="46" t="s">
        <v>48</v>
      </c>
      <c r="AA7" s="46" t="s">
        <v>49</v>
      </c>
      <c r="AB7" s="46" t="s">
        <v>50</v>
      </c>
      <c r="AC7" s="46" t="s">
        <v>51</v>
      </c>
      <c r="AD7" s="46" t="s">
        <v>52</v>
      </c>
      <c r="AE7" s="46" t="s">
        <v>53</v>
      </c>
      <c r="AF7" s="46" t="s">
        <v>54</v>
      </c>
      <c r="AG7" s="46" t="s">
        <v>55</v>
      </c>
      <c r="AH7" s="46" t="s">
        <v>56</v>
      </c>
      <c r="AI7" s="46" t="s">
        <v>57</v>
      </c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</row>
    <row r="8" spans="4:48" ht="15.75" thickTop="1" x14ac:dyDescent="0.25">
      <c r="J8" s="40"/>
      <c r="P8" s="40"/>
      <c r="W8" s="42" t="s">
        <v>96</v>
      </c>
      <c r="X8" s="48">
        <f>SUMPRODUCT(E10:E12,X$3:X$5)</f>
        <v>0</v>
      </c>
      <c r="Y8" s="48">
        <f>SUMPRODUCT(E15:E17,Y$3:Y$5)</f>
        <v>0</v>
      </c>
      <c r="Z8" s="48">
        <f>SUMPRODUCT(E20:E22,Z$3:Z$5)</f>
        <v>0</v>
      </c>
      <c r="AA8" s="48">
        <f>SUMPRODUCT(E25:E27,AA$3:AA$5)</f>
        <v>0</v>
      </c>
      <c r="AB8" s="48">
        <f>SUMPRODUCT(E30:E32,AB$3:AB$5)</f>
        <v>0</v>
      </c>
      <c r="AC8" s="48">
        <f>SUMPRODUCT(E35:E37,AC$3:AC$5)</f>
        <v>0</v>
      </c>
      <c r="AD8" s="48">
        <f>SUMPRODUCT(E40:E42,AD$3:AD$5)</f>
        <v>0</v>
      </c>
      <c r="AE8" s="48">
        <f>SUMPRODUCT(E45:E47,AE$3:AE$5)</f>
        <v>0</v>
      </c>
      <c r="AF8" s="48">
        <f>SUMPRODUCT(E50:E52,AF$3:AF$5)</f>
        <v>0</v>
      </c>
      <c r="AG8" s="48">
        <f>SUMPRODUCT(E55:E57,AG$3:AG$5)</f>
        <v>0</v>
      </c>
      <c r="AH8" s="48">
        <f>SUMPRODUCT(E60:E62,AH$3:AH$5)</f>
        <v>0</v>
      </c>
      <c r="AI8" s="48">
        <f>SUMPRODUCT(E65:E67,AI$3:AI$5)</f>
        <v>0</v>
      </c>
      <c r="AJ8" s="49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</row>
    <row r="9" spans="4:48" ht="15.75" thickBot="1" x14ac:dyDescent="0.3">
      <c r="D9" s="54"/>
      <c r="E9" s="39" t="s">
        <v>70</v>
      </c>
      <c r="F9" s="39" t="s">
        <v>62</v>
      </c>
      <c r="G9" s="39" t="s">
        <v>63</v>
      </c>
      <c r="H9" s="39" t="s">
        <v>64</v>
      </c>
      <c r="J9" s="55"/>
      <c r="K9" s="39" t="s">
        <v>70</v>
      </c>
      <c r="L9" s="39" t="s">
        <v>62</v>
      </c>
      <c r="M9" s="39" t="s">
        <v>63</v>
      </c>
      <c r="N9" s="39" t="s">
        <v>64</v>
      </c>
      <c r="P9" s="56"/>
      <c r="Q9" s="39" t="s">
        <v>70</v>
      </c>
      <c r="R9" s="39" t="s">
        <v>62</v>
      </c>
      <c r="S9" s="39" t="s">
        <v>63</v>
      </c>
      <c r="T9" s="39" t="s">
        <v>64</v>
      </c>
      <c r="U9" s="47"/>
      <c r="W9" s="42" t="s">
        <v>97</v>
      </c>
      <c r="X9" s="48">
        <f>SUMPRODUCT(F10:F12,X$3:X$5)</f>
        <v>0</v>
      </c>
      <c r="Y9" s="48">
        <f>SUMPRODUCT(F15:F17,Y$3:Y$5)</f>
        <v>0</v>
      </c>
      <c r="Z9" s="48">
        <f>SUMPRODUCT(F20:F22,Z$3:Z$5)</f>
        <v>0</v>
      </c>
      <c r="AA9" s="48">
        <f>SUMPRODUCT(F25:F27,AA$3:AA$5)</f>
        <v>0</v>
      </c>
      <c r="AB9" s="48">
        <f>SUMPRODUCT(F30:F32,AB$3:AB$5)</f>
        <v>0</v>
      </c>
      <c r="AC9" s="48">
        <f>SUMPRODUCT(F35:F37,AC$3:AC$5)</f>
        <v>0</v>
      </c>
      <c r="AD9" s="48">
        <f>SUMPRODUCT(F40:F42,AD$3:AD$5)</f>
        <v>0</v>
      </c>
      <c r="AE9" s="48">
        <f>SUMPRODUCT(F45:F47,AE$3:AE$5)</f>
        <v>0</v>
      </c>
      <c r="AF9" s="48">
        <f>SUMPRODUCT(F50:F52,AF$3:AF$5)</f>
        <v>0</v>
      </c>
      <c r="AG9" s="48">
        <f>SUMPRODUCT(F55:F57,AG$3:AG$5)</f>
        <v>0</v>
      </c>
      <c r="AH9" s="48">
        <f>SUMPRODUCT(F60:F62,AH$3:AH$5)</f>
        <v>0</v>
      </c>
      <c r="AI9" s="48">
        <f>SUMPRODUCT(F65:F67,AI$3:AI$5)</f>
        <v>0</v>
      </c>
    </row>
    <row r="10" spans="4:48" ht="15.75" thickTop="1" x14ac:dyDescent="0.25">
      <c r="D10" s="42" t="s">
        <v>90</v>
      </c>
      <c r="E10" s="51"/>
      <c r="F10" s="51"/>
      <c r="G10" s="51"/>
      <c r="H10" s="51"/>
      <c r="J10" s="42" t="s">
        <v>90</v>
      </c>
      <c r="K10" s="51"/>
      <c r="L10" s="51"/>
      <c r="M10" s="51"/>
      <c r="N10" s="51"/>
      <c r="P10" s="42" t="s">
        <v>90</v>
      </c>
      <c r="Q10" s="51"/>
      <c r="R10" s="51"/>
      <c r="S10" s="51"/>
      <c r="T10" s="51"/>
      <c r="U10" s="47"/>
      <c r="W10" s="42" t="s">
        <v>98</v>
      </c>
      <c r="X10" s="48">
        <f>SUMPRODUCT(G10:G12,X$3:X$5)</f>
        <v>0</v>
      </c>
      <c r="Y10" s="48">
        <f>SUMPRODUCT(G15:G17,Y$3:Y$5)</f>
        <v>0</v>
      </c>
      <c r="Z10" s="48">
        <f>SUMPRODUCT(G20:G22,Z$3:Z$5)</f>
        <v>0</v>
      </c>
      <c r="AA10" s="48">
        <f>SUMPRODUCT(G25:G27,AA$3:AA$5)</f>
        <v>0</v>
      </c>
      <c r="AB10" s="48">
        <f>SUMPRODUCT(G30:G32,AB$3:AB$5)</f>
        <v>0</v>
      </c>
      <c r="AC10" s="48">
        <f>SUMPRODUCT(G35:G37,AC$3:AC$5)</f>
        <v>0</v>
      </c>
      <c r="AD10" s="48">
        <f>SUMPRODUCT(G40:G42,AD$3:AD$5)</f>
        <v>0</v>
      </c>
      <c r="AE10" s="48">
        <f>SUMPRODUCT(G45:G47,AE$3:AE$5)</f>
        <v>0</v>
      </c>
      <c r="AF10" s="48">
        <f>SUMPRODUCT(G50:G52,AF$3:AF$5)</f>
        <v>0</v>
      </c>
      <c r="AG10" s="48">
        <f>SUMPRODUCT(G55:G57,AG$3:AG$5)</f>
        <v>0</v>
      </c>
      <c r="AH10" s="48">
        <f>SUMPRODUCT(G60:G62,AH$3:AH$5)</f>
        <v>0</v>
      </c>
      <c r="AI10" s="48">
        <f>SUMPRODUCT(G65:G67,AI$3:AI$5)</f>
        <v>0</v>
      </c>
    </row>
    <row r="11" spans="4:48" x14ac:dyDescent="0.25">
      <c r="D11" s="42" t="s">
        <v>91</v>
      </c>
      <c r="E11" s="51"/>
      <c r="F11" s="51"/>
      <c r="G11" s="51"/>
      <c r="H11" s="51"/>
      <c r="J11" s="42" t="s">
        <v>91</v>
      </c>
      <c r="K11" s="51"/>
      <c r="L11" s="51"/>
      <c r="M11" s="51"/>
      <c r="N11" s="51"/>
      <c r="P11" s="42" t="s">
        <v>91</v>
      </c>
      <c r="Q11" s="51"/>
      <c r="R11" s="51"/>
      <c r="S11" s="51"/>
      <c r="T11" s="51"/>
      <c r="U11" s="47"/>
      <c r="W11" s="42" t="s">
        <v>99</v>
      </c>
      <c r="X11" s="48">
        <f>SUMPRODUCT(H10:H12,X$3:X$5)</f>
        <v>0</v>
      </c>
      <c r="Y11" s="48">
        <f>SUMPRODUCT(H15:H17,Y$3:Y$5)</f>
        <v>0</v>
      </c>
      <c r="Z11" s="48">
        <f>SUMPRODUCT(H20:H22,Z$3:Z$5)</f>
        <v>0</v>
      </c>
      <c r="AA11" s="48">
        <f>SUMPRODUCT(H25:H27,AA$3:AA$5)</f>
        <v>0</v>
      </c>
      <c r="AB11" s="48">
        <f>SUMPRODUCT(H30:H32,AB$3:AB$5)</f>
        <v>0</v>
      </c>
      <c r="AC11" s="48">
        <f>SUMPRODUCT(H35:H37,AC$3:AC$5)</f>
        <v>0</v>
      </c>
      <c r="AD11" s="48">
        <f>SUMPRODUCT(H40:H42,AD$3:AD$5)</f>
        <v>0</v>
      </c>
      <c r="AE11" s="48">
        <f>SUMPRODUCT(H45:H47,AE$3:AE$5)</f>
        <v>0</v>
      </c>
      <c r="AF11" s="48">
        <f>SUMPRODUCT(H50:H52,AF$3:AF$5)</f>
        <v>0</v>
      </c>
      <c r="AG11" s="48">
        <f>SUMPRODUCT(H55:H57,AG$3:AG$5)</f>
        <v>0</v>
      </c>
      <c r="AH11" s="48">
        <f>SUMPRODUCT(H60:H62,AH$3:AH$5)</f>
        <v>0</v>
      </c>
      <c r="AI11" s="48">
        <f>SUMPRODUCT(H65:H67,AI$3:AI$5)</f>
        <v>0</v>
      </c>
    </row>
    <row r="12" spans="4:48" x14ac:dyDescent="0.25">
      <c r="D12" s="42" t="s">
        <v>92</v>
      </c>
      <c r="E12" s="51"/>
      <c r="F12" s="51"/>
      <c r="G12" s="51"/>
      <c r="H12" s="51"/>
      <c r="J12" s="42" t="s">
        <v>92</v>
      </c>
      <c r="K12" s="51"/>
      <c r="L12" s="51"/>
      <c r="M12" s="51"/>
      <c r="N12" s="51"/>
      <c r="P12" s="42" t="s">
        <v>92</v>
      </c>
      <c r="Q12" s="51"/>
      <c r="R12" s="51"/>
      <c r="S12" s="51"/>
      <c r="T12" s="51"/>
      <c r="U12" s="47"/>
      <c r="W12" s="43"/>
      <c r="X12" s="52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4:48" x14ac:dyDescent="0.25">
      <c r="D13" s="53"/>
      <c r="J13" s="53"/>
      <c r="P13" s="53"/>
      <c r="Q13" s="47"/>
      <c r="R13" s="47"/>
      <c r="S13" s="47"/>
      <c r="T13" s="47"/>
      <c r="U13" s="47"/>
    </row>
    <row r="14" spans="4:48" ht="15.75" thickBot="1" x14ac:dyDescent="0.3">
      <c r="D14" s="54"/>
      <c r="E14" s="39" t="s">
        <v>70</v>
      </c>
      <c r="F14" s="39" t="s">
        <v>62</v>
      </c>
      <c r="G14" s="39" t="s">
        <v>63</v>
      </c>
      <c r="H14" s="39" t="s">
        <v>64</v>
      </c>
      <c r="J14" s="55"/>
      <c r="K14" s="39" t="s">
        <v>70</v>
      </c>
      <c r="L14" s="39" t="s">
        <v>62</v>
      </c>
      <c r="M14" s="39" t="s">
        <v>63</v>
      </c>
      <c r="N14" s="39" t="s">
        <v>64</v>
      </c>
      <c r="P14" s="56"/>
      <c r="Q14" s="39" t="s">
        <v>70</v>
      </c>
      <c r="R14" s="39" t="s">
        <v>62</v>
      </c>
      <c r="S14" s="39" t="s">
        <v>63</v>
      </c>
      <c r="T14" s="39" t="s">
        <v>64</v>
      </c>
      <c r="U14" s="47"/>
      <c r="W14" s="55" t="s">
        <v>94</v>
      </c>
      <c r="X14" s="46" t="s">
        <v>46</v>
      </c>
      <c r="Y14" s="46" t="s">
        <v>47</v>
      </c>
      <c r="Z14" s="46" t="s">
        <v>48</v>
      </c>
      <c r="AA14" s="46" t="s">
        <v>49</v>
      </c>
      <c r="AB14" s="46" t="s">
        <v>50</v>
      </c>
      <c r="AC14" s="46" t="s">
        <v>51</v>
      </c>
      <c r="AD14" s="46" t="s">
        <v>52</v>
      </c>
      <c r="AE14" s="46" t="s">
        <v>53</v>
      </c>
      <c r="AF14" s="46" t="s">
        <v>54</v>
      </c>
      <c r="AG14" s="46" t="s">
        <v>55</v>
      </c>
      <c r="AH14" s="46" t="s">
        <v>56</v>
      </c>
      <c r="AI14" s="46" t="s">
        <v>57</v>
      </c>
    </row>
    <row r="15" spans="4:48" ht="15.75" thickTop="1" x14ac:dyDescent="0.25">
      <c r="D15" s="42" t="s">
        <v>90</v>
      </c>
      <c r="E15" s="51"/>
      <c r="F15" s="51"/>
      <c r="G15" s="51"/>
      <c r="H15" s="51"/>
      <c r="J15" s="42" t="s">
        <v>90</v>
      </c>
      <c r="K15" s="51"/>
      <c r="L15" s="51"/>
      <c r="M15" s="51"/>
      <c r="N15" s="51"/>
      <c r="P15" s="42" t="s">
        <v>90</v>
      </c>
      <c r="Q15" s="51"/>
      <c r="R15" s="51"/>
      <c r="S15" s="51"/>
      <c r="T15" s="51"/>
      <c r="U15" s="47"/>
      <c r="W15" s="42" t="s">
        <v>100</v>
      </c>
      <c r="X15" s="48">
        <f>SUMPRODUCT(K10:K12,X$3:X$5)</f>
        <v>0</v>
      </c>
      <c r="Y15" s="48">
        <f>SUMPRODUCT(K15:K17,Y$3:Y$5)</f>
        <v>0</v>
      </c>
      <c r="Z15" s="48">
        <f>SUMPRODUCT(K20:K22,Z$3:Z$5)</f>
        <v>0</v>
      </c>
      <c r="AA15" s="48">
        <f>SUMPRODUCT(K25:K27,AA$3:AA$5)</f>
        <v>0</v>
      </c>
      <c r="AB15" s="48">
        <f>SUMPRODUCT(K30:K32,AB$3:AB$5)</f>
        <v>0</v>
      </c>
      <c r="AC15" s="48">
        <f>SUMPRODUCT(K35:K37,AC$3:AC$5)</f>
        <v>0</v>
      </c>
      <c r="AD15" s="48">
        <f>SUMPRODUCT(K40:K42,AD$3:AD$5)</f>
        <v>0</v>
      </c>
      <c r="AE15" s="48">
        <f>SUMPRODUCT(K45:K47,AE$3:AE$5)</f>
        <v>0</v>
      </c>
      <c r="AF15" s="48">
        <f>SUMPRODUCT(K50:K52,AF$3:AF$5)</f>
        <v>0</v>
      </c>
      <c r="AG15" s="48">
        <f>SUMPRODUCT(K55:K57,AG$3:AG$5)</f>
        <v>0</v>
      </c>
      <c r="AH15" s="48">
        <f>SUMPRODUCT(K60:K62,AH$3:AH$5)</f>
        <v>0</v>
      </c>
      <c r="AI15" s="48">
        <f>SUMPRODUCT(K65:K67,AI$3:AI$5)</f>
        <v>0</v>
      </c>
      <c r="AJ15" s="49"/>
      <c r="AK15" s="50"/>
    </row>
    <row r="16" spans="4:48" x14ac:dyDescent="0.25">
      <c r="D16" s="42" t="s">
        <v>91</v>
      </c>
      <c r="E16" s="51"/>
      <c r="F16" s="51"/>
      <c r="G16" s="51"/>
      <c r="H16" s="51"/>
      <c r="J16" s="42" t="s">
        <v>91</v>
      </c>
      <c r="K16" s="51"/>
      <c r="L16" s="51"/>
      <c r="M16" s="51"/>
      <c r="N16" s="51"/>
      <c r="P16" s="42" t="s">
        <v>91</v>
      </c>
      <c r="Q16" s="51"/>
      <c r="R16" s="51"/>
      <c r="S16" s="51"/>
      <c r="T16" s="51"/>
      <c r="U16" s="47"/>
      <c r="W16" s="42" t="s">
        <v>101</v>
      </c>
      <c r="X16" s="48">
        <f>SUMPRODUCT(L10:L12,X$3:X$5)</f>
        <v>0</v>
      </c>
      <c r="Y16" s="48">
        <f>SUMPRODUCT(L15:L17,Y$3:Y$5)</f>
        <v>0</v>
      </c>
      <c r="Z16" s="48">
        <f>SUMPRODUCT(L20:L22,Z$3:Z$5)</f>
        <v>0</v>
      </c>
      <c r="AA16" s="48">
        <f>SUMPRODUCT(L25:L27,AA$3:AA$5)</f>
        <v>0</v>
      </c>
      <c r="AB16" s="48">
        <f>SUMPRODUCT(L30:L32,AB$3:AB$5)</f>
        <v>0</v>
      </c>
      <c r="AC16" s="48">
        <f>SUMPRODUCT(L35:L37,AC$3:AC$5)</f>
        <v>0</v>
      </c>
      <c r="AD16" s="48">
        <f>SUMPRODUCT(L40:L42,AD$3:AD$5)</f>
        <v>0</v>
      </c>
      <c r="AE16" s="48">
        <f>SUMPRODUCT(L45:L47,AE$3:AE$5)</f>
        <v>0</v>
      </c>
      <c r="AF16" s="48">
        <f>SUMPRODUCT(L50:L52,AF$3:AF$5)</f>
        <v>0</v>
      </c>
      <c r="AG16" s="48">
        <f>SUMPRODUCT(L55:L57,AG$3:AG$5)</f>
        <v>0</v>
      </c>
      <c r="AH16" s="48">
        <f>SUMPRODUCT(L60:L62,AH$3:AH$5)</f>
        <v>0</v>
      </c>
      <c r="AI16" s="48">
        <f>SUMPRODUCT(L65:L67,AI$3:AI$5)</f>
        <v>0</v>
      </c>
    </row>
    <row r="17" spans="4:37" x14ac:dyDescent="0.25">
      <c r="D17" s="42" t="s">
        <v>92</v>
      </c>
      <c r="E17" s="51"/>
      <c r="F17" s="51"/>
      <c r="G17" s="51"/>
      <c r="H17" s="51"/>
      <c r="J17" s="42" t="s">
        <v>92</v>
      </c>
      <c r="K17" s="51"/>
      <c r="L17" s="51"/>
      <c r="M17" s="51"/>
      <c r="N17" s="51"/>
      <c r="P17" s="42" t="s">
        <v>92</v>
      </c>
      <c r="Q17" s="51"/>
      <c r="R17" s="51"/>
      <c r="S17" s="51"/>
      <c r="T17" s="51"/>
      <c r="U17" s="47"/>
      <c r="W17" s="42" t="s">
        <v>102</v>
      </c>
      <c r="X17" s="48">
        <f>SUMPRODUCT(M10:M12,X$3:X$5)</f>
        <v>0</v>
      </c>
      <c r="Y17" s="48">
        <f>SUMPRODUCT(M15:M17,Y$3:Y$5)</f>
        <v>0</v>
      </c>
      <c r="Z17" s="48">
        <f>SUMPRODUCT(M20:M22,Z$3:Z$5)</f>
        <v>0</v>
      </c>
      <c r="AA17" s="48">
        <f>SUMPRODUCT(M25:M27,AA$3:AA$5)</f>
        <v>0</v>
      </c>
      <c r="AB17" s="48">
        <f>SUMPRODUCT(M30:M32,AB$3:AB$5)</f>
        <v>0</v>
      </c>
      <c r="AC17" s="48">
        <f>SUMPRODUCT(M35:M37,AC$3:AC$5)</f>
        <v>0</v>
      </c>
      <c r="AD17" s="48">
        <f>SUMPRODUCT(M40:M42,AD$3:AD$5)</f>
        <v>0</v>
      </c>
      <c r="AE17" s="48">
        <f>SUMPRODUCT(M45:M47,AE$3:AE$5)</f>
        <v>0</v>
      </c>
      <c r="AF17" s="48">
        <f>SUMPRODUCT(M50:M52,AF$3:AF$5)</f>
        <v>0</v>
      </c>
      <c r="AG17" s="48">
        <f>SUMPRODUCT(M55:M57,AG$3:AG$5)</f>
        <v>0</v>
      </c>
      <c r="AH17" s="48">
        <f>SUMPRODUCT(M60:M62,AH$3:AH$5)</f>
        <v>0</v>
      </c>
      <c r="AI17" s="48">
        <f>SUMPRODUCT(M65:M67,AI$3:AI$5)</f>
        <v>0</v>
      </c>
    </row>
    <row r="18" spans="4:37" x14ac:dyDescent="0.25">
      <c r="D18" s="53"/>
      <c r="J18" s="53"/>
      <c r="P18" s="53"/>
      <c r="Q18" s="47"/>
      <c r="R18" s="47"/>
      <c r="S18" s="47"/>
      <c r="T18" s="47"/>
      <c r="U18" s="47"/>
      <c r="W18" s="42" t="s">
        <v>103</v>
      </c>
      <c r="X18" s="48">
        <f>SUMPRODUCT(N10:N12,X$3:X$5)</f>
        <v>0</v>
      </c>
      <c r="Y18" s="48">
        <f>SUMPRODUCT(N15:N17,Y$3:Y$5)</f>
        <v>0</v>
      </c>
      <c r="Z18" s="48">
        <f>SUMPRODUCT(N20:N22,Z$3:Z$5)</f>
        <v>0</v>
      </c>
      <c r="AA18" s="48">
        <f>SUMPRODUCT(N25:N27,AA$3:AA$5)</f>
        <v>0</v>
      </c>
      <c r="AB18" s="48">
        <f>SUMPRODUCT(N30:N32,AB$3:AB$5)</f>
        <v>0</v>
      </c>
      <c r="AC18" s="48">
        <f>SUMPRODUCT(N35:N37,AC$3:AC$5)</f>
        <v>0</v>
      </c>
      <c r="AD18" s="48">
        <f>SUMPRODUCT(N40:N42,AD$3:AD$5)</f>
        <v>0</v>
      </c>
      <c r="AE18" s="48">
        <f>SUMPRODUCT(N45:N47,AE$3:AE$5)</f>
        <v>0</v>
      </c>
      <c r="AF18" s="48">
        <f>SUMPRODUCT(N50:N52,AF$3:AF$5)</f>
        <v>0</v>
      </c>
      <c r="AG18" s="48">
        <f>SUMPRODUCT(N55:N57,AG$3:AG$5)</f>
        <v>0</v>
      </c>
      <c r="AH18" s="48">
        <f>SUMPRODUCT(N60:N62,AH$3:AH$5)</f>
        <v>0</v>
      </c>
      <c r="AI18" s="48">
        <f>SUMPRODUCT(N65:N67,AI$3:AI$5)</f>
        <v>0</v>
      </c>
    </row>
    <row r="19" spans="4:37" ht="15.75" thickBot="1" x14ac:dyDescent="0.3">
      <c r="D19" s="54"/>
      <c r="E19" s="39" t="s">
        <v>70</v>
      </c>
      <c r="F19" s="39" t="s">
        <v>62</v>
      </c>
      <c r="G19" s="39" t="s">
        <v>63</v>
      </c>
      <c r="H19" s="39" t="s">
        <v>64</v>
      </c>
      <c r="J19" s="55"/>
      <c r="K19" s="39" t="s">
        <v>70</v>
      </c>
      <c r="L19" s="39" t="s">
        <v>62</v>
      </c>
      <c r="M19" s="39" t="s">
        <v>63</v>
      </c>
      <c r="N19" s="39" t="s">
        <v>64</v>
      </c>
      <c r="P19" s="56"/>
      <c r="Q19" s="39" t="s">
        <v>70</v>
      </c>
      <c r="R19" s="39" t="s">
        <v>62</v>
      </c>
      <c r="S19" s="39" t="s">
        <v>63</v>
      </c>
      <c r="T19" s="39" t="s">
        <v>64</v>
      </c>
      <c r="U19" s="47"/>
      <c r="W19" s="43"/>
      <c r="X19" s="52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4:37" ht="15.75" thickTop="1" x14ac:dyDescent="0.25">
      <c r="D20" s="42" t="s">
        <v>90</v>
      </c>
      <c r="E20" s="51"/>
      <c r="F20" s="51"/>
      <c r="G20" s="51"/>
      <c r="H20" s="51"/>
      <c r="J20" s="42" t="s">
        <v>90</v>
      </c>
      <c r="K20" s="51"/>
      <c r="L20" s="51"/>
      <c r="M20" s="51"/>
      <c r="N20" s="51"/>
      <c r="P20" s="42" t="s">
        <v>90</v>
      </c>
      <c r="Q20" s="51"/>
      <c r="R20" s="51"/>
      <c r="S20" s="51"/>
      <c r="T20" s="51"/>
      <c r="U20" s="47"/>
    </row>
    <row r="21" spans="4:37" ht="15.75" thickBot="1" x14ac:dyDescent="0.3">
      <c r="D21" s="42" t="s">
        <v>91</v>
      </c>
      <c r="E21" s="51"/>
      <c r="F21" s="51"/>
      <c r="G21" s="51"/>
      <c r="H21" s="51"/>
      <c r="J21" s="42" t="s">
        <v>91</v>
      </c>
      <c r="K21" s="51"/>
      <c r="L21" s="51"/>
      <c r="M21" s="51"/>
      <c r="N21" s="51"/>
      <c r="P21" s="42" t="s">
        <v>91</v>
      </c>
      <c r="Q21" s="51"/>
      <c r="R21" s="51"/>
      <c r="S21" s="51"/>
      <c r="T21" s="51"/>
      <c r="U21" s="47"/>
      <c r="W21" s="56" t="s">
        <v>95</v>
      </c>
      <c r="X21" s="46" t="s">
        <v>46</v>
      </c>
      <c r="Y21" s="46" t="s">
        <v>47</v>
      </c>
      <c r="Z21" s="46" t="s">
        <v>48</v>
      </c>
      <c r="AA21" s="46" t="s">
        <v>49</v>
      </c>
      <c r="AB21" s="46" t="s">
        <v>50</v>
      </c>
      <c r="AC21" s="46" t="s">
        <v>51</v>
      </c>
      <c r="AD21" s="46" t="s">
        <v>52</v>
      </c>
      <c r="AE21" s="46" t="s">
        <v>53</v>
      </c>
      <c r="AF21" s="46" t="s">
        <v>54</v>
      </c>
      <c r="AG21" s="46" t="s">
        <v>55</v>
      </c>
      <c r="AH21" s="46" t="s">
        <v>56</v>
      </c>
      <c r="AI21" s="46" t="s">
        <v>57</v>
      </c>
    </row>
    <row r="22" spans="4:37" ht="15.75" thickTop="1" x14ac:dyDescent="0.25">
      <c r="D22" s="42" t="s">
        <v>92</v>
      </c>
      <c r="E22" s="51"/>
      <c r="F22" s="51"/>
      <c r="G22" s="51"/>
      <c r="H22" s="51"/>
      <c r="J22" s="42" t="s">
        <v>92</v>
      </c>
      <c r="K22" s="51"/>
      <c r="L22" s="51"/>
      <c r="M22" s="51"/>
      <c r="N22" s="51"/>
      <c r="P22" s="42" t="s">
        <v>92</v>
      </c>
      <c r="Q22" s="51"/>
      <c r="R22" s="51"/>
      <c r="S22" s="51"/>
      <c r="T22" s="51"/>
      <c r="U22" s="47"/>
      <c r="W22" s="42" t="s">
        <v>104</v>
      </c>
      <c r="X22" s="48">
        <f>SUMPRODUCT(Q10:Q12,X$3:X$5)</f>
        <v>0</v>
      </c>
      <c r="Y22" s="48">
        <f>SUMPRODUCT(Q15:Q17,Y$3:Y$5)</f>
        <v>0</v>
      </c>
      <c r="Z22" s="48">
        <f>SUMPRODUCT(Q20:Q22,Z$3:Z$5)</f>
        <v>0</v>
      </c>
      <c r="AA22" s="48">
        <f>SUMPRODUCT(Q25:Q27,AA$3:AA$5)</f>
        <v>0</v>
      </c>
      <c r="AB22" s="48">
        <f>SUMPRODUCT(Q30:Q32,AB$3:AB$5)</f>
        <v>0</v>
      </c>
      <c r="AC22" s="48">
        <f>SUMPRODUCT(Q35:Q37,AC$3:AC$5)</f>
        <v>0</v>
      </c>
      <c r="AD22" s="48">
        <f>SUMPRODUCT(Q40:Q42,AD$3:AD$5)</f>
        <v>0</v>
      </c>
      <c r="AE22" s="48">
        <f>SUMPRODUCT(Q45:Q47,AE$3:AE$5)</f>
        <v>0</v>
      </c>
      <c r="AF22" s="48">
        <f>SUMPRODUCT(Q50:Q52,AF$3:AF$5)</f>
        <v>0</v>
      </c>
      <c r="AG22" s="48">
        <f>SUMPRODUCT(Q55:Q57,AG$3:AG$5)</f>
        <v>0</v>
      </c>
      <c r="AH22" s="48">
        <f>SUMPRODUCT(Q60:Q62,AH$3:AH$5)</f>
        <v>0</v>
      </c>
      <c r="AI22" s="48">
        <f>SUMPRODUCT(Q65:Q67,AI$3:AI$5)</f>
        <v>0</v>
      </c>
      <c r="AJ22" s="49"/>
      <c r="AK22" s="50"/>
    </row>
    <row r="23" spans="4:37" x14ac:dyDescent="0.25">
      <c r="D23" s="53"/>
      <c r="J23" s="53"/>
      <c r="P23" s="53"/>
      <c r="Q23" s="47"/>
      <c r="R23" s="47"/>
      <c r="S23" s="47"/>
      <c r="T23" s="47"/>
      <c r="U23" s="47"/>
      <c r="W23" s="42" t="s">
        <v>105</v>
      </c>
      <c r="X23" s="48">
        <f>SUMPRODUCT(R10:R12,X$3:X$5)</f>
        <v>0</v>
      </c>
      <c r="Y23" s="48">
        <f>SUMPRODUCT(R15:R17,Y$3:Y$5)</f>
        <v>0</v>
      </c>
      <c r="Z23" s="48">
        <f>SUMPRODUCT(R20:R22,Z$3:Z$5)</f>
        <v>0</v>
      </c>
      <c r="AA23" s="48">
        <f>SUMPRODUCT(R25:R27,AA$3:AA$5)</f>
        <v>0</v>
      </c>
      <c r="AB23" s="48">
        <f>SUMPRODUCT(R30:R32,AB$3:AB$5)</f>
        <v>0</v>
      </c>
      <c r="AC23" s="48">
        <f>SUMPRODUCT(R35:R37,AC$3:AC$5)</f>
        <v>0</v>
      </c>
      <c r="AD23" s="48">
        <f>SUMPRODUCT(R40:R42,AD$3:AD$5)</f>
        <v>0</v>
      </c>
      <c r="AE23" s="48">
        <f>SUMPRODUCT(R45:R47,AE$3:AE$5)</f>
        <v>0</v>
      </c>
      <c r="AF23" s="48">
        <f>SUMPRODUCT(R50:R52,AF$3:AF$5)</f>
        <v>0</v>
      </c>
      <c r="AG23" s="48">
        <f>SUMPRODUCT(R55:R57,AG$3:AG$5)</f>
        <v>0</v>
      </c>
      <c r="AH23" s="48">
        <f>SUMPRODUCT(R60:R62,AH$3:AH$5)</f>
        <v>0</v>
      </c>
      <c r="AI23" s="48">
        <f>SUMPRODUCT(R65:R67,AI$3:AI$5)</f>
        <v>0</v>
      </c>
    </row>
    <row r="24" spans="4:37" ht="15.75" thickBot="1" x14ac:dyDescent="0.3">
      <c r="D24" s="54"/>
      <c r="E24" s="39" t="s">
        <v>70</v>
      </c>
      <c r="F24" s="39" t="s">
        <v>62</v>
      </c>
      <c r="G24" s="39" t="s">
        <v>63</v>
      </c>
      <c r="H24" s="39" t="s">
        <v>64</v>
      </c>
      <c r="J24" s="55"/>
      <c r="K24" s="39" t="s">
        <v>70</v>
      </c>
      <c r="L24" s="39" t="s">
        <v>62</v>
      </c>
      <c r="M24" s="39" t="s">
        <v>63</v>
      </c>
      <c r="N24" s="39" t="s">
        <v>64</v>
      </c>
      <c r="P24" s="56"/>
      <c r="Q24" s="39" t="s">
        <v>70</v>
      </c>
      <c r="R24" s="39" t="s">
        <v>62</v>
      </c>
      <c r="S24" s="39" t="s">
        <v>63</v>
      </c>
      <c r="T24" s="39" t="s">
        <v>64</v>
      </c>
      <c r="U24" s="47"/>
      <c r="W24" s="42" t="s">
        <v>106</v>
      </c>
      <c r="X24" s="48">
        <f>SUMPRODUCT(S10:S12,X$3:X$5)</f>
        <v>0</v>
      </c>
      <c r="Y24" s="48">
        <f>SUMPRODUCT(S15:S17,Y$3:Y$5)</f>
        <v>0</v>
      </c>
      <c r="Z24" s="48">
        <f>SUMPRODUCT(S20:S22,Z$3:Z$5)</f>
        <v>0</v>
      </c>
      <c r="AA24" s="48">
        <f>SUMPRODUCT(S25:S27,AA$3:AA$5)</f>
        <v>0</v>
      </c>
      <c r="AB24" s="48">
        <f>SUMPRODUCT(S30:S32,AB$3:AB$5)</f>
        <v>0</v>
      </c>
      <c r="AC24" s="48">
        <f>SUMPRODUCT(S35:S37,AC$3:AC$5)</f>
        <v>0</v>
      </c>
      <c r="AD24" s="48">
        <f>SUMPRODUCT(S40:S42,AD$3:AD$5)</f>
        <v>0</v>
      </c>
      <c r="AE24" s="48">
        <f>SUMPRODUCT(S45:S47,AE$3:AE$5)</f>
        <v>0</v>
      </c>
      <c r="AF24" s="48">
        <f>SUMPRODUCT(S50:S52,AF$3:AF$5)</f>
        <v>0</v>
      </c>
      <c r="AG24" s="48">
        <f>SUMPRODUCT(S55:S57,AG$3:AG$5)</f>
        <v>0</v>
      </c>
      <c r="AH24" s="48">
        <f>SUMPRODUCT(S60:S62,AH$3:AH$5)</f>
        <v>0</v>
      </c>
      <c r="AI24" s="48">
        <f>SUMPRODUCT(S65:S67,AI$3:AI$5)</f>
        <v>0</v>
      </c>
    </row>
    <row r="25" spans="4:37" ht="15.75" thickTop="1" x14ac:dyDescent="0.25">
      <c r="D25" s="42" t="s">
        <v>90</v>
      </c>
      <c r="E25" s="51"/>
      <c r="F25" s="51"/>
      <c r="G25" s="51"/>
      <c r="H25" s="51"/>
      <c r="J25" s="42" t="s">
        <v>90</v>
      </c>
      <c r="K25" s="51"/>
      <c r="L25" s="51"/>
      <c r="M25" s="51"/>
      <c r="N25" s="51"/>
      <c r="P25" s="42" t="s">
        <v>90</v>
      </c>
      <c r="Q25" s="51"/>
      <c r="R25" s="51"/>
      <c r="S25" s="51"/>
      <c r="T25" s="51"/>
      <c r="U25" s="47"/>
      <c r="W25" s="42" t="s">
        <v>107</v>
      </c>
      <c r="X25" s="48">
        <f>SUMPRODUCT(T10:T12,X$3:X$5)</f>
        <v>0</v>
      </c>
      <c r="Y25" s="48">
        <f>SUMPRODUCT(T15:T17,Y$3:Y$5)</f>
        <v>0</v>
      </c>
      <c r="Z25" s="48">
        <f>SUMPRODUCT(T20:T22,Z$3:Z$5)</f>
        <v>0</v>
      </c>
      <c r="AA25" s="48">
        <f>SUMPRODUCT(T25:T27,AA$3:AA$5)</f>
        <v>0</v>
      </c>
      <c r="AB25" s="48">
        <f>SUMPRODUCT(T30:T32,AB$3:AB$5)</f>
        <v>0</v>
      </c>
      <c r="AC25" s="48">
        <f>SUMPRODUCT(T35:T37,AC$3:AC$5)</f>
        <v>0</v>
      </c>
      <c r="AD25" s="48">
        <f>SUMPRODUCT(T40:T42,AD$3:AD$5)</f>
        <v>0</v>
      </c>
      <c r="AE25" s="48">
        <f>SUMPRODUCT(T45:T47,AE$3:AE$5)</f>
        <v>0</v>
      </c>
      <c r="AF25" s="48">
        <f>SUMPRODUCT(T50:T52,AF$3:AF$5)</f>
        <v>0</v>
      </c>
      <c r="AG25" s="48">
        <f>SUMPRODUCT(T55:T57,AG$3:AG$5)</f>
        <v>0</v>
      </c>
      <c r="AH25" s="48">
        <f>SUMPRODUCT(T60:T62,AH$3:AH$5)</f>
        <v>0</v>
      </c>
      <c r="AI25" s="48">
        <f>SUMPRODUCT(T65:T67,AI$3:AI$5)</f>
        <v>0</v>
      </c>
    </row>
    <row r="26" spans="4:37" x14ac:dyDescent="0.25">
      <c r="D26" s="42" t="s">
        <v>91</v>
      </c>
      <c r="E26" s="51"/>
      <c r="F26" s="51"/>
      <c r="G26" s="51"/>
      <c r="H26" s="51"/>
      <c r="J26" s="42" t="s">
        <v>91</v>
      </c>
      <c r="K26" s="51"/>
      <c r="L26" s="51"/>
      <c r="M26" s="51"/>
      <c r="N26" s="51"/>
      <c r="P26" s="42" t="s">
        <v>91</v>
      </c>
      <c r="Q26" s="51"/>
      <c r="R26" s="51"/>
      <c r="S26" s="51"/>
      <c r="T26" s="51"/>
      <c r="U26" s="47"/>
      <c r="W26" s="43"/>
      <c r="X26" s="52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</row>
    <row r="27" spans="4:37" x14ac:dyDescent="0.25">
      <c r="D27" s="42" t="s">
        <v>92</v>
      </c>
      <c r="E27" s="51"/>
      <c r="F27" s="51"/>
      <c r="G27" s="51"/>
      <c r="H27" s="51"/>
      <c r="J27" s="42" t="s">
        <v>92</v>
      </c>
      <c r="K27" s="51"/>
      <c r="L27" s="51"/>
      <c r="M27" s="51"/>
      <c r="N27" s="51"/>
      <c r="P27" s="42" t="s">
        <v>92</v>
      </c>
      <c r="Q27" s="51"/>
      <c r="R27" s="51"/>
      <c r="S27" s="51"/>
      <c r="T27" s="51"/>
      <c r="U27" s="47"/>
    </row>
    <row r="28" spans="4:37" x14ac:dyDescent="0.25">
      <c r="D28" s="53"/>
      <c r="J28" s="53"/>
      <c r="P28" s="53"/>
      <c r="Q28" s="47"/>
      <c r="R28" s="47"/>
      <c r="S28" s="47"/>
      <c r="T28" s="47"/>
      <c r="U28" s="47"/>
    </row>
    <row r="29" spans="4:37" ht="15.75" thickBot="1" x14ac:dyDescent="0.3">
      <c r="D29" s="54"/>
      <c r="E29" s="39" t="s">
        <v>70</v>
      </c>
      <c r="F29" s="39" t="s">
        <v>62</v>
      </c>
      <c r="G29" s="39" t="s">
        <v>63</v>
      </c>
      <c r="H29" s="39" t="s">
        <v>64</v>
      </c>
      <c r="J29" s="55"/>
      <c r="K29" s="39" t="s">
        <v>70</v>
      </c>
      <c r="L29" s="39" t="s">
        <v>62</v>
      </c>
      <c r="M29" s="39" t="s">
        <v>63</v>
      </c>
      <c r="N29" s="39" t="s">
        <v>64</v>
      </c>
      <c r="P29" s="56"/>
      <c r="Q29" s="39" t="s">
        <v>70</v>
      </c>
      <c r="R29" s="39" t="s">
        <v>62</v>
      </c>
      <c r="S29" s="39" t="s">
        <v>63</v>
      </c>
      <c r="T29" s="39" t="s">
        <v>64</v>
      </c>
      <c r="U29" s="47"/>
    </row>
    <row r="30" spans="4:37" ht="15.75" thickTop="1" x14ac:dyDescent="0.25">
      <c r="D30" s="42" t="s">
        <v>90</v>
      </c>
      <c r="E30" s="51"/>
      <c r="F30" s="51"/>
      <c r="G30" s="51"/>
      <c r="H30" s="51"/>
      <c r="J30" s="42" t="s">
        <v>90</v>
      </c>
      <c r="K30" s="51"/>
      <c r="L30" s="51"/>
      <c r="M30" s="51"/>
      <c r="N30" s="51"/>
      <c r="P30" s="42" t="s">
        <v>90</v>
      </c>
      <c r="Q30" s="51"/>
      <c r="R30" s="51"/>
      <c r="S30" s="51"/>
      <c r="T30" s="51"/>
      <c r="U30" s="47"/>
    </row>
    <row r="31" spans="4:37" x14ac:dyDescent="0.25">
      <c r="D31" s="42" t="s">
        <v>91</v>
      </c>
      <c r="E31" s="51"/>
      <c r="F31" s="51"/>
      <c r="G31" s="51"/>
      <c r="H31" s="51"/>
      <c r="J31" s="42" t="s">
        <v>91</v>
      </c>
      <c r="K31" s="51"/>
      <c r="L31" s="51"/>
      <c r="M31" s="51"/>
      <c r="N31" s="51"/>
      <c r="P31" s="42" t="s">
        <v>91</v>
      </c>
      <c r="Q31" s="51"/>
      <c r="R31" s="51"/>
      <c r="S31" s="51"/>
      <c r="T31" s="51"/>
      <c r="U31" s="47"/>
    </row>
    <row r="32" spans="4:37" x14ac:dyDescent="0.25">
      <c r="D32" s="42" t="s">
        <v>92</v>
      </c>
      <c r="E32" s="51"/>
      <c r="F32" s="51"/>
      <c r="G32" s="51"/>
      <c r="H32" s="51"/>
      <c r="J32" s="42" t="s">
        <v>92</v>
      </c>
      <c r="K32" s="51"/>
      <c r="L32" s="51"/>
      <c r="M32" s="51"/>
      <c r="N32" s="51"/>
      <c r="P32" s="42" t="s">
        <v>92</v>
      </c>
      <c r="Q32" s="51"/>
      <c r="R32" s="51"/>
      <c r="S32" s="51"/>
      <c r="T32" s="51"/>
      <c r="U32" s="47"/>
    </row>
    <row r="33" spans="4:35" x14ac:dyDescent="0.25">
      <c r="D33" s="53"/>
      <c r="J33" s="53"/>
      <c r="P33" s="53"/>
      <c r="Q33" s="47"/>
      <c r="R33" s="47"/>
      <c r="S33" s="47"/>
      <c r="T33" s="47"/>
      <c r="U33" s="47"/>
      <c r="AB33" s="69"/>
      <c r="AC33" s="69"/>
      <c r="AD33" s="69"/>
      <c r="AE33" s="69"/>
      <c r="AF33" s="69"/>
      <c r="AG33" s="69"/>
      <c r="AH33" s="69"/>
      <c r="AI33" s="69"/>
    </row>
    <row r="34" spans="4:35" ht="15.75" thickBot="1" x14ac:dyDescent="0.3">
      <c r="D34" s="54"/>
      <c r="E34" s="39" t="s">
        <v>70</v>
      </c>
      <c r="F34" s="39" t="s">
        <v>62</v>
      </c>
      <c r="G34" s="39" t="s">
        <v>63</v>
      </c>
      <c r="H34" s="39" t="s">
        <v>64</v>
      </c>
      <c r="J34" s="55"/>
      <c r="K34" s="39" t="s">
        <v>70</v>
      </c>
      <c r="L34" s="39" t="s">
        <v>62</v>
      </c>
      <c r="M34" s="39" t="s">
        <v>63</v>
      </c>
      <c r="N34" s="39" t="s">
        <v>64</v>
      </c>
      <c r="P34" s="56"/>
      <c r="Q34" s="39" t="s">
        <v>70</v>
      </c>
      <c r="R34" s="39" t="s">
        <v>62</v>
      </c>
      <c r="S34" s="39" t="s">
        <v>63</v>
      </c>
      <c r="T34" s="39" t="s">
        <v>64</v>
      </c>
      <c r="U34" s="47"/>
      <c r="AB34" s="69"/>
      <c r="AC34" s="69"/>
      <c r="AD34" s="69"/>
      <c r="AE34" s="69"/>
      <c r="AF34" s="69"/>
      <c r="AG34" s="69"/>
      <c r="AH34" s="69"/>
      <c r="AI34" s="69"/>
    </row>
    <row r="35" spans="4:35" ht="15.75" thickTop="1" x14ac:dyDescent="0.25">
      <c r="D35" s="42" t="s">
        <v>90</v>
      </c>
      <c r="E35" s="51"/>
      <c r="F35" s="51"/>
      <c r="G35" s="51"/>
      <c r="H35" s="51"/>
      <c r="J35" s="42" t="s">
        <v>90</v>
      </c>
      <c r="K35" s="51"/>
      <c r="L35" s="51"/>
      <c r="M35" s="51"/>
      <c r="N35" s="51"/>
      <c r="P35" s="42" t="s">
        <v>90</v>
      </c>
      <c r="Q35" s="51"/>
      <c r="R35" s="51"/>
      <c r="S35" s="51"/>
      <c r="T35" s="51"/>
      <c r="U35" s="47"/>
      <c r="AB35" s="69"/>
      <c r="AC35" s="69"/>
      <c r="AD35" s="69"/>
      <c r="AE35" s="69"/>
      <c r="AF35" s="69"/>
      <c r="AG35" s="69"/>
      <c r="AH35" s="69"/>
      <c r="AI35" s="69"/>
    </row>
    <row r="36" spans="4:35" x14ac:dyDescent="0.25">
      <c r="D36" s="42" t="s">
        <v>91</v>
      </c>
      <c r="E36" s="51"/>
      <c r="F36" s="51"/>
      <c r="G36" s="51"/>
      <c r="H36" s="51"/>
      <c r="J36" s="42" t="s">
        <v>91</v>
      </c>
      <c r="K36" s="51"/>
      <c r="L36" s="51"/>
      <c r="M36" s="51"/>
      <c r="N36" s="51"/>
      <c r="P36" s="42" t="s">
        <v>91</v>
      </c>
      <c r="Q36" s="51"/>
      <c r="R36" s="51"/>
      <c r="S36" s="51"/>
      <c r="T36" s="51"/>
      <c r="U36" s="47"/>
    </row>
    <row r="37" spans="4:35" x14ac:dyDescent="0.25">
      <c r="D37" s="42" t="s">
        <v>92</v>
      </c>
      <c r="E37" s="51"/>
      <c r="F37" s="51"/>
      <c r="G37" s="51"/>
      <c r="H37" s="51"/>
      <c r="J37" s="42" t="s">
        <v>92</v>
      </c>
      <c r="K37" s="51"/>
      <c r="L37" s="51"/>
      <c r="M37" s="51"/>
      <c r="N37" s="51"/>
      <c r="P37" s="42" t="s">
        <v>92</v>
      </c>
      <c r="Q37" s="51"/>
      <c r="R37" s="51"/>
      <c r="S37" s="51"/>
      <c r="T37" s="51"/>
      <c r="U37" s="47"/>
    </row>
    <row r="38" spans="4:35" x14ac:dyDescent="0.25">
      <c r="D38" s="53"/>
      <c r="J38" s="53"/>
      <c r="P38" s="53"/>
      <c r="Q38" s="47"/>
      <c r="R38" s="47"/>
      <c r="S38" s="47"/>
      <c r="T38" s="47"/>
      <c r="U38" s="47"/>
    </row>
    <row r="39" spans="4:35" ht="15.75" thickBot="1" x14ac:dyDescent="0.3">
      <c r="D39" s="54"/>
      <c r="E39" s="39" t="s">
        <v>70</v>
      </c>
      <c r="F39" s="39" t="s">
        <v>62</v>
      </c>
      <c r="G39" s="39" t="s">
        <v>63</v>
      </c>
      <c r="H39" s="39" t="s">
        <v>64</v>
      </c>
      <c r="J39" s="55"/>
      <c r="K39" s="39" t="s">
        <v>70</v>
      </c>
      <c r="L39" s="39" t="s">
        <v>62</v>
      </c>
      <c r="M39" s="39" t="s">
        <v>63</v>
      </c>
      <c r="N39" s="39" t="s">
        <v>64</v>
      </c>
      <c r="P39" s="56"/>
      <c r="Q39" s="39" t="s">
        <v>70</v>
      </c>
      <c r="R39" s="39" t="s">
        <v>62</v>
      </c>
      <c r="S39" s="39" t="s">
        <v>63</v>
      </c>
      <c r="T39" s="39" t="s">
        <v>64</v>
      </c>
      <c r="U39" s="47"/>
    </row>
    <row r="40" spans="4:35" ht="15.75" thickTop="1" x14ac:dyDescent="0.25">
      <c r="D40" s="42" t="s">
        <v>90</v>
      </c>
      <c r="E40" s="51"/>
      <c r="F40" s="51"/>
      <c r="G40" s="51"/>
      <c r="H40" s="51"/>
      <c r="J40" s="42" t="s">
        <v>90</v>
      </c>
      <c r="K40" s="51"/>
      <c r="L40" s="51"/>
      <c r="M40" s="51"/>
      <c r="N40" s="51"/>
      <c r="P40" s="42" t="s">
        <v>90</v>
      </c>
      <c r="Q40" s="51"/>
      <c r="R40" s="51"/>
      <c r="S40" s="51"/>
      <c r="T40" s="51"/>
      <c r="U40" s="47"/>
    </row>
    <row r="41" spans="4:35" x14ac:dyDescent="0.25">
      <c r="D41" s="42" t="s">
        <v>91</v>
      </c>
      <c r="E41" s="51"/>
      <c r="F41" s="51"/>
      <c r="G41" s="51"/>
      <c r="H41" s="51"/>
      <c r="J41" s="42" t="s">
        <v>91</v>
      </c>
      <c r="K41" s="51"/>
      <c r="L41" s="51"/>
      <c r="M41" s="51"/>
      <c r="N41" s="51"/>
      <c r="P41" s="42" t="s">
        <v>91</v>
      </c>
      <c r="Q41" s="51"/>
      <c r="R41" s="51"/>
      <c r="S41" s="51"/>
      <c r="T41" s="51"/>
      <c r="U41" s="47"/>
    </row>
    <row r="42" spans="4:35" x14ac:dyDescent="0.25">
      <c r="D42" s="42" t="s">
        <v>92</v>
      </c>
      <c r="E42" s="51"/>
      <c r="F42" s="51"/>
      <c r="G42" s="51"/>
      <c r="H42" s="51"/>
      <c r="J42" s="42" t="s">
        <v>92</v>
      </c>
      <c r="K42" s="51"/>
      <c r="L42" s="51"/>
      <c r="M42" s="51"/>
      <c r="N42" s="51"/>
      <c r="P42" s="42" t="s">
        <v>92</v>
      </c>
      <c r="Q42" s="51"/>
      <c r="R42" s="51"/>
      <c r="S42" s="51"/>
      <c r="T42" s="51"/>
      <c r="U42" s="47"/>
    </row>
    <row r="43" spans="4:35" x14ac:dyDescent="0.25">
      <c r="D43" s="53"/>
      <c r="J43" s="53"/>
      <c r="P43" s="53"/>
      <c r="Q43" s="47"/>
      <c r="R43" s="47"/>
      <c r="S43" s="47"/>
      <c r="T43" s="47"/>
      <c r="U43" s="47"/>
    </row>
    <row r="44" spans="4:35" ht="15.75" thickBot="1" x14ac:dyDescent="0.3">
      <c r="D44" s="54"/>
      <c r="E44" s="39" t="s">
        <v>70</v>
      </c>
      <c r="F44" s="39" t="s">
        <v>62</v>
      </c>
      <c r="G44" s="39" t="s">
        <v>63</v>
      </c>
      <c r="H44" s="39" t="s">
        <v>64</v>
      </c>
      <c r="J44" s="55"/>
      <c r="K44" s="39" t="s">
        <v>70</v>
      </c>
      <c r="L44" s="39" t="s">
        <v>62</v>
      </c>
      <c r="M44" s="39" t="s">
        <v>63</v>
      </c>
      <c r="N44" s="39" t="s">
        <v>64</v>
      </c>
      <c r="P44" s="56"/>
      <c r="Q44" s="39" t="s">
        <v>70</v>
      </c>
      <c r="R44" s="39" t="s">
        <v>62</v>
      </c>
      <c r="S44" s="39" t="s">
        <v>63</v>
      </c>
      <c r="T44" s="39" t="s">
        <v>64</v>
      </c>
      <c r="U44" s="47"/>
    </row>
    <row r="45" spans="4:35" ht="15.75" thickTop="1" x14ac:dyDescent="0.25">
      <c r="D45" s="42" t="s">
        <v>90</v>
      </c>
      <c r="E45" s="51"/>
      <c r="F45" s="51"/>
      <c r="G45" s="51"/>
      <c r="H45" s="51"/>
      <c r="J45" s="42" t="s">
        <v>90</v>
      </c>
      <c r="K45" s="51"/>
      <c r="L45" s="51"/>
      <c r="M45" s="51"/>
      <c r="N45" s="51"/>
      <c r="P45" s="42" t="s">
        <v>90</v>
      </c>
      <c r="Q45" s="51"/>
      <c r="R45" s="51"/>
      <c r="S45" s="51"/>
      <c r="T45" s="51"/>
      <c r="U45" s="47"/>
    </row>
    <row r="46" spans="4:35" x14ac:dyDescent="0.25">
      <c r="D46" s="42" t="s">
        <v>91</v>
      </c>
      <c r="E46" s="51"/>
      <c r="F46" s="51"/>
      <c r="G46" s="51"/>
      <c r="H46" s="51"/>
      <c r="J46" s="42" t="s">
        <v>91</v>
      </c>
      <c r="K46" s="51"/>
      <c r="L46" s="51"/>
      <c r="M46" s="51"/>
      <c r="N46" s="51"/>
      <c r="P46" s="42" t="s">
        <v>91</v>
      </c>
      <c r="Q46" s="51"/>
      <c r="R46" s="51"/>
      <c r="S46" s="51"/>
      <c r="T46" s="51"/>
      <c r="U46" s="47"/>
    </row>
    <row r="47" spans="4:35" x14ac:dyDescent="0.25">
      <c r="D47" s="42" t="s">
        <v>92</v>
      </c>
      <c r="E47" s="51"/>
      <c r="F47" s="51"/>
      <c r="G47" s="51"/>
      <c r="H47" s="51"/>
      <c r="J47" s="42" t="s">
        <v>92</v>
      </c>
      <c r="K47" s="51"/>
      <c r="L47" s="51"/>
      <c r="M47" s="51"/>
      <c r="N47" s="51"/>
      <c r="P47" s="42" t="s">
        <v>92</v>
      </c>
      <c r="Q47" s="51"/>
      <c r="R47" s="51"/>
      <c r="S47" s="51"/>
      <c r="T47" s="51"/>
      <c r="U47" s="47"/>
    </row>
    <row r="48" spans="4:35" x14ac:dyDescent="0.25">
      <c r="D48" s="53"/>
      <c r="J48" s="53"/>
      <c r="P48" s="53"/>
      <c r="Q48" s="47"/>
      <c r="R48" s="47"/>
      <c r="S48" s="47"/>
      <c r="T48" s="47"/>
      <c r="U48" s="47"/>
    </row>
    <row r="49" spans="4:21" ht="15.75" thickBot="1" x14ac:dyDescent="0.3">
      <c r="D49" s="54"/>
      <c r="E49" s="39" t="s">
        <v>70</v>
      </c>
      <c r="F49" s="39" t="s">
        <v>62</v>
      </c>
      <c r="G49" s="39" t="s">
        <v>63</v>
      </c>
      <c r="H49" s="39" t="s">
        <v>64</v>
      </c>
      <c r="J49" s="55"/>
      <c r="K49" s="39" t="s">
        <v>70</v>
      </c>
      <c r="L49" s="39" t="s">
        <v>62</v>
      </c>
      <c r="M49" s="39" t="s">
        <v>63</v>
      </c>
      <c r="N49" s="39" t="s">
        <v>64</v>
      </c>
      <c r="P49" s="56"/>
      <c r="Q49" s="39" t="s">
        <v>70</v>
      </c>
      <c r="R49" s="39" t="s">
        <v>62</v>
      </c>
      <c r="S49" s="39" t="s">
        <v>63</v>
      </c>
      <c r="T49" s="39" t="s">
        <v>64</v>
      </c>
      <c r="U49" s="47"/>
    </row>
    <row r="50" spans="4:21" ht="15.75" thickTop="1" x14ac:dyDescent="0.25">
      <c r="D50" s="42" t="s">
        <v>90</v>
      </c>
      <c r="E50" s="51"/>
      <c r="F50" s="51"/>
      <c r="G50" s="51"/>
      <c r="H50" s="51"/>
      <c r="J50" s="42" t="s">
        <v>90</v>
      </c>
      <c r="K50" s="51"/>
      <c r="L50" s="51"/>
      <c r="M50" s="51"/>
      <c r="N50" s="51"/>
      <c r="P50" s="42" t="s">
        <v>90</v>
      </c>
      <c r="Q50" s="51"/>
      <c r="R50" s="51"/>
      <c r="S50" s="51"/>
      <c r="T50" s="51"/>
      <c r="U50" s="47"/>
    </row>
    <row r="51" spans="4:21" x14ac:dyDescent="0.25">
      <c r="D51" s="42" t="s">
        <v>91</v>
      </c>
      <c r="E51" s="51"/>
      <c r="F51" s="51"/>
      <c r="G51" s="51"/>
      <c r="H51" s="51"/>
      <c r="J51" s="42" t="s">
        <v>91</v>
      </c>
      <c r="K51" s="51"/>
      <c r="L51" s="51"/>
      <c r="M51" s="51"/>
      <c r="N51" s="51"/>
      <c r="P51" s="42" t="s">
        <v>91</v>
      </c>
      <c r="Q51" s="51"/>
      <c r="R51" s="51"/>
      <c r="S51" s="51"/>
      <c r="T51" s="51"/>
      <c r="U51" s="47"/>
    </row>
    <row r="52" spans="4:21" x14ac:dyDescent="0.25">
      <c r="D52" s="42" t="s">
        <v>92</v>
      </c>
      <c r="E52" s="51"/>
      <c r="F52" s="51"/>
      <c r="G52" s="51"/>
      <c r="H52" s="51"/>
      <c r="J52" s="42" t="s">
        <v>92</v>
      </c>
      <c r="K52" s="51"/>
      <c r="L52" s="51"/>
      <c r="M52" s="51"/>
      <c r="N52" s="51"/>
      <c r="P52" s="42" t="s">
        <v>92</v>
      </c>
      <c r="Q52" s="51"/>
      <c r="R52" s="51"/>
      <c r="S52" s="51"/>
      <c r="T52" s="51"/>
      <c r="U52" s="47"/>
    </row>
    <row r="53" spans="4:21" x14ac:dyDescent="0.25">
      <c r="D53" s="53"/>
      <c r="J53" s="53"/>
      <c r="P53" s="53"/>
      <c r="Q53" s="47"/>
      <c r="R53" s="47"/>
      <c r="S53" s="47"/>
      <c r="T53" s="47"/>
      <c r="U53" s="47"/>
    </row>
    <row r="54" spans="4:21" ht="15.75" thickBot="1" x14ac:dyDescent="0.3">
      <c r="D54" s="54"/>
      <c r="E54" s="39" t="s">
        <v>70</v>
      </c>
      <c r="F54" s="39" t="s">
        <v>62</v>
      </c>
      <c r="G54" s="39" t="s">
        <v>63</v>
      </c>
      <c r="H54" s="39" t="s">
        <v>64</v>
      </c>
      <c r="J54" s="55"/>
      <c r="K54" s="39" t="s">
        <v>70</v>
      </c>
      <c r="L54" s="39" t="s">
        <v>62</v>
      </c>
      <c r="M54" s="39" t="s">
        <v>63</v>
      </c>
      <c r="N54" s="39" t="s">
        <v>64</v>
      </c>
      <c r="P54" s="56"/>
      <c r="Q54" s="39" t="s">
        <v>70</v>
      </c>
      <c r="R54" s="39" t="s">
        <v>62</v>
      </c>
      <c r="S54" s="39" t="s">
        <v>63</v>
      </c>
      <c r="T54" s="39" t="s">
        <v>64</v>
      </c>
      <c r="U54" s="47"/>
    </row>
    <row r="55" spans="4:21" ht="15.75" thickTop="1" x14ac:dyDescent="0.25">
      <c r="D55" s="42" t="s">
        <v>90</v>
      </c>
      <c r="E55" s="51"/>
      <c r="F55" s="51"/>
      <c r="G55" s="51"/>
      <c r="H55" s="51"/>
      <c r="J55" s="42" t="s">
        <v>90</v>
      </c>
      <c r="K55" s="51"/>
      <c r="L55" s="51"/>
      <c r="M55" s="51"/>
      <c r="N55" s="51"/>
      <c r="P55" s="42" t="s">
        <v>90</v>
      </c>
      <c r="Q55" s="51"/>
      <c r="R55" s="51"/>
      <c r="S55" s="51"/>
      <c r="T55" s="51"/>
      <c r="U55" s="47"/>
    </row>
    <row r="56" spans="4:21" x14ac:dyDescent="0.25">
      <c r="D56" s="42" t="s">
        <v>91</v>
      </c>
      <c r="E56" s="51"/>
      <c r="F56" s="51"/>
      <c r="G56" s="51"/>
      <c r="H56" s="51"/>
      <c r="J56" s="42" t="s">
        <v>91</v>
      </c>
      <c r="K56" s="51"/>
      <c r="L56" s="51"/>
      <c r="M56" s="51"/>
      <c r="N56" s="51"/>
      <c r="P56" s="42" t="s">
        <v>91</v>
      </c>
      <c r="Q56" s="51"/>
      <c r="R56" s="51"/>
      <c r="S56" s="51"/>
      <c r="T56" s="51"/>
      <c r="U56" s="47"/>
    </row>
    <row r="57" spans="4:21" x14ac:dyDescent="0.25">
      <c r="D57" s="42" t="s">
        <v>92</v>
      </c>
      <c r="E57" s="51"/>
      <c r="F57" s="51"/>
      <c r="G57" s="51"/>
      <c r="H57" s="51"/>
      <c r="J57" s="42" t="s">
        <v>92</v>
      </c>
      <c r="K57" s="51"/>
      <c r="L57" s="51"/>
      <c r="M57" s="51"/>
      <c r="N57" s="51"/>
      <c r="P57" s="42" t="s">
        <v>92</v>
      </c>
      <c r="Q57" s="51"/>
      <c r="R57" s="51"/>
      <c r="S57" s="51"/>
      <c r="T57" s="51"/>
      <c r="U57" s="47"/>
    </row>
    <row r="58" spans="4:21" x14ac:dyDescent="0.25">
      <c r="D58" s="53"/>
      <c r="J58" s="53"/>
      <c r="P58" s="53"/>
      <c r="Q58" s="47"/>
      <c r="R58" s="47"/>
      <c r="S58" s="47"/>
      <c r="T58" s="47"/>
      <c r="U58" s="47"/>
    </row>
    <row r="59" spans="4:21" ht="15.75" thickBot="1" x14ac:dyDescent="0.3">
      <c r="D59" s="54"/>
      <c r="E59" s="39" t="s">
        <v>70</v>
      </c>
      <c r="F59" s="39" t="s">
        <v>62</v>
      </c>
      <c r="G59" s="39" t="s">
        <v>63</v>
      </c>
      <c r="H59" s="39" t="s">
        <v>64</v>
      </c>
      <c r="J59" s="55"/>
      <c r="K59" s="39" t="s">
        <v>70</v>
      </c>
      <c r="L59" s="39" t="s">
        <v>62</v>
      </c>
      <c r="M59" s="39" t="s">
        <v>63</v>
      </c>
      <c r="N59" s="39" t="s">
        <v>64</v>
      </c>
      <c r="P59" s="56"/>
      <c r="Q59" s="39" t="s">
        <v>70</v>
      </c>
      <c r="R59" s="39" t="s">
        <v>62</v>
      </c>
      <c r="S59" s="39" t="s">
        <v>63</v>
      </c>
      <c r="T59" s="39" t="s">
        <v>64</v>
      </c>
      <c r="U59" s="47"/>
    </row>
    <row r="60" spans="4:21" ht="15.75" thickTop="1" x14ac:dyDescent="0.25">
      <c r="D60" s="42" t="s">
        <v>90</v>
      </c>
      <c r="E60" s="51"/>
      <c r="F60" s="51"/>
      <c r="G60" s="51"/>
      <c r="H60" s="51"/>
      <c r="J60" s="42" t="s">
        <v>90</v>
      </c>
      <c r="K60" s="51"/>
      <c r="L60" s="51"/>
      <c r="M60" s="51"/>
      <c r="N60" s="51"/>
      <c r="P60" s="42" t="s">
        <v>90</v>
      </c>
      <c r="Q60" s="51"/>
      <c r="R60" s="51"/>
      <c r="S60" s="51"/>
      <c r="T60" s="51"/>
      <c r="U60" s="47"/>
    </row>
    <row r="61" spans="4:21" x14ac:dyDescent="0.25">
      <c r="D61" s="42" t="s">
        <v>91</v>
      </c>
      <c r="E61" s="51"/>
      <c r="F61" s="51"/>
      <c r="G61" s="51"/>
      <c r="H61" s="51"/>
      <c r="J61" s="42" t="s">
        <v>91</v>
      </c>
      <c r="K61" s="51"/>
      <c r="L61" s="51"/>
      <c r="M61" s="51"/>
      <c r="N61" s="51"/>
      <c r="P61" s="42" t="s">
        <v>91</v>
      </c>
      <c r="Q61" s="51"/>
      <c r="R61" s="51"/>
      <c r="S61" s="51"/>
      <c r="T61" s="51"/>
      <c r="U61" s="47"/>
    </row>
    <row r="62" spans="4:21" x14ac:dyDescent="0.25">
      <c r="D62" s="42" t="s">
        <v>92</v>
      </c>
      <c r="E62" s="51"/>
      <c r="F62" s="51"/>
      <c r="G62" s="51"/>
      <c r="H62" s="51"/>
      <c r="J62" s="42" t="s">
        <v>92</v>
      </c>
      <c r="K62" s="51"/>
      <c r="L62" s="51"/>
      <c r="M62" s="51"/>
      <c r="N62" s="51"/>
      <c r="P62" s="42" t="s">
        <v>92</v>
      </c>
      <c r="Q62" s="51"/>
      <c r="R62" s="51"/>
      <c r="S62" s="51"/>
      <c r="T62" s="51"/>
      <c r="U62" s="47"/>
    </row>
    <row r="63" spans="4:21" x14ac:dyDescent="0.25">
      <c r="D63" s="53"/>
      <c r="J63" s="53"/>
      <c r="P63" s="53"/>
      <c r="Q63" s="47"/>
      <c r="R63" s="47"/>
      <c r="S63" s="47"/>
      <c r="T63" s="47"/>
      <c r="U63" s="47"/>
    </row>
    <row r="64" spans="4:21" ht="15.75" thickBot="1" x14ac:dyDescent="0.3">
      <c r="D64" s="54"/>
      <c r="E64" s="39" t="s">
        <v>70</v>
      </c>
      <c r="F64" s="39" t="s">
        <v>62</v>
      </c>
      <c r="G64" s="39" t="s">
        <v>63</v>
      </c>
      <c r="H64" s="39" t="s">
        <v>64</v>
      </c>
      <c r="J64" s="55"/>
      <c r="K64" s="39" t="s">
        <v>70</v>
      </c>
      <c r="L64" s="39" t="s">
        <v>62</v>
      </c>
      <c r="M64" s="39" t="s">
        <v>63</v>
      </c>
      <c r="N64" s="39" t="s">
        <v>64</v>
      </c>
      <c r="P64" s="56"/>
      <c r="Q64" s="39" t="s">
        <v>70</v>
      </c>
      <c r="R64" s="39" t="s">
        <v>62</v>
      </c>
      <c r="S64" s="39" t="s">
        <v>63</v>
      </c>
      <c r="T64" s="39" t="s">
        <v>64</v>
      </c>
      <c r="U64" s="47"/>
    </row>
    <row r="65" spans="4:21" ht="15.75" thickTop="1" x14ac:dyDescent="0.25">
      <c r="D65" s="42" t="s">
        <v>90</v>
      </c>
      <c r="E65" s="51"/>
      <c r="F65" s="51"/>
      <c r="G65" s="51"/>
      <c r="H65" s="51"/>
      <c r="J65" s="42" t="s">
        <v>90</v>
      </c>
      <c r="K65" s="51"/>
      <c r="L65" s="51"/>
      <c r="M65" s="51"/>
      <c r="N65" s="51"/>
      <c r="P65" s="42" t="s">
        <v>90</v>
      </c>
      <c r="Q65" s="51"/>
      <c r="R65" s="51"/>
      <c r="S65" s="51"/>
      <c r="T65" s="51"/>
      <c r="U65" s="47"/>
    </row>
    <row r="66" spans="4:21" x14ac:dyDescent="0.25">
      <c r="D66" s="42" t="s">
        <v>91</v>
      </c>
      <c r="E66" s="51"/>
      <c r="F66" s="51"/>
      <c r="G66" s="51"/>
      <c r="H66" s="51"/>
      <c r="J66" s="42" t="s">
        <v>91</v>
      </c>
      <c r="K66" s="51"/>
      <c r="L66" s="51"/>
      <c r="M66" s="51"/>
      <c r="N66" s="51"/>
      <c r="P66" s="42" t="s">
        <v>91</v>
      </c>
      <c r="Q66" s="51"/>
      <c r="R66" s="51"/>
      <c r="S66" s="51"/>
      <c r="T66" s="51"/>
      <c r="U66" s="47"/>
    </row>
    <row r="67" spans="4:21" x14ac:dyDescent="0.25">
      <c r="D67" s="42" t="s">
        <v>92</v>
      </c>
      <c r="E67" s="51"/>
      <c r="F67" s="51"/>
      <c r="G67" s="51"/>
      <c r="H67" s="51"/>
      <c r="J67" s="42" t="s">
        <v>92</v>
      </c>
      <c r="K67" s="51"/>
      <c r="L67" s="51"/>
      <c r="M67" s="51"/>
      <c r="N67" s="51"/>
      <c r="P67" s="42" t="s">
        <v>92</v>
      </c>
      <c r="Q67" s="51"/>
      <c r="R67" s="51"/>
      <c r="S67" s="51"/>
      <c r="T67" s="51"/>
      <c r="U67" s="47"/>
    </row>
    <row r="68" spans="4:21" x14ac:dyDescent="0.25">
      <c r="D68" s="53"/>
      <c r="J68" s="53"/>
      <c r="P68" s="53"/>
      <c r="Q68" s="47"/>
      <c r="R68" s="47"/>
      <c r="S68" s="47"/>
      <c r="T68" s="47"/>
      <c r="U68" s="4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MOBase">
                <anchor moveWithCells="1" sizeWithCells="1">
                  <from>
                    <xdr:col>3</xdr:col>
                    <xdr:colOff>0</xdr:colOff>
                    <xdr:row>5</xdr:row>
                    <xdr:rowOff>209550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MOSeco">
                <anchor moveWithCells="1" sizeWithCells="1">
                  <from>
                    <xdr:col>8</xdr:col>
                    <xdr:colOff>561975</xdr:colOff>
                    <xdr:row>5</xdr:row>
                    <xdr:rowOff>209550</xdr:rowOff>
                  </from>
                  <to>
                    <xdr:col>10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MOUmido">
                <anchor moveWithCells="1" sizeWithCells="1">
                  <from>
                    <xdr:col>15</xdr:col>
                    <xdr:colOff>38100</xdr:colOff>
                    <xdr:row>5</xdr:row>
                    <xdr:rowOff>209550</xdr:rowOff>
                  </from>
                  <to>
                    <xdr:col>15</xdr:col>
                    <xdr:colOff>990600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</vt:lpstr>
      <vt:lpstr>seco</vt:lpstr>
      <vt:lpstr>umido</vt:lpstr>
      <vt:lpstr>ENA</vt:lpstr>
      <vt:lpstr>EARM</vt:lpstr>
      <vt:lpstr>Apoio</vt:lpstr>
      <vt:lpstr>xml</vt:lpstr>
      <vt:lpstr>consulta.nwd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2014-04-03T14:30:55Z</dcterms:created>
  <dcterms:modified xsi:type="dcterms:W3CDTF">2016-08-29T18:39:39Z</dcterms:modified>
</cp:coreProperties>
</file>