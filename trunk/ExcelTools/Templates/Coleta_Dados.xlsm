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0" windowWidth="24000" windowHeight="10320"/>
  </bookViews>
  <sheets>
    <sheet name="COLDados" sheetId="1" r:id="rId1"/>
    <sheet name="Aux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C15" i="2" l="1"/>
  <c r="C4" i="2" l="1"/>
  <c r="C5" i="2"/>
  <c r="C6" i="2"/>
  <c r="C7" i="2"/>
  <c r="C8" i="2"/>
  <c r="C9" i="2"/>
  <c r="C10" i="2"/>
  <c r="C11" i="2"/>
  <c r="C12" i="2"/>
  <c r="C13" i="2"/>
  <c r="C14" i="2"/>
  <c r="C3" i="2"/>
  <c r="D10" i="1" l="1"/>
  <c r="C14" i="1" l="1"/>
  <c r="D14" i="1" s="1"/>
  <c r="E14" i="1" l="1"/>
  <c r="F14" i="1" l="1"/>
  <c r="G14" i="1" l="1"/>
  <c r="H14" i="1" l="1"/>
  <c r="I14" i="1" l="1"/>
  <c r="J14" i="1" l="1"/>
  <c r="K14" i="1" l="1"/>
  <c r="L14" i="1" l="1"/>
  <c r="M14" i="1" l="1"/>
  <c r="N14" i="1" l="1"/>
  <c r="O14" i="1" l="1"/>
  <c r="P14" i="1" l="1"/>
  <c r="Q14" i="1" l="1"/>
  <c r="R14" i="1" l="1"/>
  <c r="S14" i="1" l="1"/>
  <c r="T14" i="1" l="1"/>
  <c r="U14" i="1" l="1"/>
  <c r="V14" i="1" l="1"/>
  <c r="W14" i="1" l="1"/>
  <c r="X14" i="1" l="1"/>
  <c r="Y14" i="1" l="1"/>
  <c r="Z14" i="1" l="1"/>
  <c r="AA14" i="1" l="1"/>
  <c r="AB14" i="1" l="1"/>
  <c r="AC14" i="1" l="1"/>
  <c r="AD14" i="1" l="1"/>
  <c r="AE14" i="1" l="1"/>
  <c r="AF14" i="1" l="1"/>
  <c r="AG14" i="1" l="1"/>
  <c r="AH14" i="1" l="1"/>
  <c r="AI14" i="1" l="1"/>
  <c r="AJ14" i="1" l="1"/>
  <c r="AK14" i="1" l="1"/>
  <c r="AL14" i="1" l="1"/>
  <c r="AM14" i="1" l="1"/>
  <c r="AN14" i="1" l="1"/>
  <c r="AO14" i="1" l="1"/>
  <c r="AP14" i="1" l="1"/>
  <c r="AQ14" i="1" l="1"/>
  <c r="AR14" i="1" l="1"/>
  <c r="AS14" i="1" l="1"/>
  <c r="AT14" i="1" l="1"/>
  <c r="AU14" i="1" l="1"/>
  <c r="AV14" i="1" l="1"/>
  <c r="AW14" i="1" l="1"/>
  <c r="AX14" i="1" l="1"/>
  <c r="AY14" i="1" l="1"/>
  <c r="AZ14" i="1" l="1"/>
  <c r="BA14" i="1" l="1"/>
  <c r="BB14" i="1" l="1"/>
  <c r="BC14" i="1" l="1"/>
  <c r="BD14" i="1" l="1"/>
  <c r="BE14" i="1" l="1"/>
  <c r="BF14" i="1" l="1"/>
  <c r="BG14" i="1" l="1"/>
  <c r="BH14" i="1" l="1"/>
  <c r="BI14" i="1" l="1"/>
  <c r="BJ14" i="1" l="1"/>
</calcChain>
</file>

<file path=xl/sharedStrings.xml><?xml version="1.0" encoding="utf-8"?>
<sst xmlns="http://schemas.openxmlformats.org/spreadsheetml/2006/main" count="54" uniqueCount="39">
  <si>
    <t>Inicio do Estudo</t>
  </si>
  <si>
    <t>MD</t>
  </si>
  <si>
    <t>BS</t>
  </si>
  <si>
    <t>Caso</t>
  </si>
  <si>
    <t>cmarg</t>
  </si>
  <si>
    <t>coper</t>
  </si>
  <si>
    <t>cterm</t>
  </si>
  <si>
    <t>eaf</t>
  </si>
  <si>
    <t>eafb</t>
  </si>
  <si>
    <t>earmfp</t>
  </si>
  <si>
    <t>efdf</t>
  </si>
  <si>
    <t>efiol</t>
  </si>
  <si>
    <t>Variável</t>
  </si>
  <si>
    <t>evert</t>
  </si>
  <si>
    <t>gfiol</t>
  </si>
  <si>
    <t>ghidr</t>
  </si>
  <si>
    <t>ghtot</t>
  </si>
  <si>
    <t>ree</t>
  </si>
  <si>
    <t>SUDESTE</t>
  </si>
  <si>
    <t>SUL</t>
  </si>
  <si>
    <t>NORDESTE</t>
  </si>
  <si>
    <t>NORTE</t>
  </si>
  <si>
    <t xml:space="preserve"> MEDIA </t>
  </si>
  <si>
    <t>key</t>
  </si>
  <si>
    <t>id</t>
  </si>
  <si>
    <t>tamanho</t>
  </si>
  <si>
    <t>inicio</t>
  </si>
  <si>
    <t xml:space="preserve">  MEDIA       </t>
  </si>
  <si>
    <t xml:space="preserve"> MEDIA</t>
  </si>
  <si>
    <t>keyMult</t>
  </si>
  <si>
    <t>MADEIRA</t>
  </si>
  <si>
    <t xml:space="preserve"> MEDIA     </t>
  </si>
  <si>
    <t>earmf</t>
  </si>
  <si>
    <t>verturb</t>
  </si>
  <si>
    <t>L:\4_resultados\SAR\201801_fev_e_base_310117\201801</t>
  </si>
  <si>
    <t>TPIRES</t>
  </si>
  <si>
    <t>ITAIPU</t>
  </si>
  <si>
    <t>PARANA</t>
  </si>
  <si>
    <t>BMONTE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</si>
</sst>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2" tint="-0.749992370372631"/>
      </left>
      <right style="medium">
        <color theme="2" tint="-0.749992370372631"/>
      </right>
      <top style="medium">
        <color theme="2" tint="-0.749992370372631"/>
      </top>
      <bottom style="medium">
        <color theme="2" tint="-0.749992370372631"/>
      </bottom>
      <diagonal/>
    </border>
    <border>
      <left style="medium">
        <color theme="2" tint="-0.749992370372631"/>
      </left>
      <right style="thin">
        <color theme="0"/>
      </right>
      <top style="medium">
        <color theme="2" tint="-0.749992370372631"/>
      </top>
      <bottom style="thin">
        <color theme="0"/>
      </bottom>
      <diagonal/>
    </border>
    <border>
      <left style="medium">
        <color theme="2" tint="-0.749992370372631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/>
      <right/>
      <top style="medium">
        <color theme="2" tint="-0.749992370372631"/>
      </top>
      <bottom style="medium">
        <color theme="2" tint="-0.749992370372631"/>
      </bottom>
      <diagonal/>
    </border>
    <border>
      <left/>
      <right style="medium">
        <color theme="2" tint="-0.749992370372631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theme="0"/>
      </left>
      <right style="thin">
        <color theme="0"/>
      </right>
      <top style="medium">
        <color theme="2" tint="-0.749992370372631"/>
      </top>
      <bottom style="thin">
        <color theme="0"/>
      </bottom>
      <diagonal/>
    </border>
    <border>
      <left style="medium">
        <color theme="2" tint="-0.74999237037263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2" tint="-0.74999237037263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1" tint="0.14999847407452621"/>
      </left>
      <right style="thin">
        <color theme="0"/>
      </right>
      <top style="medium">
        <color theme="1" tint="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1" tint="0.14999847407452621"/>
      </top>
      <bottom/>
      <diagonal/>
    </border>
    <border>
      <left style="thin">
        <color theme="0"/>
      </left>
      <right style="medium">
        <color theme="1" tint="0.14999847407452621"/>
      </right>
      <top style="medium">
        <color theme="1" tint="0.14999847407452621"/>
      </top>
      <bottom/>
      <diagonal/>
    </border>
    <border>
      <left style="medium">
        <color theme="1" tint="0.14999847407452621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 tint="0.14999847407452621"/>
      </right>
      <top style="medium">
        <color theme="2" tint="-0.749992370372631"/>
      </top>
      <bottom style="thin">
        <color theme="0"/>
      </bottom>
      <diagonal/>
    </border>
    <border>
      <left style="thin">
        <color theme="0"/>
      </left>
      <right style="medium">
        <color theme="1" tint="0.14999847407452621"/>
      </right>
      <top style="thin">
        <color theme="0"/>
      </top>
      <bottom style="thin">
        <color theme="0"/>
      </bottom>
      <diagonal/>
    </border>
    <border>
      <left style="medium">
        <color theme="1" tint="0.14999847407452621"/>
      </left>
      <right/>
      <top style="thin">
        <color theme="0"/>
      </top>
      <bottom style="medium">
        <color theme="1" tint="0.14999847407452621"/>
      </bottom>
      <diagonal/>
    </border>
    <border>
      <left style="medium">
        <color theme="2" tint="-0.749992370372631"/>
      </left>
      <right style="thin">
        <color theme="0"/>
      </right>
      <top style="thin">
        <color theme="0"/>
      </top>
      <bottom style="medium">
        <color theme="1" tint="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 tint="0.14999847407452621"/>
      </bottom>
      <diagonal/>
    </border>
    <border>
      <left style="thin">
        <color theme="0"/>
      </left>
      <right style="medium">
        <color theme="1" tint="0.14999847407452621"/>
      </right>
      <top style="thin">
        <color theme="0"/>
      </top>
      <bottom style="medium">
        <color theme="1" tint="0.14999847407452621"/>
      </bottom>
      <diagonal/>
    </border>
    <border>
      <left style="thin">
        <color theme="0"/>
      </left>
      <right style="medium">
        <color theme="1" tint="0.14999847407452621"/>
      </right>
      <top style="thin">
        <color theme="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horizontal="center"/>
    </xf>
    <xf numFmtId="0" fontId="3" fillId="2" borderId="0" xfId="0" applyFont="1" applyFill="1"/>
    <xf numFmtId="1" fontId="0" fillId="3" borderId="10" xfId="1" applyNumberFormat="1" applyFont="1" applyFill="1" applyBorder="1" applyAlignment="1">
      <alignment horizontal="center" vertical="center"/>
    </xf>
    <xf numFmtId="1" fontId="0" fillId="3" borderId="11" xfId="1" applyNumberFormat="1" applyFont="1" applyFill="1" applyBorder="1" applyAlignment="1">
      <alignment horizontal="center" vertical="center"/>
    </xf>
    <xf numFmtId="14" fontId="2" fillId="5" borderId="12" xfId="0" applyNumberFormat="1" applyFont="1" applyFill="1" applyBorder="1" applyAlignment="1">
      <alignment horizontal="left" vertical="center"/>
    </xf>
    <xf numFmtId="17" fontId="2" fillId="5" borderId="13" xfId="0" applyNumberFormat="1" applyFont="1" applyFill="1" applyBorder="1" applyAlignment="1">
      <alignment horizontal="center" vertical="center"/>
    </xf>
    <xf numFmtId="17" fontId="2" fillId="5" borderId="14" xfId="0" applyNumberFormat="1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left" vertical="center"/>
    </xf>
    <xf numFmtId="1" fontId="0" fillId="3" borderId="16" xfId="1" applyNumberFormat="1" applyFont="1" applyFill="1" applyBorder="1" applyAlignment="1">
      <alignment horizontal="center" vertical="center"/>
    </xf>
    <xf numFmtId="1" fontId="0" fillId="3" borderId="17" xfId="1" applyNumberFormat="1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left" vertical="center"/>
    </xf>
    <xf numFmtId="1" fontId="0" fillId="3" borderId="19" xfId="1" applyNumberFormat="1" applyFont="1" applyFill="1" applyBorder="1" applyAlignment="1">
      <alignment horizontal="center" vertical="center"/>
    </xf>
    <xf numFmtId="1" fontId="0" fillId="3" borderId="20" xfId="1" applyNumberFormat="1" applyFont="1" applyFill="1" applyBorder="1" applyAlignment="1">
      <alignment horizontal="center" vertical="center"/>
    </xf>
    <xf numFmtId="1" fontId="0" fillId="3" borderId="21" xfId="1" applyNumberFormat="1" applyFont="1" applyFill="1" applyBorder="1" applyAlignment="1">
      <alignment horizontal="center" vertical="center"/>
    </xf>
    <xf numFmtId="1" fontId="0" fillId="3" borderId="22" xfId="1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horizontal="center"/>
    </xf>
    <xf numFmtId="1" fontId="0" fillId="3" borderId="8" xfId="1" applyNumberFormat="1" applyFont="1" applyFill="1" applyBorder="1" applyAlignment="1">
      <alignment horizontal="center" vertical="center"/>
    </xf>
    <xf numFmtId="1" fontId="0" fillId="3" borderId="1" xfId="1" applyNumberFormat="1" applyFont="1" applyFill="1" applyBorder="1" applyAlignment="1">
      <alignment horizontal="center" vertical="center"/>
    </xf>
    <xf numFmtId="1" fontId="0" fillId="3" borderId="4" xfId="1" applyNumberFormat="1" applyFont="1" applyFill="1" applyBorder="1" applyAlignment="1">
      <alignment horizontal="center" vertical="center"/>
    </xf>
    <xf numFmtId="1" fontId="0" fillId="3" borderId="9" xfId="1" applyNumberFormat="1" applyFont="1" applyFill="1" applyBorder="1" applyAlignment="1">
      <alignment horizontal="center" vertical="center"/>
    </xf>
    <xf numFmtId="14" fontId="2" fillId="5" borderId="12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171450</xdr:rowOff>
    </xdr:from>
    <xdr:to>
      <xdr:col>2</xdr:col>
      <xdr:colOff>19050</xdr:colOff>
      <xdr:row>2</xdr:row>
      <xdr:rowOff>19050</xdr:rowOff>
    </xdr:to>
    <xdr:sp macro="[0]!caminho_Diretorio1" textlink="">
      <xdr:nvSpPr>
        <xdr:cNvPr id="2" name="Retângulo 1"/>
        <xdr:cNvSpPr/>
      </xdr:nvSpPr>
      <xdr:spPr>
        <a:xfrm>
          <a:off x="581025" y="171450"/>
          <a:ext cx="1628775" cy="295275"/>
        </a:xfrm>
        <a:prstGeom prst="rect">
          <a:avLst/>
        </a:prstGeom>
        <a:noFill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bg1"/>
              </a:solidFill>
            </a:rPr>
            <a:t>Diretório</a:t>
          </a:r>
          <a:r>
            <a:rPr lang="pt-BR" sz="1200" b="1" baseline="0">
              <a:solidFill>
                <a:schemeClr val="bg1"/>
              </a:solidFill>
            </a:rPr>
            <a:t> - Caso 1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581025</xdr:colOff>
      <xdr:row>2</xdr:row>
      <xdr:rowOff>219075</xdr:rowOff>
    </xdr:from>
    <xdr:to>
      <xdr:col>2</xdr:col>
      <xdr:colOff>19050</xdr:colOff>
      <xdr:row>4</xdr:row>
      <xdr:rowOff>19050</xdr:rowOff>
    </xdr:to>
    <xdr:sp macro="[0]!caminho_Diretorio2" textlink="">
      <xdr:nvSpPr>
        <xdr:cNvPr id="4" name="Retângulo 3"/>
        <xdr:cNvSpPr/>
      </xdr:nvSpPr>
      <xdr:spPr>
        <a:xfrm>
          <a:off x="581025" y="666750"/>
          <a:ext cx="1628775" cy="295275"/>
        </a:xfrm>
        <a:prstGeom prst="rect">
          <a:avLst/>
        </a:prstGeom>
        <a:noFill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bg1"/>
              </a:solidFill>
            </a:rPr>
            <a:t>Diretório</a:t>
          </a:r>
          <a:r>
            <a:rPr lang="pt-BR" sz="1200" b="1" baseline="0">
              <a:solidFill>
                <a:schemeClr val="bg1"/>
              </a:solidFill>
            </a:rPr>
            <a:t> - Caso 2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19050</xdr:colOff>
      <xdr:row>13</xdr:row>
      <xdr:rowOff>9525</xdr:rowOff>
    </xdr:from>
    <xdr:to>
      <xdr:col>1</xdr:col>
      <xdr:colOff>1543050</xdr:colOff>
      <xdr:row>13</xdr:row>
      <xdr:rowOff>266701</xdr:rowOff>
    </xdr:to>
    <xdr:sp macro="[0]!BuscaVariavel" textlink="">
      <xdr:nvSpPr>
        <xdr:cNvPr id="6" name="Retângulo 5"/>
        <xdr:cNvSpPr/>
      </xdr:nvSpPr>
      <xdr:spPr>
        <a:xfrm>
          <a:off x="628650" y="2733675"/>
          <a:ext cx="1524000" cy="257176"/>
        </a:xfrm>
        <a:prstGeom prst="rect">
          <a:avLst/>
        </a:prstGeom>
        <a:noFill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bg1"/>
              </a:solidFill>
            </a:rPr>
            <a:t>Diretório</a:t>
          </a:r>
          <a:r>
            <a:rPr lang="pt-BR" sz="1200" b="1" baseline="0">
              <a:solidFill>
                <a:schemeClr val="bg1"/>
              </a:solidFill>
            </a:rPr>
            <a:t> - Caso 1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</xdr:colOff>
      <xdr:row>27</xdr:row>
      <xdr:rowOff>9525</xdr:rowOff>
    </xdr:from>
    <xdr:to>
      <xdr:col>1</xdr:col>
      <xdr:colOff>1562100</xdr:colOff>
      <xdr:row>27</xdr:row>
      <xdr:rowOff>247650</xdr:rowOff>
    </xdr:to>
    <xdr:sp macro="[0]!BuscaVariavel" textlink="">
      <xdr:nvSpPr>
        <xdr:cNvPr id="7" name="Retângulo 6"/>
        <xdr:cNvSpPr/>
      </xdr:nvSpPr>
      <xdr:spPr>
        <a:xfrm>
          <a:off x="619125" y="3990975"/>
          <a:ext cx="1552575" cy="238125"/>
        </a:xfrm>
        <a:prstGeom prst="rect">
          <a:avLst/>
        </a:prstGeom>
        <a:noFill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chemeClr val="bg1"/>
              </a:solidFill>
            </a:rPr>
            <a:t>Diretório</a:t>
          </a:r>
          <a:r>
            <a:rPr lang="pt-BR" sz="1200" b="1" baseline="0">
              <a:solidFill>
                <a:schemeClr val="bg1"/>
              </a:solidFill>
            </a:rPr>
            <a:t> - Caso 2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J40"/>
  <sheetViews>
    <sheetView showGridLines="0" tabSelected="1" zoomScaleNormal="100" workbookViewId="0"/>
  </sheetViews>
  <sheetFormatPr defaultRowHeight="15" x14ac:dyDescent="0.25"/>
  <cols>
    <col min="1" max="1" width="11" style="1" bestFit="1" customWidth="1"/>
    <col min="2" max="2" width="23.7109375" style="1" bestFit="1" customWidth="1"/>
    <col min="3" max="3" width="13.7109375" style="1" customWidth="1"/>
    <col min="4" max="16384" width="9.140625" style="1"/>
  </cols>
  <sheetData>
    <row r="1" spans="1:62" ht="15.75" thickBot="1" x14ac:dyDescent="0.3"/>
    <row r="2" spans="1:62" ht="19.5" thickBot="1" x14ac:dyDescent="0.35">
      <c r="B2" s="5"/>
      <c r="C2" s="30" t="s">
        <v>34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</row>
    <row r="3" spans="1:62" ht="19.5" thickBot="1" x14ac:dyDescent="0.3">
      <c r="B3" s="4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</row>
    <row r="4" spans="1:62" ht="19.5" thickBot="1" x14ac:dyDescent="0.35">
      <c r="B4" s="5"/>
      <c r="C4" s="33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5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</row>
    <row r="5" spans="1:62" ht="15.75" thickBot="1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</row>
    <row r="6" spans="1:62" ht="15.75" customHeight="1" thickBot="1" x14ac:dyDescent="0.3">
      <c r="B6" s="6" t="s">
        <v>3</v>
      </c>
      <c r="C6" s="7" t="s">
        <v>2</v>
      </c>
      <c r="D6" s="8"/>
      <c r="E6" s="7" t="s">
        <v>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</row>
    <row r="7" spans="1:62" ht="15.75" customHeight="1" thickBot="1" x14ac:dyDescent="0.3">
      <c r="B7" s="2"/>
      <c r="C7" s="8"/>
      <c r="D7" s="8"/>
      <c r="E7" s="8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</row>
    <row r="8" spans="1:62" ht="15.75" thickBot="1" x14ac:dyDescent="0.3">
      <c r="B8" s="6" t="s">
        <v>0</v>
      </c>
      <c r="C8" s="7">
        <v>43101</v>
      </c>
      <c r="D8" s="8"/>
      <c r="E8" s="3"/>
      <c r="F8" s="3"/>
      <c r="G8" s="3"/>
      <c r="H8" s="3"/>
      <c r="I8" s="3"/>
      <c r="J8" s="3"/>
      <c r="K8" s="3"/>
      <c r="L8" s="3"/>
      <c r="M8" s="3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</row>
    <row r="9" spans="1:62" ht="15.75" thickBot="1" x14ac:dyDescent="0.3"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62" ht="15.75" thickBot="1" x14ac:dyDescent="0.3">
      <c r="B10" s="22" t="s">
        <v>12</v>
      </c>
      <c r="C10" s="23" t="s">
        <v>33</v>
      </c>
      <c r="D10" s="1">
        <f>VLOOKUP(C10,Aux!B:E,2,FALSE)</f>
        <v>16</v>
      </c>
    </row>
    <row r="11" spans="1:62" s="3" customFormat="1" x14ac:dyDescent="0.25"/>
    <row r="12" spans="1:62" s="3" customFormat="1" x14ac:dyDescent="0.25"/>
    <row r="13" spans="1:62" s="3" customFormat="1" ht="15.75" thickBot="1" x14ac:dyDescent="0.3"/>
    <row r="14" spans="1:62" s="29" customFormat="1" ht="22.5" customHeight="1" thickBot="1" x14ac:dyDescent="0.3">
      <c r="B14" s="28"/>
      <c r="C14" s="12">
        <f>C8</f>
        <v>43101</v>
      </c>
      <c r="D14" s="12">
        <f>DATE(YEAR(C14),MONTH(C14)+1,1)</f>
        <v>43132</v>
      </c>
      <c r="E14" s="12">
        <f t="shared" ref="E14:BJ14" si="0">DATE(YEAR(D14),MONTH(D14)+1,1)</f>
        <v>43160</v>
      </c>
      <c r="F14" s="12">
        <f t="shared" si="0"/>
        <v>43191</v>
      </c>
      <c r="G14" s="12">
        <f t="shared" si="0"/>
        <v>43221</v>
      </c>
      <c r="H14" s="12">
        <f t="shared" si="0"/>
        <v>43252</v>
      </c>
      <c r="I14" s="12">
        <f t="shared" si="0"/>
        <v>43282</v>
      </c>
      <c r="J14" s="12">
        <f t="shared" si="0"/>
        <v>43313</v>
      </c>
      <c r="K14" s="12">
        <f t="shared" si="0"/>
        <v>43344</v>
      </c>
      <c r="L14" s="12">
        <f t="shared" si="0"/>
        <v>43374</v>
      </c>
      <c r="M14" s="12">
        <f t="shared" si="0"/>
        <v>43405</v>
      </c>
      <c r="N14" s="12">
        <f t="shared" si="0"/>
        <v>43435</v>
      </c>
      <c r="O14" s="12">
        <f t="shared" si="0"/>
        <v>43466</v>
      </c>
      <c r="P14" s="12">
        <f t="shared" si="0"/>
        <v>43497</v>
      </c>
      <c r="Q14" s="12">
        <f t="shared" si="0"/>
        <v>43525</v>
      </c>
      <c r="R14" s="12">
        <f t="shared" si="0"/>
        <v>43556</v>
      </c>
      <c r="S14" s="12">
        <f t="shared" si="0"/>
        <v>43586</v>
      </c>
      <c r="T14" s="12">
        <f t="shared" si="0"/>
        <v>43617</v>
      </c>
      <c r="U14" s="12">
        <f t="shared" si="0"/>
        <v>43647</v>
      </c>
      <c r="V14" s="12">
        <f t="shared" si="0"/>
        <v>43678</v>
      </c>
      <c r="W14" s="12">
        <f t="shared" si="0"/>
        <v>43709</v>
      </c>
      <c r="X14" s="12">
        <f t="shared" si="0"/>
        <v>43739</v>
      </c>
      <c r="Y14" s="12">
        <f t="shared" si="0"/>
        <v>43770</v>
      </c>
      <c r="Z14" s="12">
        <f t="shared" si="0"/>
        <v>43800</v>
      </c>
      <c r="AA14" s="12">
        <f t="shared" si="0"/>
        <v>43831</v>
      </c>
      <c r="AB14" s="12">
        <f t="shared" si="0"/>
        <v>43862</v>
      </c>
      <c r="AC14" s="12">
        <f t="shared" si="0"/>
        <v>43891</v>
      </c>
      <c r="AD14" s="12">
        <f t="shared" si="0"/>
        <v>43922</v>
      </c>
      <c r="AE14" s="12">
        <f t="shared" si="0"/>
        <v>43952</v>
      </c>
      <c r="AF14" s="12">
        <f t="shared" si="0"/>
        <v>43983</v>
      </c>
      <c r="AG14" s="12">
        <f t="shared" si="0"/>
        <v>44013</v>
      </c>
      <c r="AH14" s="12">
        <f t="shared" si="0"/>
        <v>44044</v>
      </c>
      <c r="AI14" s="12">
        <f t="shared" si="0"/>
        <v>44075</v>
      </c>
      <c r="AJ14" s="12">
        <f t="shared" si="0"/>
        <v>44105</v>
      </c>
      <c r="AK14" s="12">
        <f t="shared" si="0"/>
        <v>44136</v>
      </c>
      <c r="AL14" s="12">
        <f t="shared" si="0"/>
        <v>44166</v>
      </c>
      <c r="AM14" s="12">
        <f t="shared" si="0"/>
        <v>44197</v>
      </c>
      <c r="AN14" s="12">
        <f t="shared" si="0"/>
        <v>44228</v>
      </c>
      <c r="AO14" s="12">
        <f t="shared" si="0"/>
        <v>44256</v>
      </c>
      <c r="AP14" s="12">
        <f t="shared" si="0"/>
        <v>44287</v>
      </c>
      <c r="AQ14" s="12">
        <f t="shared" si="0"/>
        <v>44317</v>
      </c>
      <c r="AR14" s="12">
        <f t="shared" si="0"/>
        <v>44348</v>
      </c>
      <c r="AS14" s="12">
        <f t="shared" si="0"/>
        <v>44378</v>
      </c>
      <c r="AT14" s="12">
        <f t="shared" si="0"/>
        <v>44409</v>
      </c>
      <c r="AU14" s="12">
        <f t="shared" si="0"/>
        <v>44440</v>
      </c>
      <c r="AV14" s="12">
        <f t="shared" si="0"/>
        <v>44470</v>
      </c>
      <c r="AW14" s="12">
        <f t="shared" si="0"/>
        <v>44501</v>
      </c>
      <c r="AX14" s="12">
        <f t="shared" si="0"/>
        <v>44531</v>
      </c>
      <c r="AY14" s="12">
        <f t="shared" si="0"/>
        <v>44562</v>
      </c>
      <c r="AZ14" s="12">
        <f t="shared" si="0"/>
        <v>44593</v>
      </c>
      <c r="BA14" s="12">
        <f t="shared" si="0"/>
        <v>44621</v>
      </c>
      <c r="BB14" s="12">
        <f t="shared" si="0"/>
        <v>44652</v>
      </c>
      <c r="BC14" s="12">
        <f t="shared" si="0"/>
        <v>44682</v>
      </c>
      <c r="BD14" s="12">
        <f t="shared" si="0"/>
        <v>44713</v>
      </c>
      <c r="BE14" s="12">
        <f t="shared" si="0"/>
        <v>44743</v>
      </c>
      <c r="BF14" s="12">
        <f t="shared" si="0"/>
        <v>44774</v>
      </c>
      <c r="BG14" s="12">
        <f t="shared" si="0"/>
        <v>44805</v>
      </c>
      <c r="BH14" s="12">
        <f t="shared" si="0"/>
        <v>44835</v>
      </c>
      <c r="BI14" s="12">
        <f t="shared" si="0"/>
        <v>44866</v>
      </c>
      <c r="BJ14" s="13">
        <f t="shared" si="0"/>
        <v>44896</v>
      </c>
    </row>
    <row r="15" spans="1:62" s="3" customFormat="1" x14ac:dyDescent="0.25">
      <c r="A15" s="3">
        <v>1</v>
      </c>
      <c r="B15" s="14" t="s">
        <v>18</v>
      </c>
      <c r="C15" s="26">
        <v>0</v>
      </c>
      <c r="D15" s="24">
        <v>60</v>
      </c>
      <c r="E15" s="24">
        <v>233</v>
      </c>
      <c r="F15" s="24">
        <v>108</v>
      </c>
      <c r="G15" s="24">
        <v>88</v>
      </c>
      <c r="H15" s="24">
        <v>67</v>
      </c>
      <c r="I15" s="24">
        <v>0</v>
      </c>
      <c r="J15" s="24">
        <v>0</v>
      </c>
      <c r="K15" s="24">
        <v>0</v>
      </c>
      <c r="L15" s="24">
        <v>3</v>
      </c>
      <c r="M15" s="24">
        <v>1226</v>
      </c>
      <c r="N15" s="24">
        <v>695</v>
      </c>
      <c r="O15" s="24">
        <v>725</v>
      </c>
      <c r="P15" s="24">
        <v>500</v>
      </c>
      <c r="Q15" s="24">
        <v>1079</v>
      </c>
      <c r="R15" s="24">
        <v>399</v>
      </c>
      <c r="S15" s="24">
        <v>317</v>
      </c>
      <c r="T15" s="24">
        <v>135</v>
      </c>
      <c r="U15" s="24">
        <v>13</v>
      </c>
      <c r="V15" s="24">
        <v>0</v>
      </c>
      <c r="W15" s="24">
        <v>2</v>
      </c>
      <c r="X15" s="24">
        <v>18</v>
      </c>
      <c r="Y15" s="24">
        <v>1218</v>
      </c>
      <c r="Z15" s="24">
        <v>449</v>
      </c>
      <c r="AA15" s="24">
        <v>692</v>
      </c>
      <c r="AB15" s="24">
        <v>680</v>
      </c>
      <c r="AC15" s="24">
        <v>773</v>
      </c>
      <c r="AD15" s="24">
        <v>582</v>
      </c>
      <c r="AE15" s="24">
        <v>257</v>
      </c>
      <c r="AF15" s="24">
        <v>100</v>
      </c>
      <c r="AG15" s="24">
        <v>1</v>
      </c>
      <c r="AH15" s="24">
        <v>0</v>
      </c>
      <c r="AI15" s="24">
        <v>0</v>
      </c>
      <c r="AJ15" s="24">
        <v>19</v>
      </c>
      <c r="AK15" s="24">
        <v>1335</v>
      </c>
      <c r="AL15" s="24">
        <v>811</v>
      </c>
      <c r="AM15" s="24">
        <v>273</v>
      </c>
      <c r="AN15" s="24">
        <v>400</v>
      </c>
      <c r="AO15" s="24">
        <v>1095</v>
      </c>
      <c r="AP15" s="24">
        <v>540</v>
      </c>
      <c r="AQ15" s="24">
        <v>122</v>
      </c>
      <c r="AR15" s="24">
        <v>38</v>
      </c>
      <c r="AS15" s="24">
        <v>0</v>
      </c>
      <c r="AT15" s="24">
        <v>0</v>
      </c>
      <c r="AU15" s="24">
        <v>0</v>
      </c>
      <c r="AV15" s="24">
        <v>0</v>
      </c>
      <c r="AW15" s="24">
        <v>1322</v>
      </c>
      <c r="AX15" s="24">
        <v>329</v>
      </c>
      <c r="AY15" s="24">
        <v>478</v>
      </c>
      <c r="AZ15" s="24">
        <v>438</v>
      </c>
      <c r="BA15" s="24">
        <v>503</v>
      </c>
      <c r="BB15" s="24">
        <v>608</v>
      </c>
      <c r="BC15" s="24">
        <v>38</v>
      </c>
      <c r="BD15" s="24">
        <v>23</v>
      </c>
      <c r="BE15" s="24">
        <v>3</v>
      </c>
      <c r="BF15" s="24">
        <v>0</v>
      </c>
      <c r="BG15" s="24">
        <v>0</v>
      </c>
      <c r="BH15" s="24">
        <v>0</v>
      </c>
      <c r="BI15" s="24">
        <v>4</v>
      </c>
      <c r="BJ15" s="15">
        <v>64</v>
      </c>
    </row>
    <row r="16" spans="1:62" s="3" customFormat="1" x14ac:dyDescent="0.25">
      <c r="A16" s="3">
        <v>6</v>
      </c>
      <c r="B16" s="14" t="s">
        <v>30</v>
      </c>
      <c r="C16" s="27">
        <v>0</v>
      </c>
      <c r="D16" s="25">
        <v>69</v>
      </c>
      <c r="E16" s="25">
        <v>277</v>
      </c>
      <c r="F16" s="25">
        <v>771</v>
      </c>
      <c r="G16" s="25">
        <v>1453</v>
      </c>
      <c r="H16" s="25">
        <v>103</v>
      </c>
      <c r="I16" s="25">
        <v>0</v>
      </c>
      <c r="J16" s="25">
        <v>0</v>
      </c>
      <c r="K16" s="25">
        <v>0</v>
      </c>
      <c r="L16" s="25">
        <v>15</v>
      </c>
      <c r="M16" s="25">
        <v>2050</v>
      </c>
      <c r="N16" s="25">
        <v>876</v>
      </c>
      <c r="O16" s="25">
        <v>702</v>
      </c>
      <c r="P16" s="25">
        <v>1242</v>
      </c>
      <c r="Q16" s="25">
        <v>2167</v>
      </c>
      <c r="R16" s="25">
        <v>2565</v>
      </c>
      <c r="S16" s="25">
        <v>577</v>
      </c>
      <c r="T16" s="25">
        <v>199</v>
      </c>
      <c r="U16" s="25">
        <v>84</v>
      </c>
      <c r="V16" s="25">
        <v>1</v>
      </c>
      <c r="W16" s="25">
        <v>3</v>
      </c>
      <c r="X16" s="25">
        <v>26</v>
      </c>
      <c r="Y16" s="25">
        <v>2030</v>
      </c>
      <c r="Z16" s="25">
        <v>1633</v>
      </c>
      <c r="AA16" s="25">
        <v>1114</v>
      </c>
      <c r="AB16" s="25">
        <v>989</v>
      </c>
      <c r="AC16" s="25">
        <v>1844</v>
      </c>
      <c r="AD16" s="25">
        <v>2676</v>
      </c>
      <c r="AE16" s="25">
        <v>415</v>
      </c>
      <c r="AF16" s="25">
        <v>210</v>
      </c>
      <c r="AG16" s="25">
        <v>13</v>
      </c>
      <c r="AH16" s="25">
        <v>0</v>
      </c>
      <c r="AI16" s="25">
        <v>0</v>
      </c>
      <c r="AJ16" s="25">
        <v>0</v>
      </c>
      <c r="AK16" s="25">
        <v>2003</v>
      </c>
      <c r="AL16" s="25">
        <v>1655</v>
      </c>
      <c r="AM16" s="25">
        <v>792</v>
      </c>
      <c r="AN16" s="25">
        <v>595</v>
      </c>
      <c r="AO16" s="25">
        <v>1139</v>
      </c>
      <c r="AP16" s="25">
        <v>545</v>
      </c>
      <c r="AQ16" s="25">
        <v>280</v>
      </c>
      <c r="AR16" s="25">
        <v>53</v>
      </c>
      <c r="AS16" s="25">
        <v>0</v>
      </c>
      <c r="AT16" s="25">
        <v>0</v>
      </c>
      <c r="AU16" s="25">
        <v>0</v>
      </c>
      <c r="AV16" s="25">
        <v>0</v>
      </c>
      <c r="AW16" s="25">
        <v>1792</v>
      </c>
      <c r="AX16" s="25">
        <v>448</v>
      </c>
      <c r="AY16" s="25">
        <v>152</v>
      </c>
      <c r="AZ16" s="25">
        <v>2655</v>
      </c>
      <c r="BA16" s="25">
        <v>1402</v>
      </c>
      <c r="BB16" s="25">
        <v>836</v>
      </c>
      <c r="BC16" s="25">
        <v>1117</v>
      </c>
      <c r="BD16" s="25">
        <v>19</v>
      </c>
      <c r="BE16" s="25">
        <v>0</v>
      </c>
      <c r="BF16" s="25">
        <v>0</v>
      </c>
      <c r="BG16" s="25">
        <v>0</v>
      </c>
      <c r="BH16" s="25">
        <v>0</v>
      </c>
      <c r="BI16" s="25">
        <v>2</v>
      </c>
      <c r="BJ16" s="16">
        <v>33</v>
      </c>
    </row>
    <row r="17" spans="1:62" s="3" customFormat="1" x14ac:dyDescent="0.25">
      <c r="A17" s="3">
        <v>7</v>
      </c>
      <c r="B17" s="14" t="s">
        <v>35</v>
      </c>
      <c r="C17" s="27">
        <v>0</v>
      </c>
      <c r="D17" s="25">
        <v>14</v>
      </c>
      <c r="E17" s="25">
        <v>112</v>
      </c>
      <c r="F17" s="25">
        <v>146</v>
      </c>
      <c r="G17" s="25">
        <v>123</v>
      </c>
      <c r="H17" s="25">
        <v>106</v>
      </c>
      <c r="I17" s="25">
        <v>1</v>
      </c>
      <c r="J17" s="25">
        <v>0</v>
      </c>
      <c r="K17" s="25">
        <v>0</v>
      </c>
      <c r="L17" s="25">
        <v>3</v>
      </c>
      <c r="M17" s="25">
        <v>-956</v>
      </c>
      <c r="N17" s="25">
        <v>542</v>
      </c>
      <c r="O17" s="25">
        <v>572</v>
      </c>
      <c r="P17" s="25">
        <v>385</v>
      </c>
      <c r="Q17" s="25">
        <v>439</v>
      </c>
      <c r="R17" s="25">
        <v>382</v>
      </c>
      <c r="S17" s="25">
        <v>454</v>
      </c>
      <c r="T17" s="25">
        <v>86</v>
      </c>
      <c r="U17" s="25">
        <v>1</v>
      </c>
      <c r="V17" s="25">
        <v>0</v>
      </c>
      <c r="W17" s="25">
        <v>0</v>
      </c>
      <c r="X17" s="25">
        <v>7</v>
      </c>
      <c r="Y17" s="25">
        <v>-494</v>
      </c>
      <c r="Z17" s="25">
        <v>772</v>
      </c>
      <c r="AA17" s="25">
        <v>673</v>
      </c>
      <c r="AB17" s="25">
        <v>674</v>
      </c>
      <c r="AC17" s="25">
        <v>581</v>
      </c>
      <c r="AD17" s="25">
        <v>346</v>
      </c>
      <c r="AE17" s="25">
        <v>218</v>
      </c>
      <c r="AF17" s="25">
        <v>189</v>
      </c>
      <c r="AG17" s="25">
        <v>14</v>
      </c>
      <c r="AH17" s="25">
        <v>0</v>
      </c>
      <c r="AI17" s="25">
        <v>0</v>
      </c>
      <c r="AJ17" s="25">
        <v>0</v>
      </c>
      <c r="AK17" s="25">
        <v>-579</v>
      </c>
      <c r="AL17" s="25">
        <v>370</v>
      </c>
      <c r="AM17" s="25">
        <v>435</v>
      </c>
      <c r="AN17" s="25">
        <v>405</v>
      </c>
      <c r="AO17" s="25">
        <v>456</v>
      </c>
      <c r="AP17" s="25">
        <v>442</v>
      </c>
      <c r="AQ17" s="25">
        <v>155</v>
      </c>
      <c r="AR17" s="25">
        <v>39</v>
      </c>
      <c r="AS17" s="25">
        <v>5</v>
      </c>
      <c r="AT17" s="25">
        <v>0</v>
      </c>
      <c r="AU17" s="25">
        <v>0</v>
      </c>
      <c r="AV17" s="25">
        <v>0</v>
      </c>
      <c r="AW17" s="25">
        <v>-951</v>
      </c>
      <c r="AX17" s="25">
        <v>397</v>
      </c>
      <c r="AY17" s="25">
        <v>577</v>
      </c>
      <c r="AZ17" s="25">
        <v>724</v>
      </c>
      <c r="BA17" s="25">
        <v>729</v>
      </c>
      <c r="BB17" s="25">
        <v>603</v>
      </c>
      <c r="BC17" s="25">
        <v>345</v>
      </c>
      <c r="BD17" s="25">
        <v>78</v>
      </c>
      <c r="BE17" s="25">
        <v>2</v>
      </c>
      <c r="BF17" s="25">
        <v>0</v>
      </c>
      <c r="BG17" s="25">
        <v>0</v>
      </c>
      <c r="BH17" s="25">
        <v>0</v>
      </c>
      <c r="BI17" s="25">
        <v>1</v>
      </c>
      <c r="BJ17" s="16">
        <v>71</v>
      </c>
    </row>
    <row r="18" spans="1:62" s="3" customFormat="1" x14ac:dyDescent="0.25">
      <c r="A18" s="3">
        <v>5</v>
      </c>
      <c r="B18" s="14" t="s">
        <v>36</v>
      </c>
      <c r="C18" s="9">
        <v>0</v>
      </c>
      <c r="D18" s="10">
        <v>4</v>
      </c>
      <c r="E18" s="10">
        <v>524</v>
      </c>
      <c r="F18" s="10">
        <v>797</v>
      </c>
      <c r="G18" s="10">
        <v>595</v>
      </c>
      <c r="H18" s="10">
        <v>1105</v>
      </c>
      <c r="I18" s="10">
        <v>62</v>
      </c>
      <c r="J18" s="10">
        <v>0</v>
      </c>
      <c r="K18" s="10">
        <v>0</v>
      </c>
      <c r="L18" s="10">
        <v>8</v>
      </c>
      <c r="M18" s="10">
        <v>9352</v>
      </c>
      <c r="N18" s="10">
        <v>2589</v>
      </c>
      <c r="O18" s="10">
        <v>2815</v>
      </c>
      <c r="P18" s="10">
        <v>2784</v>
      </c>
      <c r="Q18" s="10">
        <v>3752</v>
      </c>
      <c r="R18" s="10">
        <v>1349</v>
      </c>
      <c r="S18" s="10">
        <v>2247</v>
      </c>
      <c r="T18" s="10">
        <v>1559</v>
      </c>
      <c r="U18" s="10">
        <v>27</v>
      </c>
      <c r="V18" s="10">
        <v>1</v>
      </c>
      <c r="W18" s="10">
        <v>4</v>
      </c>
      <c r="X18" s="10">
        <v>16</v>
      </c>
      <c r="Y18" s="10">
        <v>9707</v>
      </c>
      <c r="Z18" s="10">
        <v>4275</v>
      </c>
      <c r="AA18" s="10">
        <v>3533</v>
      </c>
      <c r="AB18" s="10">
        <v>3320</v>
      </c>
      <c r="AC18" s="10">
        <v>4272</v>
      </c>
      <c r="AD18" s="10">
        <v>793</v>
      </c>
      <c r="AE18" s="10">
        <v>2491</v>
      </c>
      <c r="AF18" s="10">
        <v>1279</v>
      </c>
      <c r="AG18" s="10">
        <v>74</v>
      </c>
      <c r="AH18" s="10">
        <v>0</v>
      </c>
      <c r="AI18" s="10">
        <v>0</v>
      </c>
      <c r="AJ18" s="10">
        <v>23</v>
      </c>
      <c r="AK18" s="10">
        <v>9083</v>
      </c>
      <c r="AL18" s="10">
        <v>4107</v>
      </c>
      <c r="AM18" s="10">
        <v>3571</v>
      </c>
      <c r="AN18" s="10">
        <v>3410</v>
      </c>
      <c r="AO18" s="10">
        <v>3790</v>
      </c>
      <c r="AP18" s="10">
        <v>1726</v>
      </c>
      <c r="AQ18" s="10">
        <v>1867</v>
      </c>
      <c r="AR18" s="10">
        <v>981</v>
      </c>
      <c r="AS18" s="10">
        <v>18</v>
      </c>
      <c r="AT18" s="10">
        <v>0</v>
      </c>
      <c r="AU18" s="10">
        <v>0</v>
      </c>
      <c r="AV18" s="10">
        <v>6</v>
      </c>
      <c r="AW18" s="10">
        <v>9194</v>
      </c>
      <c r="AX18" s="10">
        <v>2055</v>
      </c>
      <c r="AY18" s="10">
        <v>2108</v>
      </c>
      <c r="AZ18" s="10">
        <v>17</v>
      </c>
      <c r="BA18" s="10">
        <v>2466</v>
      </c>
      <c r="BB18" s="10">
        <v>2254</v>
      </c>
      <c r="BC18" s="10">
        <v>256</v>
      </c>
      <c r="BD18" s="10">
        <v>658</v>
      </c>
      <c r="BE18" s="10">
        <v>1</v>
      </c>
      <c r="BF18" s="10">
        <v>0</v>
      </c>
      <c r="BG18" s="10">
        <v>0</v>
      </c>
      <c r="BH18" s="10">
        <v>0</v>
      </c>
      <c r="BI18" s="10">
        <v>17</v>
      </c>
      <c r="BJ18" s="21">
        <v>268</v>
      </c>
    </row>
    <row r="19" spans="1:62" s="3" customFormat="1" x14ac:dyDescent="0.25">
      <c r="A19" s="3">
        <v>10</v>
      </c>
      <c r="B19" s="14" t="s">
        <v>37</v>
      </c>
      <c r="C19" s="27">
        <v>0</v>
      </c>
      <c r="D19" s="25">
        <v>93</v>
      </c>
      <c r="E19" s="25">
        <v>363</v>
      </c>
      <c r="F19" s="25">
        <v>295</v>
      </c>
      <c r="G19" s="25">
        <v>222</v>
      </c>
      <c r="H19" s="25">
        <v>148</v>
      </c>
      <c r="I19" s="25">
        <v>1</v>
      </c>
      <c r="J19" s="25">
        <v>0</v>
      </c>
      <c r="K19" s="25">
        <v>0</v>
      </c>
      <c r="L19" s="25">
        <v>2</v>
      </c>
      <c r="M19" s="25">
        <v>-3467</v>
      </c>
      <c r="N19" s="25">
        <v>442</v>
      </c>
      <c r="O19" s="25">
        <v>592</v>
      </c>
      <c r="P19" s="25">
        <v>623</v>
      </c>
      <c r="Q19" s="25">
        <v>410</v>
      </c>
      <c r="R19" s="25">
        <v>421</v>
      </c>
      <c r="S19" s="25">
        <v>366</v>
      </c>
      <c r="T19" s="25">
        <v>86</v>
      </c>
      <c r="U19" s="25">
        <v>0</v>
      </c>
      <c r="V19" s="25">
        <v>0</v>
      </c>
      <c r="W19" s="25">
        <v>1</v>
      </c>
      <c r="X19" s="25">
        <v>9</v>
      </c>
      <c r="Y19" s="25">
        <v>-4066</v>
      </c>
      <c r="Z19" s="25">
        <v>548</v>
      </c>
      <c r="AA19" s="25">
        <v>585</v>
      </c>
      <c r="AB19" s="25">
        <v>590</v>
      </c>
      <c r="AC19" s="25">
        <v>565</v>
      </c>
      <c r="AD19" s="25">
        <v>295</v>
      </c>
      <c r="AE19" s="25">
        <v>211</v>
      </c>
      <c r="AF19" s="25">
        <v>235</v>
      </c>
      <c r="AG19" s="25">
        <v>15</v>
      </c>
      <c r="AH19" s="25">
        <v>0</v>
      </c>
      <c r="AI19" s="25">
        <v>0</v>
      </c>
      <c r="AJ19" s="25">
        <v>15</v>
      </c>
      <c r="AK19" s="25">
        <v>-2906</v>
      </c>
      <c r="AL19" s="25">
        <v>87</v>
      </c>
      <c r="AM19" s="25">
        <v>710</v>
      </c>
      <c r="AN19" s="25">
        <v>511</v>
      </c>
      <c r="AO19" s="25">
        <v>114</v>
      </c>
      <c r="AP19" s="25">
        <v>373</v>
      </c>
      <c r="AQ19" s="25">
        <v>102</v>
      </c>
      <c r="AR19" s="25">
        <v>44</v>
      </c>
      <c r="AS19" s="25">
        <v>6</v>
      </c>
      <c r="AT19" s="25">
        <v>0</v>
      </c>
      <c r="AU19" s="25">
        <v>0</v>
      </c>
      <c r="AV19" s="25">
        <v>2</v>
      </c>
      <c r="AW19" s="25">
        <v>-3892</v>
      </c>
      <c r="AX19" s="25">
        <v>343</v>
      </c>
      <c r="AY19" s="25">
        <v>652</v>
      </c>
      <c r="AZ19" s="25">
        <v>669</v>
      </c>
      <c r="BA19" s="25">
        <v>768</v>
      </c>
      <c r="BB19" s="25">
        <v>530</v>
      </c>
      <c r="BC19" s="25">
        <v>257</v>
      </c>
      <c r="BD19" s="25">
        <v>88</v>
      </c>
      <c r="BE19" s="25">
        <v>3</v>
      </c>
      <c r="BF19" s="25">
        <v>0</v>
      </c>
      <c r="BG19" s="25">
        <v>0</v>
      </c>
      <c r="BH19" s="25">
        <v>0</v>
      </c>
      <c r="BI19" s="25">
        <v>10</v>
      </c>
      <c r="BJ19" s="16">
        <v>89</v>
      </c>
    </row>
    <row r="20" spans="1:62" s="3" customFormat="1" x14ac:dyDescent="0.25">
      <c r="A20" s="3">
        <v>2</v>
      </c>
      <c r="B20" s="14" t="s">
        <v>19</v>
      </c>
      <c r="C20" s="27">
        <v>0</v>
      </c>
      <c r="D20" s="25">
        <v>21</v>
      </c>
      <c r="E20" s="25">
        <v>60</v>
      </c>
      <c r="F20" s="25">
        <v>141</v>
      </c>
      <c r="G20" s="25">
        <v>369</v>
      </c>
      <c r="H20" s="25">
        <v>553</v>
      </c>
      <c r="I20" s="25">
        <v>284</v>
      </c>
      <c r="J20" s="25">
        <v>44</v>
      </c>
      <c r="K20" s="25">
        <v>51</v>
      </c>
      <c r="L20" s="25">
        <v>108</v>
      </c>
      <c r="M20" s="25">
        <v>934</v>
      </c>
      <c r="N20" s="25">
        <v>234</v>
      </c>
      <c r="O20" s="25">
        <v>204</v>
      </c>
      <c r="P20" s="25">
        <v>329</v>
      </c>
      <c r="Q20" s="25">
        <v>274</v>
      </c>
      <c r="R20" s="25">
        <v>320</v>
      </c>
      <c r="S20" s="25">
        <v>691</v>
      </c>
      <c r="T20" s="25">
        <v>817</v>
      </c>
      <c r="U20" s="25">
        <v>430</v>
      </c>
      <c r="V20" s="25">
        <v>100</v>
      </c>
      <c r="W20" s="25">
        <v>84</v>
      </c>
      <c r="X20" s="25">
        <v>259</v>
      </c>
      <c r="Y20" s="25">
        <v>989</v>
      </c>
      <c r="Z20" s="25">
        <v>352</v>
      </c>
      <c r="AA20" s="25">
        <v>280</v>
      </c>
      <c r="AB20" s="25">
        <v>414</v>
      </c>
      <c r="AC20" s="25">
        <v>294</v>
      </c>
      <c r="AD20" s="25">
        <v>325</v>
      </c>
      <c r="AE20" s="25">
        <v>697</v>
      </c>
      <c r="AF20" s="25">
        <v>781</v>
      </c>
      <c r="AG20" s="25">
        <v>391</v>
      </c>
      <c r="AH20" s="25">
        <v>65</v>
      </c>
      <c r="AI20" s="25">
        <v>59</v>
      </c>
      <c r="AJ20" s="25">
        <v>209</v>
      </c>
      <c r="AK20" s="25">
        <v>905</v>
      </c>
      <c r="AL20" s="25">
        <v>363</v>
      </c>
      <c r="AM20" s="25">
        <v>251</v>
      </c>
      <c r="AN20" s="25">
        <v>383</v>
      </c>
      <c r="AO20" s="25">
        <v>221</v>
      </c>
      <c r="AP20" s="25">
        <v>275</v>
      </c>
      <c r="AQ20" s="25">
        <v>594</v>
      </c>
      <c r="AR20" s="25">
        <v>613</v>
      </c>
      <c r="AS20" s="25">
        <v>167</v>
      </c>
      <c r="AT20" s="25">
        <v>19</v>
      </c>
      <c r="AU20" s="25">
        <v>11</v>
      </c>
      <c r="AV20" s="25">
        <v>53</v>
      </c>
      <c r="AW20" s="25">
        <v>801</v>
      </c>
      <c r="AX20" s="25">
        <v>260</v>
      </c>
      <c r="AY20" s="25">
        <v>216</v>
      </c>
      <c r="AZ20" s="25">
        <v>297</v>
      </c>
      <c r="BA20" s="25">
        <v>233</v>
      </c>
      <c r="BB20" s="25">
        <v>273</v>
      </c>
      <c r="BC20" s="25">
        <v>557</v>
      </c>
      <c r="BD20" s="25">
        <v>526</v>
      </c>
      <c r="BE20" s="25">
        <v>86</v>
      </c>
      <c r="BF20" s="25">
        <v>0</v>
      </c>
      <c r="BG20" s="25">
        <v>2</v>
      </c>
      <c r="BH20" s="25">
        <v>15</v>
      </c>
      <c r="BI20" s="25">
        <v>54</v>
      </c>
      <c r="BJ20" s="16">
        <v>109</v>
      </c>
    </row>
    <row r="21" spans="1:62" s="3" customFormat="1" x14ac:dyDescent="0.25">
      <c r="A21" s="3">
        <v>3</v>
      </c>
      <c r="B21" s="14" t="s">
        <v>20</v>
      </c>
      <c r="C21" s="9">
        <v>0</v>
      </c>
      <c r="D21" s="10">
        <v>3</v>
      </c>
      <c r="E21" s="10">
        <v>39</v>
      </c>
      <c r="F21" s="10">
        <v>55</v>
      </c>
      <c r="G21" s="10">
        <v>10</v>
      </c>
      <c r="H21" s="10">
        <v>11</v>
      </c>
      <c r="I21" s="10">
        <v>1</v>
      </c>
      <c r="J21" s="10">
        <v>0</v>
      </c>
      <c r="K21" s="10">
        <v>0</v>
      </c>
      <c r="L21" s="10">
        <v>0</v>
      </c>
      <c r="M21" s="10">
        <v>824</v>
      </c>
      <c r="N21" s="10">
        <v>89</v>
      </c>
      <c r="O21" s="10">
        <v>155</v>
      </c>
      <c r="P21" s="10">
        <v>189</v>
      </c>
      <c r="Q21" s="10">
        <v>212</v>
      </c>
      <c r="R21" s="10">
        <v>129</v>
      </c>
      <c r="S21" s="10">
        <v>27</v>
      </c>
      <c r="T21" s="10">
        <v>28</v>
      </c>
      <c r="U21" s="10">
        <v>21</v>
      </c>
      <c r="V21" s="10">
        <v>3</v>
      </c>
      <c r="W21" s="10">
        <v>0</v>
      </c>
      <c r="X21" s="10">
        <v>2</v>
      </c>
      <c r="Y21" s="10">
        <v>691</v>
      </c>
      <c r="Z21" s="10">
        <v>144</v>
      </c>
      <c r="AA21" s="10">
        <v>226</v>
      </c>
      <c r="AB21" s="10">
        <v>243</v>
      </c>
      <c r="AC21" s="10">
        <v>248</v>
      </c>
      <c r="AD21" s="10">
        <v>137</v>
      </c>
      <c r="AE21" s="10">
        <v>29</v>
      </c>
      <c r="AF21" s="10">
        <v>24</v>
      </c>
      <c r="AG21" s="10">
        <v>9</v>
      </c>
      <c r="AH21" s="10">
        <v>1</v>
      </c>
      <c r="AI21" s="10">
        <v>0</v>
      </c>
      <c r="AJ21" s="10">
        <v>2</v>
      </c>
      <c r="AK21" s="10">
        <v>604</v>
      </c>
      <c r="AL21" s="10">
        <v>154</v>
      </c>
      <c r="AM21" s="10">
        <v>231</v>
      </c>
      <c r="AN21" s="10">
        <v>234</v>
      </c>
      <c r="AO21" s="10">
        <v>240</v>
      </c>
      <c r="AP21" s="10">
        <v>131</v>
      </c>
      <c r="AQ21" s="10">
        <v>23</v>
      </c>
      <c r="AR21" s="10">
        <v>17</v>
      </c>
      <c r="AS21" s="10">
        <v>2</v>
      </c>
      <c r="AT21" s="10">
        <v>0</v>
      </c>
      <c r="AU21" s="10">
        <v>0</v>
      </c>
      <c r="AV21" s="10">
        <v>0</v>
      </c>
      <c r="AW21" s="10">
        <v>420</v>
      </c>
      <c r="AX21" s="10">
        <v>131</v>
      </c>
      <c r="AY21" s="10">
        <v>208</v>
      </c>
      <c r="AZ21" s="10">
        <v>241</v>
      </c>
      <c r="BA21" s="10">
        <v>255</v>
      </c>
      <c r="BB21" s="10">
        <v>167</v>
      </c>
      <c r="BC21" s="10">
        <v>81</v>
      </c>
      <c r="BD21" s="10">
        <v>18</v>
      </c>
      <c r="BE21" s="10">
        <v>1</v>
      </c>
      <c r="BF21" s="10">
        <v>0</v>
      </c>
      <c r="BG21" s="10">
        <v>0</v>
      </c>
      <c r="BH21" s="10">
        <v>0</v>
      </c>
      <c r="BI21" s="10">
        <v>1</v>
      </c>
      <c r="BJ21" s="21">
        <v>27</v>
      </c>
    </row>
    <row r="22" spans="1:62" s="3" customFormat="1" x14ac:dyDescent="0.25">
      <c r="A22" s="3">
        <v>4</v>
      </c>
      <c r="B22" s="14" t="s">
        <v>21</v>
      </c>
      <c r="C22" s="27">
        <v>1</v>
      </c>
      <c r="D22" s="25">
        <v>93</v>
      </c>
      <c r="E22" s="25">
        <v>253</v>
      </c>
      <c r="F22" s="25">
        <v>418</v>
      </c>
      <c r="G22" s="25">
        <v>548</v>
      </c>
      <c r="H22" s="25">
        <v>159</v>
      </c>
      <c r="I22" s="25">
        <v>20</v>
      </c>
      <c r="J22" s="25">
        <v>0</v>
      </c>
      <c r="K22" s="25">
        <v>0</v>
      </c>
      <c r="L22" s="25">
        <v>0</v>
      </c>
      <c r="M22" s="25">
        <v>319</v>
      </c>
      <c r="N22" s="25">
        <v>414</v>
      </c>
      <c r="O22" s="25">
        <v>812</v>
      </c>
      <c r="P22" s="25">
        <v>1031</v>
      </c>
      <c r="Q22" s="25">
        <v>1219</v>
      </c>
      <c r="R22" s="25">
        <v>1049</v>
      </c>
      <c r="S22" s="25">
        <v>944</v>
      </c>
      <c r="T22" s="25">
        <v>541</v>
      </c>
      <c r="U22" s="25">
        <v>70</v>
      </c>
      <c r="V22" s="25">
        <v>1</v>
      </c>
      <c r="W22" s="25">
        <v>0</v>
      </c>
      <c r="X22" s="25">
        <v>0</v>
      </c>
      <c r="Y22" s="25">
        <v>339</v>
      </c>
      <c r="Z22" s="25">
        <v>522</v>
      </c>
      <c r="AA22" s="25">
        <v>993</v>
      </c>
      <c r="AB22" s="25">
        <v>1128</v>
      </c>
      <c r="AC22" s="25">
        <v>1282</v>
      </c>
      <c r="AD22" s="25">
        <v>916</v>
      </c>
      <c r="AE22" s="25">
        <v>852</v>
      </c>
      <c r="AF22" s="25">
        <v>370</v>
      </c>
      <c r="AG22" s="25">
        <v>80</v>
      </c>
      <c r="AH22" s="25">
        <v>1</v>
      </c>
      <c r="AI22" s="25">
        <v>0</v>
      </c>
      <c r="AJ22" s="25">
        <v>0</v>
      </c>
      <c r="AK22" s="25">
        <v>340</v>
      </c>
      <c r="AL22" s="25">
        <v>357</v>
      </c>
      <c r="AM22" s="25">
        <v>764</v>
      </c>
      <c r="AN22" s="25">
        <v>1001</v>
      </c>
      <c r="AO22" s="25">
        <v>1069</v>
      </c>
      <c r="AP22" s="25">
        <v>771</v>
      </c>
      <c r="AQ22" s="25">
        <v>587</v>
      </c>
      <c r="AR22" s="25">
        <v>273</v>
      </c>
      <c r="AS22" s="25">
        <v>20</v>
      </c>
      <c r="AT22" s="25">
        <v>0</v>
      </c>
      <c r="AU22" s="25">
        <v>0</v>
      </c>
      <c r="AV22" s="25">
        <v>0</v>
      </c>
      <c r="AW22" s="25">
        <v>324</v>
      </c>
      <c r="AX22" s="25">
        <v>320</v>
      </c>
      <c r="AY22" s="25">
        <v>673</v>
      </c>
      <c r="AZ22" s="25">
        <v>1013</v>
      </c>
      <c r="BA22" s="25">
        <v>1184</v>
      </c>
      <c r="BB22" s="25">
        <v>1032</v>
      </c>
      <c r="BC22" s="25">
        <v>564</v>
      </c>
      <c r="BD22" s="25">
        <v>282</v>
      </c>
      <c r="BE22" s="25">
        <v>10</v>
      </c>
      <c r="BF22" s="25">
        <v>0</v>
      </c>
      <c r="BG22" s="25">
        <v>0</v>
      </c>
      <c r="BH22" s="25">
        <v>0</v>
      </c>
      <c r="BI22" s="25">
        <v>0</v>
      </c>
      <c r="BJ22" s="16">
        <v>41</v>
      </c>
    </row>
    <row r="23" spans="1:62" s="3" customFormat="1" x14ac:dyDescent="0.25">
      <c r="A23" s="3">
        <v>8</v>
      </c>
      <c r="B23" s="14" t="s">
        <v>38</v>
      </c>
      <c r="C23" s="27">
        <v>0</v>
      </c>
      <c r="D23" s="25">
        <v>175</v>
      </c>
      <c r="E23" s="25">
        <v>1308</v>
      </c>
      <c r="F23" s="25">
        <v>2047</v>
      </c>
      <c r="G23" s="25">
        <v>2572</v>
      </c>
      <c r="H23" s="25">
        <v>1357</v>
      </c>
      <c r="I23" s="25">
        <v>23</v>
      </c>
      <c r="J23" s="25">
        <v>0</v>
      </c>
      <c r="K23" s="25">
        <v>0</v>
      </c>
      <c r="L23" s="25">
        <v>0</v>
      </c>
      <c r="M23" s="25">
        <v>591</v>
      </c>
      <c r="N23" s="25">
        <v>1178</v>
      </c>
      <c r="O23" s="25">
        <v>3316</v>
      </c>
      <c r="P23" s="25">
        <v>5474</v>
      </c>
      <c r="Q23" s="25">
        <v>6171</v>
      </c>
      <c r="R23" s="25">
        <v>5718</v>
      </c>
      <c r="S23" s="25">
        <v>5616</v>
      </c>
      <c r="T23" s="25">
        <v>2522</v>
      </c>
      <c r="U23" s="25">
        <v>241</v>
      </c>
      <c r="V23" s="25">
        <v>3</v>
      </c>
      <c r="W23" s="25">
        <v>0</v>
      </c>
      <c r="X23" s="25">
        <v>0</v>
      </c>
      <c r="Y23" s="25">
        <v>691</v>
      </c>
      <c r="Z23" s="25">
        <v>1493</v>
      </c>
      <c r="AA23" s="25">
        <v>4628</v>
      </c>
      <c r="AB23" s="25">
        <v>7117</v>
      </c>
      <c r="AC23" s="25">
        <v>8000</v>
      </c>
      <c r="AD23" s="25">
        <v>6517</v>
      </c>
      <c r="AE23" s="25">
        <v>6208</v>
      </c>
      <c r="AF23" s="25">
        <v>2555</v>
      </c>
      <c r="AG23" s="25">
        <v>168</v>
      </c>
      <c r="AH23" s="25">
        <v>0</v>
      </c>
      <c r="AI23" s="25">
        <v>0</v>
      </c>
      <c r="AJ23" s="25">
        <v>0</v>
      </c>
      <c r="AK23" s="25">
        <v>645</v>
      </c>
      <c r="AL23" s="25">
        <v>1208</v>
      </c>
      <c r="AM23" s="25">
        <v>3898</v>
      </c>
      <c r="AN23" s="25">
        <v>6673</v>
      </c>
      <c r="AO23" s="25">
        <v>7789</v>
      </c>
      <c r="AP23" s="25">
        <v>6157</v>
      </c>
      <c r="AQ23" s="25">
        <v>5094</v>
      </c>
      <c r="AR23" s="25">
        <v>1701</v>
      </c>
      <c r="AS23" s="25">
        <v>16</v>
      </c>
      <c r="AT23" s="25">
        <v>0</v>
      </c>
      <c r="AU23" s="25">
        <v>0</v>
      </c>
      <c r="AV23" s="25">
        <v>0</v>
      </c>
      <c r="AW23" s="25">
        <v>611</v>
      </c>
      <c r="AX23" s="25">
        <v>791</v>
      </c>
      <c r="AY23" s="25">
        <v>3369</v>
      </c>
      <c r="AZ23" s="25">
        <v>6586</v>
      </c>
      <c r="BA23" s="25">
        <v>8052</v>
      </c>
      <c r="BB23" s="25">
        <v>7277</v>
      </c>
      <c r="BC23" s="25">
        <v>5395</v>
      </c>
      <c r="BD23" s="25">
        <v>1125</v>
      </c>
      <c r="BE23" s="25">
        <v>7</v>
      </c>
      <c r="BF23" s="25">
        <v>0</v>
      </c>
      <c r="BG23" s="25">
        <v>0</v>
      </c>
      <c r="BH23" s="25">
        <v>0</v>
      </c>
      <c r="BI23" s="25">
        <v>0</v>
      </c>
      <c r="BJ23" s="16">
        <v>80</v>
      </c>
    </row>
    <row r="24" spans="1:62" s="3" customFormat="1" x14ac:dyDescent="0.25">
      <c r="B24" s="14"/>
      <c r="C24" s="9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21"/>
    </row>
    <row r="25" spans="1:62" s="3" customFormat="1" x14ac:dyDescent="0.25">
      <c r="B25" s="14"/>
      <c r="C25" s="27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16"/>
    </row>
    <row r="26" spans="1:62" s="3" customFormat="1" ht="15.75" thickBot="1" x14ac:dyDescent="0.3">
      <c r="B26" s="17"/>
      <c r="C26" s="18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20"/>
    </row>
    <row r="27" spans="1:62" ht="15.75" thickBot="1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</row>
    <row r="28" spans="1:62" ht="21.75" customHeight="1" thickBot="1" x14ac:dyDescent="0.3"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3"/>
    </row>
    <row r="29" spans="1:62" x14ac:dyDescent="0.25">
      <c r="B29" s="14" t="s">
        <v>18</v>
      </c>
      <c r="C29" s="26">
        <v>0</v>
      </c>
      <c r="D29" s="24">
        <v>0</v>
      </c>
      <c r="E29" s="24">
        <v>0</v>
      </c>
      <c r="F29" s="24">
        <v>0</v>
      </c>
      <c r="G29" s="24">
        <v>17990</v>
      </c>
      <c r="H29" s="24">
        <v>14775</v>
      </c>
      <c r="I29" s="24">
        <v>13441</v>
      </c>
      <c r="J29" s="24">
        <v>11719</v>
      </c>
      <c r="K29" s="24">
        <v>10801</v>
      </c>
      <c r="L29" s="24">
        <v>13318</v>
      </c>
      <c r="M29" s="24">
        <v>18707</v>
      </c>
      <c r="N29" s="24">
        <v>28443</v>
      </c>
      <c r="O29" s="24">
        <v>41510</v>
      </c>
      <c r="P29" s="24">
        <v>46117</v>
      </c>
      <c r="Q29" s="24">
        <v>45079</v>
      </c>
      <c r="R29" s="24">
        <v>35324</v>
      </c>
      <c r="S29" s="24">
        <v>25923</v>
      </c>
      <c r="T29" s="24">
        <v>21902</v>
      </c>
      <c r="U29" s="24">
        <v>17416</v>
      </c>
      <c r="V29" s="24">
        <v>14099</v>
      </c>
      <c r="W29" s="24">
        <v>13466</v>
      </c>
      <c r="X29" s="24">
        <v>16087</v>
      </c>
      <c r="Y29" s="24">
        <v>21209</v>
      </c>
      <c r="Z29" s="24">
        <v>32598</v>
      </c>
      <c r="AA29" s="24">
        <v>45764</v>
      </c>
      <c r="AB29" s="24">
        <v>49875</v>
      </c>
      <c r="AC29" s="24">
        <v>48519</v>
      </c>
      <c r="AD29" s="24">
        <v>38406</v>
      </c>
      <c r="AE29" s="24">
        <v>28135</v>
      </c>
      <c r="AF29" s="24">
        <v>22964</v>
      </c>
      <c r="AG29" s="24">
        <v>18211</v>
      </c>
      <c r="AH29" s="24">
        <v>14650</v>
      </c>
      <c r="AI29" s="24">
        <v>14141</v>
      </c>
      <c r="AJ29" s="24">
        <v>16991</v>
      </c>
      <c r="AK29" s="24">
        <v>22117</v>
      </c>
      <c r="AL29" s="24">
        <v>33449</v>
      </c>
      <c r="AM29" s="24">
        <v>46254</v>
      </c>
      <c r="AN29" s="24">
        <v>50133</v>
      </c>
      <c r="AO29" s="24">
        <v>48511</v>
      </c>
      <c r="AP29" s="24">
        <v>38451</v>
      </c>
      <c r="AQ29" s="24">
        <v>28187</v>
      </c>
      <c r="AR29" s="24">
        <v>22722</v>
      </c>
      <c r="AS29" s="24">
        <v>18099</v>
      </c>
      <c r="AT29" s="24">
        <v>14610</v>
      </c>
      <c r="AU29" s="24">
        <v>14077</v>
      </c>
      <c r="AV29" s="24">
        <v>16753</v>
      </c>
      <c r="AW29" s="24">
        <v>21888</v>
      </c>
      <c r="AX29" s="24">
        <v>33527</v>
      </c>
      <c r="AY29" s="24">
        <v>46920</v>
      </c>
      <c r="AZ29" s="24">
        <v>50500</v>
      </c>
      <c r="BA29" s="24">
        <v>49840</v>
      </c>
      <c r="BB29" s="24">
        <v>39689</v>
      </c>
      <c r="BC29" s="24">
        <v>28827</v>
      </c>
      <c r="BD29" s="24">
        <v>23445</v>
      </c>
      <c r="BE29" s="24">
        <v>18739</v>
      </c>
      <c r="BF29" s="24">
        <v>15049</v>
      </c>
      <c r="BG29" s="24">
        <v>14414</v>
      </c>
      <c r="BH29" s="24">
        <v>17314</v>
      </c>
      <c r="BI29" s="24">
        <v>22621</v>
      </c>
      <c r="BJ29" s="15">
        <v>34490</v>
      </c>
    </row>
    <row r="30" spans="1:62" s="3" customFormat="1" x14ac:dyDescent="0.25">
      <c r="B30" s="14" t="s">
        <v>19</v>
      </c>
      <c r="C30" s="27">
        <v>0</v>
      </c>
      <c r="D30" s="25">
        <v>0</v>
      </c>
      <c r="E30" s="25">
        <v>0</v>
      </c>
      <c r="F30" s="25">
        <v>0</v>
      </c>
      <c r="G30" s="25">
        <v>8179</v>
      </c>
      <c r="H30" s="25">
        <v>9732</v>
      </c>
      <c r="I30" s="25">
        <v>10356</v>
      </c>
      <c r="J30" s="25">
        <v>9104</v>
      </c>
      <c r="K30" s="25">
        <v>10262</v>
      </c>
      <c r="L30" s="25">
        <v>11281</v>
      </c>
      <c r="M30" s="25">
        <v>8062</v>
      </c>
      <c r="N30" s="25">
        <v>6359</v>
      </c>
      <c r="O30" s="25">
        <v>6308</v>
      </c>
      <c r="P30" s="25">
        <v>7142</v>
      </c>
      <c r="Q30" s="25">
        <v>5933</v>
      </c>
      <c r="R30" s="25">
        <v>5603</v>
      </c>
      <c r="S30" s="25">
        <v>7160</v>
      </c>
      <c r="T30" s="25">
        <v>8341</v>
      </c>
      <c r="U30" s="25">
        <v>9245</v>
      </c>
      <c r="V30" s="25">
        <v>8736</v>
      </c>
      <c r="W30" s="25">
        <v>10142</v>
      </c>
      <c r="X30" s="25">
        <v>11262</v>
      </c>
      <c r="Y30" s="25">
        <v>7981</v>
      </c>
      <c r="Z30" s="25">
        <v>6395</v>
      </c>
      <c r="AA30" s="25">
        <v>6240</v>
      </c>
      <c r="AB30" s="25">
        <v>7314</v>
      </c>
      <c r="AC30" s="25">
        <v>6050</v>
      </c>
      <c r="AD30" s="25">
        <v>5688</v>
      </c>
      <c r="AE30" s="25">
        <v>7371</v>
      </c>
      <c r="AF30" s="25">
        <v>8556</v>
      </c>
      <c r="AG30" s="25">
        <v>9485</v>
      </c>
      <c r="AH30" s="25">
        <v>8818</v>
      </c>
      <c r="AI30" s="25">
        <v>10403</v>
      </c>
      <c r="AJ30" s="25">
        <v>11782</v>
      </c>
      <c r="AK30" s="25">
        <v>8368</v>
      </c>
      <c r="AL30" s="25">
        <v>6477</v>
      </c>
      <c r="AM30" s="25">
        <v>6326</v>
      </c>
      <c r="AN30" s="25">
        <v>7467</v>
      </c>
      <c r="AO30" s="25">
        <v>6190</v>
      </c>
      <c r="AP30" s="25">
        <v>5859</v>
      </c>
      <c r="AQ30" s="25">
        <v>7548</v>
      </c>
      <c r="AR30" s="25">
        <v>8615</v>
      </c>
      <c r="AS30" s="25">
        <v>9257</v>
      </c>
      <c r="AT30" s="25">
        <v>8657</v>
      </c>
      <c r="AU30" s="25">
        <v>10112</v>
      </c>
      <c r="AV30" s="25">
        <v>11324</v>
      </c>
      <c r="AW30" s="25">
        <v>8115</v>
      </c>
      <c r="AX30" s="25">
        <v>6516</v>
      </c>
      <c r="AY30" s="25">
        <v>6305</v>
      </c>
      <c r="AZ30" s="25">
        <v>7342</v>
      </c>
      <c r="BA30" s="25">
        <v>6105</v>
      </c>
      <c r="BB30" s="25">
        <v>5759</v>
      </c>
      <c r="BC30" s="25">
        <v>7392</v>
      </c>
      <c r="BD30" s="25">
        <v>8547</v>
      </c>
      <c r="BE30" s="25">
        <v>9515</v>
      </c>
      <c r="BF30" s="25">
        <v>8847</v>
      </c>
      <c r="BG30" s="25">
        <v>10456</v>
      </c>
      <c r="BH30" s="25">
        <v>11681</v>
      </c>
      <c r="BI30" s="25">
        <v>8449</v>
      </c>
      <c r="BJ30" s="16">
        <v>6639</v>
      </c>
    </row>
    <row r="31" spans="1:62" s="3" customFormat="1" x14ac:dyDescent="0.25">
      <c r="B31" s="14" t="s">
        <v>20</v>
      </c>
      <c r="C31" s="27">
        <v>0</v>
      </c>
      <c r="D31" s="25">
        <v>0</v>
      </c>
      <c r="E31" s="25">
        <v>0</v>
      </c>
      <c r="F31" s="25">
        <v>0</v>
      </c>
      <c r="G31" s="25">
        <v>2584</v>
      </c>
      <c r="H31" s="25">
        <v>2363</v>
      </c>
      <c r="I31" s="25">
        <v>2325</v>
      </c>
      <c r="J31" s="25">
        <v>2084</v>
      </c>
      <c r="K31" s="25">
        <v>1957</v>
      </c>
      <c r="L31" s="25">
        <v>2212</v>
      </c>
      <c r="M31" s="25">
        <v>3999</v>
      </c>
      <c r="N31" s="25">
        <v>8331</v>
      </c>
      <c r="O31" s="25">
        <v>12439</v>
      </c>
      <c r="P31" s="25">
        <v>13755</v>
      </c>
      <c r="Q31" s="25">
        <v>13888</v>
      </c>
      <c r="R31" s="25">
        <v>11526</v>
      </c>
      <c r="S31" s="25">
        <v>6996</v>
      </c>
      <c r="T31" s="25">
        <v>4638</v>
      </c>
      <c r="U31" s="25">
        <v>3826</v>
      </c>
      <c r="V31" s="25">
        <v>3321</v>
      </c>
      <c r="W31" s="25">
        <v>2957</v>
      </c>
      <c r="X31" s="25">
        <v>3218</v>
      </c>
      <c r="Y31" s="25">
        <v>5263</v>
      </c>
      <c r="Z31" s="25">
        <v>9726</v>
      </c>
      <c r="AA31" s="25">
        <v>13690</v>
      </c>
      <c r="AB31" s="25">
        <v>14621</v>
      </c>
      <c r="AC31" s="25">
        <v>14770</v>
      </c>
      <c r="AD31" s="25">
        <v>11934</v>
      </c>
      <c r="AE31" s="25">
        <v>7255</v>
      </c>
      <c r="AF31" s="25">
        <v>4796</v>
      </c>
      <c r="AG31" s="25">
        <v>3943</v>
      </c>
      <c r="AH31" s="25">
        <v>3421</v>
      </c>
      <c r="AI31" s="25">
        <v>3052</v>
      </c>
      <c r="AJ31" s="25">
        <v>3337</v>
      </c>
      <c r="AK31" s="25">
        <v>5440</v>
      </c>
      <c r="AL31" s="25">
        <v>9829</v>
      </c>
      <c r="AM31" s="25">
        <v>13728</v>
      </c>
      <c r="AN31" s="25">
        <v>14520</v>
      </c>
      <c r="AO31" s="25">
        <v>14566</v>
      </c>
      <c r="AP31" s="25">
        <v>11848</v>
      </c>
      <c r="AQ31" s="25">
        <v>7216</v>
      </c>
      <c r="AR31" s="25">
        <v>4753</v>
      </c>
      <c r="AS31" s="25">
        <v>3913</v>
      </c>
      <c r="AT31" s="25">
        <v>3390</v>
      </c>
      <c r="AU31" s="25">
        <v>3015</v>
      </c>
      <c r="AV31" s="25">
        <v>3280</v>
      </c>
      <c r="AW31" s="25">
        <v>5338</v>
      </c>
      <c r="AX31" s="25">
        <v>9847</v>
      </c>
      <c r="AY31" s="25">
        <v>13692</v>
      </c>
      <c r="AZ31" s="25">
        <v>14409</v>
      </c>
      <c r="BA31" s="25">
        <v>14555</v>
      </c>
      <c r="BB31" s="25">
        <v>11873</v>
      </c>
      <c r="BC31" s="25">
        <v>7152</v>
      </c>
      <c r="BD31" s="25">
        <v>4743</v>
      </c>
      <c r="BE31" s="25">
        <v>3912</v>
      </c>
      <c r="BF31" s="25">
        <v>3391</v>
      </c>
      <c r="BG31" s="25">
        <v>3023</v>
      </c>
      <c r="BH31" s="25">
        <v>3299</v>
      </c>
      <c r="BI31" s="25">
        <v>5381</v>
      </c>
      <c r="BJ31" s="16">
        <v>9859</v>
      </c>
    </row>
    <row r="32" spans="1:62" s="3" customFormat="1" x14ac:dyDescent="0.25">
      <c r="B32" s="14" t="s">
        <v>21</v>
      </c>
      <c r="C32" s="9">
        <v>0</v>
      </c>
      <c r="D32" s="10">
        <v>0</v>
      </c>
      <c r="E32" s="10">
        <v>0</v>
      </c>
      <c r="F32" s="10">
        <v>0</v>
      </c>
      <c r="G32" s="10">
        <v>9484</v>
      </c>
      <c r="H32" s="10">
        <v>4878</v>
      </c>
      <c r="I32" s="10">
        <v>2963</v>
      </c>
      <c r="J32" s="10">
        <v>2063</v>
      </c>
      <c r="K32" s="10">
        <v>1651</v>
      </c>
      <c r="L32" s="10">
        <v>1716</v>
      </c>
      <c r="M32" s="10">
        <v>2611</v>
      </c>
      <c r="N32" s="10">
        <v>4689</v>
      </c>
      <c r="O32" s="10">
        <v>7412</v>
      </c>
      <c r="P32" s="10">
        <v>10205</v>
      </c>
      <c r="Q32" s="10">
        <v>12909</v>
      </c>
      <c r="R32" s="10">
        <v>13784</v>
      </c>
      <c r="S32" s="10">
        <v>9921</v>
      </c>
      <c r="T32" s="10">
        <v>5570</v>
      </c>
      <c r="U32" s="10">
        <v>3463</v>
      </c>
      <c r="V32" s="10">
        <v>2438</v>
      </c>
      <c r="W32" s="10">
        <v>1854</v>
      </c>
      <c r="X32" s="10">
        <v>1904</v>
      </c>
      <c r="Y32" s="10">
        <v>2794</v>
      </c>
      <c r="Z32" s="10">
        <v>5040</v>
      </c>
      <c r="AA32" s="10">
        <v>8058</v>
      </c>
      <c r="AB32" s="10">
        <v>11068</v>
      </c>
      <c r="AC32" s="10">
        <v>13776</v>
      </c>
      <c r="AD32" s="10">
        <v>14521</v>
      </c>
      <c r="AE32" s="10">
        <v>10104</v>
      </c>
      <c r="AF32" s="10">
        <v>5559</v>
      </c>
      <c r="AG32" s="10">
        <v>3465</v>
      </c>
      <c r="AH32" s="10">
        <v>2413</v>
      </c>
      <c r="AI32" s="10">
        <v>1777</v>
      </c>
      <c r="AJ32" s="10">
        <v>1739</v>
      </c>
      <c r="AK32" s="10">
        <v>2473</v>
      </c>
      <c r="AL32" s="10">
        <v>4385</v>
      </c>
      <c r="AM32" s="10">
        <v>7180</v>
      </c>
      <c r="AN32" s="10">
        <v>10376</v>
      </c>
      <c r="AO32" s="10">
        <v>13369</v>
      </c>
      <c r="AP32" s="10">
        <v>14382</v>
      </c>
      <c r="AQ32" s="10">
        <v>10133</v>
      </c>
      <c r="AR32" s="10">
        <v>5854</v>
      </c>
      <c r="AS32" s="10">
        <v>3047</v>
      </c>
      <c r="AT32" s="10">
        <v>1969</v>
      </c>
      <c r="AU32" s="10">
        <v>1448</v>
      </c>
      <c r="AV32" s="10">
        <v>1464</v>
      </c>
      <c r="AW32" s="10">
        <v>2189</v>
      </c>
      <c r="AX32" s="10">
        <v>3928</v>
      </c>
      <c r="AY32" s="10">
        <v>6515</v>
      </c>
      <c r="AZ32" s="10">
        <v>9711</v>
      </c>
      <c r="BA32" s="10">
        <v>13266</v>
      </c>
      <c r="BB32" s="10">
        <v>15143</v>
      </c>
      <c r="BC32" s="10">
        <v>11076</v>
      </c>
      <c r="BD32" s="10">
        <v>5849</v>
      </c>
      <c r="BE32" s="10">
        <v>3049</v>
      </c>
      <c r="BF32" s="10">
        <v>1971</v>
      </c>
      <c r="BG32" s="10">
        <v>1419</v>
      </c>
      <c r="BH32" s="10">
        <v>1367</v>
      </c>
      <c r="BI32" s="10">
        <v>1984</v>
      </c>
      <c r="BJ32" s="21">
        <v>3275</v>
      </c>
    </row>
    <row r="33" spans="2:62" s="3" customFormat="1" x14ac:dyDescent="0.25">
      <c r="B33" s="14"/>
      <c r="C33" s="27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16"/>
    </row>
    <row r="34" spans="2:62" s="3" customFormat="1" x14ac:dyDescent="0.25">
      <c r="B34" s="14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16"/>
    </row>
    <row r="35" spans="2:62" s="3" customFormat="1" x14ac:dyDescent="0.25">
      <c r="B35" s="14"/>
      <c r="C35" s="9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21"/>
    </row>
    <row r="36" spans="2:62" s="3" customFormat="1" x14ac:dyDescent="0.25">
      <c r="B36" s="14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16"/>
    </row>
    <row r="37" spans="2:62" s="3" customFormat="1" x14ac:dyDescent="0.25">
      <c r="B37" s="14"/>
      <c r="C37" s="27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16"/>
    </row>
    <row r="38" spans="2:62" s="3" customFormat="1" x14ac:dyDescent="0.25">
      <c r="B38" s="14"/>
      <c r="C38" s="9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21"/>
    </row>
    <row r="39" spans="2:62" s="3" customFormat="1" x14ac:dyDescent="0.25">
      <c r="B39" s="14"/>
      <c r="C39" s="27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16"/>
    </row>
    <row r="40" spans="2:62" s="3" customFormat="1" x14ac:dyDescent="0.25">
      <c r="B40" s="14"/>
      <c r="C40" s="9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21"/>
    </row>
  </sheetData>
  <mergeCells count="2">
    <mergeCell ref="C2:P2"/>
    <mergeCell ref="C4:P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Aux!$B$3:$B$18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H16"/>
  <sheetViews>
    <sheetView workbookViewId="0">
      <selection activeCell="E18" sqref="E18"/>
    </sheetView>
  </sheetViews>
  <sheetFormatPr defaultRowHeight="15" x14ac:dyDescent="0.25"/>
  <cols>
    <col min="1" max="1" width="9.140625" style="1"/>
    <col min="2" max="2" width="7.5703125" style="1" bestFit="1" customWidth="1"/>
    <col min="3" max="3" width="7.5703125" style="3" customWidth="1"/>
    <col min="4" max="7" width="9.140625" style="1"/>
    <col min="8" max="8" width="9.140625" style="3"/>
    <col min="9" max="16384" width="9.140625" style="1"/>
  </cols>
  <sheetData>
    <row r="2" spans="2:8" x14ac:dyDescent="0.25">
      <c r="C2" s="3" t="s">
        <v>24</v>
      </c>
      <c r="D2" s="1" t="s">
        <v>17</v>
      </c>
      <c r="E2" s="1" t="s">
        <v>23</v>
      </c>
      <c r="F2" s="1" t="s">
        <v>26</v>
      </c>
      <c r="G2" s="1" t="s">
        <v>25</v>
      </c>
      <c r="H2" s="3" t="s">
        <v>29</v>
      </c>
    </row>
    <row r="3" spans="2:8" x14ac:dyDescent="0.25">
      <c r="B3" s="1" t="s">
        <v>4</v>
      </c>
      <c r="C3" s="3">
        <f>ROW()</f>
        <v>3</v>
      </c>
      <c r="D3" s="1">
        <v>0</v>
      </c>
      <c r="E3" s="1" t="s">
        <v>27</v>
      </c>
      <c r="F3" s="1">
        <v>15</v>
      </c>
      <c r="G3" s="1">
        <v>9</v>
      </c>
      <c r="H3" s="3">
        <v>1</v>
      </c>
    </row>
    <row r="4" spans="2:8" x14ac:dyDescent="0.25">
      <c r="B4" s="1" t="s">
        <v>5</v>
      </c>
      <c r="C4" s="3">
        <f>ROW()</f>
        <v>4</v>
      </c>
      <c r="D4" s="1">
        <v>-1</v>
      </c>
      <c r="E4" s="1" t="s">
        <v>22</v>
      </c>
      <c r="F4" s="1">
        <v>8</v>
      </c>
      <c r="G4" s="1">
        <v>9</v>
      </c>
      <c r="H4" s="3">
        <v>1</v>
      </c>
    </row>
    <row r="5" spans="2:8" x14ac:dyDescent="0.25">
      <c r="B5" s="1" t="s">
        <v>6</v>
      </c>
      <c r="C5" s="3">
        <f>ROW()</f>
        <v>5</v>
      </c>
      <c r="D5" s="1">
        <v>0</v>
      </c>
      <c r="E5" s="1" t="s">
        <v>22</v>
      </c>
      <c r="F5" s="1">
        <v>8</v>
      </c>
      <c r="G5" s="1">
        <v>10</v>
      </c>
      <c r="H5" s="3">
        <v>1</v>
      </c>
    </row>
    <row r="6" spans="2:8" x14ac:dyDescent="0.25">
      <c r="B6" s="1" t="s">
        <v>7</v>
      </c>
      <c r="C6" s="3">
        <f>ROW()</f>
        <v>6</v>
      </c>
      <c r="D6" s="1">
        <v>1</v>
      </c>
      <c r="E6" s="1" t="s">
        <v>28</v>
      </c>
      <c r="F6" s="1">
        <v>7</v>
      </c>
      <c r="G6" s="1">
        <v>9</v>
      </c>
      <c r="H6" s="3">
        <v>2</v>
      </c>
    </row>
    <row r="7" spans="2:8" x14ac:dyDescent="0.25">
      <c r="B7" s="1" t="s">
        <v>8</v>
      </c>
      <c r="C7" s="3">
        <f>ROW()</f>
        <v>7</v>
      </c>
      <c r="D7" s="1">
        <v>1</v>
      </c>
      <c r="E7" s="3" t="s">
        <v>28</v>
      </c>
      <c r="F7" s="3">
        <v>7</v>
      </c>
      <c r="G7" s="3">
        <v>9</v>
      </c>
      <c r="H7" s="3">
        <v>2</v>
      </c>
    </row>
    <row r="8" spans="2:8" x14ac:dyDescent="0.25">
      <c r="B8" s="1" t="s">
        <v>9</v>
      </c>
      <c r="C8" s="3">
        <f>ROW()</f>
        <v>8</v>
      </c>
      <c r="D8" s="1">
        <v>1</v>
      </c>
      <c r="E8" s="3" t="s">
        <v>28</v>
      </c>
      <c r="F8" s="3">
        <v>7</v>
      </c>
      <c r="G8" s="3">
        <v>10</v>
      </c>
      <c r="H8" s="3">
        <v>2</v>
      </c>
    </row>
    <row r="9" spans="2:8" x14ac:dyDescent="0.25">
      <c r="B9" s="1" t="s">
        <v>10</v>
      </c>
      <c r="C9" s="3">
        <f>ROW()</f>
        <v>9</v>
      </c>
      <c r="D9" s="1">
        <v>1</v>
      </c>
      <c r="E9" s="3" t="s">
        <v>28</v>
      </c>
      <c r="F9" s="3">
        <v>7</v>
      </c>
      <c r="G9" s="3">
        <v>9</v>
      </c>
      <c r="H9" s="3">
        <v>2</v>
      </c>
    </row>
    <row r="10" spans="2:8" x14ac:dyDescent="0.25">
      <c r="B10" s="1" t="s">
        <v>11</v>
      </c>
      <c r="C10" s="3">
        <f>ROW()</f>
        <v>10</v>
      </c>
      <c r="D10" s="1">
        <v>1</v>
      </c>
      <c r="E10" s="3" t="s">
        <v>28</v>
      </c>
      <c r="F10" s="3">
        <v>7</v>
      </c>
      <c r="G10" s="3">
        <v>9</v>
      </c>
      <c r="H10" s="3">
        <v>2</v>
      </c>
    </row>
    <row r="11" spans="2:8" x14ac:dyDescent="0.25">
      <c r="B11" s="1" t="s">
        <v>13</v>
      </c>
      <c r="C11" s="3">
        <f>ROW()</f>
        <v>11</v>
      </c>
      <c r="D11" s="1">
        <v>1</v>
      </c>
      <c r="E11" s="3" t="s">
        <v>28</v>
      </c>
      <c r="F11" s="3">
        <v>7</v>
      </c>
      <c r="G11" s="3">
        <v>9</v>
      </c>
      <c r="H11" s="3">
        <v>2</v>
      </c>
    </row>
    <row r="12" spans="2:8" x14ac:dyDescent="0.25">
      <c r="B12" s="1" t="s">
        <v>14</v>
      </c>
      <c r="C12" s="3">
        <f>ROW()</f>
        <v>12</v>
      </c>
      <c r="D12" s="1">
        <v>1</v>
      </c>
      <c r="E12" s="3" t="s">
        <v>28</v>
      </c>
      <c r="F12" s="3">
        <v>7</v>
      </c>
      <c r="G12" s="3">
        <v>9</v>
      </c>
      <c r="H12" s="3">
        <v>2</v>
      </c>
    </row>
    <row r="13" spans="2:8" x14ac:dyDescent="0.25">
      <c r="B13" s="1" t="s">
        <v>15</v>
      </c>
      <c r="C13" s="3">
        <f>ROW()</f>
        <v>13</v>
      </c>
      <c r="D13" s="1">
        <v>1</v>
      </c>
      <c r="E13" s="1" t="s">
        <v>31</v>
      </c>
      <c r="F13" s="1">
        <v>12</v>
      </c>
      <c r="G13" s="1">
        <v>9</v>
      </c>
      <c r="H13" s="3">
        <v>1</v>
      </c>
    </row>
    <row r="14" spans="2:8" x14ac:dyDescent="0.25">
      <c r="B14" s="1" t="s">
        <v>16</v>
      </c>
      <c r="C14" s="3">
        <f>ROW()</f>
        <v>14</v>
      </c>
      <c r="D14" s="1">
        <v>1</v>
      </c>
      <c r="E14" s="3" t="s">
        <v>31</v>
      </c>
      <c r="F14" s="3">
        <v>12</v>
      </c>
      <c r="G14" s="3">
        <v>9</v>
      </c>
      <c r="H14" s="3">
        <v>1</v>
      </c>
    </row>
    <row r="15" spans="2:8" x14ac:dyDescent="0.25">
      <c r="B15" s="3" t="s">
        <v>32</v>
      </c>
      <c r="C15" s="3">
        <f>ROW()</f>
        <v>15</v>
      </c>
      <c r="D15" s="3">
        <v>1</v>
      </c>
      <c r="E15" s="3" t="s">
        <v>28</v>
      </c>
      <c r="F15" s="3">
        <v>8</v>
      </c>
      <c r="G15" s="3">
        <v>9</v>
      </c>
      <c r="H15" s="3">
        <v>2</v>
      </c>
    </row>
    <row r="16" spans="2:8" x14ac:dyDescent="0.25">
      <c r="B16" s="1" t="s">
        <v>33</v>
      </c>
      <c r="C16" s="3">
        <v>16</v>
      </c>
      <c r="D16" s="1">
        <v>1</v>
      </c>
      <c r="E16" s="3" t="s">
        <v>28</v>
      </c>
      <c r="F16" s="3">
        <v>8</v>
      </c>
      <c r="G16" s="3">
        <v>9</v>
      </c>
      <c r="H16" s="3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COLDados</vt:lpstr>
      <vt:lpstr>Aux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Wendel Ferreira Loschi</dc:creator>
  <cp:lastModifiedBy>Douglas Canducci</cp:lastModifiedBy>
  <dcterms:created xsi:type="dcterms:W3CDTF">2015-05-20T13:07:19Z</dcterms:created>
  <dcterms:modified xsi:type="dcterms:W3CDTF">2017-02-13T14:04:54Z</dcterms:modified>
</cp:coreProperties>
</file>