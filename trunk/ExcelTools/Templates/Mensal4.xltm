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10185" yWindow="-15" windowWidth="10305" windowHeight="8400"/>
  </bookViews>
  <sheets>
    <sheet name="Geral" sheetId="4" r:id="rId1"/>
    <sheet name="Hidrologia - 1" sheetId="14" r:id="rId2"/>
    <sheet name="XML" sheetId="15" state="hidden" r:id="rId3"/>
  </sheets>
  <functionGroups builtInGroupCount="17"/>
  <definedNames>
    <definedName name="_alteracao">Geral!$B$114:$J$126</definedName>
    <definedName name="_arvore">Geral!$C$108:$N$108</definedName>
    <definedName name="_CaminhoXml">Geral!$C$5</definedName>
    <definedName name="_DecompBase">Geral!$C$9</definedName>
    <definedName name="_earm">Geral!$B$15:$O$23</definedName>
    <definedName name="_ena" localSheetId="1">'Hidrologia - 1'!$D$38:$O$41</definedName>
    <definedName name="_enaMeta" localSheetId="1">'Hidrologia - 1'!$D$26:$O$29</definedName>
    <definedName name="_NewaveBase">Geral!$C$8</definedName>
    <definedName name="_nome" localSheetId="1">'Hidrologia - 1'!$C$4</definedName>
    <definedName name="_NomeDoEstudo">Geral!$C$3</definedName>
    <definedName name="_rhe">Geral!$C$31</definedName>
    <definedName name="_rhq">Geral!$N$31</definedName>
    <definedName name="_rhv">Geral!$Y$31</definedName>
    <definedName name="_tipoEarm">Geral!$B$14</definedName>
    <definedName name="_var" localSheetId="1">'Hidrologia - 1'!$D$32:$O$35</definedName>
    <definedName name="_varInf" localSheetId="1">'Hidrologia - 1'!$C$34</definedName>
    <definedName name="_varSup" localSheetId="1">'Hidrologia - 1'!$C$32</definedName>
    <definedName name="_vazoes" localSheetId="1">'Hidrologia - 1'!$B$44:$O$363</definedName>
    <definedName name="_ve">Geral!$B$134:$N$166</definedName>
    <definedName name="_wbCen">Geral!$B$169</definedName>
  </definedNames>
  <calcPr calcId="145621"/>
</workbook>
</file>

<file path=xl/calcChain.xml><?xml version="1.0" encoding="utf-8"?>
<calcChain xmlns="http://schemas.openxmlformats.org/spreadsheetml/2006/main">
  <c r="C4" i="4" l="1"/>
  <c r="C5" i="4" l="1"/>
  <c r="A353" i="15" l="1"/>
  <c r="A354" i="15"/>
  <c r="A355" i="15"/>
  <c r="A356" i="15"/>
  <c r="A357" i="15"/>
  <c r="A358" i="15"/>
  <c r="A359" i="15"/>
  <c r="A360" i="15"/>
  <c r="A361" i="15"/>
  <c r="A362" i="15"/>
  <c r="A363" i="15"/>
  <c r="A364" i="15"/>
  <c r="A365" i="15"/>
  <c r="A366" i="15"/>
  <c r="A367" i="15"/>
  <c r="A368" i="15"/>
  <c r="A369" i="15"/>
  <c r="A370" i="15"/>
  <c r="A371" i="15"/>
  <c r="A372" i="15"/>
  <c r="A373" i="15"/>
  <c r="A374" i="15"/>
  <c r="A375" i="15"/>
  <c r="A376" i="15"/>
  <c r="A377" i="15"/>
  <c r="A378" i="15"/>
  <c r="A379" i="15"/>
  <c r="A380" i="15"/>
  <c r="A381" i="15"/>
  <c r="A382" i="15"/>
  <c r="A383" i="15"/>
  <c r="A384" i="15"/>
  <c r="A385" i="15"/>
  <c r="A386" i="15"/>
  <c r="A387" i="15"/>
  <c r="A388" i="15"/>
  <c r="A389" i="15"/>
  <c r="A390" i="15"/>
  <c r="A391" i="15"/>
  <c r="A392" i="15"/>
  <c r="A393" i="15"/>
  <c r="A394" i="15"/>
  <c r="A395" i="15"/>
  <c r="A396" i="15"/>
  <c r="A397" i="15"/>
  <c r="A398" i="15"/>
  <c r="A399" i="15"/>
  <c r="A400" i="15"/>
  <c r="A401" i="15"/>
  <c r="A402" i="15"/>
  <c r="A403" i="15"/>
  <c r="A404" i="15"/>
  <c r="A405" i="15"/>
  <c r="A406" i="15"/>
  <c r="A407" i="15"/>
  <c r="A408" i="15"/>
  <c r="A409" i="15"/>
  <c r="A410" i="15"/>
  <c r="A411" i="15"/>
  <c r="A412" i="15"/>
  <c r="A413" i="15"/>
  <c r="A414" i="15"/>
  <c r="A415" i="15"/>
  <c r="A416" i="15"/>
  <c r="A417" i="15"/>
  <c r="A418" i="15"/>
  <c r="A419" i="15"/>
  <c r="A420" i="15"/>
  <c r="A421" i="15"/>
  <c r="A422" i="15"/>
  <c r="A423" i="15"/>
  <c r="A424" i="15"/>
  <c r="A425" i="15"/>
  <c r="A426" i="15"/>
  <c r="A427" i="15"/>
  <c r="A428" i="15"/>
  <c r="A429" i="15"/>
  <c r="A430" i="15"/>
  <c r="A431" i="15"/>
  <c r="A432" i="15"/>
  <c r="A433" i="15"/>
  <c r="A434" i="15"/>
  <c r="A435" i="15"/>
  <c r="A436" i="15"/>
  <c r="A437" i="15"/>
  <c r="A438" i="15"/>
  <c r="A439" i="15"/>
  <c r="A440" i="15"/>
  <c r="A441" i="15"/>
  <c r="A442" i="15"/>
  <c r="A443" i="15"/>
  <c r="A444" i="15"/>
  <c r="A445" i="15"/>
  <c r="A446" i="15"/>
  <c r="A447" i="15"/>
  <c r="A448" i="15"/>
  <c r="A449" i="15"/>
  <c r="A450" i="15"/>
  <c r="A451" i="15"/>
  <c r="A452" i="15"/>
  <c r="A453" i="15"/>
  <c r="A454" i="15"/>
  <c r="A455" i="15"/>
  <c r="A456" i="15"/>
  <c r="A457" i="15"/>
  <c r="A458" i="15"/>
  <c r="A459" i="15"/>
  <c r="A460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208" i="15"/>
  <c r="A209" i="15"/>
  <c r="A210" i="15"/>
  <c r="A211" i="15"/>
  <c r="A212" i="15"/>
  <c r="A213" i="15"/>
  <c r="A214" i="15"/>
  <c r="A215" i="15"/>
  <c r="A216" i="15"/>
  <c r="A217" i="15"/>
  <c r="A218" i="15"/>
  <c r="A219" i="15"/>
  <c r="A220" i="15"/>
  <c r="A221" i="15"/>
  <c r="A222" i="15"/>
  <c r="A223" i="15"/>
  <c r="A224" i="15"/>
  <c r="A225" i="15"/>
  <c r="A226" i="15"/>
  <c r="A227" i="15"/>
  <c r="A228" i="15"/>
  <c r="A229" i="15"/>
  <c r="A230" i="15"/>
  <c r="A231" i="15"/>
  <c r="A232" i="15"/>
  <c r="A233" i="15"/>
  <c r="A234" i="15"/>
  <c r="A235" i="15"/>
  <c r="A236" i="15"/>
  <c r="A237" i="15"/>
  <c r="A238" i="15"/>
  <c r="A239" i="15"/>
  <c r="A240" i="15"/>
  <c r="A241" i="15"/>
  <c r="A242" i="15"/>
  <c r="A243" i="15"/>
  <c r="A244" i="15"/>
  <c r="A245" i="15"/>
  <c r="A246" i="15"/>
  <c r="A247" i="15"/>
  <c r="A248" i="15"/>
  <c r="A249" i="15"/>
  <c r="A250" i="15"/>
  <c r="A251" i="15"/>
  <c r="A252" i="15"/>
  <c r="A253" i="15"/>
  <c r="A254" i="15"/>
  <c r="A255" i="15"/>
  <c r="A256" i="15"/>
  <c r="A257" i="15"/>
  <c r="A258" i="15"/>
  <c r="A259" i="15"/>
  <c r="A260" i="15"/>
  <c r="A261" i="15"/>
  <c r="A262" i="15"/>
  <c r="A263" i="15"/>
  <c r="A264" i="15"/>
  <c r="A265" i="15"/>
  <c r="A266" i="15"/>
  <c r="A267" i="15"/>
  <c r="A268" i="15"/>
  <c r="A269" i="15"/>
  <c r="A270" i="15"/>
  <c r="A271" i="15"/>
  <c r="A272" i="15"/>
  <c r="A273" i="15"/>
  <c r="A274" i="15"/>
  <c r="A275" i="15"/>
  <c r="A276" i="15"/>
  <c r="A277" i="15"/>
  <c r="A278" i="15"/>
  <c r="A279" i="15"/>
  <c r="A280" i="15"/>
  <c r="A281" i="15"/>
  <c r="A282" i="15"/>
  <c r="A283" i="15"/>
  <c r="A284" i="15"/>
  <c r="A285" i="15"/>
  <c r="A286" i="15"/>
  <c r="A287" i="15"/>
  <c r="A288" i="15"/>
  <c r="A289" i="15"/>
  <c r="A290" i="15"/>
  <c r="A291" i="15"/>
  <c r="A292" i="15"/>
  <c r="A293" i="15"/>
  <c r="A294" i="15"/>
  <c r="A295" i="15"/>
  <c r="A296" i="15"/>
  <c r="A297" i="15"/>
  <c r="A298" i="15"/>
  <c r="A299" i="15"/>
  <c r="A300" i="15"/>
  <c r="A301" i="15"/>
  <c r="A302" i="15"/>
  <c r="A303" i="15"/>
  <c r="A304" i="15"/>
  <c r="A305" i="15"/>
  <c r="A306" i="15"/>
  <c r="A307" i="15"/>
  <c r="A308" i="15"/>
  <c r="A309" i="15"/>
  <c r="A310" i="15"/>
  <c r="A311" i="15"/>
  <c r="A312" i="15"/>
  <c r="A313" i="15"/>
  <c r="A314" i="15"/>
  <c r="A315" i="15"/>
  <c r="A316" i="15"/>
  <c r="A317" i="15"/>
  <c r="A318" i="15"/>
  <c r="A319" i="15"/>
  <c r="A320" i="15"/>
  <c r="A321" i="15"/>
  <c r="A322" i="15"/>
  <c r="A323" i="15"/>
  <c r="A324" i="15"/>
  <c r="A325" i="15"/>
  <c r="A326" i="15"/>
  <c r="A327" i="15"/>
  <c r="A328" i="15"/>
  <c r="A329" i="15"/>
  <c r="A330" i="15"/>
  <c r="A331" i="15"/>
  <c r="A332" i="15"/>
  <c r="A333" i="15"/>
  <c r="A334" i="15"/>
  <c r="A335" i="15"/>
  <c r="A336" i="15"/>
  <c r="A337" i="15"/>
  <c r="A338" i="15"/>
  <c r="A339" i="15"/>
  <c r="A340" i="15"/>
  <c r="A341" i="15"/>
  <c r="A342" i="15"/>
  <c r="A343" i="15"/>
  <c r="A344" i="15"/>
  <c r="A345" i="15"/>
  <c r="A346" i="15"/>
  <c r="A347" i="15"/>
  <c r="A348" i="15"/>
  <c r="A349" i="15"/>
  <c r="A350" i="15"/>
  <c r="A351" i="15"/>
  <c r="A352" i="15"/>
  <c r="A141" i="15"/>
  <c r="C142" i="15"/>
  <c r="C143" i="15"/>
  <c r="C144" i="15"/>
  <c r="C145" i="15"/>
  <c r="C146" i="15"/>
  <c r="C147" i="15"/>
  <c r="C148" i="15"/>
  <c r="C149" i="15"/>
  <c r="C150" i="15"/>
  <c r="C151" i="15"/>
  <c r="C152" i="15"/>
  <c r="C153" i="15"/>
  <c r="C154" i="15"/>
  <c r="C155" i="15"/>
  <c r="C156" i="15"/>
  <c r="C157" i="15"/>
  <c r="C158" i="15"/>
  <c r="C159" i="15"/>
  <c r="C160" i="15"/>
  <c r="C161" i="15"/>
  <c r="C162" i="15"/>
  <c r="C163" i="15"/>
  <c r="C164" i="15"/>
  <c r="C165" i="15"/>
  <c r="C166" i="15"/>
  <c r="C167" i="15"/>
  <c r="C168" i="15"/>
  <c r="C169" i="15"/>
  <c r="C170" i="15"/>
  <c r="C171" i="15"/>
  <c r="C172" i="15"/>
  <c r="C173" i="15"/>
  <c r="C174" i="15"/>
  <c r="C175" i="15"/>
  <c r="C176" i="15"/>
  <c r="C177" i="15"/>
  <c r="C178" i="15"/>
  <c r="C179" i="15"/>
  <c r="C180" i="15"/>
  <c r="C181" i="15"/>
  <c r="C182" i="15"/>
  <c r="C183" i="15"/>
  <c r="C184" i="15"/>
  <c r="C185" i="15"/>
  <c r="C186" i="15"/>
  <c r="C187" i="15"/>
  <c r="C188" i="15"/>
  <c r="C189" i="15"/>
  <c r="C190" i="15"/>
  <c r="C191" i="15"/>
  <c r="C192" i="15"/>
  <c r="C193" i="15"/>
  <c r="C194" i="15"/>
  <c r="C195" i="15"/>
  <c r="C196" i="15"/>
  <c r="C197" i="15"/>
  <c r="C198" i="15"/>
  <c r="C199" i="15"/>
  <c r="C200" i="15"/>
  <c r="C201" i="15"/>
  <c r="C202" i="15"/>
  <c r="C203" i="15"/>
  <c r="C204" i="15"/>
  <c r="C205" i="15"/>
  <c r="C206" i="15"/>
  <c r="C207" i="15"/>
  <c r="C208" i="15"/>
  <c r="C209" i="15"/>
  <c r="C210" i="15"/>
  <c r="C211" i="15"/>
  <c r="C212" i="15"/>
  <c r="C213" i="15"/>
  <c r="C214" i="15"/>
  <c r="C215" i="15"/>
  <c r="C216" i="15"/>
  <c r="C217" i="15"/>
  <c r="C218" i="15"/>
  <c r="C219" i="15"/>
  <c r="C220" i="15"/>
  <c r="C221" i="15"/>
  <c r="C222" i="15"/>
  <c r="C223" i="15"/>
  <c r="C224" i="15"/>
  <c r="C225" i="15"/>
  <c r="C226" i="15"/>
  <c r="C227" i="15"/>
  <c r="C228" i="15"/>
  <c r="C229" i="15"/>
  <c r="C230" i="15"/>
  <c r="C231" i="15"/>
  <c r="C232" i="15"/>
  <c r="C233" i="15"/>
  <c r="C234" i="15"/>
  <c r="C235" i="15"/>
  <c r="C236" i="15"/>
  <c r="C237" i="15"/>
  <c r="C238" i="15"/>
  <c r="C239" i="15"/>
  <c r="C240" i="15"/>
  <c r="C241" i="15"/>
  <c r="C242" i="15"/>
  <c r="C243" i="15"/>
  <c r="C244" i="15"/>
  <c r="C245" i="15"/>
  <c r="C246" i="15"/>
  <c r="C247" i="15"/>
  <c r="C248" i="15"/>
  <c r="C249" i="15"/>
  <c r="C250" i="15"/>
  <c r="C251" i="15"/>
  <c r="C252" i="15"/>
  <c r="C253" i="15"/>
  <c r="C254" i="15"/>
  <c r="C255" i="15"/>
  <c r="C256" i="15"/>
  <c r="C257" i="15"/>
  <c r="C258" i="15"/>
  <c r="C259" i="15"/>
  <c r="C260" i="15"/>
  <c r="C261" i="15"/>
  <c r="C262" i="15"/>
  <c r="C263" i="15"/>
  <c r="C264" i="15"/>
  <c r="C265" i="15"/>
  <c r="C266" i="15"/>
  <c r="C267" i="15"/>
  <c r="C268" i="15"/>
  <c r="C269" i="15"/>
  <c r="C270" i="15"/>
  <c r="C271" i="15"/>
  <c r="C272" i="15"/>
  <c r="C273" i="15"/>
  <c r="C274" i="15"/>
  <c r="C275" i="15"/>
  <c r="C276" i="15"/>
  <c r="C277" i="15"/>
  <c r="C278" i="15"/>
  <c r="C279" i="15"/>
  <c r="C280" i="15"/>
  <c r="C281" i="15"/>
  <c r="C282" i="15"/>
  <c r="C283" i="15"/>
  <c r="C284" i="15"/>
  <c r="C285" i="15"/>
  <c r="C286" i="15"/>
  <c r="C287" i="15"/>
  <c r="C288" i="15"/>
  <c r="C289" i="15"/>
  <c r="C290" i="15"/>
  <c r="C291" i="15"/>
  <c r="C292" i="15"/>
  <c r="C293" i="15"/>
  <c r="C294" i="15"/>
  <c r="C295" i="15"/>
  <c r="C296" i="15"/>
  <c r="C297" i="15"/>
  <c r="C298" i="15"/>
  <c r="C299" i="15"/>
  <c r="C300" i="15"/>
  <c r="C301" i="15"/>
  <c r="C302" i="15"/>
  <c r="C303" i="15"/>
  <c r="C304" i="15"/>
  <c r="C305" i="15"/>
  <c r="C306" i="15"/>
  <c r="C307" i="15"/>
  <c r="C308" i="15"/>
  <c r="C309" i="15"/>
  <c r="C310" i="15"/>
  <c r="C311" i="15"/>
  <c r="C312" i="15"/>
  <c r="C313" i="15"/>
  <c r="C314" i="15"/>
  <c r="C315" i="15"/>
  <c r="C316" i="15"/>
  <c r="C317" i="15"/>
  <c r="C318" i="15"/>
  <c r="C319" i="15"/>
  <c r="C320" i="15"/>
  <c r="C321" i="15"/>
  <c r="C322" i="15"/>
  <c r="C323" i="15"/>
  <c r="C324" i="15"/>
  <c r="C325" i="15"/>
  <c r="C326" i="15"/>
  <c r="C327" i="15"/>
  <c r="C328" i="15"/>
  <c r="C329" i="15"/>
  <c r="C330" i="15"/>
  <c r="C331" i="15"/>
  <c r="C332" i="15"/>
  <c r="C333" i="15"/>
  <c r="C334" i="15"/>
  <c r="C335" i="15"/>
  <c r="C336" i="15"/>
  <c r="C337" i="15"/>
  <c r="C338" i="15"/>
  <c r="C339" i="15"/>
  <c r="C340" i="15"/>
  <c r="C341" i="15"/>
  <c r="C342" i="15"/>
  <c r="C343" i="15"/>
  <c r="C344" i="15"/>
  <c r="C345" i="15"/>
  <c r="C346" i="15"/>
  <c r="C347" i="15"/>
  <c r="C348" i="15"/>
  <c r="C349" i="15"/>
  <c r="C350" i="15"/>
  <c r="C351" i="15"/>
  <c r="C352" i="15"/>
  <c r="C353" i="15"/>
  <c r="C354" i="15"/>
  <c r="C355" i="15"/>
  <c r="C356" i="15"/>
  <c r="C357" i="15"/>
  <c r="C358" i="15"/>
  <c r="C359" i="15"/>
  <c r="C360" i="15"/>
  <c r="C361" i="15"/>
  <c r="C362" i="15"/>
  <c r="C363" i="15"/>
  <c r="C364" i="15"/>
  <c r="C365" i="15"/>
  <c r="C366" i="15"/>
  <c r="C367" i="15"/>
  <c r="C368" i="15"/>
  <c r="C369" i="15"/>
  <c r="C370" i="15"/>
  <c r="C371" i="15"/>
  <c r="C372" i="15"/>
  <c r="C373" i="15"/>
  <c r="C374" i="15"/>
  <c r="C375" i="15"/>
  <c r="C376" i="15"/>
  <c r="C377" i="15"/>
  <c r="C378" i="15"/>
  <c r="C379" i="15"/>
  <c r="C380" i="15"/>
  <c r="C381" i="15"/>
  <c r="C382" i="15"/>
  <c r="C383" i="15"/>
  <c r="C384" i="15"/>
  <c r="C385" i="15"/>
  <c r="C386" i="15"/>
  <c r="C387" i="15"/>
  <c r="C388" i="15"/>
  <c r="C389" i="15"/>
  <c r="C390" i="15"/>
  <c r="C391" i="15"/>
  <c r="C392" i="15"/>
  <c r="C393" i="15"/>
  <c r="C394" i="15"/>
  <c r="C395" i="15"/>
  <c r="C396" i="15"/>
  <c r="C397" i="15"/>
  <c r="C398" i="15"/>
  <c r="C399" i="15"/>
  <c r="C400" i="15"/>
  <c r="C401" i="15"/>
  <c r="C402" i="15"/>
  <c r="C403" i="15"/>
  <c r="C404" i="15"/>
  <c r="C405" i="15"/>
  <c r="C406" i="15"/>
  <c r="C407" i="15"/>
  <c r="C408" i="15"/>
  <c r="C409" i="15"/>
  <c r="C410" i="15"/>
  <c r="C411" i="15"/>
  <c r="C412" i="15"/>
  <c r="C413" i="15"/>
  <c r="C414" i="15"/>
  <c r="C415" i="15"/>
  <c r="C416" i="15"/>
  <c r="C417" i="15"/>
  <c r="C418" i="15"/>
  <c r="C419" i="15"/>
  <c r="C420" i="15"/>
  <c r="C421" i="15"/>
  <c r="C422" i="15"/>
  <c r="C423" i="15"/>
  <c r="C424" i="15"/>
  <c r="C425" i="15"/>
  <c r="C426" i="15"/>
  <c r="C427" i="15"/>
  <c r="C428" i="15"/>
  <c r="C429" i="15"/>
  <c r="C430" i="15"/>
  <c r="C431" i="15"/>
  <c r="C432" i="15"/>
  <c r="C433" i="15"/>
  <c r="C434" i="15"/>
  <c r="C435" i="15"/>
  <c r="C436" i="15"/>
  <c r="C437" i="15"/>
  <c r="C438" i="15"/>
  <c r="C439" i="15"/>
  <c r="C440" i="15"/>
  <c r="C441" i="15"/>
  <c r="C442" i="15"/>
  <c r="C443" i="15"/>
  <c r="C444" i="15"/>
  <c r="C445" i="15"/>
  <c r="C446" i="15"/>
  <c r="C447" i="15"/>
  <c r="C448" i="15"/>
  <c r="C449" i="15"/>
  <c r="C450" i="15"/>
  <c r="C451" i="15"/>
  <c r="C452" i="15"/>
  <c r="C453" i="15"/>
  <c r="C454" i="15"/>
  <c r="C455" i="15"/>
  <c r="C456" i="15"/>
  <c r="C457" i="15"/>
  <c r="C458" i="15"/>
  <c r="C459" i="15"/>
  <c r="C460" i="15"/>
  <c r="C141" i="15"/>
  <c r="A104" i="15"/>
  <c r="A107" i="15"/>
  <c r="A90" i="15"/>
  <c r="A89" i="15"/>
  <c r="A88" i="15"/>
  <c r="A87" i="15"/>
  <c r="C83" i="15"/>
  <c r="A83" i="15" s="1"/>
  <c r="C84" i="15"/>
  <c r="A84" i="15" s="1"/>
  <c r="C85" i="15"/>
  <c r="A85" i="15" s="1"/>
  <c r="C86" i="15"/>
  <c r="A86" i="15" s="1"/>
  <c r="C87" i="15"/>
  <c r="C88" i="15"/>
  <c r="C89" i="15"/>
  <c r="C90" i="15"/>
  <c r="C91" i="15"/>
  <c r="A82" i="15"/>
  <c r="A37" i="15"/>
  <c r="C8" i="4"/>
  <c r="A10" i="15" s="1"/>
  <c r="A7" i="15"/>
</calcChain>
</file>

<file path=xl/comments1.xml><?xml version="1.0" encoding="utf-8"?>
<comments xmlns="http://schemas.openxmlformats.org/spreadsheetml/2006/main">
  <authors>
    <author>Douglas Canducci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Douglas Canducci:</t>
        </r>
        <r>
          <rPr>
            <sz val="8"/>
            <color indexed="81"/>
            <rFont val="Tahoma"/>
            <family val="2"/>
          </rPr>
          <t xml:space="preserve">
Inserir caminho com resultados do encadeado newave</t>
        </r>
      </text>
    </comment>
    <comment ref="D113" authorId="0">
      <text>
        <r>
          <rPr>
            <b/>
            <sz val="8"/>
            <color indexed="81"/>
            <rFont val="Tahoma"/>
            <family val="2"/>
          </rPr>
          <t>Douglas Canducci:</t>
        </r>
        <r>
          <rPr>
            <sz val="8"/>
            <color indexed="81"/>
            <rFont val="Tahoma"/>
            <family val="2"/>
          </rPr>
          <t xml:space="preserve">
Para aplicar a todos os meses, usar "*"</t>
        </r>
      </text>
    </comment>
  </commentList>
</comments>
</file>

<file path=xl/sharedStrings.xml><?xml version="1.0" encoding="utf-8"?>
<sst xmlns="http://schemas.openxmlformats.org/spreadsheetml/2006/main" count="381" uniqueCount="124">
  <si>
    <t>LQ</t>
  </si>
  <si>
    <t>LV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</si>
  <si>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</si>
  <si>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</si>
  <si>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</si>
  <si>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</si>
  <si>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</si>
  <si>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</si>
  <si>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</si>
  <si>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</si>
  <si>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</si>
  <si>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</si>
  <si>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</si>
  <si>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</si>
  <si>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LU</t>
  </si>
  <si>
    <t>Decomp</t>
  </si>
  <si>
    <t>Patamar 1</t>
  </si>
  <si>
    <t>Patamar 2</t>
  </si>
  <si>
    <t>Patamar 3</t>
  </si>
  <si>
    <t>Inferior</t>
  </si>
  <si>
    <t>Superior</t>
  </si>
  <si>
    <t>Elétrica (MWmed)</t>
  </si>
  <si>
    <t>Volume (hm³)</t>
  </si>
  <si>
    <t>Vazões Previstas (m³/s) por posto</t>
  </si>
  <si>
    <t>Armazenamento Final (%) por</t>
  </si>
  <si>
    <t>MERCADO</t>
  </si>
  <si>
    <t>Encad Newave</t>
  </si>
  <si>
    <t>Usina</t>
  </si>
  <si>
    <t>Mês</t>
  </si>
  <si>
    <t>Volume Espera (%) por UH</t>
  </si>
  <si>
    <r>
      <t>Vazão (m</t>
    </r>
    <r>
      <rPr>
        <b/>
        <sz val="11"/>
        <color theme="0"/>
        <rFont val="Calibri"/>
        <family val="2"/>
      </rPr>
      <t>³</t>
    </r>
    <r>
      <rPr>
        <b/>
        <sz val="11"/>
        <color theme="0"/>
        <rFont val="Calibri"/>
        <family val="2"/>
        <scheme val="minor"/>
      </rPr>
      <t>/s)</t>
    </r>
  </si>
  <si>
    <t>Árvore de Cenários 2o mês</t>
  </si>
  <si>
    <t>Alterações de Cadastro</t>
  </si>
  <si>
    <t>Valor 1</t>
  </si>
  <si>
    <t>Valor 2</t>
  </si>
  <si>
    <t>Valor 3</t>
  </si>
  <si>
    <t>Mnemonico</t>
  </si>
  <si>
    <t>*</t>
  </si>
  <si>
    <t>Exemplo:</t>
  </si>
  <si>
    <t>NUMPOS</t>
  </si>
  <si>
    <t>S</t>
  </si>
  <si>
    <t>NE</t>
  </si>
  <si>
    <t>N</t>
  </si>
  <si>
    <t>Estágio</t>
  </si>
  <si>
    <t>Para referenciar a restrição pelo seu número (NUM) utilize #NUM, exemplo: #144</t>
  </si>
  <si>
    <t>Entrada</t>
  </si>
  <si>
    <t>SE/CO</t>
  </si>
  <si>
    <t>Nome</t>
  </si>
  <si>
    <t>285;287</t>
  </si>
  <si>
    <t>FC-NE;SE-NE</t>
  </si>
  <si>
    <t xml:space="preserve">SE-NE;SE-FC </t>
  </si>
  <si>
    <t>%MLT META do cenário</t>
  </si>
  <si>
    <t>%MLT Cálculado</t>
  </si>
  <si>
    <t>Passos para cima</t>
  </si>
  <si>
    <t>Passos para baixo</t>
  </si>
  <si>
    <t>DEZ (ano -1)</t>
  </si>
  <si>
    <t>Variação entre cenários</t>
  </si>
  <si>
    <t>base</t>
  </si>
  <si>
    <t>&lt;?xml version="1.0" encoding="UTF-8" standalone="no" ?&gt;</t>
  </si>
  <si>
    <t>&lt;Configuracoes xmlns=""&gt;</t>
  </si>
  <si>
    <t>&lt;!-- Nome padrão do arquivo de caso do caso NEWAVE. --&gt;</t>
  </si>
  <si>
    <t>&lt;NomeArquivoCaso&gt;caso.dat&lt;/NomeArquivoCaso&gt;</t>
  </si>
  <si>
    <t>&lt;!-- Caminho completo do diretório com o deck inicial. --&gt;</t>
  </si>
  <si>
    <t>&lt;!-- Caminho completo do diretório no qual serão gravados os decks gerados. --&gt;</t>
  </si>
  <si>
    <t>&lt;!-- Caminho completo do executável do NEWAVE. --&gt;</t>
  </si>
  <si>
    <t>&lt;!-- Caminho completo do executável do NEWDESP. --&gt;</t>
  </si>
  <si>
    <t>&lt;!-- Caminho completo do executável do NWLISTOP. --&gt;</t>
  </si>
  <si>
    <t>&lt;!-- Valor máximo de PLD para ser usado de filtro para gravar saídas. --&gt;</t>
  </si>
  <si>
    <t>&lt;PLDMaximo&gt;822.83&lt;/PLDMaximo&gt;</t>
  </si>
  <si>
    <t>&lt;!-- Valor mínimo de PLD para ser usado de filtro para gravar saídas. --&gt;</t>
  </si>
  <si>
    <t>&lt;PLDMinimo&gt;15.62&lt;/PLDMinimo&gt;</t>
  </si>
  <si>
    <t>&lt;!-- Tipo de simulação final a ser executada em cada caso (0 = não simula nada; 2 = simulação histórica; 1 = simulação sintética; 3 = checar consistência). --&gt;</t>
  </si>
  <si>
    <t>&lt;!-- Utilizar o resultado de uma simulação do NEWDESP para obtenção do volume inicial de cada estágio posterior, ao invés dos resultados por série do NEWAVE. --&gt;</t>
  </si>
  <si>
    <t>&lt;UsarNEWDESP&gt;1&lt;/UsarNEWDESP&gt;</t>
  </si>
  <si>
    <t>&lt;!-- Utilizar o resultado de uma simulação do NEWDESP para obtenção do CMO de cada mês, ao invés dos resultados por série do NEWAVE. --&gt;</t>
  </si>
  <si>
    <t>&lt;PrecoNEWDESP&gt;1&lt;/PrecoNEWDESP&gt;</t>
  </si>
  <si>
    <t>&lt;!-- Número de meses a avançar na simulação, sem incluir o mês inicial. --&gt;</t>
  </si>
  <si>
    <t>&lt;!-- Decidir se utiliza uma série de ENA definida para cada submercado, bem como fornecer as séries. Valores em MWmês. --&gt;</t>
  </si>
  <si>
    <t>&lt;DefinirPrevisaoENA&gt;0&lt;/DefinirPrevisaoENA&gt;</t>
  </si>
  <si>
    <t>&lt;!-- Decidir se utiliza uma série de mercados de consumo para cada submercado, bem como fornecer as séries. Valores em MWmês. --&gt;</t>
  </si>
  <si>
    <t>&lt;DefinirMercados&gt;0&lt;/DefinirMercados&gt;</t>
  </si>
  <si>
    <t>&lt;Mercado SubMercado="1" MesReferencia="1"&gt;  &lt;/Mercado&gt;</t>
  </si>
  <si>
    <t>&lt;Mercado SubMercado="2" MesReferencia="1"&gt;  &lt;/Mercado&gt;</t>
  </si>
  <si>
    <t>&lt;Mercado SubMercado="3" MesReferencia="1"&gt;  &lt;/Mercado&gt;</t>
  </si>
  <si>
    <t>&lt;Mercado SubMercado="4" MesReferencia="1"&gt;  &lt;/Mercado&gt;</t>
  </si>
  <si>
    <t>&lt;!-- Definir os volumes armazenados iniciais por submercado, para execução do NEWDESP no primeiro mês. Níveis em MWmês --&gt;</t>
  </si>
  <si>
    <t>&lt;VolumeInicial SubMercado=""&gt; 0 &lt;/VolumeInicial&gt;</t>
  </si>
  <si>
    <t>&lt;!-- Decidir se utiliza uma série de volumes mínimos de Procedimento Operativo para cada submercado, bem como fornecer as séries. Valores em %. --&gt;</t>
  </si>
  <si>
    <t>&lt;DefinirVolumesPO&gt;1&lt;/DefinirVolumesPO&gt;</t>
  </si>
  <si>
    <t>&lt;!-- Ler apenas os resultados, ao invés de executar as simulações (útil para testes e para se reescrever resultados. --&gt;</t>
  </si>
  <si>
    <t>&lt;Leitura&gt;0&lt;/Leitura&gt;</t>
  </si>
  <si>
    <t>&lt;!-- Nome do arquivo com dados de resultados do encadeado. O arquivo com séries resultantes terá um sufixo adicionado a este nome. --&gt;</t>
  </si>
  <si>
    <t>&lt;!-- Nome do arquivo de atividades do encadeado. --&gt;</t>
  </si>
  <si>
    <t>&lt;!-- Nome do arquivo de formatos do NEWAVE. Deve estar presente no deck de entrada utilizado. --&gt;</t>
  </si>
  <si>
    <t>&lt;ArquivoFormatos&gt;format.tmp&lt;/ArquivoFormatos&gt;</t>
  </si>
  <si>
    <t>&lt;!-- Nome do arquivo de mensagens do NEWAVE. Deve estar presente no deck de entrada utilizado. --&gt;</t>
  </si>
  <si>
    <t>&lt;ArquivoMensagens&gt;mensag.tmp&lt;/ArquivoMensagens&gt;</t>
  </si>
  <si>
    <t>&lt;!-- pamaral: Campos novos no arquivo de XML de entrada --&gt;</t>
  </si>
  <si>
    <t>&lt;!-- Caminho clompleto do gerenciador de processos. --&gt;</t>
  </si>
  <si>
    <t>&lt;ExecutavelGERENCIADOR&gt;/opt/aplicacoes/newave/bin/&lt;/ExecutavelGERENCIADOR&gt;</t>
  </si>
  <si>
    <t>&lt;!-- Flag para utilização do gerenciador externo de processos --&gt;</t>
  </si>
  <si>
    <t>&lt;UsarGerenciamentoPLS&gt;1&lt;/UsarGerenciamentoPLS&gt;</t>
  </si>
  <si>
    <t>&lt;!-- Flag para utilização da comunicação em dois níveis --&gt;</t>
  </si>
  <si>
    <t>&lt;ComunicarEmDoisNiveis&gt;1&lt;/ComunicarEmDoisNiveis&gt;</t>
  </si>
  <si>
    <t>&lt;!-- Flag para utilização de armazenamento local de arquivos temporários --&gt;</t>
  </si>
  <si>
    <t>&lt;!-- Flag para utilização de alocação em memória da energia natural afluente --&gt;</t>
  </si>
  <si>
    <t>&lt;AlocaEnaEmMemoria&gt;0&lt;/AlocaEnaEmMemoria&gt;</t>
  </si>
  <si>
    <t>&lt;!-- Flag para utilização de alocação em memória dos cortes da função de custo futuro --&gt;</t>
  </si>
  <si>
    <t>&lt;AlocaCortesEmMemoria&gt;0&lt;/AlocaCortesEmMemoria&gt;</t>
  </si>
  <si>
    <t>&lt;/Configuracoes&gt;</t>
  </si>
  <si>
    <t>Nome do caso</t>
  </si>
  <si>
    <t>Newave Base</t>
  </si>
  <si>
    <t>Camino xml</t>
  </si>
  <si>
    <t>&lt;TipoSimulacaoFinal&gt;3&lt;/TipoSimulacaoFinal&gt;</t>
  </si>
  <si>
    <t>&lt;PrevisaoENA SubMercado="1" MesReferencia="1"&gt; 0 0 0 0 0 0 0 0 0 0 0 0 &lt;/PrevisaoENA&gt;</t>
  </si>
  <si>
    <t>&lt;PrevisaoENA SubMercado="2" MesReferencia="1"&gt; 0 0 0 0 0 0 0 0 0 0 0 0 &lt;/PrevisaoENA&gt;</t>
  </si>
  <si>
    <t>&lt;PrevisaoENA SubMercado="3" MesReferencia="1"&gt; 0 0 0 0 0 0 0 0 0 0 0 0 &lt;/PrevisaoENA&gt;</t>
  </si>
  <si>
    <t>&lt;PrevisaoENA SubMercado="4" MesReferencia="1"&gt; 0 0 0 0 0 0 0 0 0 0 0 0 &lt;/PrevisaoENA&gt;</t>
  </si>
  <si>
    <t>&lt;ArquivosTemporarios&gt;1&lt;/ArquivosTemporarios&gt;</t>
  </si>
  <si>
    <t>201708_jul_e_base_140717_DOUG</t>
  </si>
  <si>
    <t>H:\Middle - Preço\Resultados_Modelos\DECOMP\CCEE_DC\2017\DC201707\DC201707-sem3</t>
  </si>
  <si>
    <t>&lt;ExecutavelNEWAVE&gt;/home/marco/PrevisaoPLD/cpas_ctl_common/scripts/newave23.sh&lt;/ExecutavelNEWAVE&gt;</t>
  </si>
  <si>
    <t>&lt;ExecutavelNEWDESP&gt;/home/marco/PrevisaoPLD/cpas_ctl_common/scripts/newdesp23.sh&lt;/ExecutavelNEWDESP&gt;</t>
  </si>
  <si>
    <t>&lt;ExecutavelNWLISTOP&gt;/home/marco/PrevisaoPLD/cpas_ctl_common/scripts/nwlistop23.sh&lt;/ExecutavelNWLISTOP&gt;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</si>
</sst>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4" formatCode="0.0%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0" tint="-4.9989318521683403E-2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6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 tint="0.24997711111789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109">
    <xf numFmtId="0" fontId="0" fillId="0" borderId="0" xfId="0"/>
    <xf numFmtId="0" fontId="1" fillId="3" borderId="0" xfId="0" applyFont="1" applyFill="1"/>
    <xf numFmtId="0" fontId="0" fillId="4" borderId="0" xfId="0" applyFill="1"/>
    <xf numFmtId="0" fontId="1" fillId="3" borderId="3" xfId="0" applyFont="1" applyFill="1" applyBorder="1"/>
    <xf numFmtId="0" fontId="0" fillId="4" borderId="3" xfId="0" applyFill="1" applyBorder="1"/>
    <xf numFmtId="0" fontId="0" fillId="4" borderId="2" xfId="0" applyFill="1" applyBorder="1"/>
    <xf numFmtId="0" fontId="0" fillId="4" borderId="1" xfId="0" applyFill="1" applyBorder="1"/>
    <xf numFmtId="0" fontId="1" fillId="3" borderId="0" xfId="0" applyFont="1" applyFill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0" fillId="4" borderId="1" xfId="0" applyFont="1" applyFill="1" applyBorder="1"/>
    <xf numFmtId="0" fontId="0" fillId="3" borderId="0" xfId="0" applyFont="1" applyFill="1" applyAlignment="1">
      <alignment horizontal="left"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0" fillId="4" borderId="3" xfId="0" applyFill="1" applyBorder="1" applyAlignment="1">
      <alignment horizontal="center"/>
    </xf>
    <xf numFmtId="9" fontId="0" fillId="4" borderId="3" xfId="1" applyFont="1" applyFill="1" applyBorder="1"/>
    <xf numFmtId="9" fontId="0" fillId="4" borderId="1" xfId="1" applyFont="1" applyFill="1" applyBorder="1"/>
    <xf numFmtId="0" fontId="1" fillId="3" borderId="0" xfId="0" applyFont="1" applyFill="1" applyAlignment="1">
      <alignment horizontal="center"/>
    </xf>
    <xf numFmtId="1" fontId="0" fillId="4" borderId="3" xfId="2" applyNumberFormat="1" applyFont="1" applyFill="1" applyBorder="1"/>
    <xf numFmtId="0" fontId="0" fillId="4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right"/>
    </xf>
    <xf numFmtId="0" fontId="0" fillId="5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right"/>
    </xf>
    <xf numFmtId="0" fontId="1" fillId="3" borderId="0" xfId="0" applyFont="1" applyFill="1" applyAlignment="1">
      <alignment horizontal="center"/>
    </xf>
    <xf numFmtId="0" fontId="2" fillId="2" borderId="0" xfId="0" applyFont="1" applyFill="1" applyAlignment="1">
      <alignment wrapText="1"/>
    </xf>
    <xf numFmtId="0" fontId="8" fillId="7" borderId="0" xfId="0" applyFont="1" applyFill="1"/>
    <xf numFmtId="0" fontId="10" fillId="8" borderId="4" xfId="0" applyFont="1" applyFill="1" applyBorder="1" applyAlignment="1">
      <alignment horizontal="center"/>
    </xf>
    <xf numFmtId="0" fontId="11" fillId="2" borderId="0" xfId="0" applyFont="1" applyFill="1"/>
    <xf numFmtId="9" fontId="6" fillId="4" borderId="0" xfId="1" applyNumberFormat="1" applyFill="1" applyBorder="1" applyAlignment="1">
      <alignment horizontal="center" vertical="center"/>
    </xf>
    <xf numFmtId="9" fontId="6" fillId="4" borderId="10" xfId="1" applyNumberFormat="1" applyFill="1" applyBorder="1" applyAlignment="1">
      <alignment horizontal="center" vertical="center"/>
    </xf>
    <xf numFmtId="9" fontId="6" fillId="4" borderId="8" xfId="1" applyNumberFormat="1" applyFill="1" applyBorder="1" applyAlignment="1">
      <alignment horizontal="center" vertical="center"/>
    </xf>
    <xf numFmtId="9" fontId="6" fillId="4" borderId="11" xfId="1" applyNumberFormat="1" applyFill="1" applyBorder="1" applyAlignment="1">
      <alignment horizontal="center" vertical="center"/>
    </xf>
    <xf numFmtId="9" fontId="12" fillId="4" borderId="0" xfId="1" applyNumberFormat="1" applyFont="1" applyFill="1" applyBorder="1" applyAlignment="1">
      <alignment horizontal="center" vertical="center"/>
    </xf>
    <xf numFmtId="9" fontId="6" fillId="4" borderId="12" xfId="1" applyNumberFormat="1" applyFill="1" applyBorder="1" applyAlignment="1">
      <alignment horizontal="center" vertical="center"/>
    </xf>
    <xf numFmtId="9" fontId="6" fillId="4" borderId="2" xfId="1" applyNumberFormat="1" applyFill="1" applyBorder="1" applyAlignment="1">
      <alignment horizontal="center" vertical="center"/>
    </xf>
    <xf numFmtId="9" fontId="6" fillId="4" borderId="13" xfId="1" applyNumberFormat="1" applyFill="1" applyBorder="1" applyAlignment="1">
      <alignment horizontal="center" vertical="center"/>
    </xf>
    <xf numFmtId="0" fontId="1" fillId="3" borderId="0" xfId="0" applyFont="1" applyFill="1" applyAlignment="1">
      <alignment horizontal="center"/>
    </xf>
    <xf numFmtId="9" fontId="0" fillId="0" borderId="0" xfId="0" applyNumberFormat="1"/>
    <xf numFmtId="0" fontId="1" fillId="3" borderId="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16" fillId="3" borderId="0" xfId="0" applyFont="1" applyFill="1"/>
    <xf numFmtId="0" fontId="14" fillId="4" borderId="3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9" fontId="15" fillId="2" borderId="7" xfId="1" applyNumberFormat="1" applyFont="1" applyFill="1" applyBorder="1" applyAlignment="1">
      <alignment horizontal="center" vertical="center"/>
    </xf>
    <xf numFmtId="9" fontId="15" fillId="2" borderId="9" xfId="1" applyNumberFormat="1" applyFont="1" applyFill="1" applyBorder="1" applyAlignment="1">
      <alignment horizontal="center" vertical="center"/>
    </xf>
    <xf numFmtId="9" fontId="15" fillId="2" borderId="0" xfId="1" applyNumberFormat="1" applyFont="1" applyFill="1" applyBorder="1" applyAlignment="1">
      <alignment horizontal="center" vertical="center"/>
    </xf>
    <xf numFmtId="9" fontId="15" fillId="2" borderId="10" xfId="1" applyNumberFormat="1" applyFont="1" applyFill="1" applyBorder="1" applyAlignment="1">
      <alignment horizontal="center" vertical="center"/>
    </xf>
    <xf numFmtId="9" fontId="15" fillId="2" borderId="8" xfId="1" applyNumberFormat="1" applyFont="1" applyFill="1" applyBorder="1" applyAlignment="1">
      <alignment horizontal="center" vertical="center"/>
    </xf>
    <xf numFmtId="9" fontId="15" fillId="2" borderId="11" xfId="1" applyNumberFormat="1" applyFont="1" applyFill="1" applyBorder="1" applyAlignment="1">
      <alignment horizontal="center" vertical="center"/>
    </xf>
    <xf numFmtId="9" fontId="6" fillId="4" borderId="7" xfId="1" applyNumberFormat="1" applyFont="1" applyFill="1" applyBorder="1" applyAlignment="1">
      <alignment horizontal="center" vertical="center"/>
    </xf>
    <xf numFmtId="9" fontId="6" fillId="4" borderId="9" xfId="1" applyNumberFormat="1" applyFont="1" applyFill="1" applyBorder="1" applyAlignment="1">
      <alignment horizontal="center" vertical="center"/>
    </xf>
    <xf numFmtId="9" fontId="6" fillId="4" borderId="0" xfId="1" applyNumberFormat="1" applyFont="1" applyFill="1" applyBorder="1" applyAlignment="1">
      <alignment horizontal="center" vertical="center"/>
    </xf>
    <xf numFmtId="9" fontId="6" fillId="4" borderId="10" xfId="1" applyNumberFormat="1" applyFont="1" applyFill="1" applyBorder="1" applyAlignment="1">
      <alignment horizontal="center" vertical="center"/>
    </xf>
    <xf numFmtId="9" fontId="6" fillId="4" borderId="8" xfId="1" applyNumberFormat="1" applyFont="1" applyFill="1" applyBorder="1" applyAlignment="1">
      <alignment horizontal="center" vertical="center"/>
    </xf>
    <xf numFmtId="9" fontId="6" fillId="4" borderId="11" xfId="1" applyNumberFormat="1" applyFont="1" applyFill="1" applyBorder="1" applyAlignment="1">
      <alignment horizontal="center" vertical="center"/>
    </xf>
    <xf numFmtId="0" fontId="2" fillId="2" borderId="7" xfId="0" applyFont="1" applyFill="1" applyBorder="1"/>
    <xf numFmtId="0" fontId="1" fillId="3" borderId="7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9" fontId="6" fillId="4" borderId="14" xfId="1" applyNumberFormat="1" applyFill="1" applyBorder="1" applyAlignment="1">
      <alignment horizontal="center" vertical="center"/>
    </xf>
    <xf numFmtId="9" fontId="6" fillId="4" borderId="15" xfId="1" applyNumberFormat="1" applyFill="1" applyBorder="1" applyAlignment="1">
      <alignment horizontal="center" vertical="center"/>
    </xf>
    <xf numFmtId="0" fontId="0" fillId="0" borderId="0" xfId="0" applyFont="1" applyBorder="1"/>
    <xf numFmtId="0" fontId="0" fillId="0" borderId="8" xfId="0" applyFont="1" applyBorder="1"/>
    <xf numFmtId="0" fontId="2" fillId="2" borderId="4" xfId="0" applyFont="1" applyFill="1" applyBorder="1"/>
    <xf numFmtId="0" fontId="0" fillId="3" borderId="5" xfId="0" applyFont="1" applyFill="1" applyBorder="1" applyAlignment="1">
      <alignment horizontal="left" vertical="center"/>
    </xf>
    <xf numFmtId="0" fontId="0" fillId="3" borderId="0" xfId="0" applyFont="1" applyFill="1" applyBorder="1" applyAlignment="1">
      <alignment horizontal="left" vertical="center"/>
    </xf>
    <xf numFmtId="0" fontId="0" fillId="4" borderId="16" xfId="0" applyFill="1" applyBorder="1"/>
    <xf numFmtId="0" fontId="0" fillId="4" borderId="17" xfId="0" applyFill="1" applyBorder="1"/>
    <xf numFmtId="0" fontId="0" fillId="3" borderId="6" xfId="0" applyFont="1" applyFill="1" applyBorder="1" applyAlignment="1">
      <alignment horizontal="left" vertical="center"/>
    </xf>
    <xf numFmtId="0" fontId="0" fillId="3" borderId="8" xfId="0" applyFont="1" applyFill="1" applyBorder="1" applyAlignment="1">
      <alignment horizontal="left" vertical="center"/>
    </xf>
    <xf numFmtId="0" fontId="0" fillId="4" borderId="18" xfId="0" applyFill="1" applyBorder="1"/>
    <xf numFmtId="0" fontId="0" fillId="4" borderId="19" xfId="0" applyFill="1" applyBorder="1"/>
    <xf numFmtId="164" fontId="0" fillId="4" borderId="3" xfId="1" applyNumberFormat="1" applyFont="1" applyFill="1" applyBorder="1" applyAlignment="1">
      <alignment horizontal="center"/>
    </xf>
    <xf numFmtId="164" fontId="0" fillId="4" borderId="1" xfId="1" applyNumberFormat="1" applyFont="1" applyFill="1" applyBorder="1" applyAlignment="1">
      <alignment horizontal="center"/>
    </xf>
    <xf numFmtId="0" fontId="10" fillId="10" borderId="5" xfId="0" applyFont="1" applyFill="1" applyBorder="1" applyAlignment="1">
      <alignment horizontal="center"/>
    </xf>
    <xf numFmtId="0" fontId="10" fillId="6" borderId="6" xfId="0" applyFont="1" applyFill="1" applyBorder="1" applyAlignment="1">
      <alignment horizontal="center"/>
    </xf>
    <xf numFmtId="0" fontId="10" fillId="9" borderId="5" xfId="0" applyFont="1" applyFill="1" applyBorder="1" applyAlignment="1">
      <alignment horizontal="center"/>
    </xf>
    <xf numFmtId="0" fontId="0" fillId="11" borderId="0" xfId="0" applyFill="1"/>
    <xf numFmtId="0" fontId="0" fillId="12" borderId="0" xfId="0" applyFill="1"/>
    <xf numFmtId="9" fontId="0" fillId="0" borderId="0" xfId="0" applyNumberFormat="1"/>
    <xf numFmtId="0" fontId="0" fillId="8" borderId="0" xfId="0" applyFill="1"/>
    <xf numFmtId="0" fontId="0" fillId="0" borderId="0" xfId="0"/>
    <xf numFmtId="9" fontId="0" fillId="0" borderId="0" xfId="0" applyNumberFormat="1"/>
    <xf numFmtId="164" fontId="0" fillId="4" borderId="3" xfId="1" applyNumberFormat="1" applyFont="1" applyFill="1" applyBorder="1"/>
    <xf numFmtId="164" fontId="0" fillId="4" borderId="1" xfId="1" applyNumberFormat="1" applyFont="1" applyFill="1" applyBorder="1"/>
    <xf numFmtId="0" fontId="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 wrapText="1"/>
    </xf>
    <xf numFmtId="0" fontId="2" fillId="2" borderId="4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0" fillId="3" borderId="5" xfId="0" applyFont="1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3" borderId="6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/>
    </xf>
    <xf numFmtId="0" fontId="10" fillId="8" borderId="0" xfId="0" applyFont="1" applyFill="1" applyBorder="1" applyAlignment="1">
      <alignment horizontal="center"/>
    </xf>
    <xf numFmtId="0" fontId="10" fillId="9" borderId="5" xfId="0" applyFont="1" applyFill="1" applyBorder="1" applyAlignment="1">
      <alignment horizontal="center"/>
    </xf>
    <xf numFmtId="0" fontId="10" fillId="9" borderId="0" xfId="0" applyFont="1" applyFill="1" applyBorder="1" applyAlignment="1">
      <alignment horizontal="center"/>
    </xf>
    <xf numFmtId="0" fontId="10" fillId="10" borderId="5" xfId="0" applyFont="1" applyFill="1" applyBorder="1" applyAlignment="1">
      <alignment horizontal="center"/>
    </xf>
    <xf numFmtId="0" fontId="10" fillId="10" borderId="0" xfId="0" applyFont="1" applyFill="1" applyBorder="1" applyAlignment="1">
      <alignment horizontal="center"/>
    </xf>
    <xf numFmtId="0" fontId="10" fillId="6" borderId="6" xfId="0" applyFont="1" applyFill="1" applyBorder="1" applyAlignment="1">
      <alignment horizontal="center"/>
    </xf>
    <xf numFmtId="0" fontId="10" fillId="6" borderId="8" xfId="0" applyFont="1" applyFill="1" applyBorder="1" applyAlignment="1">
      <alignment horizontal="center"/>
    </xf>
    <xf numFmtId="0" fontId="1" fillId="13" borderId="3" xfId="0" applyFont="1" applyFill="1" applyBorder="1"/>
    <xf numFmtId="0" fontId="0" fillId="13" borderId="3" xfId="0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7" fillId="4" borderId="3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</cellXfs>
  <cellStyles count="4">
    <cellStyle name="Normal" xfId="0" builtinId="0"/>
    <cellStyle name="Porcentagem" xfId="1" builtinId="5"/>
    <cellStyle name="Vírgula" xfId="2" builtinId="3"/>
    <cellStyle name="Vírgula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180975</xdr:rowOff>
        </xdr:from>
        <xdr:to>
          <xdr:col>1</xdr:col>
          <xdr:colOff>733425</xdr:colOff>
          <xdr:row>23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Carregar Vazpast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1162050</xdr:colOff>
          <xdr:row>20</xdr:row>
          <xdr:rowOff>180975</xdr:rowOff>
        </xdr:from>
        <xdr:to>
          <xdr:col>1</xdr:col>
          <xdr:colOff>1752600</xdr:colOff>
          <xdr:row>23</xdr:row>
          <xdr:rowOff>152400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Carregar Prevs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20</xdr:row>
          <xdr:rowOff>171450</xdr:rowOff>
        </xdr:from>
        <xdr:to>
          <xdr:col>3</xdr:col>
          <xdr:colOff>9525</xdr:colOff>
          <xdr:row>23</xdr:row>
          <xdr:rowOff>142875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Copiar Referencia (MLT)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25</xdr:row>
          <xdr:rowOff>19050</xdr:rowOff>
        </xdr:from>
        <xdr:to>
          <xdr:col>3</xdr:col>
          <xdr:colOff>0</xdr:colOff>
          <xdr:row>29</xdr:row>
          <xdr:rowOff>9525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Atingir meta e atuailzar Vazoes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361950</xdr:colOff>
          <xdr:row>20</xdr:row>
          <xdr:rowOff>171450</xdr:rowOff>
        </xdr:from>
        <xdr:to>
          <xdr:col>14</xdr:col>
          <xdr:colOff>561975</xdr:colOff>
          <xdr:row>23</xdr:row>
          <xdr:rowOff>114300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Novo 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200025</xdr:colOff>
          <xdr:row>31</xdr:row>
          <xdr:rowOff>47625</xdr:rowOff>
        </xdr:from>
        <xdr:to>
          <xdr:col>18</xdr:col>
          <xdr:colOff>180975</xdr:colOff>
          <xdr:row>34</xdr:row>
          <xdr:rowOff>142875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1" u="none" strike="noStrike" baseline="0">
                  <a:solidFill>
                    <a:srgbClr val="000000"/>
                  </a:solidFill>
                  <a:latin typeface="Calibri"/>
                </a:rPr>
                <a:t>Criar Cenários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AC456"/>
  <sheetViews>
    <sheetView showGridLines="0" tabSelected="1" topLeftCell="B1" zoomScale="85" zoomScaleNormal="85" workbookViewId="0">
      <selection activeCell="H12" sqref="H12"/>
    </sheetView>
  </sheetViews>
  <sheetFormatPr defaultRowHeight="15" zeroHeight="1" x14ac:dyDescent="0.25"/>
  <cols>
    <col min="1" max="1" width="20.7109375" customWidth="1"/>
    <col min="2" max="2" width="19.7109375" customWidth="1"/>
    <col min="3" max="3" width="14.85546875" customWidth="1"/>
    <col min="8" max="8" width="9.7109375" bestFit="1" customWidth="1"/>
    <col min="9" max="9" width="11.42578125" bestFit="1" customWidth="1"/>
    <col min="10" max="10" width="9.7109375" bestFit="1" customWidth="1"/>
    <col min="15" max="15" width="13.140625" customWidth="1"/>
  </cols>
  <sheetData>
    <row r="1" spans="2:18" x14ac:dyDescent="0.25"/>
    <row r="2" spans="2:18" x14ac:dyDescent="0.25">
      <c r="B2" s="86" t="s">
        <v>45</v>
      </c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</row>
    <row r="3" spans="2:18" x14ac:dyDescent="0.25">
      <c r="B3" s="3" t="s">
        <v>110</v>
      </c>
      <c r="C3" s="106" t="s">
        <v>119</v>
      </c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</row>
    <row r="4" spans="2:18" x14ac:dyDescent="0.25">
      <c r="B4" s="3" t="s">
        <v>111</v>
      </c>
      <c r="C4" s="107" t="str">
        <f>"L:\3_decks_entrada\"&amp;C3</f>
        <v>L:\3_decks_entrada\201708_jul_e_base_140717_DOUG</v>
      </c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R4" s="82"/>
    </row>
    <row r="5" spans="2:18" x14ac:dyDescent="0.25">
      <c r="B5" s="3" t="s">
        <v>112</v>
      </c>
      <c r="C5" s="107" t="str">
        <f>"L:\2_xml\"&amp;C3</f>
        <v>L:\2_xml\201708_jul_e_base_140717_DOUG</v>
      </c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</row>
    <row r="6" spans="2:18" x14ac:dyDescent="0.25">
      <c r="B6" s="104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</row>
    <row r="7" spans="2:18" x14ac:dyDescent="0.25">
      <c r="B7" s="104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</row>
    <row r="8" spans="2:18" x14ac:dyDescent="0.25">
      <c r="B8" s="3" t="s">
        <v>26</v>
      </c>
      <c r="C8" s="107" t="str">
        <f>"L:\4_resultados\"&amp;C3</f>
        <v>L:\4_resultados\201708_jul_e_base_140717_DOUG</v>
      </c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</row>
    <row r="9" spans="2:18" x14ac:dyDescent="0.25">
      <c r="B9" s="1" t="s">
        <v>15</v>
      </c>
      <c r="C9" s="108" t="s">
        <v>120</v>
      </c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</row>
    <row r="10" spans="2:18" x14ac:dyDescent="0.25"/>
    <row r="11" spans="2:18" x14ac:dyDescent="0.25"/>
    <row r="12" spans="2:18" x14ac:dyDescent="0.25"/>
    <row r="13" spans="2:18" ht="30" x14ac:dyDescent="0.25">
      <c r="B13" s="23" t="s">
        <v>24</v>
      </c>
    </row>
    <row r="14" spans="2:18" x14ac:dyDescent="0.25">
      <c r="B14" s="13" t="s">
        <v>25</v>
      </c>
      <c r="C14" s="8" t="s">
        <v>55</v>
      </c>
      <c r="D14" s="8" t="s">
        <v>2</v>
      </c>
      <c r="E14" s="8" t="s">
        <v>3</v>
      </c>
      <c r="F14" s="8" t="s">
        <v>4</v>
      </c>
      <c r="G14" s="8" t="s">
        <v>5</v>
      </c>
      <c r="H14" s="8" t="s">
        <v>6</v>
      </c>
      <c r="I14" s="8" t="s">
        <v>7</v>
      </c>
      <c r="J14" s="8" t="s">
        <v>8</v>
      </c>
      <c r="K14" s="8" t="s">
        <v>9</v>
      </c>
      <c r="L14" s="8" t="s">
        <v>10</v>
      </c>
      <c r="M14" s="8" t="s">
        <v>11</v>
      </c>
      <c r="N14" s="8" t="s">
        <v>12</v>
      </c>
      <c r="O14" s="8" t="s">
        <v>13</v>
      </c>
    </row>
    <row r="15" spans="2:18" x14ac:dyDescent="0.25">
      <c r="B15" s="10">
        <v>1</v>
      </c>
      <c r="C15" s="73"/>
      <c r="D15" s="84">
        <v>0.374</v>
      </c>
      <c r="E15" s="84">
        <v>0.40200000000000002</v>
      </c>
      <c r="F15" s="84">
        <v>0.41499999999999998</v>
      </c>
      <c r="G15" s="84">
        <v>0.41799999999999998</v>
      </c>
      <c r="H15" s="84">
        <v>0.433</v>
      </c>
      <c r="I15" s="84">
        <v>0.42200000000000004</v>
      </c>
      <c r="J15" s="84">
        <v>0.39549999999999996</v>
      </c>
      <c r="K15" s="84">
        <v>0.32291297826398685</v>
      </c>
      <c r="L15" s="84">
        <v>0.25944815608513649</v>
      </c>
      <c r="M15" s="84">
        <v>0.22141334558184389</v>
      </c>
      <c r="N15" s="84">
        <v>0.20534238140689653</v>
      </c>
      <c r="O15" s="84">
        <v>0.2452159265194114</v>
      </c>
    </row>
    <row r="16" spans="2:18" x14ac:dyDescent="0.25">
      <c r="B16" s="10">
        <v>2</v>
      </c>
      <c r="C16" s="74"/>
      <c r="D16" s="85">
        <v>0.60399999999999998</v>
      </c>
      <c r="E16" s="85">
        <v>0.51600000000000001</v>
      </c>
      <c r="F16" s="85">
        <v>0.435</v>
      </c>
      <c r="G16" s="85">
        <v>0.42599999999999999</v>
      </c>
      <c r="H16" s="85">
        <v>0.71700000000000008</v>
      </c>
      <c r="I16" s="85">
        <v>0.92799999999999994</v>
      </c>
      <c r="J16" s="85">
        <v>0.78</v>
      </c>
      <c r="K16" s="85">
        <v>0.6541158355384129</v>
      </c>
      <c r="L16" s="85">
        <v>0.7470567725565852</v>
      </c>
      <c r="M16" s="85">
        <v>0.83056179210500702</v>
      </c>
      <c r="N16" s="85">
        <v>0.71370740296350288</v>
      </c>
      <c r="O16" s="85">
        <v>0.58809671803134622</v>
      </c>
    </row>
    <row r="17" spans="2:29" x14ac:dyDescent="0.25">
      <c r="B17" s="10">
        <v>3</v>
      </c>
      <c r="C17" s="74"/>
      <c r="D17" s="85">
        <v>0.17399999999999999</v>
      </c>
      <c r="E17" s="85">
        <v>0.20800000000000002</v>
      </c>
      <c r="F17" s="85">
        <v>0.217</v>
      </c>
      <c r="G17" s="85">
        <v>0.217</v>
      </c>
      <c r="H17" s="85">
        <v>0.19800000000000001</v>
      </c>
      <c r="I17" s="85">
        <v>0.17800000000000002</v>
      </c>
      <c r="J17" s="85">
        <v>0.156</v>
      </c>
      <c r="K17" s="85">
        <v>0.15071018664659941</v>
      </c>
      <c r="L17" s="85">
        <v>0.13453622387285008</v>
      </c>
      <c r="M17" s="85">
        <v>0.12257472467123082</v>
      </c>
      <c r="N17" s="85">
        <v>0.11955001436804527</v>
      </c>
      <c r="O17" s="85">
        <v>0.14393469205176476</v>
      </c>
    </row>
    <row r="18" spans="2:29" x14ac:dyDescent="0.25">
      <c r="B18" s="10">
        <v>4</v>
      </c>
      <c r="C18" s="74"/>
      <c r="D18" s="85">
        <v>0.24399999999999999</v>
      </c>
      <c r="E18" s="85">
        <v>0.47399999999999998</v>
      </c>
      <c r="F18" s="85">
        <v>0.63800000000000001</v>
      </c>
      <c r="G18" s="85">
        <v>0.66</v>
      </c>
      <c r="H18" s="85">
        <v>0.65799999999999992</v>
      </c>
      <c r="I18" s="85">
        <v>0.64</v>
      </c>
      <c r="J18" s="85">
        <v>0.61899999999999999</v>
      </c>
      <c r="K18" s="85">
        <v>0.52018061800409265</v>
      </c>
      <c r="L18" s="85">
        <v>0.38723345334847886</v>
      </c>
      <c r="M18" s="85">
        <v>0.29573929262261373</v>
      </c>
      <c r="N18" s="85">
        <v>0.21585513578265819</v>
      </c>
      <c r="O18" s="85">
        <v>0.25182453120789999</v>
      </c>
    </row>
    <row r="19" spans="2:29" x14ac:dyDescent="0.25">
      <c r="B19" s="10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</row>
    <row r="20" spans="2:29" x14ac:dyDescent="0.25">
      <c r="B20" s="10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</row>
    <row r="21" spans="2:29" x14ac:dyDescent="0.25">
      <c r="B21" s="10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</row>
    <row r="22" spans="2:29" x14ac:dyDescent="0.25">
      <c r="B22" s="10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</row>
    <row r="23" spans="2:29" x14ac:dyDescent="0.25">
      <c r="B23" s="10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2:29" x14ac:dyDescent="0.25"/>
    <row r="25" spans="2:29" x14ac:dyDescent="0.25"/>
    <row r="26" spans="2:29" x14ac:dyDescent="0.25">
      <c r="C26" t="s">
        <v>44</v>
      </c>
    </row>
    <row r="27" spans="2:29" x14ac:dyDescent="0.25"/>
    <row r="28" spans="2:29" x14ac:dyDescent="0.25">
      <c r="B28" s="86" t="s">
        <v>21</v>
      </c>
      <c r="C28" s="86"/>
      <c r="D28" s="86"/>
      <c r="E28" s="86"/>
      <c r="F28" s="86"/>
      <c r="G28" s="86"/>
      <c r="H28" s="86"/>
      <c r="I28" s="86"/>
      <c r="J28" s="86"/>
      <c r="K28" s="86"/>
      <c r="M28" s="86" t="s">
        <v>30</v>
      </c>
      <c r="N28" s="86"/>
      <c r="O28" s="86"/>
      <c r="P28" s="86"/>
      <c r="Q28" s="86"/>
      <c r="R28" s="86"/>
      <c r="S28" s="86"/>
      <c r="T28" s="86"/>
      <c r="U28" s="86"/>
      <c r="V28" s="86"/>
      <c r="X28" s="86" t="s">
        <v>22</v>
      </c>
      <c r="Y28" s="86"/>
      <c r="Z28" s="86"/>
      <c r="AA28" s="86"/>
      <c r="AB28" s="86"/>
      <c r="AC28" s="86"/>
    </row>
    <row r="29" spans="2:29" x14ac:dyDescent="0.25">
      <c r="F29" s="87" t="s">
        <v>16</v>
      </c>
      <c r="G29" s="87"/>
      <c r="H29" s="87" t="s">
        <v>17</v>
      </c>
      <c r="I29" s="87"/>
      <c r="J29" s="87" t="s">
        <v>18</v>
      </c>
      <c r="K29" s="87"/>
      <c r="Q29" s="87" t="s">
        <v>16</v>
      </c>
      <c r="R29" s="87"/>
      <c r="S29" s="87" t="s">
        <v>17</v>
      </c>
      <c r="T29" s="87"/>
      <c r="U29" s="87" t="s">
        <v>18</v>
      </c>
      <c r="V29" s="87"/>
    </row>
    <row r="30" spans="2:29" x14ac:dyDescent="0.25">
      <c r="C30" s="7" t="s">
        <v>27</v>
      </c>
      <c r="D30" s="7" t="s">
        <v>28</v>
      </c>
      <c r="E30" s="22" t="s">
        <v>43</v>
      </c>
      <c r="F30" s="7" t="s">
        <v>19</v>
      </c>
      <c r="G30" s="7" t="s">
        <v>20</v>
      </c>
      <c r="H30" s="7" t="s">
        <v>19</v>
      </c>
      <c r="I30" s="7" t="s">
        <v>20</v>
      </c>
      <c r="J30" s="7" t="s">
        <v>19</v>
      </c>
      <c r="K30" s="7" t="s">
        <v>20</v>
      </c>
      <c r="N30" s="16" t="s">
        <v>27</v>
      </c>
      <c r="O30" s="16" t="s">
        <v>28</v>
      </c>
      <c r="P30" s="22" t="s">
        <v>43</v>
      </c>
      <c r="Q30" s="7" t="s">
        <v>19</v>
      </c>
      <c r="R30" s="7" t="s">
        <v>20</v>
      </c>
      <c r="S30" s="7" t="s">
        <v>19</v>
      </c>
      <c r="T30" s="7" t="s">
        <v>20</v>
      </c>
      <c r="U30" s="7" t="s">
        <v>19</v>
      </c>
      <c r="V30" s="7" t="s">
        <v>20</v>
      </c>
      <c r="Y30" s="16" t="s">
        <v>27</v>
      </c>
      <c r="Z30" s="16" t="s">
        <v>28</v>
      </c>
      <c r="AA30" s="22" t="s">
        <v>43</v>
      </c>
      <c r="AB30" s="7" t="s">
        <v>19</v>
      </c>
      <c r="AC30" s="7" t="s">
        <v>20</v>
      </c>
    </row>
    <row r="31" spans="2:29" x14ac:dyDescent="0.25">
      <c r="B31" s="1" t="s">
        <v>14</v>
      </c>
      <c r="C31" s="4">
        <v>275</v>
      </c>
      <c r="D31" s="4">
        <v>5</v>
      </c>
      <c r="E31" s="4"/>
      <c r="F31" s="4">
        <v>2400</v>
      </c>
      <c r="G31" s="4"/>
      <c r="H31" s="4">
        <v>2400</v>
      </c>
      <c r="I31" s="4"/>
      <c r="J31" s="4">
        <v>2400</v>
      </c>
      <c r="K31" s="4"/>
      <c r="M31" s="35" t="s">
        <v>0</v>
      </c>
      <c r="N31" s="13">
        <v>156</v>
      </c>
      <c r="O31" s="13">
        <v>5</v>
      </c>
      <c r="P31" s="13">
        <v>1</v>
      </c>
      <c r="Q31" s="13">
        <v>263</v>
      </c>
      <c r="R31" s="13">
        <v>263</v>
      </c>
      <c r="S31" s="13">
        <v>263</v>
      </c>
      <c r="T31" s="13">
        <v>263</v>
      </c>
      <c r="U31" s="13">
        <v>263</v>
      </c>
      <c r="V31" s="13">
        <v>263</v>
      </c>
      <c r="X31" s="1" t="s">
        <v>1</v>
      </c>
      <c r="Y31" s="13">
        <v>275</v>
      </c>
      <c r="Z31" s="13">
        <v>5</v>
      </c>
      <c r="AA31" s="13"/>
      <c r="AB31" s="13">
        <v>11593</v>
      </c>
      <c r="AC31" s="13">
        <v>38982</v>
      </c>
    </row>
    <row r="32" spans="2:29" x14ac:dyDescent="0.25">
      <c r="B32" s="1" t="s">
        <v>14</v>
      </c>
      <c r="C32" s="6">
        <v>275</v>
      </c>
      <c r="D32" s="6">
        <v>6</v>
      </c>
      <c r="E32" s="6"/>
      <c r="F32" s="6">
        <v>1600</v>
      </c>
      <c r="G32" s="6"/>
      <c r="H32" s="6">
        <v>1600</v>
      </c>
      <c r="I32" s="6"/>
      <c r="J32" s="6">
        <v>1600</v>
      </c>
      <c r="K32" s="6"/>
      <c r="M32" s="35" t="s">
        <v>0</v>
      </c>
      <c r="N32" s="13">
        <v>156</v>
      </c>
      <c r="O32" s="13">
        <v>5</v>
      </c>
      <c r="P32" s="13">
        <v>2</v>
      </c>
      <c r="Q32" s="13">
        <v>275</v>
      </c>
      <c r="R32" s="13">
        <v>275</v>
      </c>
      <c r="S32" s="13">
        <v>275</v>
      </c>
      <c r="T32" s="13">
        <v>275</v>
      </c>
      <c r="U32" s="13">
        <v>275</v>
      </c>
      <c r="V32" s="13">
        <v>275</v>
      </c>
      <c r="X32" s="41" t="s">
        <v>1</v>
      </c>
      <c r="Y32" s="42">
        <v>275</v>
      </c>
      <c r="Z32" s="42">
        <v>6</v>
      </c>
      <c r="AA32" s="42">
        <v>1</v>
      </c>
      <c r="AB32" s="42">
        <v>36136</v>
      </c>
      <c r="AC32" s="42">
        <v>37438</v>
      </c>
    </row>
    <row r="33" spans="2:29" x14ac:dyDescent="0.25">
      <c r="B33" s="1" t="s">
        <v>14</v>
      </c>
      <c r="C33" s="6">
        <v>275</v>
      </c>
      <c r="D33" s="6">
        <v>7</v>
      </c>
      <c r="E33" s="6"/>
      <c r="F33" s="6">
        <v>1600</v>
      </c>
      <c r="G33" s="6"/>
      <c r="H33" s="6">
        <v>1600</v>
      </c>
      <c r="I33" s="6"/>
      <c r="J33" s="6">
        <v>1600</v>
      </c>
      <c r="K33" s="6"/>
      <c r="M33" s="35" t="s">
        <v>0</v>
      </c>
      <c r="N33" s="13">
        <v>156</v>
      </c>
      <c r="O33" s="13">
        <v>6</v>
      </c>
      <c r="P33" s="13">
        <v>1</v>
      </c>
      <c r="Q33" s="13">
        <v>275</v>
      </c>
      <c r="R33" s="13">
        <v>275</v>
      </c>
      <c r="S33" s="13">
        <v>275</v>
      </c>
      <c r="T33" s="13">
        <v>275</v>
      </c>
      <c r="U33" s="13">
        <v>275</v>
      </c>
      <c r="V33" s="13">
        <v>275</v>
      </c>
      <c r="X33" s="41" t="s">
        <v>1</v>
      </c>
      <c r="Y33" s="43">
        <v>275</v>
      </c>
      <c r="Z33" s="43">
        <v>6</v>
      </c>
      <c r="AA33" s="42">
        <v>2</v>
      </c>
      <c r="AB33" s="42">
        <v>34594</v>
      </c>
      <c r="AC33" s="42">
        <v>36721</v>
      </c>
    </row>
    <row r="34" spans="2:29" x14ac:dyDescent="0.25">
      <c r="B34" s="1" t="s">
        <v>14</v>
      </c>
      <c r="C34" s="6">
        <v>275</v>
      </c>
      <c r="D34" s="6">
        <v>8</v>
      </c>
      <c r="E34" s="6"/>
      <c r="F34" s="6">
        <v>1500</v>
      </c>
      <c r="G34" s="6"/>
      <c r="H34" s="6">
        <v>1500</v>
      </c>
      <c r="I34" s="6"/>
      <c r="J34" s="6">
        <v>1500</v>
      </c>
      <c r="K34" s="6"/>
      <c r="M34" s="35" t="s">
        <v>0</v>
      </c>
      <c r="N34" s="13">
        <v>156</v>
      </c>
      <c r="O34" s="13">
        <v>6</v>
      </c>
      <c r="P34" s="13">
        <v>2</v>
      </c>
      <c r="Q34" s="13">
        <v>289</v>
      </c>
      <c r="R34" s="13">
        <v>289</v>
      </c>
      <c r="S34" s="13">
        <v>289</v>
      </c>
      <c r="T34" s="13">
        <v>289</v>
      </c>
      <c r="U34" s="13">
        <v>289</v>
      </c>
      <c r="V34" s="13">
        <v>289</v>
      </c>
      <c r="X34" s="1" t="s">
        <v>1</v>
      </c>
      <c r="Y34" s="13">
        <v>275</v>
      </c>
      <c r="Z34" s="13">
        <v>7</v>
      </c>
      <c r="AA34" s="13">
        <v>1</v>
      </c>
      <c r="AB34" s="13">
        <v>34031</v>
      </c>
      <c r="AC34" s="13">
        <v>36036</v>
      </c>
    </row>
    <row r="35" spans="2:29" x14ac:dyDescent="0.25">
      <c r="B35" s="1" t="s">
        <v>14</v>
      </c>
      <c r="C35" s="6">
        <v>275</v>
      </c>
      <c r="D35" s="6">
        <v>9</v>
      </c>
      <c r="E35" s="6"/>
      <c r="F35" s="6">
        <v>1500</v>
      </c>
      <c r="G35" s="6"/>
      <c r="H35" s="6">
        <v>1500</v>
      </c>
      <c r="I35" s="6"/>
      <c r="J35" s="6">
        <v>1500</v>
      </c>
      <c r="K35" s="6"/>
      <c r="M35" s="35" t="s">
        <v>0</v>
      </c>
      <c r="N35" s="13">
        <v>156</v>
      </c>
      <c r="O35" s="13">
        <v>7</v>
      </c>
      <c r="P35" s="13">
        <v>1</v>
      </c>
      <c r="Q35" s="13">
        <v>289</v>
      </c>
      <c r="R35" s="13">
        <v>289</v>
      </c>
      <c r="S35" s="13">
        <v>289</v>
      </c>
      <c r="T35" s="13">
        <v>289</v>
      </c>
      <c r="U35" s="13">
        <v>289</v>
      </c>
      <c r="V35" s="13">
        <v>289</v>
      </c>
      <c r="X35" s="1" t="s">
        <v>1</v>
      </c>
      <c r="Y35" s="38">
        <v>275</v>
      </c>
      <c r="Z35" s="38">
        <v>7</v>
      </c>
      <c r="AA35" s="13">
        <v>2</v>
      </c>
      <c r="AB35" s="13">
        <v>31536</v>
      </c>
      <c r="AC35" s="13">
        <v>32472</v>
      </c>
    </row>
    <row r="36" spans="2:29" x14ac:dyDescent="0.25">
      <c r="B36" s="1" t="s">
        <v>14</v>
      </c>
      <c r="C36" s="6">
        <v>275</v>
      </c>
      <c r="D36" s="6">
        <v>10</v>
      </c>
      <c r="E36" s="6"/>
      <c r="F36" s="6">
        <v>1450</v>
      </c>
      <c r="G36" s="6"/>
      <c r="H36" s="6">
        <v>1450</v>
      </c>
      <c r="I36" s="6"/>
      <c r="J36" s="6">
        <v>1450</v>
      </c>
      <c r="K36" s="6"/>
      <c r="M36" s="35" t="s">
        <v>0</v>
      </c>
      <c r="N36" s="13">
        <v>156</v>
      </c>
      <c r="O36" s="13">
        <v>7</v>
      </c>
      <c r="P36" s="13">
        <v>2</v>
      </c>
      <c r="Q36" s="13">
        <v>290</v>
      </c>
      <c r="R36" s="13">
        <v>290</v>
      </c>
      <c r="S36" s="13">
        <v>290</v>
      </c>
      <c r="T36" s="13">
        <v>290</v>
      </c>
      <c r="U36" s="13">
        <v>290</v>
      </c>
      <c r="V36" s="13">
        <v>290</v>
      </c>
      <c r="X36" s="1" t="s">
        <v>1</v>
      </c>
      <c r="Y36" s="13">
        <v>275</v>
      </c>
      <c r="Z36" s="13">
        <v>8</v>
      </c>
      <c r="AA36" s="13">
        <v>1</v>
      </c>
      <c r="AB36" s="13">
        <v>30278</v>
      </c>
      <c r="AC36" s="13">
        <v>32022</v>
      </c>
    </row>
    <row r="37" spans="2:29" x14ac:dyDescent="0.25">
      <c r="B37" s="1" t="s">
        <v>14</v>
      </c>
      <c r="C37" s="6">
        <v>275</v>
      </c>
      <c r="D37" s="6">
        <v>11</v>
      </c>
      <c r="E37" s="6"/>
      <c r="F37" s="6">
        <v>1400</v>
      </c>
      <c r="G37" s="6"/>
      <c r="H37" s="6">
        <v>1400</v>
      </c>
      <c r="I37" s="6"/>
      <c r="J37" s="6">
        <v>1400</v>
      </c>
      <c r="K37" s="6"/>
      <c r="M37" s="35" t="s">
        <v>0</v>
      </c>
      <c r="N37" s="13">
        <v>156</v>
      </c>
      <c r="O37" s="13">
        <v>8</v>
      </c>
      <c r="P37" s="13">
        <v>1</v>
      </c>
      <c r="Q37" s="13">
        <v>290</v>
      </c>
      <c r="R37" s="13">
        <v>290</v>
      </c>
      <c r="S37" s="13">
        <v>290</v>
      </c>
      <c r="T37" s="13">
        <v>290</v>
      </c>
      <c r="U37" s="13">
        <v>290</v>
      </c>
      <c r="V37" s="13">
        <v>290</v>
      </c>
      <c r="X37" s="1" t="s">
        <v>1</v>
      </c>
      <c r="Y37" s="38">
        <v>275</v>
      </c>
      <c r="Z37" s="38">
        <v>8</v>
      </c>
      <c r="AA37" s="13">
        <v>2</v>
      </c>
      <c r="AB37" s="44">
        <v>25728</v>
      </c>
      <c r="AC37" s="44">
        <v>25728</v>
      </c>
    </row>
    <row r="38" spans="2:29" x14ac:dyDescent="0.25">
      <c r="B38" s="1" t="s">
        <v>14</v>
      </c>
      <c r="C38" s="6">
        <v>275</v>
      </c>
      <c r="D38" s="6">
        <v>12</v>
      </c>
      <c r="E38" s="6">
        <v>1</v>
      </c>
      <c r="F38" s="6">
        <v>1400</v>
      </c>
      <c r="G38" s="6"/>
      <c r="H38" s="6">
        <v>1400</v>
      </c>
      <c r="I38" s="6"/>
      <c r="J38" s="6">
        <v>1400</v>
      </c>
      <c r="K38" s="6"/>
      <c r="M38" s="35" t="s">
        <v>0</v>
      </c>
      <c r="N38" s="13">
        <v>156</v>
      </c>
      <c r="O38" s="13">
        <v>8</v>
      </c>
      <c r="P38" s="13">
        <v>2</v>
      </c>
      <c r="Q38" s="13">
        <v>298</v>
      </c>
      <c r="R38" s="13">
        <v>298</v>
      </c>
      <c r="S38" s="13">
        <v>298</v>
      </c>
      <c r="T38" s="13">
        <v>298</v>
      </c>
      <c r="U38" s="13">
        <v>298</v>
      </c>
      <c r="V38" s="13">
        <v>298</v>
      </c>
      <c r="X38" s="1" t="s">
        <v>1</v>
      </c>
      <c r="Y38" s="13">
        <v>275</v>
      </c>
      <c r="Z38" s="13">
        <v>9</v>
      </c>
      <c r="AA38" s="13">
        <v>1</v>
      </c>
      <c r="AB38" s="44">
        <v>25728</v>
      </c>
      <c r="AC38" s="44">
        <v>25728</v>
      </c>
    </row>
    <row r="39" spans="2:29" x14ac:dyDescent="0.25">
      <c r="B39" s="1" t="s">
        <v>14</v>
      </c>
      <c r="C39" s="6">
        <v>275</v>
      </c>
      <c r="D39" s="6">
        <v>12</v>
      </c>
      <c r="E39" s="6">
        <v>2</v>
      </c>
      <c r="F39" s="6">
        <v>2200</v>
      </c>
      <c r="G39" s="6"/>
      <c r="H39" s="6">
        <v>2200</v>
      </c>
      <c r="I39" s="6"/>
      <c r="J39" s="6">
        <v>2200</v>
      </c>
      <c r="K39" s="6"/>
      <c r="M39" s="35" t="s">
        <v>0</v>
      </c>
      <c r="N39" s="13">
        <v>156</v>
      </c>
      <c r="O39" s="13">
        <v>9</v>
      </c>
      <c r="P39" s="13">
        <v>1</v>
      </c>
      <c r="Q39" s="13">
        <v>298</v>
      </c>
      <c r="R39" s="13">
        <v>298</v>
      </c>
      <c r="S39" s="13">
        <v>298</v>
      </c>
      <c r="T39" s="13">
        <v>298</v>
      </c>
      <c r="U39" s="13">
        <v>298</v>
      </c>
      <c r="V39" s="13">
        <v>298</v>
      </c>
      <c r="X39" s="1" t="s">
        <v>1</v>
      </c>
      <c r="Y39" s="38">
        <v>275</v>
      </c>
      <c r="Z39" s="38">
        <v>9</v>
      </c>
      <c r="AA39" s="13">
        <v>2</v>
      </c>
      <c r="AB39" s="44">
        <v>16255</v>
      </c>
      <c r="AC39" s="44">
        <v>16255</v>
      </c>
    </row>
    <row r="40" spans="2:29" x14ac:dyDescent="0.25">
      <c r="B40" s="1" t="s">
        <v>14</v>
      </c>
      <c r="C40" s="6">
        <v>287</v>
      </c>
      <c r="D40" s="6">
        <v>5</v>
      </c>
      <c r="E40" s="6"/>
      <c r="F40" s="6"/>
      <c r="G40" s="6">
        <v>2450</v>
      </c>
      <c r="H40" s="6"/>
      <c r="I40" s="6">
        <v>2450</v>
      </c>
      <c r="J40" s="6"/>
      <c r="K40" s="6">
        <v>2450</v>
      </c>
      <c r="M40" s="35" t="s">
        <v>0</v>
      </c>
      <c r="N40" s="13">
        <v>156</v>
      </c>
      <c r="O40" s="13">
        <v>9</v>
      </c>
      <c r="P40" s="13">
        <v>2</v>
      </c>
      <c r="Q40" s="13">
        <v>305</v>
      </c>
      <c r="R40" s="13">
        <v>305</v>
      </c>
      <c r="S40" s="13">
        <v>305</v>
      </c>
      <c r="T40" s="13">
        <v>305</v>
      </c>
      <c r="U40" s="13">
        <v>305</v>
      </c>
      <c r="V40" s="13">
        <v>305</v>
      </c>
      <c r="X40" s="1" t="s">
        <v>1</v>
      </c>
      <c r="Y40" s="13">
        <v>275</v>
      </c>
      <c r="Z40" s="13">
        <v>10</v>
      </c>
      <c r="AA40" s="13">
        <v>1</v>
      </c>
      <c r="AB40" s="44">
        <v>14982</v>
      </c>
      <c r="AC40" s="44">
        <v>14982</v>
      </c>
    </row>
    <row r="41" spans="2:29" x14ac:dyDescent="0.25">
      <c r="B41" s="1" t="s">
        <v>14</v>
      </c>
      <c r="C41" s="6">
        <v>287</v>
      </c>
      <c r="D41" s="6">
        <v>6</v>
      </c>
      <c r="E41" s="6"/>
      <c r="F41" s="6"/>
      <c r="G41" s="6">
        <v>2440</v>
      </c>
      <c r="H41" s="6"/>
      <c r="I41" s="6">
        <v>2440</v>
      </c>
      <c r="J41" s="6"/>
      <c r="K41" s="6">
        <v>2440</v>
      </c>
      <c r="M41" s="35" t="s">
        <v>0</v>
      </c>
      <c r="N41" s="13">
        <v>156</v>
      </c>
      <c r="O41" s="13">
        <v>10</v>
      </c>
      <c r="P41" s="13">
        <v>1</v>
      </c>
      <c r="Q41" s="13">
        <v>305</v>
      </c>
      <c r="R41" s="13">
        <v>305</v>
      </c>
      <c r="S41" s="13">
        <v>305</v>
      </c>
      <c r="T41" s="13">
        <v>305</v>
      </c>
      <c r="U41" s="13">
        <v>305</v>
      </c>
      <c r="V41" s="13">
        <v>305</v>
      </c>
      <c r="X41" s="1" t="s">
        <v>1</v>
      </c>
      <c r="Y41" s="13">
        <v>275</v>
      </c>
      <c r="Z41" s="13">
        <v>10</v>
      </c>
      <c r="AA41" s="13">
        <v>2</v>
      </c>
      <c r="AB41" s="44">
        <v>6705</v>
      </c>
      <c r="AC41" s="44">
        <v>6705</v>
      </c>
    </row>
    <row r="42" spans="2:29" x14ac:dyDescent="0.25">
      <c r="B42" s="1" t="s">
        <v>14</v>
      </c>
      <c r="C42" s="6">
        <v>287</v>
      </c>
      <c r="D42" s="6">
        <v>7</v>
      </c>
      <c r="E42" s="6"/>
      <c r="F42" s="6"/>
      <c r="G42" s="6">
        <v>1850</v>
      </c>
      <c r="H42" s="6"/>
      <c r="I42" s="6">
        <v>1850</v>
      </c>
      <c r="J42" s="6"/>
      <c r="K42" s="6">
        <v>1850</v>
      </c>
      <c r="M42" s="35" t="s">
        <v>0</v>
      </c>
      <c r="N42" s="13">
        <v>156</v>
      </c>
      <c r="O42" s="13">
        <v>10</v>
      </c>
      <c r="P42" s="13">
        <v>2</v>
      </c>
      <c r="Q42" s="13">
        <v>305</v>
      </c>
      <c r="R42" s="13">
        <v>305</v>
      </c>
      <c r="S42" s="13">
        <v>305</v>
      </c>
      <c r="T42" s="13">
        <v>305</v>
      </c>
      <c r="U42" s="13">
        <v>305</v>
      </c>
      <c r="V42" s="13">
        <v>305</v>
      </c>
      <c r="X42" s="1" t="s">
        <v>1</v>
      </c>
      <c r="Y42" s="13">
        <v>275</v>
      </c>
      <c r="Z42" s="13">
        <v>11</v>
      </c>
      <c r="AA42" s="13">
        <v>1</v>
      </c>
      <c r="AB42" s="44">
        <v>6524</v>
      </c>
      <c r="AC42" s="44">
        <v>6524</v>
      </c>
    </row>
    <row r="43" spans="2:29" x14ac:dyDescent="0.25">
      <c r="B43" s="1" t="s">
        <v>14</v>
      </c>
      <c r="C43" s="6">
        <v>287</v>
      </c>
      <c r="D43" s="6">
        <v>8</v>
      </c>
      <c r="E43" s="6"/>
      <c r="F43" s="6"/>
      <c r="G43" s="6">
        <v>1253</v>
      </c>
      <c r="H43" s="6"/>
      <c r="I43" s="6">
        <v>1253</v>
      </c>
      <c r="J43" s="6"/>
      <c r="K43" s="6">
        <v>1253</v>
      </c>
      <c r="M43" s="35" t="s">
        <v>0</v>
      </c>
      <c r="N43" s="13">
        <v>156</v>
      </c>
      <c r="O43" s="13">
        <v>11</v>
      </c>
      <c r="P43" s="13">
        <v>1</v>
      </c>
      <c r="Q43" s="13">
        <v>305</v>
      </c>
      <c r="R43" s="13">
        <v>305</v>
      </c>
      <c r="S43" s="13">
        <v>305</v>
      </c>
      <c r="T43" s="13">
        <v>305</v>
      </c>
      <c r="U43" s="13">
        <v>305</v>
      </c>
      <c r="V43" s="13">
        <v>305</v>
      </c>
      <c r="X43" s="1" t="s">
        <v>1</v>
      </c>
      <c r="Y43" s="13">
        <v>275</v>
      </c>
      <c r="Z43" s="13">
        <v>11</v>
      </c>
      <c r="AA43" s="13">
        <v>2</v>
      </c>
      <c r="AB43" s="44">
        <v>3898</v>
      </c>
      <c r="AC43" s="44">
        <v>3898</v>
      </c>
    </row>
    <row r="44" spans="2:29" x14ac:dyDescent="0.25">
      <c r="B44" s="1" t="s">
        <v>14</v>
      </c>
      <c r="C44" s="6">
        <v>287</v>
      </c>
      <c r="D44" s="6">
        <v>9</v>
      </c>
      <c r="E44" s="6"/>
      <c r="F44" s="6"/>
      <c r="G44" s="6">
        <v>835</v>
      </c>
      <c r="H44" s="6"/>
      <c r="I44" s="6">
        <v>835</v>
      </c>
      <c r="J44" s="6"/>
      <c r="K44" s="6">
        <v>835</v>
      </c>
      <c r="M44" s="35" t="s">
        <v>0</v>
      </c>
      <c r="N44" s="13">
        <v>156</v>
      </c>
      <c r="O44" s="13">
        <v>11</v>
      </c>
      <c r="P44" s="13">
        <v>2</v>
      </c>
      <c r="Q44" s="13">
        <v>420</v>
      </c>
      <c r="R44" s="13">
        <v>420</v>
      </c>
      <c r="S44" s="13">
        <v>420</v>
      </c>
      <c r="T44" s="13">
        <v>420</v>
      </c>
      <c r="U44" s="13">
        <v>420</v>
      </c>
      <c r="V44" s="13">
        <v>420</v>
      </c>
      <c r="X44" s="1" t="s">
        <v>1</v>
      </c>
      <c r="Y44" s="13">
        <v>275</v>
      </c>
      <c r="Z44" s="13">
        <v>12</v>
      </c>
      <c r="AA44" s="13"/>
      <c r="AB44" s="13">
        <v>3898</v>
      </c>
      <c r="AC44" s="13"/>
    </row>
    <row r="45" spans="2:29" x14ac:dyDescent="0.25">
      <c r="B45" s="1" t="s">
        <v>14</v>
      </c>
      <c r="C45" s="6">
        <v>287</v>
      </c>
      <c r="D45" s="6">
        <v>10</v>
      </c>
      <c r="E45" s="6"/>
      <c r="F45" s="6"/>
      <c r="G45" s="6">
        <v>670</v>
      </c>
      <c r="H45" s="6"/>
      <c r="I45" s="6">
        <v>670</v>
      </c>
      <c r="J45" s="6"/>
      <c r="K45" s="6">
        <v>670</v>
      </c>
      <c r="M45" s="35" t="s">
        <v>0</v>
      </c>
      <c r="N45" s="13">
        <v>156</v>
      </c>
      <c r="O45" s="13">
        <v>12</v>
      </c>
      <c r="P45" s="13">
        <v>1</v>
      </c>
      <c r="Q45" s="13">
        <v>420</v>
      </c>
      <c r="R45" s="13">
        <v>420</v>
      </c>
      <c r="S45" s="13">
        <v>420</v>
      </c>
      <c r="T45" s="13">
        <v>420</v>
      </c>
      <c r="U45" s="13">
        <v>420</v>
      </c>
      <c r="V45" s="13">
        <v>420</v>
      </c>
      <c r="X45" s="1"/>
      <c r="Y45" s="6"/>
      <c r="Z45" s="6"/>
      <c r="AA45" s="6"/>
      <c r="AB45" s="11"/>
      <c r="AC45" s="11"/>
    </row>
    <row r="46" spans="2:29" x14ac:dyDescent="0.25">
      <c r="B46" s="1" t="s">
        <v>14</v>
      </c>
      <c r="C46" s="6">
        <v>287</v>
      </c>
      <c r="D46" s="6">
        <v>11</v>
      </c>
      <c r="E46" s="6"/>
      <c r="F46" s="6"/>
      <c r="G46" s="6">
        <v>830</v>
      </c>
      <c r="H46" s="6"/>
      <c r="I46" s="6">
        <v>830</v>
      </c>
      <c r="J46" s="6"/>
      <c r="K46" s="6">
        <v>830</v>
      </c>
      <c r="M46" s="35" t="s">
        <v>0</v>
      </c>
      <c r="N46" s="13">
        <v>156</v>
      </c>
      <c r="O46" s="13">
        <v>12</v>
      </c>
      <c r="P46" s="13">
        <v>2</v>
      </c>
      <c r="Q46" s="13">
        <v>420</v>
      </c>
      <c r="R46" s="13">
        <v>420</v>
      </c>
      <c r="S46" s="13">
        <v>420</v>
      </c>
      <c r="T46" s="13">
        <v>420</v>
      </c>
      <c r="U46" s="13">
        <v>420</v>
      </c>
      <c r="V46" s="13">
        <v>420</v>
      </c>
      <c r="X46" s="1"/>
      <c r="Y46" s="6"/>
      <c r="Z46" s="6"/>
      <c r="AA46" s="6"/>
      <c r="AB46" s="11"/>
      <c r="AC46" s="11"/>
    </row>
    <row r="47" spans="2:29" x14ac:dyDescent="0.25">
      <c r="B47" s="1" t="s">
        <v>14</v>
      </c>
      <c r="C47" s="6">
        <v>287</v>
      </c>
      <c r="D47" s="6">
        <v>12</v>
      </c>
      <c r="E47" s="6"/>
      <c r="F47" s="6"/>
      <c r="G47" s="6">
        <v>1100</v>
      </c>
      <c r="H47" s="6"/>
      <c r="I47" s="6">
        <v>1100</v>
      </c>
      <c r="J47" s="6"/>
      <c r="K47" s="6">
        <v>1100</v>
      </c>
      <c r="M47" s="35" t="s">
        <v>0</v>
      </c>
      <c r="N47" s="13">
        <v>169</v>
      </c>
      <c r="O47" s="13">
        <v>5</v>
      </c>
      <c r="P47" s="13"/>
      <c r="Q47" s="13">
        <v>700</v>
      </c>
      <c r="R47" s="13">
        <v>8000</v>
      </c>
      <c r="S47" s="13">
        <v>700</v>
      </c>
      <c r="T47" s="13">
        <v>8000</v>
      </c>
      <c r="U47" s="13">
        <v>700</v>
      </c>
      <c r="V47" s="13">
        <v>8000</v>
      </c>
      <c r="X47" s="1"/>
      <c r="Y47" s="6"/>
      <c r="Z47" s="6"/>
      <c r="AA47" s="6"/>
      <c r="AB47" s="11"/>
      <c r="AC47" s="11"/>
    </row>
    <row r="48" spans="2:29" x14ac:dyDescent="0.25">
      <c r="B48" s="1" t="s">
        <v>14</v>
      </c>
      <c r="C48" s="6">
        <v>285</v>
      </c>
      <c r="D48" s="6">
        <v>5</v>
      </c>
      <c r="E48" s="6"/>
      <c r="F48" s="6"/>
      <c r="G48" s="6">
        <v>3500</v>
      </c>
      <c r="H48" s="6"/>
      <c r="I48" s="6">
        <v>3500</v>
      </c>
      <c r="J48" s="6"/>
      <c r="K48" s="6">
        <v>3500</v>
      </c>
      <c r="M48" s="35" t="s">
        <v>0</v>
      </c>
      <c r="N48" s="13">
        <v>169</v>
      </c>
      <c r="O48" s="13">
        <v>6</v>
      </c>
      <c r="P48" s="13"/>
      <c r="Q48" s="13">
        <v>700</v>
      </c>
      <c r="R48" s="13">
        <v>8000</v>
      </c>
      <c r="S48" s="13">
        <v>700</v>
      </c>
      <c r="T48" s="13">
        <v>8000</v>
      </c>
      <c r="U48" s="13">
        <v>700</v>
      </c>
      <c r="V48" s="13">
        <v>8000</v>
      </c>
      <c r="X48" s="1"/>
      <c r="Y48" s="6"/>
      <c r="Z48" s="6"/>
      <c r="AA48" s="6"/>
      <c r="AB48" s="11"/>
      <c r="AC48" s="11"/>
    </row>
    <row r="49" spans="2:29" x14ac:dyDescent="0.25">
      <c r="B49" s="1" t="s">
        <v>14</v>
      </c>
      <c r="C49" s="6">
        <v>285</v>
      </c>
      <c r="D49" s="6">
        <v>6</v>
      </c>
      <c r="E49" s="6"/>
      <c r="F49" s="6"/>
      <c r="G49" s="6">
        <v>2300</v>
      </c>
      <c r="H49" s="6"/>
      <c r="I49" s="6">
        <v>2300</v>
      </c>
      <c r="J49" s="6"/>
      <c r="K49" s="6">
        <v>2300</v>
      </c>
      <c r="M49" s="35" t="s">
        <v>0</v>
      </c>
      <c r="N49" s="13">
        <v>169</v>
      </c>
      <c r="O49" s="13">
        <v>7</v>
      </c>
      <c r="P49" s="13"/>
      <c r="Q49" s="13">
        <v>700</v>
      </c>
      <c r="R49" s="13">
        <v>8000</v>
      </c>
      <c r="S49" s="13">
        <v>700</v>
      </c>
      <c r="T49" s="13">
        <v>8000</v>
      </c>
      <c r="U49" s="13">
        <v>700</v>
      </c>
      <c r="V49" s="13">
        <v>8000</v>
      </c>
      <c r="X49" s="1"/>
      <c r="Y49" s="6"/>
      <c r="Z49" s="6"/>
      <c r="AA49" s="6"/>
      <c r="AB49" s="11"/>
      <c r="AC49" s="11"/>
    </row>
    <row r="50" spans="2:29" x14ac:dyDescent="0.25">
      <c r="B50" s="1" t="s">
        <v>14</v>
      </c>
      <c r="C50" s="6">
        <v>285</v>
      </c>
      <c r="D50" s="6">
        <v>7</v>
      </c>
      <c r="E50" s="6"/>
      <c r="F50" s="6"/>
      <c r="G50" s="6">
        <v>1000</v>
      </c>
      <c r="H50" s="6"/>
      <c r="I50" s="6">
        <v>1000</v>
      </c>
      <c r="J50" s="6"/>
      <c r="K50" s="6">
        <v>1000</v>
      </c>
      <c r="M50" s="35" t="s">
        <v>0</v>
      </c>
      <c r="N50" s="13">
        <v>169</v>
      </c>
      <c r="O50" s="13">
        <v>8</v>
      </c>
      <c r="P50" s="13"/>
      <c r="Q50" s="13">
        <v>700</v>
      </c>
      <c r="R50" s="13">
        <v>8000</v>
      </c>
      <c r="S50" s="13">
        <v>700</v>
      </c>
      <c r="T50" s="13">
        <v>8000</v>
      </c>
      <c r="U50" s="13">
        <v>700</v>
      </c>
      <c r="V50" s="13">
        <v>8000</v>
      </c>
      <c r="X50" s="1"/>
      <c r="Y50" s="6"/>
      <c r="Z50" s="6"/>
      <c r="AA50" s="6"/>
      <c r="AB50" s="11"/>
      <c r="AC50" s="11"/>
    </row>
    <row r="51" spans="2:29" x14ac:dyDescent="0.25">
      <c r="B51" s="1" t="s">
        <v>14</v>
      </c>
      <c r="C51" s="6">
        <v>285</v>
      </c>
      <c r="D51" s="6">
        <v>8</v>
      </c>
      <c r="E51" s="6"/>
      <c r="F51" s="6"/>
      <c r="G51" s="6">
        <v>500</v>
      </c>
      <c r="H51" s="6"/>
      <c r="I51" s="6">
        <v>500</v>
      </c>
      <c r="J51" s="6"/>
      <c r="K51" s="6">
        <v>500</v>
      </c>
      <c r="M51" s="35" t="s">
        <v>0</v>
      </c>
      <c r="N51" s="13">
        <v>169</v>
      </c>
      <c r="O51" s="13">
        <v>9</v>
      </c>
      <c r="P51" s="13"/>
      <c r="Q51" s="13">
        <v>700</v>
      </c>
      <c r="R51" s="13">
        <v>8000</v>
      </c>
      <c r="S51" s="13">
        <v>700</v>
      </c>
      <c r="T51" s="13">
        <v>8000</v>
      </c>
      <c r="U51" s="13">
        <v>700</v>
      </c>
      <c r="V51" s="13">
        <v>8000</v>
      </c>
      <c r="X51" s="1"/>
      <c r="Y51" s="6"/>
      <c r="Z51" s="6"/>
      <c r="AA51" s="6"/>
      <c r="AB51" s="11"/>
      <c r="AC51" s="11"/>
    </row>
    <row r="52" spans="2:29" x14ac:dyDescent="0.25">
      <c r="B52" s="1" t="s">
        <v>14</v>
      </c>
      <c r="C52" s="6">
        <v>285</v>
      </c>
      <c r="D52" s="6">
        <v>9</v>
      </c>
      <c r="E52" s="6"/>
      <c r="F52" s="6"/>
      <c r="G52" s="6">
        <v>400</v>
      </c>
      <c r="H52" s="6"/>
      <c r="I52" s="6">
        <v>400</v>
      </c>
      <c r="J52" s="6"/>
      <c r="K52" s="6">
        <v>400</v>
      </c>
      <c r="M52" s="35" t="s">
        <v>0</v>
      </c>
      <c r="N52" s="13">
        <v>169</v>
      </c>
      <c r="O52" s="13">
        <v>10</v>
      </c>
      <c r="P52" s="13"/>
      <c r="Q52" s="13">
        <v>700</v>
      </c>
      <c r="R52" s="13">
        <v>8000</v>
      </c>
      <c r="S52" s="13">
        <v>700</v>
      </c>
      <c r="T52" s="13">
        <v>8000</v>
      </c>
      <c r="U52" s="13">
        <v>700</v>
      </c>
      <c r="V52" s="13">
        <v>8000</v>
      </c>
      <c r="X52" s="1"/>
      <c r="Y52" s="6"/>
      <c r="Z52" s="6"/>
      <c r="AA52" s="6"/>
      <c r="AB52" s="11"/>
      <c r="AC52" s="11"/>
    </row>
    <row r="53" spans="2:29" x14ac:dyDescent="0.25">
      <c r="B53" s="1" t="s">
        <v>14</v>
      </c>
      <c r="C53" s="6">
        <v>285</v>
      </c>
      <c r="D53" s="6">
        <v>10</v>
      </c>
      <c r="E53" s="6"/>
      <c r="F53" s="6"/>
      <c r="G53" s="6">
        <v>400</v>
      </c>
      <c r="H53" s="6"/>
      <c r="I53" s="6">
        <v>400</v>
      </c>
      <c r="J53" s="6"/>
      <c r="K53" s="6">
        <v>400</v>
      </c>
      <c r="M53" s="35" t="s">
        <v>0</v>
      </c>
      <c r="N53" s="13">
        <v>169</v>
      </c>
      <c r="O53" s="13">
        <v>11</v>
      </c>
      <c r="P53" s="13"/>
      <c r="Q53" s="13">
        <v>700</v>
      </c>
      <c r="R53" s="13">
        <v>8000</v>
      </c>
      <c r="S53" s="13">
        <v>700</v>
      </c>
      <c r="T53" s="13">
        <v>8000</v>
      </c>
      <c r="U53" s="13">
        <v>700</v>
      </c>
      <c r="V53" s="13">
        <v>8000</v>
      </c>
      <c r="X53" s="1"/>
      <c r="Y53" s="6"/>
      <c r="Z53" s="6"/>
      <c r="AA53" s="6"/>
      <c r="AB53" s="11"/>
      <c r="AC53" s="11"/>
    </row>
    <row r="54" spans="2:29" x14ac:dyDescent="0.25">
      <c r="B54" s="1" t="s">
        <v>14</v>
      </c>
      <c r="C54" s="6">
        <v>285</v>
      </c>
      <c r="D54" s="6">
        <v>11</v>
      </c>
      <c r="E54" s="6"/>
      <c r="F54" s="6"/>
      <c r="G54" s="6">
        <v>600</v>
      </c>
      <c r="H54" s="6"/>
      <c r="I54" s="6">
        <v>600</v>
      </c>
      <c r="J54" s="6"/>
      <c r="K54" s="6">
        <v>600</v>
      </c>
      <c r="M54" s="35" t="s">
        <v>0</v>
      </c>
      <c r="N54" s="13">
        <v>169</v>
      </c>
      <c r="O54" s="13">
        <v>12</v>
      </c>
      <c r="P54" s="13"/>
      <c r="Q54" s="13">
        <v>700</v>
      </c>
      <c r="R54" s="13">
        <v>8000</v>
      </c>
      <c r="S54" s="13">
        <v>700</v>
      </c>
      <c r="T54" s="13">
        <v>8000</v>
      </c>
      <c r="U54" s="13">
        <v>700</v>
      </c>
      <c r="V54" s="13">
        <v>8000</v>
      </c>
      <c r="X54" s="1"/>
      <c r="Y54" s="6"/>
      <c r="Z54" s="6"/>
      <c r="AA54" s="6"/>
      <c r="AB54" s="11"/>
      <c r="AC54" s="11"/>
    </row>
    <row r="55" spans="2:29" x14ac:dyDescent="0.25">
      <c r="B55" s="1" t="s">
        <v>14</v>
      </c>
      <c r="C55" s="6">
        <v>285</v>
      </c>
      <c r="D55" s="6">
        <v>12</v>
      </c>
      <c r="E55" s="6"/>
      <c r="F55" s="6"/>
      <c r="G55" s="6">
        <v>1200</v>
      </c>
      <c r="H55" s="6"/>
      <c r="I55" s="6">
        <v>1200</v>
      </c>
      <c r="J55" s="6"/>
      <c r="K55" s="6">
        <v>1200</v>
      </c>
      <c r="M55" s="35" t="s">
        <v>0</v>
      </c>
      <c r="N55" s="13">
        <v>178</v>
      </c>
      <c r="O55" s="13">
        <v>5</v>
      </c>
      <c r="P55" s="13"/>
      <c r="Q55" s="13">
        <v>700</v>
      </c>
      <c r="R55" s="13">
        <v>700</v>
      </c>
      <c r="S55" s="13">
        <v>700</v>
      </c>
      <c r="T55" s="13">
        <v>700</v>
      </c>
      <c r="U55" s="13">
        <v>700</v>
      </c>
      <c r="V55" s="13">
        <v>700</v>
      </c>
      <c r="X55" s="1"/>
      <c r="Y55" s="6"/>
      <c r="Z55" s="6"/>
      <c r="AA55" s="6"/>
      <c r="AB55" s="11"/>
      <c r="AC55" s="11"/>
    </row>
    <row r="56" spans="2:29" x14ac:dyDescent="0.25">
      <c r="B56" s="1" t="s">
        <v>14</v>
      </c>
      <c r="C56" s="6">
        <v>229</v>
      </c>
      <c r="D56" s="6">
        <v>5</v>
      </c>
      <c r="E56" s="6"/>
      <c r="F56" s="6">
        <v>182</v>
      </c>
      <c r="G56" s="6">
        <v>1100</v>
      </c>
      <c r="H56" s="6">
        <v>182</v>
      </c>
      <c r="I56" s="6">
        <v>1100</v>
      </c>
      <c r="J56" s="6">
        <v>182</v>
      </c>
      <c r="K56" s="6">
        <v>1100</v>
      </c>
      <c r="M56" s="35" t="s">
        <v>0</v>
      </c>
      <c r="N56" s="13">
        <v>178</v>
      </c>
      <c r="O56" s="13">
        <v>6</v>
      </c>
      <c r="P56" s="13"/>
      <c r="Q56" s="13">
        <v>700</v>
      </c>
      <c r="R56" s="13">
        <v>700</v>
      </c>
      <c r="S56" s="13">
        <v>700</v>
      </c>
      <c r="T56" s="13">
        <v>700</v>
      </c>
      <c r="U56" s="13">
        <v>700</v>
      </c>
      <c r="V56" s="13">
        <v>700</v>
      </c>
      <c r="X56" s="1"/>
      <c r="Y56" s="6"/>
      <c r="Z56" s="6"/>
      <c r="AA56" s="6"/>
      <c r="AB56" s="11"/>
      <c r="AC56" s="11"/>
    </row>
    <row r="57" spans="2:29" x14ac:dyDescent="0.25">
      <c r="B57" s="1" t="s">
        <v>14</v>
      </c>
      <c r="C57" s="6">
        <v>229</v>
      </c>
      <c r="D57" s="6">
        <v>6</v>
      </c>
      <c r="E57" s="6"/>
      <c r="F57" s="6">
        <v>182</v>
      </c>
      <c r="G57" s="6">
        <v>1100</v>
      </c>
      <c r="H57" s="6">
        <v>182</v>
      </c>
      <c r="I57" s="6">
        <v>1100</v>
      </c>
      <c r="J57" s="6">
        <v>182</v>
      </c>
      <c r="K57" s="6">
        <v>1100</v>
      </c>
      <c r="M57" s="35" t="s">
        <v>0</v>
      </c>
      <c r="N57" s="13">
        <v>178</v>
      </c>
      <c r="O57" s="13">
        <v>7</v>
      </c>
      <c r="P57" s="13"/>
      <c r="Q57" s="13">
        <v>700</v>
      </c>
      <c r="R57" s="13">
        <v>700</v>
      </c>
      <c r="S57" s="13">
        <v>700</v>
      </c>
      <c r="T57" s="13">
        <v>700</v>
      </c>
      <c r="U57" s="13">
        <v>700</v>
      </c>
      <c r="V57" s="13">
        <v>700</v>
      </c>
      <c r="X57" s="1"/>
      <c r="Y57" s="6"/>
      <c r="Z57" s="6"/>
      <c r="AA57" s="6"/>
      <c r="AB57" s="11"/>
      <c r="AC57" s="11"/>
    </row>
    <row r="58" spans="2:29" x14ac:dyDescent="0.25">
      <c r="B58" s="1" t="s">
        <v>14</v>
      </c>
      <c r="C58" s="6">
        <v>229</v>
      </c>
      <c r="D58" s="6">
        <v>7</v>
      </c>
      <c r="E58" s="6"/>
      <c r="F58" s="6">
        <v>182</v>
      </c>
      <c r="G58" s="6">
        <v>1100</v>
      </c>
      <c r="H58" s="6">
        <v>182</v>
      </c>
      <c r="I58" s="6">
        <v>1100</v>
      </c>
      <c r="J58" s="6">
        <v>182</v>
      </c>
      <c r="K58" s="6">
        <v>1100</v>
      </c>
      <c r="M58" s="35" t="s">
        <v>0</v>
      </c>
      <c r="N58" s="13">
        <v>178</v>
      </c>
      <c r="O58" s="13">
        <v>8</v>
      </c>
      <c r="P58" s="13"/>
      <c r="Q58" s="13">
        <v>700</v>
      </c>
      <c r="R58" s="13">
        <v>700</v>
      </c>
      <c r="S58" s="13">
        <v>700</v>
      </c>
      <c r="T58" s="13">
        <v>700</v>
      </c>
      <c r="U58" s="13">
        <v>700</v>
      </c>
      <c r="V58" s="13">
        <v>700</v>
      </c>
      <c r="X58" s="1"/>
      <c r="Y58" s="6"/>
      <c r="Z58" s="6"/>
      <c r="AA58" s="6"/>
      <c r="AB58" s="11"/>
      <c r="AC58" s="11"/>
    </row>
    <row r="59" spans="2:29" x14ac:dyDescent="0.25">
      <c r="B59" s="1" t="s">
        <v>14</v>
      </c>
      <c r="C59" s="6">
        <v>229</v>
      </c>
      <c r="D59" s="6">
        <v>8</v>
      </c>
      <c r="E59" s="6"/>
      <c r="F59" s="6">
        <v>182</v>
      </c>
      <c r="G59" s="6">
        <v>1100</v>
      </c>
      <c r="H59" s="6">
        <v>182</v>
      </c>
      <c r="I59" s="6">
        <v>1100</v>
      </c>
      <c r="J59" s="6">
        <v>182</v>
      </c>
      <c r="K59" s="6">
        <v>1100</v>
      </c>
      <c r="M59" s="35" t="s">
        <v>0</v>
      </c>
      <c r="N59" s="13">
        <v>178</v>
      </c>
      <c r="O59" s="13">
        <v>9</v>
      </c>
      <c r="P59" s="13"/>
      <c r="Q59" s="13">
        <v>700</v>
      </c>
      <c r="R59" s="13">
        <v>700</v>
      </c>
      <c r="S59" s="13">
        <v>700</v>
      </c>
      <c r="T59" s="13">
        <v>700</v>
      </c>
      <c r="U59" s="13">
        <v>700</v>
      </c>
      <c r="V59" s="13">
        <v>700</v>
      </c>
      <c r="X59" s="1"/>
      <c r="Y59" s="6"/>
      <c r="Z59" s="6"/>
      <c r="AA59" s="6"/>
      <c r="AB59" s="11"/>
      <c r="AC59" s="11"/>
    </row>
    <row r="60" spans="2:29" x14ac:dyDescent="0.25">
      <c r="B60" s="1" t="s">
        <v>14</v>
      </c>
      <c r="C60" s="6">
        <v>229</v>
      </c>
      <c r="D60" s="6">
        <v>9</v>
      </c>
      <c r="E60" s="6"/>
      <c r="F60" s="6">
        <v>182</v>
      </c>
      <c r="G60" s="6">
        <v>1100</v>
      </c>
      <c r="H60" s="6">
        <v>182</v>
      </c>
      <c r="I60" s="6">
        <v>1100</v>
      </c>
      <c r="J60" s="6">
        <v>182</v>
      </c>
      <c r="K60" s="6">
        <v>1100</v>
      </c>
      <c r="M60" s="35" t="s">
        <v>0</v>
      </c>
      <c r="N60" s="13">
        <v>178</v>
      </c>
      <c r="O60" s="13">
        <v>10</v>
      </c>
      <c r="P60" s="13"/>
      <c r="Q60" s="13">
        <v>700</v>
      </c>
      <c r="R60" s="13">
        <v>700</v>
      </c>
      <c r="S60" s="13">
        <v>700</v>
      </c>
      <c r="T60" s="13">
        <v>700</v>
      </c>
      <c r="U60" s="13">
        <v>700</v>
      </c>
      <c r="V60" s="13">
        <v>700</v>
      </c>
      <c r="X60" s="1"/>
      <c r="Y60" s="6"/>
      <c r="Z60" s="6"/>
      <c r="AA60" s="6"/>
      <c r="AB60" s="11"/>
      <c r="AC60" s="11"/>
    </row>
    <row r="61" spans="2:29" x14ac:dyDescent="0.25">
      <c r="B61" s="1" t="s">
        <v>14</v>
      </c>
      <c r="C61" s="6">
        <v>229</v>
      </c>
      <c r="D61" s="6">
        <v>10</v>
      </c>
      <c r="E61" s="6"/>
      <c r="F61" s="6">
        <v>182</v>
      </c>
      <c r="G61" s="6">
        <v>1100</v>
      </c>
      <c r="H61" s="6">
        <v>182</v>
      </c>
      <c r="I61" s="6">
        <v>1100</v>
      </c>
      <c r="J61" s="6">
        <v>182</v>
      </c>
      <c r="K61" s="6">
        <v>1100</v>
      </c>
      <c r="M61" s="35" t="s">
        <v>0</v>
      </c>
      <c r="N61" s="13">
        <v>178</v>
      </c>
      <c r="O61" s="13">
        <v>11</v>
      </c>
      <c r="P61" s="13"/>
      <c r="Q61" s="13">
        <v>700</v>
      </c>
      <c r="R61" s="13">
        <v>700</v>
      </c>
      <c r="S61" s="13">
        <v>700</v>
      </c>
      <c r="T61" s="13">
        <v>700</v>
      </c>
      <c r="U61" s="13">
        <v>700</v>
      </c>
      <c r="V61" s="13">
        <v>700</v>
      </c>
      <c r="X61" s="1"/>
      <c r="Y61" s="6"/>
      <c r="Z61" s="6"/>
      <c r="AA61" s="6"/>
      <c r="AB61" s="11"/>
      <c r="AC61" s="11"/>
    </row>
    <row r="62" spans="2:29" x14ac:dyDescent="0.25">
      <c r="B62" s="1" t="s">
        <v>14</v>
      </c>
      <c r="C62" s="6">
        <v>229</v>
      </c>
      <c r="D62" s="6">
        <v>11</v>
      </c>
      <c r="E62" s="6"/>
      <c r="F62" s="6">
        <v>182</v>
      </c>
      <c r="G62" s="6">
        <v>1100</v>
      </c>
      <c r="H62" s="6">
        <v>182</v>
      </c>
      <c r="I62" s="6">
        <v>1100</v>
      </c>
      <c r="J62" s="6">
        <v>182</v>
      </c>
      <c r="K62" s="6">
        <v>1100</v>
      </c>
      <c r="M62" s="35" t="s">
        <v>0</v>
      </c>
      <c r="N62" s="13">
        <v>178</v>
      </c>
      <c r="O62" s="13">
        <v>12</v>
      </c>
      <c r="P62" s="13"/>
      <c r="Q62" s="13">
        <v>700</v>
      </c>
      <c r="R62" s="13">
        <v>700</v>
      </c>
      <c r="S62" s="13">
        <v>700</v>
      </c>
      <c r="T62" s="13">
        <v>700</v>
      </c>
      <c r="U62" s="13">
        <v>700</v>
      </c>
      <c r="V62" s="13">
        <v>700</v>
      </c>
      <c r="X62" s="1"/>
      <c r="Y62" s="6"/>
      <c r="Z62" s="6"/>
      <c r="AA62" s="6"/>
      <c r="AB62" s="11"/>
      <c r="AC62" s="11"/>
    </row>
    <row r="63" spans="2:29" x14ac:dyDescent="0.25">
      <c r="B63" s="1" t="s">
        <v>14</v>
      </c>
      <c r="C63" s="6">
        <v>229</v>
      </c>
      <c r="D63" s="6">
        <v>12</v>
      </c>
      <c r="E63" s="6"/>
      <c r="F63" s="6">
        <v>182</v>
      </c>
      <c r="G63" s="6">
        <v>1100</v>
      </c>
      <c r="H63" s="6">
        <v>182</v>
      </c>
      <c r="I63" s="6">
        <v>1100</v>
      </c>
      <c r="J63" s="6">
        <v>182</v>
      </c>
      <c r="K63" s="6">
        <v>1100</v>
      </c>
      <c r="M63" s="35" t="s">
        <v>0</v>
      </c>
      <c r="N63" s="13">
        <v>251</v>
      </c>
      <c r="O63" s="13">
        <v>6</v>
      </c>
      <c r="P63" s="13"/>
      <c r="Q63" s="40">
        <v>600</v>
      </c>
      <c r="R63" s="40">
        <v>600</v>
      </c>
      <c r="S63" s="40">
        <v>600</v>
      </c>
      <c r="T63" s="40">
        <v>600</v>
      </c>
      <c r="U63" s="40">
        <v>600</v>
      </c>
      <c r="V63" s="40">
        <v>600</v>
      </c>
      <c r="X63" s="1"/>
      <c r="Y63" s="6"/>
      <c r="Z63" s="6"/>
      <c r="AA63" s="6"/>
      <c r="AB63" s="11"/>
      <c r="AC63" s="11"/>
    </row>
    <row r="64" spans="2:29" x14ac:dyDescent="0.25">
      <c r="B64" s="1" t="s">
        <v>14</v>
      </c>
      <c r="C64" s="6" t="s">
        <v>48</v>
      </c>
      <c r="D64" s="6">
        <v>5</v>
      </c>
      <c r="E64" s="6">
        <v>1</v>
      </c>
      <c r="F64" s="6"/>
      <c r="G64" s="6">
        <v>4248</v>
      </c>
      <c r="H64" s="6"/>
      <c r="I64" s="6">
        <v>4248</v>
      </c>
      <c r="J64" s="6"/>
      <c r="K64" s="6">
        <v>4248</v>
      </c>
      <c r="M64" s="35" t="s">
        <v>0</v>
      </c>
      <c r="N64" s="13">
        <v>251</v>
      </c>
      <c r="O64" s="13">
        <v>7</v>
      </c>
      <c r="P64" s="13"/>
      <c r="Q64" s="39">
        <v>600</v>
      </c>
      <c r="R64" s="39">
        <v>600</v>
      </c>
      <c r="S64" s="39">
        <v>600</v>
      </c>
      <c r="T64" s="39">
        <v>600</v>
      </c>
      <c r="U64" s="39">
        <v>600</v>
      </c>
      <c r="V64" s="39">
        <v>600</v>
      </c>
      <c r="X64" s="1"/>
      <c r="Y64" s="6"/>
      <c r="Z64" s="6"/>
      <c r="AA64" s="6"/>
      <c r="AB64" s="11"/>
      <c r="AC64" s="11"/>
    </row>
    <row r="65" spans="2:29" x14ac:dyDescent="0.25">
      <c r="B65" s="1" t="s">
        <v>14</v>
      </c>
      <c r="C65" s="6" t="s">
        <v>48</v>
      </c>
      <c r="D65" s="6">
        <v>5</v>
      </c>
      <c r="E65" s="6">
        <v>2</v>
      </c>
      <c r="F65" s="6"/>
      <c r="G65" s="6">
        <v>5823.07</v>
      </c>
      <c r="H65" s="6"/>
      <c r="I65" s="6">
        <v>5823.07</v>
      </c>
      <c r="J65" s="6"/>
      <c r="K65" s="6">
        <v>5823.07</v>
      </c>
      <c r="M65" s="35" t="s">
        <v>0</v>
      </c>
      <c r="N65" s="13">
        <v>251</v>
      </c>
      <c r="O65" s="13">
        <v>8</v>
      </c>
      <c r="P65" s="13"/>
      <c r="Q65" s="39">
        <v>600</v>
      </c>
      <c r="R65" s="39">
        <v>600</v>
      </c>
      <c r="S65" s="39">
        <v>600</v>
      </c>
      <c r="T65" s="39">
        <v>600</v>
      </c>
      <c r="U65" s="39">
        <v>600</v>
      </c>
      <c r="V65" s="39">
        <v>600</v>
      </c>
      <c r="X65" s="1"/>
      <c r="Y65" s="6"/>
      <c r="Z65" s="6"/>
      <c r="AA65" s="6"/>
      <c r="AB65" s="11"/>
      <c r="AC65" s="11"/>
    </row>
    <row r="66" spans="2:29" x14ac:dyDescent="0.25">
      <c r="B66" s="1" t="s">
        <v>14</v>
      </c>
      <c r="C66" s="6" t="s">
        <v>48</v>
      </c>
      <c r="D66" s="6">
        <v>6</v>
      </c>
      <c r="E66" s="6">
        <v>1</v>
      </c>
      <c r="F66" s="6"/>
      <c r="G66" s="6">
        <v>4268</v>
      </c>
      <c r="H66" s="6"/>
      <c r="I66" s="6">
        <v>4268</v>
      </c>
      <c r="J66" s="6"/>
      <c r="K66" s="6">
        <v>4268</v>
      </c>
      <c r="M66" s="35" t="s">
        <v>0</v>
      </c>
      <c r="N66" s="38">
        <v>314</v>
      </c>
      <c r="O66" s="38">
        <v>5</v>
      </c>
      <c r="P66" s="38">
        <v>1</v>
      </c>
      <c r="Q66" s="39">
        <v>4000</v>
      </c>
      <c r="R66" s="39"/>
      <c r="S66" s="39">
        <v>4000</v>
      </c>
      <c r="T66" s="39"/>
      <c r="U66" s="39">
        <v>4000</v>
      </c>
      <c r="V66" s="39"/>
      <c r="X66" s="1"/>
      <c r="Y66" s="6"/>
      <c r="Z66" s="6"/>
      <c r="AA66" s="6"/>
      <c r="AB66" s="11"/>
      <c r="AC66" s="11"/>
    </row>
    <row r="67" spans="2:29" x14ac:dyDescent="0.25">
      <c r="B67" s="1" t="s">
        <v>14</v>
      </c>
      <c r="C67" s="6" t="s">
        <v>48</v>
      </c>
      <c r="D67" s="6">
        <v>6</v>
      </c>
      <c r="E67" s="6">
        <v>2</v>
      </c>
      <c r="F67" s="6"/>
      <c r="G67" s="6">
        <v>5823.07</v>
      </c>
      <c r="H67" s="6"/>
      <c r="I67" s="6">
        <v>5823.07</v>
      </c>
      <c r="J67" s="6"/>
      <c r="K67" s="6">
        <v>5823.07</v>
      </c>
      <c r="M67" s="35" t="s">
        <v>0</v>
      </c>
      <c r="N67" s="13">
        <v>314</v>
      </c>
      <c r="O67" s="13">
        <v>5</v>
      </c>
      <c r="P67" s="13">
        <v>2</v>
      </c>
      <c r="Q67" s="39">
        <v>2000</v>
      </c>
      <c r="R67" s="39"/>
      <c r="S67" s="39">
        <v>2000</v>
      </c>
      <c r="T67" s="39"/>
      <c r="U67" s="39">
        <v>2000</v>
      </c>
      <c r="V67" s="39"/>
      <c r="X67" s="1"/>
      <c r="Y67" s="6"/>
      <c r="Z67" s="6"/>
      <c r="AA67" s="6"/>
      <c r="AB67" s="11"/>
      <c r="AC67" s="11"/>
    </row>
    <row r="68" spans="2:29" x14ac:dyDescent="0.25">
      <c r="B68" s="1" t="s">
        <v>14</v>
      </c>
      <c r="C68" s="6" t="s">
        <v>48</v>
      </c>
      <c r="D68" s="6">
        <v>7</v>
      </c>
      <c r="E68" s="6">
        <v>1</v>
      </c>
      <c r="F68" s="6"/>
      <c r="G68" s="6">
        <v>4268</v>
      </c>
      <c r="H68" s="6"/>
      <c r="I68" s="6">
        <v>4268</v>
      </c>
      <c r="J68" s="6"/>
      <c r="K68" s="6">
        <v>4268</v>
      </c>
      <c r="M68" s="35" t="s">
        <v>0</v>
      </c>
      <c r="N68" s="13">
        <v>314</v>
      </c>
      <c r="O68" s="13">
        <v>6</v>
      </c>
      <c r="P68" s="13">
        <v>1</v>
      </c>
      <c r="Q68" s="39">
        <v>2000</v>
      </c>
      <c r="R68" s="39"/>
      <c r="S68" s="39">
        <v>2000</v>
      </c>
      <c r="T68" s="39"/>
      <c r="U68" s="39">
        <v>2000</v>
      </c>
      <c r="V68" s="39"/>
      <c r="X68" s="1"/>
      <c r="Y68" s="6"/>
      <c r="Z68" s="6"/>
      <c r="AA68" s="6"/>
      <c r="AB68" s="11"/>
      <c r="AC68" s="11"/>
    </row>
    <row r="69" spans="2:29" x14ac:dyDescent="0.25">
      <c r="B69" s="1" t="s">
        <v>14</v>
      </c>
      <c r="C69" s="6" t="s">
        <v>48</v>
      </c>
      <c r="D69" s="6">
        <v>7</v>
      </c>
      <c r="E69" s="6">
        <v>2</v>
      </c>
      <c r="F69" s="6"/>
      <c r="G69" s="6">
        <v>5823.07</v>
      </c>
      <c r="H69" s="6"/>
      <c r="I69" s="6">
        <v>5823.07</v>
      </c>
      <c r="J69" s="6"/>
      <c r="K69" s="6">
        <v>5823.07</v>
      </c>
      <c r="M69" s="35" t="s">
        <v>0</v>
      </c>
      <c r="N69" s="13">
        <v>314</v>
      </c>
      <c r="O69" s="13">
        <v>6</v>
      </c>
      <c r="P69" s="13">
        <v>2</v>
      </c>
      <c r="Q69" s="39">
        <v>1200</v>
      </c>
      <c r="R69" s="39"/>
      <c r="S69" s="39">
        <v>1200</v>
      </c>
      <c r="T69" s="39"/>
      <c r="U69" s="39">
        <v>1200</v>
      </c>
      <c r="V69" s="39"/>
      <c r="X69" s="1"/>
      <c r="Y69" s="6"/>
      <c r="Z69" s="6"/>
      <c r="AA69" s="6"/>
      <c r="AB69" s="11"/>
      <c r="AC69" s="11"/>
    </row>
    <row r="70" spans="2:29" x14ac:dyDescent="0.25">
      <c r="B70" s="1" t="s">
        <v>14</v>
      </c>
      <c r="C70" s="6" t="s">
        <v>48</v>
      </c>
      <c r="D70" s="6">
        <v>8</v>
      </c>
      <c r="E70" s="6">
        <v>1</v>
      </c>
      <c r="F70" s="6"/>
      <c r="G70" s="6">
        <v>4268</v>
      </c>
      <c r="H70" s="6"/>
      <c r="I70" s="6">
        <v>4268</v>
      </c>
      <c r="J70" s="6"/>
      <c r="K70" s="6">
        <v>4268</v>
      </c>
      <c r="M70" s="35" t="s">
        <v>0</v>
      </c>
      <c r="N70" s="13">
        <v>314</v>
      </c>
      <c r="O70" s="13">
        <v>7</v>
      </c>
      <c r="P70" s="13">
        <v>1</v>
      </c>
      <c r="Q70" s="39">
        <v>1200</v>
      </c>
      <c r="R70" s="39"/>
      <c r="S70" s="39">
        <v>1200</v>
      </c>
      <c r="T70" s="39"/>
      <c r="U70" s="39">
        <v>1200</v>
      </c>
      <c r="V70" s="39"/>
      <c r="X70" s="1"/>
      <c r="Y70" s="6"/>
      <c r="Z70" s="6"/>
      <c r="AA70" s="6"/>
      <c r="AB70" s="11"/>
      <c r="AC70" s="11"/>
    </row>
    <row r="71" spans="2:29" x14ac:dyDescent="0.25">
      <c r="B71" s="1" t="s">
        <v>14</v>
      </c>
      <c r="C71" s="6" t="s">
        <v>48</v>
      </c>
      <c r="D71" s="6">
        <v>8</v>
      </c>
      <c r="E71" s="6">
        <v>2</v>
      </c>
      <c r="F71" s="6"/>
      <c r="G71" s="6">
        <v>5823.07</v>
      </c>
      <c r="H71" s="6"/>
      <c r="I71" s="6">
        <v>5823.07</v>
      </c>
      <c r="J71" s="6"/>
      <c r="K71" s="6">
        <v>5823.07</v>
      </c>
      <c r="M71" s="35" t="s">
        <v>0</v>
      </c>
      <c r="N71" s="13">
        <v>314</v>
      </c>
      <c r="O71" s="13">
        <v>7</v>
      </c>
      <c r="P71" s="13">
        <v>2</v>
      </c>
      <c r="Q71" s="39">
        <v>900</v>
      </c>
      <c r="R71" s="39"/>
      <c r="S71" s="39">
        <v>900</v>
      </c>
      <c r="T71" s="39"/>
      <c r="U71" s="39">
        <v>900</v>
      </c>
      <c r="V71" s="39"/>
      <c r="X71" s="1"/>
      <c r="Y71" s="6"/>
      <c r="Z71" s="6"/>
      <c r="AA71" s="6"/>
      <c r="AB71" s="11"/>
      <c r="AC71" s="11"/>
    </row>
    <row r="72" spans="2:29" x14ac:dyDescent="0.25">
      <c r="B72" s="1" t="s">
        <v>14</v>
      </c>
      <c r="C72" s="6" t="s">
        <v>48</v>
      </c>
      <c r="D72" s="6">
        <v>9</v>
      </c>
      <c r="E72" s="6">
        <v>1</v>
      </c>
      <c r="F72" s="6"/>
      <c r="G72" s="6">
        <v>4268</v>
      </c>
      <c r="H72" s="6"/>
      <c r="I72" s="6">
        <v>4268</v>
      </c>
      <c r="J72" s="6"/>
      <c r="K72" s="6">
        <v>4268</v>
      </c>
      <c r="M72" s="35" t="s">
        <v>0</v>
      </c>
      <c r="N72" s="13">
        <v>314</v>
      </c>
      <c r="O72" s="13">
        <v>8</v>
      </c>
      <c r="P72" s="13">
        <v>1</v>
      </c>
      <c r="Q72" s="39">
        <v>900</v>
      </c>
      <c r="R72" s="39"/>
      <c r="S72" s="39">
        <v>900</v>
      </c>
      <c r="T72" s="39"/>
      <c r="U72" s="39">
        <v>900</v>
      </c>
      <c r="V72" s="39"/>
      <c r="X72" s="1"/>
      <c r="Y72" s="6"/>
      <c r="Z72" s="6"/>
      <c r="AA72" s="6"/>
      <c r="AB72" s="11"/>
      <c r="AC72" s="11"/>
    </row>
    <row r="73" spans="2:29" x14ac:dyDescent="0.25">
      <c r="B73" s="1" t="s">
        <v>14</v>
      </c>
      <c r="C73" s="6" t="s">
        <v>48</v>
      </c>
      <c r="D73" s="6">
        <v>9</v>
      </c>
      <c r="E73" s="6">
        <v>2</v>
      </c>
      <c r="F73" s="6"/>
      <c r="G73" s="6">
        <v>5823.07</v>
      </c>
      <c r="H73" s="6"/>
      <c r="I73" s="6">
        <v>5823.07</v>
      </c>
      <c r="J73" s="6"/>
      <c r="K73" s="6">
        <v>5823.07</v>
      </c>
      <c r="M73" s="35" t="s">
        <v>0</v>
      </c>
      <c r="N73" s="13">
        <v>314</v>
      </c>
      <c r="O73" s="13">
        <v>8</v>
      </c>
      <c r="P73" s="13">
        <v>2</v>
      </c>
      <c r="Q73" s="39">
        <v>750</v>
      </c>
      <c r="R73" s="39"/>
      <c r="S73" s="39">
        <v>750</v>
      </c>
      <c r="T73" s="39"/>
      <c r="U73" s="39">
        <v>750</v>
      </c>
      <c r="V73" s="39"/>
      <c r="X73" s="1"/>
      <c r="Y73" s="6"/>
      <c r="Z73" s="6"/>
      <c r="AA73" s="6"/>
      <c r="AB73" s="11"/>
      <c r="AC73" s="11"/>
    </row>
    <row r="74" spans="2:29" x14ac:dyDescent="0.25">
      <c r="B74" s="1" t="s">
        <v>14</v>
      </c>
      <c r="C74" s="6" t="s">
        <v>48</v>
      </c>
      <c r="D74" s="6">
        <v>10</v>
      </c>
      <c r="E74" s="6">
        <v>1</v>
      </c>
      <c r="F74" s="6"/>
      <c r="G74" s="6">
        <v>4268</v>
      </c>
      <c r="H74" s="6"/>
      <c r="I74" s="6">
        <v>4268</v>
      </c>
      <c r="J74" s="6"/>
      <c r="K74" s="6">
        <v>4268</v>
      </c>
      <c r="M74" s="35" t="s">
        <v>0</v>
      </c>
      <c r="N74" s="13">
        <v>314</v>
      </c>
      <c r="O74" s="13">
        <v>9</v>
      </c>
      <c r="P74" s="13">
        <v>1</v>
      </c>
      <c r="Q74" s="39">
        <v>750</v>
      </c>
      <c r="R74" s="39"/>
      <c r="S74" s="39">
        <v>750</v>
      </c>
      <c r="T74" s="39"/>
      <c r="U74" s="39">
        <v>750</v>
      </c>
      <c r="V74" s="39"/>
      <c r="X74" s="1"/>
      <c r="Y74" s="6"/>
      <c r="Z74" s="6"/>
      <c r="AA74" s="6"/>
      <c r="AB74" s="11"/>
      <c r="AC74" s="11"/>
    </row>
    <row r="75" spans="2:29" x14ac:dyDescent="0.25">
      <c r="B75" s="1" t="s">
        <v>14</v>
      </c>
      <c r="C75" s="6" t="s">
        <v>48</v>
      </c>
      <c r="D75" s="6">
        <v>10</v>
      </c>
      <c r="E75" s="6">
        <v>2</v>
      </c>
      <c r="F75" s="6"/>
      <c r="G75" s="6">
        <v>5823.07</v>
      </c>
      <c r="H75" s="6"/>
      <c r="I75" s="6">
        <v>5823.07</v>
      </c>
      <c r="J75" s="6"/>
      <c r="K75" s="6">
        <v>5823.07</v>
      </c>
      <c r="M75" s="35" t="s">
        <v>0</v>
      </c>
      <c r="N75" s="13">
        <v>314</v>
      </c>
      <c r="O75" s="13">
        <v>9</v>
      </c>
      <c r="P75" s="13">
        <v>2</v>
      </c>
      <c r="Q75" s="39">
        <v>700</v>
      </c>
      <c r="R75" s="39"/>
      <c r="S75" s="39">
        <v>700</v>
      </c>
      <c r="T75" s="39"/>
      <c r="U75" s="39">
        <v>700</v>
      </c>
      <c r="V75" s="39"/>
      <c r="X75" s="1"/>
      <c r="Y75" s="6"/>
      <c r="Z75" s="6"/>
      <c r="AA75" s="6"/>
      <c r="AB75" s="11"/>
      <c r="AC75" s="11"/>
    </row>
    <row r="76" spans="2:29" x14ac:dyDescent="0.25">
      <c r="B76" s="1" t="s">
        <v>14</v>
      </c>
      <c r="C76" s="6" t="s">
        <v>48</v>
      </c>
      <c r="D76" s="6">
        <v>11</v>
      </c>
      <c r="E76" s="6">
        <v>1</v>
      </c>
      <c r="F76" s="6"/>
      <c r="G76" s="6">
        <v>4268</v>
      </c>
      <c r="H76" s="6"/>
      <c r="I76" s="6">
        <v>4268</v>
      </c>
      <c r="J76" s="6"/>
      <c r="K76" s="6">
        <v>4268</v>
      </c>
      <c r="M76" s="35" t="s">
        <v>0</v>
      </c>
      <c r="N76" s="13">
        <v>314</v>
      </c>
      <c r="O76" s="13">
        <v>10</v>
      </c>
      <c r="P76" s="13">
        <v>1</v>
      </c>
      <c r="Q76" s="39">
        <v>700</v>
      </c>
      <c r="R76" s="39"/>
      <c r="S76" s="39">
        <v>700</v>
      </c>
      <c r="T76" s="39"/>
      <c r="U76" s="39">
        <v>700</v>
      </c>
      <c r="V76" s="39"/>
      <c r="X76" s="1"/>
      <c r="Y76" s="6"/>
      <c r="Z76" s="6"/>
      <c r="AA76" s="6"/>
      <c r="AB76" s="11"/>
      <c r="AC76" s="11"/>
    </row>
    <row r="77" spans="2:29" x14ac:dyDescent="0.25">
      <c r="B77" s="1" t="s">
        <v>14</v>
      </c>
      <c r="C77" s="6" t="s">
        <v>48</v>
      </c>
      <c r="D77" s="6">
        <v>11</v>
      </c>
      <c r="E77" s="6">
        <v>2</v>
      </c>
      <c r="F77" s="6"/>
      <c r="G77" s="6">
        <v>5823.07</v>
      </c>
      <c r="H77" s="6"/>
      <c r="I77" s="6">
        <v>5823.07</v>
      </c>
      <c r="J77" s="6"/>
      <c r="K77" s="6">
        <v>5823.07</v>
      </c>
      <c r="M77" s="35" t="s">
        <v>0</v>
      </c>
      <c r="N77" s="13">
        <v>314</v>
      </c>
      <c r="O77" s="13">
        <v>10</v>
      </c>
      <c r="P77" s="13">
        <v>2</v>
      </c>
      <c r="Q77" s="39">
        <v>800</v>
      </c>
      <c r="R77" s="39"/>
      <c r="S77" s="39">
        <v>800</v>
      </c>
      <c r="T77" s="39"/>
      <c r="U77" s="39">
        <v>800</v>
      </c>
      <c r="V77" s="39"/>
      <c r="X77" s="1"/>
      <c r="Y77" s="6"/>
      <c r="Z77" s="6"/>
      <c r="AA77" s="6"/>
      <c r="AB77" s="11"/>
      <c r="AC77" s="11"/>
    </row>
    <row r="78" spans="2:29" x14ac:dyDescent="0.25">
      <c r="B78" s="1" t="s">
        <v>14</v>
      </c>
      <c r="C78" s="6" t="s">
        <v>48</v>
      </c>
      <c r="D78" s="6">
        <v>12</v>
      </c>
      <c r="E78" s="6">
        <v>1</v>
      </c>
      <c r="F78" s="6"/>
      <c r="G78" s="6">
        <v>4268</v>
      </c>
      <c r="H78" s="6"/>
      <c r="I78" s="6">
        <v>4268</v>
      </c>
      <c r="J78" s="6"/>
      <c r="K78" s="6">
        <v>4268</v>
      </c>
      <c r="M78" s="35" t="s">
        <v>0</v>
      </c>
      <c r="N78" s="13">
        <v>314</v>
      </c>
      <c r="O78" s="13">
        <v>11</v>
      </c>
      <c r="P78" s="13">
        <v>1</v>
      </c>
      <c r="Q78" s="39">
        <v>800</v>
      </c>
      <c r="R78" s="39"/>
      <c r="S78" s="39">
        <v>800</v>
      </c>
      <c r="T78" s="39"/>
      <c r="U78" s="39">
        <v>800</v>
      </c>
      <c r="V78" s="39"/>
      <c r="X78" s="1"/>
      <c r="Y78" s="6"/>
      <c r="Z78" s="6"/>
      <c r="AA78" s="6"/>
      <c r="AB78" s="11"/>
      <c r="AC78" s="11"/>
    </row>
    <row r="79" spans="2:29" x14ac:dyDescent="0.25">
      <c r="B79" s="1" t="s">
        <v>14</v>
      </c>
      <c r="C79" s="6" t="s">
        <v>48</v>
      </c>
      <c r="D79" s="6">
        <v>12</v>
      </c>
      <c r="E79" s="6">
        <v>2</v>
      </c>
      <c r="F79" s="6"/>
      <c r="G79" s="6">
        <v>5823.07</v>
      </c>
      <c r="H79" s="6"/>
      <c r="I79" s="6">
        <v>5823.07</v>
      </c>
      <c r="J79" s="6"/>
      <c r="K79" s="6">
        <v>5823.07</v>
      </c>
      <c r="M79" s="37" t="s">
        <v>0</v>
      </c>
      <c r="N79" s="13">
        <v>314</v>
      </c>
      <c r="O79" s="13">
        <v>11</v>
      </c>
      <c r="P79" s="13">
        <v>2</v>
      </c>
      <c r="Q79" s="39">
        <v>900</v>
      </c>
      <c r="R79" s="39"/>
      <c r="S79" s="39">
        <v>900</v>
      </c>
      <c r="T79" s="39"/>
      <c r="U79" s="39">
        <v>900</v>
      </c>
      <c r="V79" s="39"/>
      <c r="X79" s="1"/>
      <c r="Y79" s="6"/>
      <c r="Z79" s="6"/>
      <c r="AA79" s="6"/>
      <c r="AB79" s="11"/>
      <c r="AC79" s="11"/>
    </row>
    <row r="80" spans="2:29" x14ac:dyDescent="0.25">
      <c r="B80" s="1" t="s">
        <v>14</v>
      </c>
      <c r="C80" s="6" t="s">
        <v>49</v>
      </c>
      <c r="D80" s="6">
        <v>5</v>
      </c>
      <c r="E80" s="6"/>
      <c r="F80" s="6"/>
      <c r="G80" s="6">
        <v>4400</v>
      </c>
      <c r="H80" s="6"/>
      <c r="I80" s="6">
        <v>4400</v>
      </c>
      <c r="J80" s="6"/>
      <c r="K80" s="6">
        <v>4000</v>
      </c>
      <c r="M80" s="37" t="s">
        <v>0</v>
      </c>
      <c r="N80" s="13">
        <v>314</v>
      </c>
      <c r="O80" s="13">
        <v>12</v>
      </c>
      <c r="P80" s="13">
        <v>1</v>
      </c>
      <c r="Q80" s="39">
        <v>900</v>
      </c>
      <c r="R80" s="39"/>
      <c r="S80" s="39">
        <v>900</v>
      </c>
      <c r="T80" s="39"/>
      <c r="U80" s="39">
        <v>900</v>
      </c>
      <c r="V80" s="39"/>
      <c r="X80" s="1"/>
      <c r="Y80" s="6"/>
      <c r="Z80" s="6"/>
      <c r="AA80" s="6"/>
      <c r="AB80" s="11"/>
      <c r="AC80" s="11"/>
    </row>
    <row r="81" spans="2:29" x14ac:dyDescent="0.25">
      <c r="B81" s="1" t="s">
        <v>14</v>
      </c>
      <c r="C81" s="6" t="s">
        <v>49</v>
      </c>
      <c r="D81" s="6">
        <v>6</v>
      </c>
      <c r="E81" s="6"/>
      <c r="F81" s="6"/>
      <c r="G81" s="6">
        <v>3500</v>
      </c>
      <c r="H81" s="6"/>
      <c r="I81" s="6">
        <v>3500</v>
      </c>
      <c r="J81" s="6"/>
      <c r="K81" s="6">
        <v>3500</v>
      </c>
      <c r="M81" s="37" t="s">
        <v>0</v>
      </c>
      <c r="N81" s="13">
        <v>314</v>
      </c>
      <c r="O81" s="13">
        <v>12</v>
      </c>
      <c r="P81" s="13">
        <v>2</v>
      </c>
      <c r="Q81" s="38">
        <v>1100</v>
      </c>
      <c r="R81" s="38"/>
      <c r="S81" s="38">
        <v>1100</v>
      </c>
      <c r="T81" s="38"/>
      <c r="U81" s="38">
        <v>1100</v>
      </c>
      <c r="V81" s="38"/>
      <c r="X81" s="1"/>
      <c r="Y81" s="6"/>
      <c r="Z81" s="6"/>
      <c r="AA81" s="6"/>
      <c r="AB81" s="11"/>
      <c r="AC81" s="11"/>
    </row>
    <row r="82" spans="2:29" x14ac:dyDescent="0.25">
      <c r="B82" s="1" t="s">
        <v>14</v>
      </c>
      <c r="C82" s="6" t="s">
        <v>49</v>
      </c>
      <c r="D82" s="6">
        <v>7</v>
      </c>
      <c r="E82" s="6"/>
      <c r="F82" s="6"/>
      <c r="G82" s="6">
        <v>3500</v>
      </c>
      <c r="H82" s="6"/>
      <c r="I82" s="6">
        <v>3500</v>
      </c>
      <c r="J82" s="6"/>
      <c r="K82" s="6">
        <v>3500</v>
      </c>
      <c r="M82" s="1"/>
      <c r="N82" s="6"/>
      <c r="O82" s="6"/>
      <c r="P82" s="6"/>
      <c r="Q82" s="6"/>
      <c r="R82" s="6"/>
      <c r="S82" s="6"/>
      <c r="T82" s="6"/>
      <c r="U82" s="6"/>
      <c r="V82" s="6"/>
      <c r="X82" s="1"/>
      <c r="Y82" s="6"/>
      <c r="Z82" s="6"/>
      <c r="AA82" s="6"/>
      <c r="AB82" s="11"/>
      <c r="AC82" s="11"/>
    </row>
    <row r="83" spans="2:29" x14ac:dyDescent="0.25">
      <c r="B83" s="1" t="s">
        <v>14</v>
      </c>
      <c r="C83" s="6" t="s">
        <v>49</v>
      </c>
      <c r="D83" s="6">
        <v>8</v>
      </c>
      <c r="E83" s="6"/>
      <c r="F83" s="6"/>
      <c r="G83" s="6">
        <v>3500</v>
      </c>
      <c r="H83" s="6"/>
      <c r="I83" s="6">
        <v>3500</v>
      </c>
      <c r="J83" s="6"/>
      <c r="K83" s="6">
        <v>3500</v>
      </c>
      <c r="M83" s="1"/>
      <c r="N83" s="6"/>
      <c r="O83" s="6"/>
      <c r="P83" s="6"/>
      <c r="Q83" s="6"/>
      <c r="R83" s="6"/>
      <c r="S83" s="6"/>
      <c r="T83" s="6"/>
      <c r="U83" s="6"/>
      <c r="V83" s="6"/>
      <c r="X83" s="1"/>
      <c r="Y83" s="6"/>
      <c r="Z83" s="6"/>
      <c r="AA83" s="6"/>
      <c r="AB83" s="11"/>
      <c r="AC83" s="11"/>
    </row>
    <row r="84" spans="2:29" x14ac:dyDescent="0.25">
      <c r="B84" s="1" t="s">
        <v>14</v>
      </c>
      <c r="C84" s="6" t="s">
        <v>50</v>
      </c>
      <c r="D84" s="6">
        <v>9</v>
      </c>
      <c r="E84" s="6"/>
      <c r="F84" s="6"/>
      <c r="G84" s="6">
        <v>3500</v>
      </c>
      <c r="H84" s="6"/>
      <c r="I84" s="6">
        <v>3500</v>
      </c>
      <c r="J84" s="6"/>
      <c r="K84" s="6">
        <v>3500</v>
      </c>
      <c r="M84" s="1"/>
      <c r="N84" s="6"/>
      <c r="O84" s="6"/>
      <c r="P84" s="6"/>
      <c r="Q84" s="6"/>
      <c r="R84" s="6"/>
      <c r="S84" s="6"/>
      <c r="T84" s="6"/>
      <c r="U84" s="6"/>
      <c r="V84" s="6"/>
      <c r="X84" s="1"/>
      <c r="Y84" s="6"/>
      <c r="Z84" s="6"/>
      <c r="AA84" s="6"/>
      <c r="AB84" s="11"/>
      <c r="AC84" s="11"/>
    </row>
    <row r="85" spans="2:29" x14ac:dyDescent="0.25">
      <c r="B85" s="1" t="s">
        <v>14</v>
      </c>
      <c r="C85" s="6" t="s">
        <v>50</v>
      </c>
      <c r="D85" s="6">
        <v>10</v>
      </c>
      <c r="E85" s="6"/>
      <c r="F85" s="6"/>
      <c r="G85" s="6">
        <v>3500</v>
      </c>
      <c r="H85" s="6"/>
      <c r="I85" s="6">
        <v>3500</v>
      </c>
      <c r="J85" s="6"/>
      <c r="K85" s="6">
        <v>3500</v>
      </c>
      <c r="M85" s="1"/>
      <c r="N85" s="6"/>
      <c r="O85" s="6"/>
      <c r="P85" s="6"/>
      <c r="Q85" s="6"/>
      <c r="R85" s="6"/>
      <c r="S85" s="6"/>
      <c r="T85" s="6"/>
      <c r="U85" s="6"/>
      <c r="V85" s="6"/>
      <c r="X85" s="1"/>
      <c r="Y85" s="6"/>
      <c r="Z85" s="6"/>
      <c r="AA85" s="6"/>
      <c r="AB85" s="11"/>
      <c r="AC85" s="11"/>
    </row>
    <row r="86" spans="2:29" x14ac:dyDescent="0.25">
      <c r="B86" s="1" t="s">
        <v>14</v>
      </c>
      <c r="C86" s="6" t="s">
        <v>50</v>
      </c>
      <c r="D86" s="6">
        <v>11</v>
      </c>
      <c r="E86" s="6"/>
      <c r="F86" s="6"/>
      <c r="G86" s="6">
        <v>3500</v>
      </c>
      <c r="H86" s="6"/>
      <c r="I86" s="6">
        <v>3500</v>
      </c>
      <c r="J86" s="6"/>
      <c r="K86" s="6">
        <v>3500</v>
      </c>
      <c r="M86" s="1"/>
      <c r="N86" s="6"/>
      <c r="O86" s="6"/>
      <c r="P86" s="6"/>
      <c r="Q86" s="6"/>
      <c r="R86" s="6"/>
      <c r="S86" s="6"/>
      <c r="T86" s="6"/>
      <c r="U86" s="6"/>
      <c r="V86" s="6"/>
      <c r="X86" s="1"/>
      <c r="Y86" s="6"/>
      <c r="Z86" s="6"/>
      <c r="AA86" s="6"/>
      <c r="AB86" s="11"/>
      <c r="AC86" s="11"/>
    </row>
    <row r="87" spans="2:29" x14ac:dyDescent="0.25">
      <c r="B87" s="1" t="s">
        <v>14</v>
      </c>
      <c r="C87" s="6" t="s">
        <v>50</v>
      </c>
      <c r="D87" s="6">
        <v>12</v>
      </c>
      <c r="E87" s="6"/>
      <c r="F87" s="6"/>
      <c r="G87" s="6">
        <v>4000</v>
      </c>
      <c r="H87" s="6"/>
      <c r="I87" s="6">
        <v>4000</v>
      </c>
      <c r="J87" s="6"/>
      <c r="K87" s="6">
        <v>4400</v>
      </c>
      <c r="M87" s="1"/>
      <c r="N87" s="6"/>
      <c r="O87" s="6"/>
      <c r="P87" s="6"/>
      <c r="Q87" s="6"/>
      <c r="R87" s="6"/>
      <c r="S87" s="6"/>
      <c r="T87" s="6"/>
      <c r="U87" s="6"/>
      <c r="V87" s="6"/>
      <c r="X87" s="1"/>
      <c r="Y87" s="6"/>
      <c r="Z87" s="6"/>
      <c r="AA87" s="6"/>
      <c r="AB87" s="11"/>
      <c r="AC87" s="11"/>
    </row>
    <row r="88" spans="2:29" x14ac:dyDescent="0.25">
      <c r="B88" s="1" t="s">
        <v>14</v>
      </c>
      <c r="C88" s="6">
        <v>139</v>
      </c>
      <c r="D88" s="6">
        <v>6</v>
      </c>
      <c r="E88" s="6"/>
      <c r="F88" s="6">
        <v>0</v>
      </c>
      <c r="G88" s="6">
        <v>70.05</v>
      </c>
      <c r="H88" s="6">
        <v>0</v>
      </c>
      <c r="I88" s="6">
        <v>70.05</v>
      </c>
      <c r="J88" s="6">
        <v>0</v>
      </c>
      <c r="K88" s="6">
        <v>70.05</v>
      </c>
      <c r="M88" s="1"/>
      <c r="N88" s="6"/>
      <c r="O88" s="6"/>
      <c r="P88" s="6"/>
      <c r="Q88" s="6"/>
      <c r="R88" s="6"/>
      <c r="S88" s="6"/>
      <c r="T88" s="6"/>
      <c r="U88" s="6"/>
      <c r="V88" s="6"/>
      <c r="X88" s="1"/>
      <c r="Y88" s="6"/>
      <c r="Z88" s="6"/>
      <c r="AA88" s="6"/>
      <c r="AB88" s="11"/>
      <c r="AC88" s="11"/>
    </row>
    <row r="89" spans="2:29" x14ac:dyDescent="0.25">
      <c r="B89" s="1" t="s">
        <v>14</v>
      </c>
      <c r="C89" s="6">
        <v>139</v>
      </c>
      <c r="D89" s="6">
        <v>7</v>
      </c>
      <c r="E89" s="6"/>
      <c r="F89" s="6">
        <v>0</v>
      </c>
      <c r="G89" s="6">
        <v>70.05</v>
      </c>
      <c r="H89" s="6">
        <v>0</v>
      </c>
      <c r="I89" s="6">
        <v>70.05</v>
      </c>
      <c r="J89" s="6">
        <v>0</v>
      </c>
      <c r="K89" s="6">
        <v>70.05</v>
      </c>
      <c r="M89" s="1"/>
      <c r="N89" s="6"/>
      <c r="O89" s="6"/>
      <c r="P89" s="6"/>
      <c r="Q89" s="6"/>
      <c r="R89" s="6"/>
      <c r="S89" s="6"/>
      <c r="T89" s="6"/>
      <c r="U89" s="6"/>
      <c r="V89" s="6"/>
      <c r="X89" s="1"/>
      <c r="Y89" s="6"/>
      <c r="Z89" s="6"/>
      <c r="AA89" s="6"/>
      <c r="AB89" s="11"/>
      <c r="AC89" s="11"/>
    </row>
    <row r="90" spans="2:29" x14ac:dyDescent="0.25">
      <c r="B90" s="1" t="s">
        <v>14</v>
      </c>
      <c r="C90" s="6">
        <v>139</v>
      </c>
      <c r="D90" s="6">
        <v>8</v>
      </c>
      <c r="E90" s="6"/>
      <c r="F90" s="6">
        <v>0</v>
      </c>
      <c r="G90" s="6">
        <v>70.05</v>
      </c>
      <c r="H90" s="6">
        <v>0</v>
      </c>
      <c r="I90" s="6">
        <v>70.05</v>
      </c>
      <c r="J90" s="6">
        <v>0</v>
      </c>
      <c r="K90" s="6">
        <v>70.05</v>
      </c>
      <c r="M90" s="1"/>
      <c r="N90" s="6"/>
      <c r="O90" s="6"/>
      <c r="P90" s="6"/>
      <c r="Q90" s="6"/>
      <c r="R90" s="6"/>
      <c r="S90" s="6"/>
      <c r="T90" s="6"/>
      <c r="U90" s="6"/>
      <c r="V90" s="6"/>
      <c r="X90" s="1"/>
      <c r="Y90" s="6"/>
      <c r="Z90" s="6"/>
      <c r="AA90" s="6"/>
      <c r="AB90" s="11"/>
      <c r="AC90" s="11"/>
    </row>
    <row r="91" spans="2:29" x14ac:dyDescent="0.25">
      <c r="B91" s="1" t="s">
        <v>14</v>
      </c>
      <c r="C91" s="6">
        <v>139</v>
      </c>
      <c r="D91" s="6">
        <v>9</v>
      </c>
      <c r="E91" s="6"/>
      <c r="F91" s="6">
        <v>0</v>
      </c>
      <c r="G91" s="6">
        <v>70.05</v>
      </c>
      <c r="H91" s="6">
        <v>0</v>
      </c>
      <c r="I91" s="6">
        <v>70.05</v>
      </c>
      <c r="J91" s="6">
        <v>0</v>
      </c>
      <c r="K91" s="6">
        <v>70.05</v>
      </c>
      <c r="M91" s="1"/>
      <c r="N91" s="6"/>
      <c r="O91" s="6"/>
      <c r="P91" s="6"/>
      <c r="Q91" s="6"/>
      <c r="R91" s="6"/>
      <c r="S91" s="6"/>
      <c r="T91" s="6"/>
      <c r="U91" s="6"/>
      <c r="V91" s="6"/>
      <c r="X91" s="1"/>
      <c r="Y91" s="6"/>
      <c r="Z91" s="6"/>
      <c r="AA91" s="6"/>
      <c r="AB91" s="11"/>
      <c r="AC91" s="11"/>
    </row>
    <row r="92" spans="2:29" x14ac:dyDescent="0.25">
      <c r="B92" s="1" t="s">
        <v>14</v>
      </c>
      <c r="C92" s="6">
        <v>139</v>
      </c>
      <c r="D92" s="6">
        <v>10</v>
      </c>
      <c r="E92" s="6"/>
      <c r="F92" s="6">
        <v>0</v>
      </c>
      <c r="G92" s="6">
        <v>70.05</v>
      </c>
      <c r="H92" s="6">
        <v>0</v>
      </c>
      <c r="I92" s="6">
        <v>70.05</v>
      </c>
      <c r="J92" s="6">
        <v>0</v>
      </c>
      <c r="K92" s="6">
        <v>70.05</v>
      </c>
      <c r="M92" s="1"/>
      <c r="N92" s="6"/>
      <c r="O92" s="6"/>
      <c r="P92" s="6"/>
      <c r="Q92" s="6"/>
      <c r="R92" s="6"/>
      <c r="S92" s="6"/>
      <c r="T92" s="6"/>
      <c r="U92" s="6"/>
      <c r="V92" s="6"/>
      <c r="X92" s="1"/>
      <c r="Y92" s="6"/>
      <c r="Z92" s="6"/>
      <c r="AA92" s="6"/>
      <c r="AB92" s="11"/>
      <c r="AC92" s="11"/>
    </row>
    <row r="93" spans="2:29" x14ac:dyDescent="0.25">
      <c r="B93" s="1" t="s">
        <v>14</v>
      </c>
      <c r="C93" s="6">
        <v>139</v>
      </c>
      <c r="D93" s="6">
        <v>11</v>
      </c>
      <c r="E93" s="6"/>
      <c r="F93" s="6">
        <v>0</v>
      </c>
      <c r="G93" s="6">
        <v>70.05</v>
      </c>
      <c r="H93" s="6">
        <v>0</v>
      </c>
      <c r="I93" s="6">
        <v>70.05</v>
      </c>
      <c r="J93" s="6">
        <v>0</v>
      </c>
      <c r="K93" s="6">
        <v>70.05</v>
      </c>
      <c r="M93" s="1"/>
      <c r="N93" s="6"/>
      <c r="O93" s="6"/>
      <c r="P93" s="6"/>
      <c r="Q93" s="6"/>
      <c r="R93" s="6"/>
      <c r="S93" s="6"/>
      <c r="T93" s="6"/>
      <c r="U93" s="6"/>
      <c r="V93" s="6"/>
      <c r="X93" s="1"/>
      <c r="Y93" s="6"/>
      <c r="Z93" s="6"/>
      <c r="AA93" s="6"/>
      <c r="AB93" s="11"/>
      <c r="AC93" s="11"/>
    </row>
    <row r="94" spans="2:29" x14ac:dyDescent="0.25">
      <c r="B94" s="1" t="s">
        <v>14</v>
      </c>
      <c r="C94" s="6">
        <v>139</v>
      </c>
      <c r="D94" s="6">
        <v>12</v>
      </c>
      <c r="E94" s="6"/>
      <c r="F94" s="6">
        <v>0</v>
      </c>
      <c r="G94" s="6">
        <v>70.05</v>
      </c>
      <c r="H94" s="6">
        <v>0</v>
      </c>
      <c r="I94" s="6">
        <v>70.05</v>
      </c>
      <c r="J94" s="6">
        <v>0</v>
      </c>
      <c r="K94" s="6">
        <v>70.05</v>
      </c>
      <c r="M94" s="1"/>
      <c r="N94" s="6"/>
      <c r="O94" s="6"/>
      <c r="P94" s="6"/>
      <c r="Q94" s="6"/>
      <c r="R94" s="6"/>
      <c r="S94" s="6"/>
      <c r="T94" s="6"/>
      <c r="U94" s="6"/>
      <c r="V94" s="6"/>
      <c r="X94" s="1"/>
      <c r="Y94" s="6"/>
      <c r="Z94" s="6"/>
      <c r="AA94" s="6"/>
      <c r="AB94" s="11"/>
      <c r="AC94" s="11"/>
    </row>
    <row r="95" spans="2:29" x14ac:dyDescent="0.25">
      <c r="B95" s="1" t="s">
        <v>14</v>
      </c>
      <c r="C95" s="6">
        <v>305</v>
      </c>
      <c r="D95" s="6">
        <v>5</v>
      </c>
      <c r="E95" s="6"/>
      <c r="F95" s="6">
        <v>0</v>
      </c>
      <c r="G95" s="6">
        <v>46.09</v>
      </c>
      <c r="H95" s="6">
        <v>0</v>
      </c>
      <c r="I95" s="6">
        <v>46.09</v>
      </c>
      <c r="J95" s="6">
        <v>0</v>
      </c>
      <c r="K95" s="6">
        <v>46.09</v>
      </c>
      <c r="M95" s="1"/>
      <c r="N95" s="6"/>
      <c r="O95" s="6"/>
      <c r="P95" s="6"/>
      <c r="Q95" s="6"/>
      <c r="R95" s="6"/>
      <c r="S95" s="6"/>
      <c r="T95" s="6"/>
      <c r="U95" s="6"/>
      <c r="V95" s="6"/>
      <c r="X95" s="1"/>
      <c r="Y95" s="6"/>
      <c r="Z95" s="6"/>
      <c r="AA95" s="6"/>
      <c r="AB95" s="11"/>
      <c r="AC95" s="11"/>
    </row>
    <row r="96" spans="2:29" x14ac:dyDescent="0.25">
      <c r="B96" s="1" t="s">
        <v>14</v>
      </c>
      <c r="C96" s="6">
        <v>305</v>
      </c>
      <c r="D96" s="6">
        <v>6</v>
      </c>
      <c r="E96" s="6"/>
      <c r="F96" s="6">
        <v>0</v>
      </c>
      <c r="G96" s="6">
        <v>46.09</v>
      </c>
      <c r="H96" s="6">
        <v>0</v>
      </c>
      <c r="I96" s="6">
        <v>46.09</v>
      </c>
      <c r="J96" s="6">
        <v>0</v>
      </c>
      <c r="K96" s="6">
        <v>46.09</v>
      </c>
      <c r="M96" s="1"/>
      <c r="N96" s="6"/>
      <c r="O96" s="6"/>
      <c r="P96" s="6"/>
      <c r="Q96" s="6"/>
      <c r="R96" s="6"/>
      <c r="S96" s="6"/>
      <c r="T96" s="6"/>
      <c r="U96" s="6"/>
      <c r="V96" s="6"/>
      <c r="X96" s="1"/>
      <c r="Y96" s="6"/>
      <c r="Z96" s="6"/>
      <c r="AA96" s="6"/>
      <c r="AB96" s="11"/>
      <c r="AC96" s="11"/>
    </row>
    <row r="97" spans="2:29" x14ac:dyDescent="0.25">
      <c r="B97" s="1" t="s">
        <v>14</v>
      </c>
      <c r="C97" s="6">
        <v>305</v>
      </c>
      <c r="D97" s="6">
        <v>7</v>
      </c>
      <c r="E97" s="6"/>
      <c r="F97" s="6">
        <v>0</v>
      </c>
      <c r="G97" s="6">
        <v>46.09</v>
      </c>
      <c r="H97" s="6">
        <v>0</v>
      </c>
      <c r="I97" s="6">
        <v>46.09</v>
      </c>
      <c r="J97" s="6">
        <v>0</v>
      </c>
      <c r="K97" s="6">
        <v>46.09</v>
      </c>
      <c r="M97" s="1"/>
      <c r="N97" s="6"/>
      <c r="O97" s="6"/>
      <c r="P97" s="6"/>
      <c r="Q97" s="6"/>
      <c r="R97" s="6"/>
      <c r="S97" s="6"/>
      <c r="T97" s="6"/>
      <c r="U97" s="6"/>
      <c r="V97" s="6"/>
      <c r="X97" s="1"/>
      <c r="Y97" s="6"/>
      <c r="Z97" s="6"/>
      <c r="AA97" s="6"/>
      <c r="AB97" s="11"/>
      <c r="AC97" s="11"/>
    </row>
    <row r="98" spans="2:29" x14ac:dyDescent="0.25">
      <c r="B98" s="1" t="s">
        <v>14</v>
      </c>
      <c r="C98" s="6">
        <v>305</v>
      </c>
      <c r="D98" s="6">
        <v>8</v>
      </c>
      <c r="E98" s="6"/>
      <c r="F98" s="6">
        <v>0</v>
      </c>
      <c r="G98" s="6">
        <v>46.09</v>
      </c>
      <c r="H98" s="6">
        <v>0</v>
      </c>
      <c r="I98" s="6">
        <v>46.09</v>
      </c>
      <c r="J98" s="6">
        <v>0</v>
      </c>
      <c r="K98" s="6">
        <v>46.09</v>
      </c>
      <c r="M98" s="1"/>
      <c r="N98" s="6"/>
      <c r="O98" s="6"/>
      <c r="P98" s="6"/>
      <c r="Q98" s="6"/>
      <c r="R98" s="6"/>
      <c r="S98" s="6"/>
      <c r="T98" s="6"/>
      <c r="U98" s="6"/>
      <c r="V98" s="6"/>
      <c r="X98" s="1"/>
      <c r="Y98" s="6"/>
      <c r="Z98" s="6"/>
      <c r="AA98" s="6"/>
      <c r="AB98" s="11"/>
      <c r="AC98" s="11"/>
    </row>
    <row r="99" spans="2:29" x14ac:dyDescent="0.25">
      <c r="B99" s="1" t="s">
        <v>14</v>
      </c>
      <c r="C99" s="6">
        <v>305</v>
      </c>
      <c r="D99" s="6">
        <v>9</v>
      </c>
      <c r="E99" s="6"/>
      <c r="F99" s="6">
        <v>0</v>
      </c>
      <c r="G99" s="6">
        <v>46.09</v>
      </c>
      <c r="H99" s="6">
        <v>0</v>
      </c>
      <c r="I99" s="6">
        <v>46.09</v>
      </c>
      <c r="J99" s="6">
        <v>0</v>
      </c>
      <c r="K99" s="6">
        <v>46.09</v>
      </c>
      <c r="M99" s="1"/>
      <c r="N99" s="6"/>
      <c r="O99" s="6"/>
      <c r="P99" s="6"/>
      <c r="Q99" s="6"/>
      <c r="R99" s="6"/>
      <c r="S99" s="6"/>
      <c r="T99" s="6"/>
      <c r="U99" s="6"/>
      <c r="V99" s="6"/>
      <c r="X99" s="1"/>
      <c r="Y99" s="6"/>
      <c r="Z99" s="6"/>
      <c r="AA99" s="6"/>
      <c r="AB99" s="11"/>
      <c r="AC99" s="11"/>
    </row>
    <row r="100" spans="2:29" x14ac:dyDescent="0.25">
      <c r="B100" s="1" t="s">
        <v>14</v>
      </c>
      <c r="C100" s="6">
        <v>305</v>
      </c>
      <c r="D100" s="6">
        <v>10</v>
      </c>
      <c r="E100" s="6"/>
      <c r="F100" s="6">
        <v>0</v>
      </c>
      <c r="G100" s="6">
        <v>46.09</v>
      </c>
      <c r="H100" s="6">
        <v>0</v>
      </c>
      <c r="I100" s="6">
        <v>46.09</v>
      </c>
      <c r="J100" s="6">
        <v>0</v>
      </c>
      <c r="K100" s="6">
        <v>46.09</v>
      </c>
      <c r="M100" s="1"/>
      <c r="N100" s="6"/>
      <c r="O100" s="6"/>
      <c r="P100" s="6"/>
      <c r="Q100" s="6"/>
      <c r="R100" s="6"/>
      <c r="S100" s="6"/>
      <c r="T100" s="6"/>
      <c r="U100" s="6"/>
      <c r="V100" s="6"/>
      <c r="X100" s="1"/>
      <c r="Y100" s="6"/>
      <c r="Z100" s="6"/>
      <c r="AA100" s="6"/>
      <c r="AB100" s="11"/>
      <c r="AC100" s="11"/>
    </row>
    <row r="101" spans="2:29" x14ac:dyDescent="0.25">
      <c r="B101" s="1" t="s">
        <v>14</v>
      </c>
      <c r="C101" s="6">
        <v>305</v>
      </c>
      <c r="D101" s="6">
        <v>11</v>
      </c>
      <c r="E101" s="6"/>
      <c r="F101" s="6">
        <v>0</v>
      </c>
      <c r="G101" s="6">
        <v>46.09</v>
      </c>
      <c r="H101" s="6">
        <v>0</v>
      </c>
      <c r="I101" s="6">
        <v>46.09</v>
      </c>
      <c r="J101" s="6">
        <v>0</v>
      </c>
      <c r="K101" s="6">
        <v>46.09</v>
      </c>
      <c r="M101" s="1"/>
      <c r="N101" s="6"/>
      <c r="O101" s="6"/>
      <c r="P101" s="6"/>
      <c r="Q101" s="6"/>
      <c r="R101" s="6"/>
      <c r="S101" s="6"/>
      <c r="T101" s="6"/>
      <c r="U101" s="6"/>
      <c r="V101" s="6"/>
      <c r="X101" s="1"/>
      <c r="Y101" s="6"/>
      <c r="Z101" s="6"/>
      <c r="AA101" s="6"/>
      <c r="AB101" s="11"/>
      <c r="AC101" s="11"/>
    </row>
    <row r="102" spans="2:29" x14ac:dyDescent="0.25">
      <c r="B102" s="1" t="s">
        <v>14</v>
      </c>
      <c r="C102" s="6">
        <v>305</v>
      </c>
      <c r="D102" s="6">
        <v>12</v>
      </c>
      <c r="E102" s="6"/>
      <c r="F102" s="6">
        <v>0</v>
      </c>
      <c r="G102" s="6">
        <v>46.09</v>
      </c>
      <c r="H102" s="6">
        <v>0</v>
      </c>
      <c r="I102" s="6">
        <v>46.09</v>
      </c>
      <c r="J102" s="6">
        <v>0</v>
      </c>
      <c r="K102" s="6">
        <v>46.09</v>
      </c>
      <c r="M102" s="1"/>
      <c r="N102" s="6"/>
      <c r="O102" s="6"/>
      <c r="P102" s="6"/>
      <c r="Q102" s="6"/>
      <c r="R102" s="6"/>
      <c r="S102" s="6"/>
      <c r="T102" s="6"/>
      <c r="U102" s="6"/>
      <c r="V102" s="6"/>
      <c r="X102" s="1"/>
      <c r="Y102" s="6"/>
      <c r="Z102" s="6"/>
      <c r="AA102" s="6"/>
      <c r="AB102" s="11"/>
      <c r="AC102" s="11"/>
    </row>
    <row r="103" spans="2:29" x14ac:dyDescent="0.25">
      <c r="B103" s="1"/>
      <c r="C103" s="5"/>
      <c r="D103" s="5"/>
      <c r="E103" s="5"/>
      <c r="F103" s="5"/>
      <c r="G103" s="5"/>
      <c r="H103" s="5"/>
      <c r="I103" s="5"/>
      <c r="J103" s="5"/>
      <c r="K103" s="5"/>
      <c r="M103" s="1"/>
      <c r="N103" s="5"/>
      <c r="O103" s="5"/>
      <c r="P103" s="5"/>
      <c r="Q103" s="5"/>
      <c r="R103" s="5"/>
      <c r="S103" s="5"/>
      <c r="T103" s="5"/>
      <c r="U103" s="5"/>
      <c r="V103" s="5"/>
      <c r="X103" s="1"/>
      <c r="Y103" s="5"/>
      <c r="Z103" s="5"/>
      <c r="AA103" s="5"/>
      <c r="AB103" s="12"/>
      <c r="AC103" s="12"/>
    </row>
    <row r="104" spans="2:29" x14ac:dyDescent="0.25"/>
    <row r="105" spans="2:29" x14ac:dyDescent="0.25"/>
    <row r="106" spans="2:29" x14ac:dyDescent="0.25"/>
    <row r="107" spans="2:29" ht="33" customHeight="1" x14ac:dyDescent="0.25">
      <c r="B107" s="88" t="s">
        <v>31</v>
      </c>
      <c r="C107" s="8" t="s">
        <v>2</v>
      </c>
      <c r="D107" s="8" t="s">
        <v>3</v>
      </c>
      <c r="E107" s="8" t="s">
        <v>4</v>
      </c>
      <c r="F107" s="8" t="s">
        <v>5</v>
      </c>
      <c r="G107" s="8" t="s">
        <v>6</v>
      </c>
      <c r="H107" s="8" t="s">
        <v>7</v>
      </c>
      <c r="I107" s="8" t="s">
        <v>8</v>
      </c>
      <c r="J107" s="8" t="s">
        <v>9</v>
      </c>
      <c r="K107" s="8" t="s">
        <v>10</v>
      </c>
      <c r="L107" s="8" t="s">
        <v>11</v>
      </c>
      <c r="M107" s="8" t="s">
        <v>12</v>
      </c>
      <c r="N107" s="8" t="s">
        <v>13</v>
      </c>
    </row>
    <row r="108" spans="2:29" x14ac:dyDescent="0.25">
      <c r="B108" s="88"/>
      <c r="C108" s="17">
        <v>116</v>
      </c>
      <c r="D108" s="17">
        <v>143</v>
      </c>
      <c r="E108" s="17">
        <v>143</v>
      </c>
      <c r="F108" s="17">
        <v>193</v>
      </c>
      <c r="G108" s="17">
        <v>267</v>
      </c>
      <c r="H108" s="17">
        <v>513</v>
      </c>
      <c r="I108" s="17">
        <v>353</v>
      </c>
      <c r="J108" s="17">
        <v>303</v>
      </c>
      <c r="K108" s="17">
        <v>259</v>
      </c>
      <c r="L108" s="17">
        <v>228</v>
      </c>
      <c r="M108" s="17">
        <v>153</v>
      </c>
      <c r="N108" s="17">
        <v>136</v>
      </c>
    </row>
    <row r="109" spans="2:29" x14ac:dyDescent="0.25"/>
    <row r="110" spans="2:29" x14ac:dyDescent="0.25"/>
    <row r="111" spans="2:29" x14ac:dyDescent="0.25">
      <c r="B111" s="86" t="s">
        <v>32</v>
      </c>
      <c r="C111" s="86"/>
      <c r="D111" s="86"/>
      <c r="E111" s="86"/>
      <c r="F111" s="86"/>
      <c r="G111" s="86"/>
      <c r="H111" s="86"/>
      <c r="I111" s="86"/>
      <c r="J111" s="86"/>
    </row>
    <row r="112" spans="2:29" x14ac:dyDescent="0.25">
      <c r="E112" s="87"/>
      <c r="F112" s="87"/>
      <c r="G112" s="87"/>
      <c r="H112" s="87"/>
      <c r="I112" s="87"/>
      <c r="J112" s="87"/>
    </row>
    <row r="113" spans="1:10" x14ac:dyDescent="0.25">
      <c r="B113" s="35" t="s">
        <v>27</v>
      </c>
      <c r="C113" s="35" t="s">
        <v>36</v>
      </c>
      <c r="D113" s="35" t="s">
        <v>28</v>
      </c>
      <c r="E113" s="35" t="s">
        <v>33</v>
      </c>
      <c r="F113" s="35" t="s">
        <v>34</v>
      </c>
      <c r="G113" s="35" t="s">
        <v>35</v>
      </c>
      <c r="H113" s="35"/>
      <c r="I113" s="35"/>
      <c r="J113" s="35"/>
    </row>
    <row r="114" spans="1:10" x14ac:dyDescent="0.25">
      <c r="B114" s="18"/>
      <c r="C114" s="18"/>
      <c r="D114" s="18"/>
      <c r="E114" s="19"/>
      <c r="F114" s="19"/>
      <c r="G114" s="19"/>
      <c r="H114" s="19"/>
      <c r="I114" s="19"/>
      <c r="J114" s="19"/>
    </row>
    <row r="115" spans="1:10" x14ac:dyDescent="0.25">
      <c r="B115" s="18"/>
      <c r="C115" s="18"/>
      <c r="D115" s="18"/>
      <c r="E115" s="19"/>
      <c r="F115" s="19"/>
      <c r="G115" s="19"/>
      <c r="H115" s="19"/>
      <c r="I115" s="19"/>
      <c r="J115" s="19"/>
    </row>
    <row r="116" spans="1:10" x14ac:dyDescent="0.25">
      <c r="B116" s="18"/>
      <c r="C116" s="18"/>
      <c r="D116" s="18"/>
      <c r="E116" s="19"/>
      <c r="F116" s="19"/>
      <c r="G116" s="19"/>
      <c r="H116" s="19"/>
      <c r="I116" s="19"/>
      <c r="J116" s="19"/>
    </row>
    <row r="117" spans="1:10" x14ac:dyDescent="0.25">
      <c r="B117" s="18"/>
      <c r="C117" s="18"/>
      <c r="D117" s="18"/>
      <c r="E117" s="19"/>
      <c r="F117" s="19"/>
      <c r="G117" s="19"/>
      <c r="H117" s="19"/>
      <c r="I117" s="19"/>
      <c r="J117" s="19"/>
    </row>
    <row r="118" spans="1:10" x14ac:dyDescent="0.25">
      <c r="B118" s="18"/>
      <c r="C118" s="18"/>
      <c r="D118" s="18"/>
      <c r="E118" s="19"/>
      <c r="F118" s="19"/>
      <c r="G118" s="19"/>
      <c r="H118" s="19"/>
      <c r="I118" s="19"/>
      <c r="J118" s="19"/>
    </row>
    <row r="119" spans="1:10" x14ac:dyDescent="0.25">
      <c r="B119" s="18"/>
      <c r="C119" s="18"/>
      <c r="D119" s="18"/>
      <c r="E119" s="19"/>
      <c r="F119" s="19"/>
      <c r="G119" s="19"/>
      <c r="H119" s="19"/>
      <c r="I119" s="19"/>
      <c r="J119" s="19"/>
    </row>
    <row r="120" spans="1:10" x14ac:dyDescent="0.25">
      <c r="B120" s="18"/>
      <c r="C120" s="18"/>
      <c r="D120" s="18"/>
      <c r="E120" s="19"/>
      <c r="F120" s="19"/>
      <c r="G120" s="19"/>
      <c r="H120" s="19"/>
      <c r="I120" s="19"/>
      <c r="J120" s="19"/>
    </row>
    <row r="121" spans="1:10" x14ac:dyDescent="0.25">
      <c r="B121" s="18"/>
      <c r="C121" s="18"/>
      <c r="D121" s="18"/>
      <c r="E121" s="19"/>
      <c r="F121" s="19"/>
      <c r="G121" s="19"/>
      <c r="H121" s="19"/>
      <c r="I121" s="19"/>
      <c r="J121" s="19"/>
    </row>
    <row r="122" spans="1:10" x14ac:dyDescent="0.25">
      <c r="B122" s="18"/>
      <c r="C122" s="18"/>
      <c r="D122" s="18"/>
      <c r="E122" s="19"/>
      <c r="F122" s="19"/>
      <c r="G122" s="19"/>
      <c r="H122" s="19"/>
      <c r="I122" s="19"/>
      <c r="J122" s="19"/>
    </row>
    <row r="123" spans="1:10" x14ac:dyDescent="0.25">
      <c r="B123" s="18"/>
      <c r="C123" s="18"/>
      <c r="D123" s="18"/>
      <c r="E123" s="19"/>
      <c r="F123" s="19"/>
      <c r="G123" s="19"/>
      <c r="H123" s="19"/>
      <c r="I123" s="19"/>
      <c r="J123" s="19"/>
    </row>
    <row r="124" spans="1:10" x14ac:dyDescent="0.25">
      <c r="B124" s="18"/>
      <c r="C124" s="18"/>
      <c r="D124" s="18"/>
      <c r="E124" s="19"/>
      <c r="F124" s="19"/>
      <c r="G124" s="19"/>
      <c r="H124" s="19"/>
      <c r="I124" s="19"/>
      <c r="J124" s="19"/>
    </row>
    <row r="125" spans="1:10" x14ac:dyDescent="0.25">
      <c r="B125" s="18"/>
      <c r="C125" s="18"/>
      <c r="D125" s="18"/>
      <c r="E125" s="19"/>
      <c r="F125" s="19"/>
      <c r="G125" s="19"/>
      <c r="H125" s="19"/>
      <c r="I125" s="19"/>
      <c r="J125" s="19"/>
    </row>
    <row r="126" spans="1:10" x14ac:dyDescent="0.25">
      <c r="B126" s="18"/>
      <c r="C126" s="18"/>
      <c r="D126" s="18"/>
      <c r="E126" s="19"/>
      <c r="F126" s="19"/>
      <c r="G126" s="19"/>
      <c r="H126" s="19"/>
      <c r="I126" s="19"/>
      <c r="J126" s="19"/>
    </row>
    <row r="127" spans="1:10" x14ac:dyDescent="0.25">
      <c r="A127" t="s">
        <v>38</v>
      </c>
      <c r="B127" s="20">
        <v>288</v>
      </c>
      <c r="C127" s="20" t="s">
        <v>39</v>
      </c>
      <c r="D127" s="20" t="s">
        <v>37</v>
      </c>
      <c r="E127" s="21">
        <v>288</v>
      </c>
      <c r="F127" s="21"/>
      <c r="G127" s="21"/>
      <c r="H127" s="21"/>
      <c r="I127" s="21"/>
      <c r="J127" s="21"/>
    </row>
    <row r="128" spans="1:10" x14ac:dyDescent="0.25"/>
    <row r="129" spans="2:14" x14ac:dyDescent="0.25"/>
    <row r="130" spans="2:14" x14ac:dyDescent="0.25"/>
    <row r="131" spans="2:14" x14ac:dyDescent="0.25"/>
    <row r="132" spans="2:14" x14ac:dyDescent="0.25"/>
    <row r="133" spans="2:14" ht="27" customHeight="1" x14ac:dyDescent="0.25">
      <c r="B133" s="23" t="s">
        <v>29</v>
      </c>
      <c r="C133" s="8" t="s">
        <v>2</v>
      </c>
      <c r="D133" s="8" t="s">
        <v>3</v>
      </c>
      <c r="E133" s="8" t="s">
        <v>4</v>
      </c>
      <c r="F133" s="8" t="s">
        <v>5</v>
      </c>
      <c r="G133" s="8" t="s">
        <v>6</v>
      </c>
      <c r="H133" s="8" t="s">
        <v>7</v>
      </c>
      <c r="I133" s="8" t="s">
        <v>8</v>
      </c>
      <c r="J133" s="8" t="s">
        <v>9</v>
      </c>
      <c r="K133" s="8" t="s">
        <v>10</v>
      </c>
      <c r="L133" s="8" t="s">
        <v>11</v>
      </c>
      <c r="M133" s="8" t="s">
        <v>12</v>
      </c>
      <c r="N133" s="8" t="s">
        <v>13</v>
      </c>
    </row>
    <row r="134" spans="2:14" x14ac:dyDescent="0.25">
      <c r="B134" s="10">
        <v>1</v>
      </c>
      <c r="C134" s="14">
        <v>0.44939999999999997</v>
      </c>
      <c r="D134" s="14">
        <v>0.46429999999999999</v>
      </c>
      <c r="E134" s="14">
        <v>0.82140000000000002</v>
      </c>
      <c r="F134" s="14">
        <v>1</v>
      </c>
      <c r="G134" s="14">
        <v>1</v>
      </c>
      <c r="H134" s="14">
        <v>1</v>
      </c>
      <c r="I134" s="14">
        <v>1</v>
      </c>
      <c r="J134" s="14">
        <v>1</v>
      </c>
      <c r="K134" s="14">
        <v>1</v>
      </c>
      <c r="L134" s="14">
        <v>1</v>
      </c>
      <c r="M134" s="14">
        <v>0.49399999999999999</v>
      </c>
      <c r="N134" s="14">
        <v>0.44939999999999997</v>
      </c>
    </row>
    <row r="135" spans="2:14" x14ac:dyDescent="0.25">
      <c r="B135" s="10">
        <v>6</v>
      </c>
      <c r="C135" s="15">
        <v>0.94059999999999999</v>
      </c>
      <c r="D135" s="15">
        <v>0.96329999999999993</v>
      </c>
      <c r="E135" s="15">
        <v>0.97670000000000001</v>
      </c>
      <c r="F135" s="15">
        <v>1</v>
      </c>
      <c r="G135" s="15">
        <v>1</v>
      </c>
      <c r="H135" s="15">
        <v>1</v>
      </c>
      <c r="I135" s="15">
        <v>1</v>
      </c>
      <c r="J135" s="15">
        <v>1</v>
      </c>
      <c r="K135" s="15">
        <v>1</v>
      </c>
      <c r="L135" s="15">
        <v>1</v>
      </c>
      <c r="M135" s="15">
        <v>0.95819999999999994</v>
      </c>
      <c r="N135" s="15">
        <v>0.94590000000000007</v>
      </c>
    </row>
    <row r="136" spans="2:14" x14ac:dyDescent="0.25">
      <c r="B136" s="10">
        <v>7</v>
      </c>
      <c r="C136" s="15">
        <v>0.8</v>
      </c>
      <c r="D136" s="15">
        <v>0.85560000000000003</v>
      </c>
      <c r="E136" s="15">
        <v>0.91680000000000006</v>
      </c>
      <c r="F136" s="15">
        <v>1</v>
      </c>
      <c r="G136" s="15">
        <v>1</v>
      </c>
      <c r="H136" s="15">
        <v>1</v>
      </c>
      <c r="I136" s="15">
        <v>1</v>
      </c>
      <c r="J136" s="15">
        <v>1</v>
      </c>
      <c r="K136" s="15">
        <v>1</v>
      </c>
      <c r="L136" s="15">
        <v>1</v>
      </c>
      <c r="M136" s="15">
        <v>0.8</v>
      </c>
      <c r="N136" s="15">
        <v>0.8</v>
      </c>
    </row>
    <row r="137" spans="2:14" x14ac:dyDescent="0.25">
      <c r="B137" s="10">
        <v>14</v>
      </c>
      <c r="C137" s="15">
        <v>0.92059999999999997</v>
      </c>
      <c r="D137" s="15">
        <v>0.96030000000000004</v>
      </c>
      <c r="E137" s="15">
        <v>0.98019999999999996</v>
      </c>
      <c r="F137" s="15">
        <v>1</v>
      </c>
      <c r="G137" s="15">
        <v>1</v>
      </c>
      <c r="H137" s="15">
        <v>1</v>
      </c>
      <c r="I137" s="15">
        <v>1</v>
      </c>
      <c r="J137" s="15">
        <v>1</v>
      </c>
      <c r="K137" s="15">
        <v>1</v>
      </c>
      <c r="L137" s="15">
        <v>1</v>
      </c>
      <c r="M137" s="15">
        <v>0.88099999999999989</v>
      </c>
      <c r="N137" s="15">
        <v>0.90079999999999993</v>
      </c>
    </row>
    <row r="138" spans="2:14" x14ac:dyDescent="0.25">
      <c r="B138" s="10">
        <v>17</v>
      </c>
      <c r="C138" s="15">
        <v>0.77340000000000009</v>
      </c>
      <c r="D138" s="15">
        <v>0.8276</v>
      </c>
      <c r="E138" s="15">
        <v>0.87870000000000004</v>
      </c>
      <c r="F138" s="15">
        <v>0.95</v>
      </c>
      <c r="G138" s="15">
        <v>0.95</v>
      </c>
      <c r="H138" s="15">
        <v>0.95</v>
      </c>
      <c r="I138" s="15">
        <v>0.95</v>
      </c>
      <c r="J138" s="15">
        <v>0.95</v>
      </c>
      <c r="K138" s="15">
        <v>0.95</v>
      </c>
      <c r="L138" s="15">
        <v>0.95</v>
      </c>
      <c r="M138" s="15">
        <v>0.81330000000000002</v>
      </c>
      <c r="N138" s="15">
        <v>0.78839999999999999</v>
      </c>
    </row>
    <row r="139" spans="2:14" x14ac:dyDescent="0.25">
      <c r="B139" s="10">
        <v>18</v>
      </c>
      <c r="C139" s="15">
        <v>0.79920000000000002</v>
      </c>
      <c r="D139" s="15">
        <v>0.86109999999999998</v>
      </c>
      <c r="E139" s="15">
        <v>1</v>
      </c>
      <c r="F139" s="15">
        <v>1</v>
      </c>
      <c r="G139" s="15">
        <v>1</v>
      </c>
      <c r="H139" s="15">
        <v>1</v>
      </c>
      <c r="I139" s="15">
        <v>1</v>
      </c>
      <c r="J139" s="15">
        <v>1</v>
      </c>
      <c r="K139" s="15">
        <v>1</v>
      </c>
      <c r="L139" s="15">
        <v>1</v>
      </c>
      <c r="M139" s="15">
        <v>0.8448</v>
      </c>
      <c r="N139" s="15">
        <v>0.81640000000000001</v>
      </c>
    </row>
    <row r="140" spans="2:14" x14ac:dyDescent="0.25">
      <c r="B140" s="10">
        <v>24</v>
      </c>
      <c r="C140" s="15">
        <v>0.96400000000000008</v>
      </c>
      <c r="D140" s="15">
        <v>0.97239999999999993</v>
      </c>
      <c r="E140" s="15">
        <v>0.98019999999999996</v>
      </c>
      <c r="F140" s="15">
        <v>1</v>
      </c>
      <c r="G140" s="15">
        <v>1</v>
      </c>
      <c r="H140" s="15">
        <v>1</v>
      </c>
      <c r="I140" s="15">
        <v>1</v>
      </c>
      <c r="J140" s="15">
        <v>1</v>
      </c>
      <c r="K140" s="15">
        <v>1</v>
      </c>
      <c r="L140" s="15">
        <v>1</v>
      </c>
      <c r="M140" s="15">
        <v>0.97589999999999999</v>
      </c>
      <c r="N140" s="15">
        <v>0.97010000000000007</v>
      </c>
    </row>
    <row r="141" spans="2:14" x14ac:dyDescent="0.25">
      <c r="B141" s="10">
        <v>25</v>
      </c>
      <c r="C141" s="15">
        <v>0.97060000000000002</v>
      </c>
      <c r="D141" s="15">
        <v>0.97689999999999999</v>
      </c>
      <c r="E141" s="15">
        <v>0.98269999999999991</v>
      </c>
      <c r="F141" s="15">
        <v>1</v>
      </c>
      <c r="G141" s="15">
        <v>1</v>
      </c>
      <c r="H141" s="15">
        <v>1</v>
      </c>
      <c r="I141" s="15">
        <v>1</v>
      </c>
      <c r="J141" s="15">
        <v>1</v>
      </c>
      <c r="K141" s="15">
        <v>1</v>
      </c>
      <c r="L141" s="15">
        <v>1</v>
      </c>
      <c r="M141" s="15">
        <v>0.97950000000000004</v>
      </c>
      <c r="N141" s="15">
        <v>0.97510000000000008</v>
      </c>
    </row>
    <row r="142" spans="2:14" x14ac:dyDescent="0.25">
      <c r="B142" s="10">
        <v>31</v>
      </c>
      <c r="C142" s="15">
        <v>0.9042</v>
      </c>
      <c r="D142" s="15">
        <v>0.93189999999999995</v>
      </c>
      <c r="E142" s="15">
        <v>0.95739999999999992</v>
      </c>
      <c r="F142" s="15">
        <v>1</v>
      </c>
      <c r="G142" s="15">
        <v>1</v>
      </c>
      <c r="H142" s="15">
        <v>1</v>
      </c>
      <c r="I142" s="15">
        <v>1</v>
      </c>
      <c r="J142" s="15">
        <v>1</v>
      </c>
      <c r="K142" s="15">
        <v>1</v>
      </c>
      <c r="L142" s="15">
        <v>1</v>
      </c>
      <c r="M142" s="15">
        <v>0.94340000000000002</v>
      </c>
      <c r="N142" s="15">
        <v>0.9244</v>
      </c>
    </row>
    <row r="143" spans="2:14" x14ac:dyDescent="0.25">
      <c r="B143" s="10">
        <v>33</v>
      </c>
      <c r="C143" s="15">
        <v>0.78029999999999999</v>
      </c>
      <c r="D143" s="15">
        <v>0.84840000000000004</v>
      </c>
      <c r="E143" s="15">
        <v>0.92</v>
      </c>
      <c r="F143" s="15">
        <v>1</v>
      </c>
      <c r="G143" s="15">
        <v>1</v>
      </c>
      <c r="H143" s="15">
        <v>1</v>
      </c>
      <c r="I143" s="15">
        <v>1</v>
      </c>
      <c r="J143" s="15">
        <v>1</v>
      </c>
      <c r="K143" s="15">
        <v>1</v>
      </c>
      <c r="L143" s="15">
        <v>1</v>
      </c>
      <c r="M143" s="15">
        <v>0.83069999999999988</v>
      </c>
      <c r="N143" s="15">
        <v>0.74129999999999996</v>
      </c>
    </row>
    <row r="144" spans="2:14" x14ac:dyDescent="0.25">
      <c r="B144" s="10">
        <v>37</v>
      </c>
      <c r="C144" s="15">
        <v>0.53620000000000001</v>
      </c>
      <c r="D144" s="15">
        <v>0.69599999999999995</v>
      </c>
      <c r="E144" s="15">
        <v>0.86360000000000003</v>
      </c>
      <c r="F144" s="15">
        <v>0.94930000000000003</v>
      </c>
      <c r="G144" s="15">
        <v>0.96489999999999998</v>
      </c>
      <c r="H144" s="15">
        <v>1</v>
      </c>
      <c r="I144" s="15">
        <v>1</v>
      </c>
      <c r="J144" s="15">
        <v>1</v>
      </c>
      <c r="K144" s="15">
        <v>1</v>
      </c>
      <c r="L144" s="15">
        <v>1</v>
      </c>
      <c r="M144" s="15">
        <v>0.9104000000000001</v>
      </c>
      <c r="N144" s="15">
        <v>0.77400000000000002</v>
      </c>
    </row>
    <row r="145" spans="2:14" x14ac:dyDescent="0.25">
      <c r="B145" s="10">
        <v>40</v>
      </c>
      <c r="C145" s="15">
        <v>0.7</v>
      </c>
      <c r="D145" s="15">
        <v>0.8909999999999999</v>
      </c>
      <c r="E145" s="15">
        <v>0.97</v>
      </c>
      <c r="F145" s="15">
        <v>1</v>
      </c>
      <c r="G145" s="15">
        <v>1</v>
      </c>
      <c r="H145" s="15">
        <v>1</v>
      </c>
      <c r="I145" s="15">
        <v>1</v>
      </c>
      <c r="J145" s="15">
        <v>1</v>
      </c>
      <c r="K145" s="15">
        <v>1</v>
      </c>
      <c r="L145" s="15">
        <v>1</v>
      </c>
      <c r="M145" s="15">
        <v>0.87829999999999997</v>
      </c>
      <c r="N145" s="15">
        <v>0.55359999999999998</v>
      </c>
    </row>
    <row r="146" spans="2:14" x14ac:dyDescent="0.25">
      <c r="B146" s="10">
        <v>44</v>
      </c>
      <c r="C146" s="15">
        <v>0.45829999999999999</v>
      </c>
      <c r="D146" s="15">
        <v>0.56789999999999996</v>
      </c>
      <c r="E146" s="15">
        <v>0.91</v>
      </c>
      <c r="F146" s="15">
        <v>1</v>
      </c>
      <c r="G146" s="15">
        <v>1</v>
      </c>
      <c r="H146" s="15">
        <v>1</v>
      </c>
      <c r="I146" s="15">
        <v>1</v>
      </c>
      <c r="J146" s="15">
        <v>1</v>
      </c>
      <c r="K146" s="15">
        <v>1</v>
      </c>
      <c r="L146" s="15">
        <v>1</v>
      </c>
      <c r="M146" s="15">
        <v>0.47759999999999997</v>
      </c>
      <c r="N146" s="15">
        <v>0.45829999999999999</v>
      </c>
    </row>
    <row r="147" spans="2:14" x14ac:dyDescent="0.25">
      <c r="B147" s="10">
        <v>47</v>
      </c>
      <c r="C147" s="15">
        <v>0.85780000000000001</v>
      </c>
      <c r="D147" s="15">
        <v>0.8831</v>
      </c>
      <c r="E147" s="15">
        <v>1</v>
      </c>
      <c r="F147" s="15">
        <v>1</v>
      </c>
      <c r="G147" s="15">
        <v>0.85470000000000002</v>
      </c>
      <c r="H147" s="15">
        <v>0.92420000000000002</v>
      </c>
      <c r="I147" s="15">
        <v>0.95889999999999997</v>
      </c>
      <c r="J147" s="15">
        <v>0.99370000000000003</v>
      </c>
      <c r="K147" s="15">
        <v>0.9323999999999999</v>
      </c>
      <c r="L147" s="15">
        <v>1</v>
      </c>
      <c r="M147" s="15">
        <v>1</v>
      </c>
      <c r="N147" s="15">
        <v>0.88090000000000002</v>
      </c>
    </row>
    <row r="148" spans="2:14" x14ac:dyDescent="0.25">
      <c r="B148" s="10">
        <v>49</v>
      </c>
      <c r="C148" s="15">
        <v>0.77510000000000001</v>
      </c>
      <c r="D148" s="15">
        <v>0.96050000000000002</v>
      </c>
      <c r="E148" s="15">
        <v>1</v>
      </c>
      <c r="F148" s="15">
        <v>1</v>
      </c>
      <c r="G148" s="15">
        <v>0.86849999999999994</v>
      </c>
      <c r="H148" s="15">
        <v>0.9244</v>
      </c>
      <c r="I148" s="15">
        <v>0.96709999999999996</v>
      </c>
      <c r="J148" s="15">
        <v>1</v>
      </c>
      <c r="K148" s="15">
        <v>0.93230000000000002</v>
      </c>
      <c r="L148" s="15">
        <v>1</v>
      </c>
      <c r="M148" s="15">
        <v>1</v>
      </c>
      <c r="N148" s="15">
        <v>0.88060000000000005</v>
      </c>
    </row>
    <row r="149" spans="2:14" x14ac:dyDescent="0.25">
      <c r="B149" s="10">
        <v>61</v>
      </c>
      <c r="C149" s="15">
        <v>0.83400000000000007</v>
      </c>
      <c r="D149" s="15">
        <v>0.96069999999999989</v>
      </c>
      <c r="E149" s="15">
        <v>1</v>
      </c>
      <c r="F149" s="15">
        <v>1</v>
      </c>
      <c r="G149" s="15">
        <v>1</v>
      </c>
      <c r="H149" s="15">
        <v>1</v>
      </c>
      <c r="I149" s="15">
        <v>1</v>
      </c>
      <c r="J149" s="15">
        <v>1</v>
      </c>
      <c r="K149" s="15">
        <v>1</v>
      </c>
      <c r="L149" s="15">
        <v>1</v>
      </c>
      <c r="M149" s="15">
        <v>1</v>
      </c>
      <c r="N149" s="15">
        <v>0.83400000000000007</v>
      </c>
    </row>
    <row r="150" spans="2:14" x14ac:dyDescent="0.25">
      <c r="B150" s="10">
        <v>77</v>
      </c>
      <c r="C150" s="15">
        <v>1</v>
      </c>
      <c r="D150" s="15">
        <v>1</v>
      </c>
      <c r="E150" s="15">
        <v>1</v>
      </c>
      <c r="F150" s="15">
        <v>1</v>
      </c>
      <c r="G150" s="15">
        <v>0.9587</v>
      </c>
      <c r="H150" s="15">
        <v>0.9587</v>
      </c>
      <c r="I150" s="15">
        <v>1</v>
      </c>
      <c r="J150" s="15">
        <v>1</v>
      </c>
      <c r="K150" s="15">
        <v>1</v>
      </c>
      <c r="L150" s="15">
        <v>1</v>
      </c>
      <c r="M150" s="15">
        <v>1</v>
      </c>
      <c r="N150" s="15">
        <v>1</v>
      </c>
    </row>
    <row r="151" spans="2:14" x14ac:dyDescent="0.25">
      <c r="B151" s="10">
        <v>111</v>
      </c>
      <c r="C151" s="15">
        <v>0.90170000000000006</v>
      </c>
      <c r="D151" s="15">
        <v>0.90170000000000006</v>
      </c>
      <c r="E151" s="15">
        <v>0.90170000000000006</v>
      </c>
      <c r="F151" s="15">
        <v>0.87790000000000001</v>
      </c>
      <c r="G151" s="15">
        <v>0.89280000000000004</v>
      </c>
      <c r="H151" s="15">
        <v>0.89280000000000004</v>
      </c>
      <c r="I151" s="15">
        <v>0.89280000000000004</v>
      </c>
      <c r="J151" s="15">
        <v>0.89280000000000004</v>
      </c>
      <c r="K151" s="15">
        <v>0.89280000000000004</v>
      </c>
      <c r="L151" s="15">
        <v>0.88680000000000003</v>
      </c>
      <c r="M151" s="15">
        <v>0.90170000000000006</v>
      </c>
      <c r="N151" s="15">
        <v>0.90170000000000006</v>
      </c>
    </row>
    <row r="152" spans="2:14" x14ac:dyDescent="0.25">
      <c r="B152" s="10">
        <v>122</v>
      </c>
      <c r="C152" s="15">
        <v>0.92110000000000003</v>
      </c>
      <c r="D152" s="15">
        <v>0.94739999999999991</v>
      </c>
      <c r="E152" s="15">
        <v>1</v>
      </c>
      <c r="F152" s="15">
        <v>1</v>
      </c>
      <c r="G152" s="15">
        <v>1</v>
      </c>
      <c r="H152" s="15">
        <v>1</v>
      </c>
      <c r="I152" s="15">
        <v>1</v>
      </c>
      <c r="J152" s="15">
        <v>1</v>
      </c>
      <c r="K152" s="15">
        <v>1</v>
      </c>
      <c r="L152" s="15">
        <v>1</v>
      </c>
      <c r="M152" s="15">
        <v>1</v>
      </c>
      <c r="N152" s="15">
        <v>0.92110000000000003</v>
      </c>
    </row>
    <row r="153" spans="2:14" x14ac:dyDescent="0.25">
      <c r="B153" s="10">
        <v>123</v>
      </c>
      <c r="C153" s="15">
        <v>0.58750000000000002</v>
      </c>
      <c r="D153" s="15">
        <v>0.67</v>
      </c>
      <c r="E153" s="15">
        <v>0.80200000000000005</v>
      </c>
      <c r="F153" s="15">
        <v>1</v>
      </c>
      <c r="G153" s="15">
        <v>1</v>
      </c>
      <c r="H153" s="15">
        <v>1</v>
      </c>
      <c r="I153" s="15">
        <v>1</v>
      </c>
      <c r="J153" s="15">
        <v>1</v>
      </c>
      <c r="K153" s="15">
        <v>1</v>
      </c>
      <c r="L153" s="15">
        <v>0.95050000000000001</v>
      </c>
      <c r="M153" s="15">
        <v>0.73599999999999999</v>
      </c>
      <c r="N153" s="15">
        <v>0.53799999999999992</v>
      </c>
    </row>
    <row r="154" spans="2:14" x14ac:dyDescent="0.25">
      <c r="B154" s="10">
        <v>148</v>
      </c>
      <c r="C154" s="15">
        <v>0.9133</v>
      </c>
      <c r="D154" s="15">
        <v>0.94310000000000005</v>
      </c>
      <c r="E154" s="15">
        <v>0.96479999999999999</v>
      </c>
      <c r="F154" s="15">
        <v>1</v>
      </c>
      <c r="G154" s="15">
        <v>1</v>
      </c>
      <c r="H154" s="15">
        <v>1</v>
      </c>
      <c r="I154" s="15">
        <v>1</v>
      </c>
      <c r="J154" s="15">
        <v>1</v>
      </c>
      <c r="K154" s="15">
        <v>1</v>
      </c>
      <c r="L154" s="15">
        <v>0.94040000000000001</v>
      </c>
      <c r="M154" s="15">
        <v>0.94040000000000001</v>
      </c>
      <c r="N154" s="15">
        <v>0.88890000000000002</v>
      </c>
    </row>
    <row r="155" spans="2:14" x14ac:dyDescent="0.25">
      <c r="B155" s="10">
        <v>156</v>
      </c>
      <c r="C155" s="15">
        <v>0.96400000000000008</v>
      </c>
      <c r="D155" s="15">
        <v>0.92930000000000001</v>
      </c>
      <c r="E155" s="15">
        <v>1</v>
      </c>
      <c r="F155" s="15">
        <v>1</v>
      </c>
      <c r="G155" s="15">
        <v>1</v>
      </c>
      <c r="H155" s="15">
        <v>1</v>
      </c>
      <c r="I155" s="15">
        <v>1</v>
      </c>
      <c r="J155" s="15">
        <v>1</v>
      </c>
      <c r="K155" s="15">
        <v>1</v>
      </c>
      <c r="L155" s="15">
        <v>0.96599999999999997</v>
      </c>
      <c r="M155" s="15">
        <v>0.94169999999999998</v>
      </c>
      <c r="N155" s="15">
        <v>0.94499999999999995</v>
      </c>
    </row>
    <row r="156" spans="2:14" x14ac:dyDescent="0.25">
      <c r="B156" s="10">
        <v>162</v>
      </c>
      <c r="C156" s="15">
        <v>0.76890000000000003</v>
      </c>
      <c r="D156" s="15">
        <v>0.84589999999999999</v>
      </c>
      <c r="E156" s="15">
        <v>0.89729999999999999</v>
      </c>
      <c r="F156" s="15">
        <v>0.97430000000000005</v>
      </c>
      <c r="G156" s="15">
        <v>1</v>
      </c>
      <c r="H156" s="15">
        <v>1</v>
      </c>
      <c r="I156" s="15">
        <v>1</v>
      </c>
      <c r="J156" s="15">
        <v>1</v>
      </c>
      <c r="K156" s="15">
        <v>1</v>
      </c>
      <c r="L156" s="15">
        <v>0.79459999999999997</v>
      </c>
      <c r="M156" s="15">
        <v>0.69189999999999996</v>
      </c>
      <c r="N156" s="15">
        <v>0.77800000000000002</v>
      </c>
    </row>
    <row r="157" spans="2:14" x14ac:dyDescent="0.25">
      <c r="B157" s="10">
        <v>169</v>
      </c>
      <c r="C157" s="15">
        <v>0.77800000000000002</v>
      </c>
      <c r="D157" s="15">
        <v>0.77800000000000002</v>
      </c>
      <c r="E157" s="15">
        <v>0.77800000000000002</v>
      </c>
      <c r="F157" s="15">
        <v>0.77239999999999998</v>
      </c>
      <c r="G157" s="15">
        <v>1</v>
      </c>
      <c r="H157" s="15">
        <v>1</v>
      </c>
      <c r="I157" s="15">
        <v>1</v>
      </c>
      <c r="J157" s="15">
        <v>1</v>
      </c>
      <c r="K157" s="15">
        <v>1</v>
      </c>
      <c r="L157" s="15">
        <v>0.8640000000000001</v>
      </c>
      <c r="M157" s="15">
        <v>0.78500000000000003</v>
      </c>
      <c r="N157" s="15">
        <v>0.71760000000000002</v>
      </c>
    </row>
    <row r="158" spans="2:14" x14ac:dyDescent="0.25">
      <c r="B158" s="10">
        <v>172</v>
      </c>
      <c r="C158" s="15">
        <v>0.60740000000000005</v>
      </c>
      <c r="D158" s="15">
        <v>0.60740000000000005</v>
      </c>
      <c r="E158" s="15">
        <v>0.66180000000000005</v>
      </c>
      <c r="F158" s="15">
        <v>0.99010000000000009</v>
      </c>
      <c r="G158" s="15">
        <v>1</v>
      </c>
      <c r="H158" s="15">
        <v>1</v>
      </c>
      <c r="I158" s="15">
        <v>1</v>
      </c>
      <c r="J158" s="15">
        <v>1</v>
      </c>
      <c r="K158" s="15">
        <v>1</v>
      </c>
      <c r="L158" s="15">
        <v>0.86159999999999992</v>
      </c>
      <c r="M158" s="15">
        <v>0.60740000000000005</v>
      </c>
      <c r="N158" s="15">
        <v>0.60740000000000005</v>
      </c>
    </row>
    <row r="159" spans="2:14" x14ac:dyDescent="0.25">
      <c r="B159" s="10">
        <v>190</v>
      </c>
      <c r="C159" s="15">
        <v>0.62869999999999993</v>
      </c>
      <c r="D159" s="15">
        <v>0.62869999999999993</v>
      </c>
      <c r="E159" s="15">
        <v>0.62869999999999993</v>
      </c>
      <c r="F159" s="15">
        <v>0.65480000000000005</v>
      </c>
      <c r="G159" s="15">
        <v>1</v>
      </c>
      <c r="H159" s="15">
        <v>1</v>
      </c>
      <c r="I159" s="15">
        <v>1</v>
      </c>
      <c r="J159" s="15">
        <v>1</v>
      </c>
      <c r="K159" s="15">
        <v>1</v>
      </c>
      <c r="L159" s="15">
        <v>1</v>
      </c>
      <c r="M159" s="15">
        <v>0.64959999999999996</v>
      </c>
      <c r="N159" s="15">
        <v>0.6391</v>
      </c>
    </row>
    <row r="160" spans="2:14" x14ac:dyDescent="0.25">
      <c r="B160" s="10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</row>
    <row r="161" spans="2:14" x14ac:dyDescent="0.25">
      <c r="B161" s="10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</row>
    <row r="162" spans="2:14" x14ac:dyDescent="0.25">
      <c r="B162" s="10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</row>
    <row r="163" spans="2:14" x14ac:dyDescent="0.25">
      <c r="B163" s="10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</row>
    <row r="164" spans="2:14" x14ac:dyDescent="0.25">
      <c r="B164" s="10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</row>
    <row r="165" spans="2:14" x14ac:dyDescent="0.25">
      <c r="B165" s="10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</row>
    <row r="166" spans="2:14" x14ac:dyDescent="0.25">
      <c r="B166" s="10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</row>
    <row r="167" spans="2:14" x14ac:dyDescent="0.25"/>
    <row r="168" spans="2:14" x14ac:dyDescent="0.25"/>
    <row r="169" spans="2:14" x14ac:dyDescent="0.25">
      <c r="B169" s="24"/>
    </row>
    <row r="170" spans="2:14" x14ac:dyDescent="0.25"/>
    <row r="171" spans="2:14" hidden="1" x14ac:dyDescent="0.25"/>
    <row r="172" spans="2:14" hidden="1" x14ac:dyDescent="0.25"/>
    <row r="173" spans="2:14" hidden="1" x14ac:dyDescent="0.25"/>
    <row r="174" spans="2:14" hidden="1" x14ac:dyDescent="0.25"/>
    <row r="175" spans="2:14" hidden="1" x14ac:dyDescent="0.25"/>
    <row r="176" spans="2:14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</sheetData>
  <mergeCells count="22">
    <mergeCell ref="B111:J111"/>
    <mergeCell ref="E112:F112"/>
    <mergeCell ref="G112:H112"/>
    <mergeCell ref="I112:J112"/>
    <mergeCell ref="B107:B108"/>
    <mergeCell ref="X28:AC28"/>
    <mergeCell ref="F29:G29"/>
    <mergeCell ref="H29:I29"/>
    <mergeCell ref="J29:K29"/>
    <mergeCell ref="Q29:R29"/>
    <mergeCell ref="S29:T29"/>
    <mergeCell ref="U29:V29"/>
    <mergeCell ref="B28:K28"/>
    <mergeCell ref="M28:V28"/>
    <mergeCell ref="C4:O4"/>
    <mergeCell ref="C3:O3"/>
    <mergeCell ref="C5:O5"/>
    <mergeCell ref="C6:O6"/>
    <mergeCell ref="C7:O7"/>
    <mergeCell ref="C8:O8"/>
    <mergeCell ref="C9:O9"/>
    <mergeCell ref="B2:O2"/>
  </mergeCells>
  <dataValidations count="2">
    <dataValidation type="list" errorStyle="warning" allowBlank="1" showErrorMessage="1" sqref="C114:C127">
      <formula1>"ALTEFE,COFEVA,COTARE,COTVAZ,COTVOL,DESVIO,JUSENA,JUSMED,NCHAVE,NOMEUH,NUMBAS,NUMCON,NUMJUS,NUMMAQ,NUMPOS,PERHID,POTEFE,PROESP,TIPERH,TIPTUR,TIPUSI,VAZCCF,VAZEFE,VAZMIN,VERTJU,VMDESV,VOLMAX,VOLMIN,VSVERT"</formula1>
    </dataValidation>
    <dataValidation type="list" showInputMessage="1" showErrorMessage="1" sqref="B14">
      <formula1>"REE,MERCADO"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B4:XFD363"/>
  <sheetViews>
    <sheetView showGridLines="0" zoomScale="70" zoomScaleNormal="70" workbookViewId="0">
      <selection activeCell="H21" sqref="H21"/>
    </sheetView>
  </sheetViews>
  <sheetFormatPr defaultRowHeight="15" x14ac:dyDescent="0.25"/>
  <cols>
    <col min="1" max="1" width="4.140625" customWidth="1"/>
    <col min="2" max="2" width="31.5703125" bestFit="1" customWidth="1"/>
    <col min="3" max="3" width="17.28515625" customWidth="1"/>
    <col min="4" max="14" width="10.5703125" customWidth="1"/>
  </cols>
  <sheetData>
    <row r="4" spans="2:3 16384:16384" ht="18.75" x14ac:dyDescent="0.3">
      <c r="B4" s="26" t="s">
        <v>47</v>
      </c>
      <c r="C4" s="31" t="s">
        <v>57</v>
      </c>
    </row>
    <row r="7" spans="2:3 16384:16384" ht="6.75" hidden="1" customHeight="1" x14ac:dyDescent="0.25"/>
    <row r="8" spans="2:3 16384:16384" ht="6.75" hidden="1" customHeight="1" x14ac:dyDescent="0.25">
      <c r="XFD8" s="8"/>
    </row>
    <row r="9" spans="2:3 16384:16384" ht="6.75" hidden="1" customHeight="1" x14ac:dyDescent="0.25"/>
    <row r="10" spans="2:3 16384:16384" ht="6.75" hidden="1" customHeight="1" x14ac:dyDescent="0.25"/>
    <row r="11" spans="2:3 16384:16384" ht="6.75" hidden="1" customHeight="1" x14ac:dyDescent="0.25"/>
    <row r="12" spans="2:3 16384:16384" ht="6.75" hidden="1" customHeight="1" x14ac:dyDescent="0.25"/>
    <row r="13" spans="2:3 16384:16384" ht="6.75" hidden="1" customHeight="1" x14ac:dyDescent="0.25"/>
    <row r="14" spans="2:3 16384:16384" ht="6.75" hidden="1" customHeight="1" x14ac:dyDescent="0.25"/>
    <row r="15" spans="2:3 16384:16384" ht="6.75" hidden="1" customHeight="1" x14ac:dyDescent="0.25"/>
    <row r="16" spans="2:3 16384:16384" ht="6.75" hidden="1" customHeight="1" x14ac:dyDescent="0.25"/>
    <row r="17" spans="2:19" ht="6.75" hidden="1" customHeight="1" x14ac:dyDescent="0.25"/>
    <row r="18" spans="2:19" ht="6.75" hidden="1" customHeight="1" x14ac:dyDescent="0.25"/>
    <row r="19" spans="2:19" ht="6.75" hidden="1" customHeight="1" x14ac:dyDescent="0.25">
      <c r="P19" s="36"/>
      <c r="Q19" s="36"/>
      <c r="R19" s="36"/>
      <c r="S19" s="36"/>
    </row>
    <row r="20" spans="2:19" ht="6.75" hidden="1" customHeight="1" x14ac:dyDescent="0.25">
      <c r="P20" s="36"/>
      <c r="Q20" s="36"/>
      <c r="R20" s="36"/>
      <c r="S20" s="36"/>
    </row>
    <row r="21" spans="2:19" x14ac:dyDescent="0.25">
      <c r="P21" s="36"/>
      <c r="Q21" s="36"/>
      <c r="R21" s="36"/>
      <c r="S21" s="36"/>
    </row>
    <row r="22" spans="2:19" x14ac:dyDescent="0.25">
      <c r="P22" s="36"/>
      <c r="Q22" s="36"/>
      <c r="R22" s="36"/>
      <c r="S22" s="36"/>
    </row>
    <row r="23" spans="2:19" x14ac:dyDescent="0.25">
      <c r="P23" s="36"/>
      <c r="Q23" s="36"/>
      <c r="R23" s="36"/>
      <c r="S23" s="36"/>
    </row>
    <row r="24" spans="2:19" ht="15.75" thickBot="1" x14ac:dyDescent="0.3">
      <c r="P24" s="36"/>
      <c r="Q24" s="36"/>
      <c r="R24" s="36"/>
      <c r="S24" s="36"/>
    </row>
    <row r="25" spans="2:19" ht="15.75" thickBot="1" x14ac:dyDescent="0.3">
      <c r="B25" s="89" t="s">
        <v>51</v>
      </c>
      <c r="C25" s="90"/>
      <c r="D25" s="58" t="s">
        <v>2</v>
      </c>
      <c r="E25" s="58" t="s">
        <v>3</v>
      </c>
      <c r="F25" s="58" t="s">
        <v>4</v>
      </c>
      <c r="G25" s="58" t="s">
        <v>5</v>
      </c>
      <c r="H25" s="58" t="s">
        <v>6</v>
      </c>
      <c r="I25" s="58" t="s">
        <v>7</v>
      </c>
      <c r="J25" s="58" t="s">
        <v>8</v>
      </c>
      <c r="K25" s="58" t="s">
        <v>9</v>
      </c>
      <c r="L25" s="58" t="s">
        <v>10</v>
      </c>
      <c r="M25" s="58" t="s">
        <v>11</v>
      </c>
      <c r="N25" s="58" t="s">
        <v>12</v>
      </c>
      <c r="O25" s="59" t="s">
        <v>13</v>
      </c>
      <c r="P25" s="36"/>
      <c r="Q25" s="36"/>
      <c r="R25" s="36"/>
      <c r="S25" s="36"/>
    </row>
    <row r="26" spans="2:19" x14ac:dyDescent="0.25">
      <c r="B26" s="25" t="s">
        <v>46</v>
      </c>
      <c r="C26" s="62"/>
      <c r="D26" s="51">
        <v>0.68560768941677674</v>
      </c>
      <c r="E26" s="51">
        <v>0.70377290510545387</v>
      </c>
      <c r="F26" s="51">
        <v>0.68720386442278369</v>
      </c>
      <c r="G26" s="51">
        <v>0.71915935116594942</v>
      </c>
      <c r="H26" s="51">
        <v>0.81772093547978997</v>
      </c>
      <c r="I26" s="51">
        <v>0.88</v>
      </c>
      <c r="J26" s="51">
        <v>1</v>
      </c>
      <c r="K26" s="51">
        <v>1</v>
      </c>
      <c r="L26" s="51">
        <v>1</v>
      </c>
      <c r="M26" s="51">
        <v>1</v>
      </c>
      <c r="N26" s="51">
        <v>1</v>
      </c>
      <c r="O26" s="52">
        <v>1</v>
      </c>
      <c r="P26" s="36"/>
      <c r="Q26" s="36"/>
    </row>
    <row r="27" spans="2:19" x14ac:dyDescent="0.25">
      <c r="B27" s="77" t="s">
        <v>40</v>
      </c>
      <c r="C27" s="62"/>
      <c r="D27" s="53">
        <v>1.5808298424980132</v>
      </c>
      <c r="E27" s="53">
        <v>1.0266991314733029</v>
      </c>
      <c r="F27" s="53">
        <v>0.85101197573399812</v>
      </c>
      <c r="G27" s="53">
        <v>0.77144932088288642</v>
      </c>
      <c r="H27" s="53">
        <v>0.78946707593787679</v>
      </c>
      <c r="I27" s="53">
        <v>1.0001414607242853</v>
      </c>
      <c r="J27" s="53">
        <v>1.000032747218661</v>
      </c>
      <c r="K27" s="53">
        <v>0.99992707908024892</v>
      </c>
      <c r="L27" s="53">
        <v>0.99995594452127012</v>
      </c>
      <c r="M27" s="53">
        <v>0.99997775120807464</v>
      </c>
      <c r="N27" s="53">
        <v>0.99951839436608547</v>
      </c>
      <c r="O27" s="54">
        <v>1.0004842288412827</v>
      </c>
    </row>
    <row r="28" spans="2:19" x14ac:dyDescent="0.25">
      <c r="B28" s="75" t="s">
        <v>41</v>
      </c>
      <c r="C28" s="62"/>
      <c r="D28" s="53">
        <v>0.29969640420713356</v>
      </c>
      <c r="E28" s="53">
        <v>0.32438361049810571</v>
      </c>
      <c r="F28" s="53">
        <v>0.23059163194825547</v>
      </c>
      <c r="G28" s="53">
        <v>0.24106395875089096</v>
      </c>
      <c r="H28" s="53">
        <v>0.24425082643535315</v>
      </c>
      <c r="I28" s="53">
        <v>0.4008352388360471</v>
      </c>
      <c r="J28" s="53">
        <v>0.40155369651044254</v>
      </c>
      <c r="K28" s="53">
        <v>0.40125547623782276</v>
      </c>
      <c r="L28" s="53">
        <v>0.40168937638572633</v>
      </c>
      <c r="M28" s="53">
        <v>0.40239964142328849</v>
      </c>
      <c r="N28" s="53">
        <v>0.4037703263520282</v>
      </c>
      <c r="O28" s="54">
        <v>0.40225096250646436</v>
      </c>
    </row>
    <row r="29" spans="2:19" ht="15.75" thickBot="1" x14ac:dyDescent="0.3">
      <c r="B29" s="76" t="s">
        <v>42</v>
      </c>
      <c r="C29" s="63"/>
      <c r="D29" s="55">
        <v>0.41154316967323606</v>
      </c>
      <c r="E29" s="55">
        <v>0.77257731563580712</v>
      </c>
      <c r="F29" s="55">
        <v>0.83956962721659911</v>
      </c>
      <c r="G29" s="55">
        <v>0.74173632425010605</v>
      </c>
      <c r="H29" s="55">
        <v>0.63150497759902935</v>
      </c>
      <c r="I29" s="55">
        <v>0.80193810918951436</v>
      </c>
      <c r="J29" s="55">
        <v>0.8</v>
      </c>
      <c r="K29" s="55">
        <v>0.8</v>
      </c>
      <c r="L29" s="55">
        <v>0.8</v>
      </c>
      <c r="M29" s="55">
        <v>0.8</v>
      </c>
      <c r="N29" s="55">
        <v>0.8</v>
      </c>
      <c r="O29" s="56">
        <v>0.8</v>
      </c>
    </row>
    <row r="30" spans="2:19" ht="15.75" thickBot="1" x14ac:dyDescent="0.3"/>
    <row r="31" spans="2:19" x14ac:dyDescent="0.25">
      <c r="B31" s="89" t="s">
        <v>56</v>
      </c>
      <c r="C31" s="90"/>
      <c r="D31" s="58" t="s">
        <v>2</v>
      </c>
      <c r="E31" s="58" t="s">
        <v>3</v>
      </c>
      <c r="F31" s="58" t="s">
        <v>4</v>
      </c>
      <c r="G31" s="58" t="s">
        <v>5</v>
      </c>
      <c r="H31" s="58" t="s">
        <v>6</v>
      </c>
      <c r="I31" s="58" t="s">
        <v>7</v>
      </c>
      <c r="J31" s="58" t="s">
        <v>8</v>
      </c>
      <c r="K31" s="58" t="s">
        <v>9</v>
      </c>
      <c r="L31" s="58" t="s">
        <v>10</v>
      </c>
      <c r="M31" s="58" t="s">
        <v>11</v>
      </c>
      <c r="N31" s="58" t="s">
        <v>12</v>
      </c>
      <c r="O31" s="59" t="s">
        <v>13</v>
      </c>
    </row>
    <row r="32" spans="2:19" x14ac:dyDescent="0.25">
      <c r="B32" s="91" t="s">
        <v>53</v>
      </c>
      <c r="C32" s="92">
        <v>1</v>
      </c>
      <c r="D32" s="32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60"/>
    </row>
    <row r="33" spans="2:15" x14ac:dyDescent="0.25">
      <c r="B33" s="91"/>
      <c r="C33" s="93"/>
      <c r="D33" s="34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8"/>
    </row>
    <row r="34" spans="2:15" x14ac:dyDescent="0.25">
      <c r="B34" s="91" t="s">
        <v>54</v>
      </c>
      <c r="C34" s="92">
        <v>1</v>
      </c>
      <c r="D34" s="34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8"/>
    </row>
    <row r="35" spans="2:15" ht="15.75" thickBot="1" x14ac:dyDescent="0.3">
      <c r="B35" s="94"/>
      <c r="C35" s="95"/>
      <c r="D35" s="61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30"/>
    </row>
    <row r="36" spans="2:15" ht="15.75" thickBot="1" x14ac:dyDescent="0.3"/>
    <row r="37" spans="2:15" ht="15.75" thickBot="1" x14ac:dyDescent="0.3">
      <c r="B37" s="89" t="s">
        <v>52</v>
      </c>
      <c r="C37" s="90"/>
      <c r="D37" s="58" t="s">
        <v>2</v>
      </c>
      <c r="E37" s="58" t="s">
        <v>3</v>
      </c>
      <c r="F37" s="58" t="s">
        <v>4</v>
      </c>
      <c r="G37" s="58" t="s">
        <v>5</v>
      </c>
      <c r="H37" s="58" t="s">
        <v>6</v>
      </c>
      <c r="I37" s="58" t="s">
        <v>7</v>
      </c>
      <c r="J37" s="58" t="s">
        <v>8</v>
      </c>
      <c r="K37" s="58" t="s">
        <v>9</v>
      </c>
      <c r="L37" s="58" t="s">
        <v>10</v>
      </c>
      <c r="M37" s="58" t="s">
        <v>11</v>
      </c>
      <c r="N37" s="58" t="s">
        <v>12</v>
      </c>
      <c r="O37" s="59" t="s">
        <v>13</v>
      </c>
    </row>
    <row r="38" spans="2:15" x14ac:dyDescent="0.25">
      <c r="B38" s="96" t="s">
        <v>46</v>
      </c>
      <c r="C38" s="97"/>
      <c r="D38" s="45">
        <v>0.68560768941677674</v>
      </c>
      <c r="E38" s="45">
        <v>0.70377290510545387</v>
      </c>
      <c r="F38" s="45">
        <v>0.68720386442278369</v>
      </c>
      <c r="G38" s="45">
        <v>0.71915935116594942</v>
      </c>
      <c r="H38" s="45">
        <v>0.81772093547978997</v>
      </c>
      <c r="I38" s="45">
        <v>0.86240236530124958</v>
      </c>
      <c r="J38" s="45">
        <v>0.95053233063989417</v>
      </c>
      <c r="K38" s="45">
        <v>0.95043010739203493</v>
      </c>
      <c r="L38" s="45">
        <v>0.95094267794118159</v>
      </c>
      <c r="M38" s="45">
        <v>0.95036443184102037</v>
      </c>
      <c r="N38" s="45">
        <v>0.95015373642403433</v>
      </c>
      <c r="O38" s="46">
        <v>0.95041968546272715</v>
      </c>
    </row>
    <row r="39" spans="2:15" x14ac:dyDescent="0.25">
      <c r="B39" s="98" t="s">
        <v>40</v>
      </c>
      <c r="C39" s="99"/>
      <c r="D39" s="47">
        <v>1.5808298424980132</v>
      </c>
      <c r="E39" s="47">
        <v>1.0266991314733029</v>
      </c>
      <c r="F39" s="47">
        <v>0.85101197573399812</v>
      </c>
      <c r="G39" s="47">
        <v>0.77144932088288642</v>
      </c>
      <c r="H39" s="47">
        <v>0.78946707593787679</v>
      </c>
      <c r="I39" s="47">
        <v>1.0001414607242853</v>
      </c>
      <c r="J39" s="47">
        <v>1.000032747218661</v>
      </c>
      <c r="K39" s="47">
        <v>0.99992707908024892</v>
      </c>
      <c r="L39" s="47">
        <v>0.99995594452127012</v>
      </c>
      <c r="M39" s="47">
        <v>0.99997775120807464</v>
      </c>
      <c r="N39" s="47">
        <v>0.99951839436608547</v>
      </c>
      <c r="O39" s="48">
        <v>1.0004842288412827</v>
      </c>
    </row>
    <row r="40" spans="2:15" x14ac:dyDescent="0.25">
      <c r="B40" s="100" t="s">
        <v>41</v>
      </c>
      <c r="C40" s="101"/>
      <c r="D40" s="47">
        <v>0.29969640420713356</v>
      </c>
      <c r="E40" s="47">
        <v>0.32438361049810571</v>
      </c>
      <c r="F40" s="47">
        <v>0.23059163194825547</v>
      </c>
      <c r="G40" s="47">
        <v>0.24106395875089096</v>
      </c>
      <c r="H40" s="47">
        <v>0.24425082643535315</v>
      </c>
      <c r="I40" s="47">
        <v>0.39967900232205261</v>
      </c>
      <c r="J40" s="47">
        <v>0.40097628338854008</v>
      </c>
      <c r="K40" s="47">
        <v>0.40119619596316575</v>
      </c>
      <c r="L40" s="47">
        <v>0.40162307039355577</v>
      </c>
      <c r="M40" s="47">
        <v>0.4017293553296023</v>
      </c>
      <c r="N40" s="47">
        <v>0.40288201598242657</v>
      </c>
      <c r="O40" s="48">
        <v>0.40144135873610931</v>
      </c>
    </row>
    <row r="41" spans="2:15" ht="15.75" thickBot="1" x14ac:dyDescent="0.3">
      <c r="B41" s="102" t="s">
        <v>42</v>
      </c>
      <c r="C41" s="103"/>
      <c r="D41" s="49">
        <v>0.41154316967323606</v>
      </c>
      <c r="E41" s="49">
        <v>0.77257731563580712</v>
      </c>
      <c r="F41" s="49">
        <v>0.83956962721659911</v>
      </c>
      <c r="G41" s="49">
        <v>0.74173632425010605</v>
      </c>
      <c r="H41" s="49">
        <v>0.63150497759902935</v>
      </c>
      <c r="I41" s="49">
        <v>0.79843319036090554</v>
      </c>
      <c r="J41" s="49">
        <v>0.80252525522122997</v>
      </c>
      <c r="K41" s="49">
        <v>0.80323870402195807</v>
      </c>
      <c r="L41" s="49">
        <v>0.80410069425342401</v>
      </c>
      <c r="M41" s="49">
        <v>0.80177800752423289</v>
      </c>
      <c r="N41" s="49">
        <v>0.80352831138863889</v>
      </c>
      <c r="O41" s="50">
        <v>0.80384451525531964</v>
      </c>
    </row>
    <row r="42" spans="2:15" ht="15.75" thickBot="1" x14ac:dyDescent="0.3"/>
    <row r="43" spans="2:15" x14ac:dyDescent="0.25">
      <c r="B43" s="64" t="s">
        <v>23</v>
      </c>
      <c r="C43" s="57"/>
      <c r="D43" s="58" t="s">
        <v>2</v>
      </c>
      <c r="E43" s="58" t="s">
        <v>3</v>
      </c>
      <c r="F43" s="58" t="s">
        <v>4</v>
      </c>
      <c r="G43" s="58" t="s">
        <v>5</v>
      </c>
      <c r="H43" s="58" t="s">
        <v>6</v>
      </c>
      <c r="I43" s="58" t="s">
        <v>7</v>
      </c>
      <c r="J43" s="58" t="s">
        <v>8</v>
      </c>
      <c r="K43" s="58" t="s">
        <v>9</v>
      </c>
      <c r="L43" s="58" t="s">
        <v>10</v>
      </c>
      <c r="M43" s="58" t="s">
        <v>11</v>
      </c>
      <c r="N43" s="58" t="s">
        <v>12</v>
      </c>
      <c r="O43" s="59" t="s">
        <v>13</v>
      </c>
    </row>
    <row r="44" spans="2:15" x14ac:dyDescent="0.25">
      <c r="B44" s="65">
        <v>1</v>
      </c>
      <c r="C44" s="66"/>
      <c r="D44" s="4">
        <v>157</v>
      </c>
      <c r="E44" s="4">
        <v>103</v>
      </c>
      <c r="F44" s="4">
        <v>91</v>
      </c>
      <c r="G44" s="4">
        <v>66</v>
      </c>
      <c r="H44" s="4">
        <v>62</v>
      </c>
      <c r="I44" s="4">
        <v>53</v>
      </c>
      <c r="J44" s="4">
        <v>42</v>
      </c>
      <c r="K44" s="4">
        <v>39</v>
      </c>
      <c r="L44" s="4">
        <v>66</v>
      </c>
      <c r="M44" s="4">
        <v>78</v>
      </c>
      <c r="N44" s="4">
        <v>110</v>
      </c>
      <c r="O44" s="67">
        <v>180</v>
      </c>
    </row>
    <row r="45" spans="2:15" x14ac:dyDescent="0.25">
      <c r="B45" s="65">
        <v>2</v>
      </c>
      <c r="C45" s="66"/>
      <c r="D45" s="6">
        <v>157</v>
      </c>
      <c r="E45" s="6">
        <v>103</v>
      </c>
      <c r="F45" s="6">
        <v>91</v>
      </c>
      <c r="G45" s="6">
        <v>66</v>
      </c>
      <c r="H45" s="6">
        <v>62</v>
      </c>
      <c r="I45" s="6">
        <v>53</v>
      </c>
      <c r="J45" s="6">
        <v>42</v>
      </c>
      <c r="K45" s="6">
        <v>39</v>
      </c>
      <c r="L45" s="6">
        <v>66</v>
      </c>
      <c r="M45" s="6">
        <v>78</v>
      </c>
      <c r="N45" s="6">
        <v>110</v>
      </c>
      <c r="O45" s="68">
        <v>180</v>
      </c>
    </row>
    <row r="46" spans="2:15" x14ac:dyDescent="0.25">
      <c r="B46" s="65">
        <v>3</v>
      </c>
      <c r="C46" s="66"/>
      <c r="D46" s="6">
        <v>0</v>
      </c>
      <c r="E46" s="9">
        <v>0</v>
      </c>
      <c r="F46" s="9">
        <v>0</v>
      </c>
      <c r="G46" s="9">
        <v>0</v>
      </c>
      <c r="H46" s="9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8">
        <v>0</v>
      </c>
    </row>
    <row r="47" spans="2:15" x14ac:dyDescent="0.25">
      <c r="B47" s="65">
        <v>4</v>
      </c>
      <c r="C47" s="66"/>
      <c r="D47" s="6">
        <v>0</v>
      </c>
      <c r="E47" s="6">
        <v>0</v>
      </c>
      <c r="F47" s="9">
        <v>0</v>
      </c>
      <c r="G47" s="9">
        <v>0</v>
      </c>
      <c r="H47" s="9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8">
        <v>0</v>
      </c>
    </row>
    <row r="48" spans="2:15" x14ac:dyDescent="0.25">
      <c r="B48" s="65">
        <v>5</v>
      </c>
      <c r="C48" s="66"/>
      <c r="D48" s="9">
        <v>0</v>
      </c>
      <c r="E48" s="9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8">
        <v>0</v>
      </c>
    </row>
    <row r="49" spans="2:15" x14ac:dyDescent="0.25">
      <c r="B49" s="65">
        <v>6</v>
      </c>
      <c r="C49" s="66"/>
      <c r="D49" s="6">
        <v>794</v>
      </c>
      <c r="E49" s="6">
        <v>575</v>
      </c>
      <c r="F49" s="9">
        <v>595</v>
      </c>
      <c r="G49" s="9">
        <v>365</v>
      </c>
      <c r="H49" s="9">
        <v>429</v>
      </c>
      <c r="I49" s="6">
        <v>370</v>
      </c>
      <c r="J49" s="6">
        <v>263</v>
      </c>
      <c r="K49" s="6">
        <v>235</v>
      </c>
      <c r="L49" s="6">
        <v>430</v>
      </c>
      <c r="M49" s="6">
        <v>502</v>
      </c>
      <c r="N49" s="6">
        <v>715</v>
      </c>
      <c r="O49" s="68">
        <v>1232</v>
      </c>
    </row>
    <row r="50" spans="2:15" x14ac:dyDescent="0.25">
      <c r="B50" s="65">
        <v>7</v>
      </c>
      <c r="C50" s="66"/>
      <c r="D50" s="6">
        <v>922</v>
      </c>
      <c r="E50" s="6">
        <v>716</v>
      </c>
      <c r="F50" s="6">
        <v>680</v>
      </c>
      <c r="G50" s="9">
        <v>418</v>
      </c>
      <c r="H50" s="9">
        <v>475</v>
      </c>
      <c r="I50" s="6">
        <v>400</v>
      </c>
      <c r="J50" s="6">
        <v>298</v>
      </c>
      <c r="K50" s="6">
        <v>271</v>
      </c>
      <c r="L50" s="6">
        <v>476</v>
      </c>
      <c r="M50" s="6">
        <v>557</v>
      </c>
      <c r="N50" s="6">
        <v>788</v>
      </c>
      <c r="O50" s="68">
        <v>1358</v>
      </c>
    </row>
    <row r="51" spans="2:15" x14ac:dyDescent="0.25">
      <c r="B51" s="65">
        <v>8</v>
      </c>
      <c r="C51" s="66"/>
      <c r="D51" s="6">
        <v>950</v>
      </c>
      <c r="E51" s="9">
        <v>751</v>
      </c>
      <c r="F51" s="6">
        <v>699</v>
      </c>
      <c r="G51" s="9">
        <v>431</v>
      </c>
      <c r="H51" s="9">
        <v>486</v>
      </c>
      <c r="I51" s="6">
        <v>408</v>
      </c>
      <c r="J51" s="6">
        <v>306</v>
      </c>
      <c r="K51" s="6">
        <v>278</v>
      </c>
      <c r="L51" s="6">
        <v>486</v>
      </c>
      <c r="M51" s="6">
        <v>568</v>
      </c>
      <c r="N51" s="6">
        <v>802</v>
      </c>
      <c r="O51" s="68">
        <v>1380</v>
      </c>
    </row>
    <row r="52" spans="2:15" x14ac:dyDescent="0.25">
      <c r="B52" s="65">
        <v>9</v>
      </c>
      <c r="C52" s="66"/>
      <c r="D52" s="6">
        <v>959</v>
      </c>
      <c r="E52" s="6">
        <v>768</v>
      </c>
      <c r="F52" s="6">
        <v>707</v>
      </c>
      <c r="G52" s="9">
        <v>436</v>
      </c>
      <c r="H52" s="9">
        <v>490</v>
      </c>
      <c r="I52" s="6">
        <v>412</v>
      </c>
      <c r="J52" s="6">
        <v>310</v>
      </c>
      <c r="K52" s="6">
        <v>281</v>
      </c>
      <c r="L52" s="6">
        <v>490</v>
      </c>
      <c r="M52" s="6">
        <v>572</v>
      </c>
      <c r="N52" s="6">
        <v>807</v>
      </c>
      <c r="O52" s="68">
        <v>1387</v>
      </c>
    </row>
    <row r="53" spans="2:15" x14ac:dyDescent="0.25">
      <c r="B53" s="65">
        <v>10</v>
      </c>
      <c r="C53" s="66"/>
      <c r="D53" s="9">
        <v>989</v>
      </c>
      <c r="E53" s="6">
        <v>813</v>
      </c>
      <c r="F53" s="6">
        <v>730</v>
      </c>
      <c r="G53" s="9">
        <v>452</v>
      </c>
      <c r="H53" s="9">
        <v>501</v>
      </c>
      <c r="I53" s="6">
        <v>421</v>
      </c>
      <c r="J53" s="6">
        <v>319</v>
      </c>
      <c r="K53" s="6">
        <v>290</v>
      </c>
      <c r="L53" s="6">
        <v>501</v>
      </c>
      <c r="M53" s="6">
        <v>585</v>
      </c>
      <c r="N53" s="6">
        <v>823</v>
      </c>
      <c r="O53" s="68">
        <v>1410</v>
      </c>
    </row>
    <row r="54" spans="2:15" x14ac:dyDescent="0.25">
      <c r="B54" s="65">
        <v>11</v>
      </c>
      <c r="C54" s="66"/>
      <c r="D54" s="6">
        <v>1064</v>
      </c>
      <c r="E54" s="6">
        <v>904</v>
      </c>
      <c r="F54" s="6">
        <v>780</v>
      </c>
      <c r="G54" s="9">
        <v>486</v>
      </c>
      <c r="H54" s="9">
        <v>529</v>
      </c>
      <c r="I54" s="6">
        <v>440</v>
      </c>
      <c r="J54" s="6">
        <v>341</v>
      </c>
      <c r="K54" s="6">
        <v>308</v>
      </c>
      <c r="L54" s="6">
        <v>528</v>
      </c>
      <c r="M54" s="6">
        <v>616</v>
      </c>
      <c r="N54" s="6">
        <v>863</v>
      </c>
      <c r="O54" s="68">
        <v>1475</v>
      </c>
    </row>
    <row r="55" spans="2:15" x14ac:dyDescent="0.25">
      <c r="B55" s="65">
        <v>12</v>
      </c>
      <c r="C55" s="66"/>
      <c r="D55" s="6">
        <v>1222</v>
      </c>
      <c r="E55" s="6">
        <v>1109</v>
      </c>
      <c r="F55" s="6">
        <v>920</v>
      </c>
      <c r="G55" s="6">
        <v>589</v>
      </c>
      <c r="H55" s="6">
        <v>618</v>
      </c>
      <c r="I55" s="6">
        <v>505</v>
      </c>
      <c r="J55" s="6">
        <v>391</v>
      </c>
      <c r="K55" s="6">
        <v>350</v>
      </c>
      <c r="L55" s="6">
        <v>593</v>
      </c>
      <c r="M55" s="6">
        <v>693</v>
      </c>
      <c r="N55" s="6">
        <v>968</v>
      </c>
      <c r="O55" s="68">
        <v>1649</v>
      </c>
    </row>
    <row r="56" spans="2:15" x14ac:dyDescent="0.25">
      <c r="B56" s="65">
        <v>13</v>
      </c>
      <c r="C56" s="66"/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8">
        <v>0</v>
      </c>
    </row>
    <row r="57" spans="2:15" x14ac:dyDescent="0.25">
      <c r="B57" s="65">
        <v>14</v>
      </c>
      <c r="C57" s="66"/>
      <c r="D57" s="6">
        <v>79</v>
      </c>
      <c r="E57" s="6">
        <v>55</v>
      </c>
      <c r="F57" s="6">
        <v>62</v>
      </c>
      <c r="G57" s="6">
        <v>40</v>
      </c>
      <c r="H57" s="6">
        <v>40</v>
      </c>
      <c r="I57" s="6">
        <v>32</v>
      </c>
      <c r="J57" s="6">
        <v>25</v>
      </c>
      <c r="K57" s="6">
        <v>21</v>
      </c>
      <c r="L57" s="6">
        <v>25</v>
      </c>
      <c r="M57" s="6">
        <v>31</v>
      </c>
      <c r="N57" s="6">
        <v>40</v>
      </c>
      <c r="O57" s="68">
        <v>70</v>
      </c>
    </row>
    <row r="58" spans="2:15" x14ac:dyDescent="0.25">
      <c r="B58" s="65">
        <v>15</v>
      </c>
      <c r="C58" s="66"/>
      <c r="D58" s="6">
        <v>129</v>
      </c>
      <c r="E58" s="6">
        <v>90</v>
      </c>
      <c r="F58" s="6">
        <v>101</v>
      </c>
      <c r="G58" s="6">
        <v>65</v>
      </c>
      <c r="H58" s="6">
        <v>65</v>
      </c>
      <c r="I58" s="6">
        <v>52</v>
      </c>
      <c r="J58" s="6">
        <v>41</v>
      </c>
      <c r="K58" s="6">
        <v>35</v>
      </c>
      <c r="L58" s="6">
        <v>42</v>
      </c>
      <c r="M58" s="6">
        <v>50</v>
      </c>
      <c r="N58" s="6">
        <v>64</v>
      </c>
      <c r="O58" s="68">
        <v>113</v>
      </c>
    </row>
    <row r="59" spans="2:15" x14ac:dyDescent="0.25">
      <c r="B59" s="65">
        <v>16</v>
      </c>
      <c r="C59" s="66"/>
      <c r="D59" s="6">
        <v>130</v>
      </c>
      <c r="E59" s="6">
        <v>91</v>
      </c>
      <c r="F59" s="6">
        <v>103</v>
      </c>
      <c r="G59" s="6">
        <v>66</v>
      </c>
      <c r="H59" s="6">
        <v>66</v>
      </c>
      <c r="I59" s="6">
        <v>53</v>
      </c>
      <c r="J59" s="6">
        <v>42</v>
      </c>
      <c r="K59" s="6">
        <v>36</v>
      </c>
      <c r="L59" s="6">
        <v>43</v>
      </c>
      <c r="M59" s="6">
        <v>51</v>
      </c>
      <c r="N59" s="6">
        <v>65</v>
      </c>
      <c r="O59" s="68">
        <v>115</v>
      </c>
    </row>
    <row r="60" spans="2:15" x14ac:dyDescent="0.25">
      <c r="B60" s="65">
        <v>17</v>
      </c>
      <c r="C60" s="66"/>
      <c r="D60" s="6">
        <v>1934</v>
      </c>
      <c r="E60" s="6">
        <v>1773</v>
      </c>
      <c r="F60" s="6">
        <v>1512</v>
      </c>
      <c r="G60" s="6">
        <v>1022</v>
      </c>
      <c r="H60" s="6">
        <v>1116</v>
      </c>
      <c r="I60" s="6">
        <v>912</v>
      </c>
      <c r="J60" s="6">
        <v>654</v>
      </c>
      <c r="K60" s="6">
        <v>585</v>
      </c>
      <c r="L60" s="6">
        <v>875</v>
      </c>
      <c r="M60" s="6">
        <v>997</v>
      </c>
      <c r="N60" s="6">
        <v>1338</v>
      </c>
      <c r="O60" s="68">
        <v>2218</v>
      </c>
    </row>
    <row r="61" spans="2:15" x14ac:dyDescent="0.25">
      <c r="B61" s="65">
        <v>18</v>
      </c>
      <c r="C61" s="66"/>
      <c r="D61" s="6">
        <v>2196</v>
      </c>
      <c r="E61" s="6">
        <v>2121</v>
      </c>
      <c r="F61" s="6">
        <v>1823</v>
      </c>
      <c r="G61" s="6">
        <v>1276</v>
      </c>
      <c r="H61" s="6">
        <v>1373</v>
      </c>
      <c r="I61" s="6">
        <v>1089</v>
      </c>
      <c r="J61" s="6">
        <v>791</v>
      </c>
      <c r="K61" s="6">
        <v>709</v>
      </c>
      <c r="L61" s="6">
        <v>1003</v>
      </c>
      <c r="M61" s="6">
        <v>1146</v>
      </c>
      <c r="N61" s="6">
        <v>1506</v>
      </c>
      <c r="O61" s="68">
        <v>2451</v>
      </c>
    </row>
    <row r="62" spans="2:15" x14ac:dyDescent="0.25">
      <c r="B62" s="65">
        <v>19</v>
      </c>
      <c r="C62" s="66"/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8">
        <v>0</v>
      </c>
    </row>
    <row r="63" spans="2:15" x14ac:dyDescent="0.25">
      <c r="B63" s="65">
        <v>20</v>
      </c>
      <c r="C63" s="66"/>
      <c r="D63" s="6">
        <v>91</v>
      </c>
      <c r="E63" s="6">
        <v>142</v>
      </c>
      <c r="F63" s="6">
        <v>100</v>
      </c>
      <c r="G63" s="6">
        <v>59</v>
      </c>
      <c r="H63" s="6">
        <v>55</v>
      </c>
      <c r="I63" s="6">
        <v>36</v>
      </c>
      <c r="J63" s="6">
        <v>35</v>
      </c>
      <c r="K63" s="6">
        <v>31</v>
      </c>
      <c r="L63" s="6">
        <v>56</v>
      </c>
      <c r="M63" s="6">
        <v>69</v>
      </c>
      <c r="N63" s="6">
        <v>120</v>
      </c>
      <c r="O63" s="68">
        <v>234</v>
      </c>
    </row>
    <row r="64" spans="2:15" x14ac:dyDescent="0.25">
      <c r="B64" s="65">
        <v>21</v>
      </c>
      <c r="C64" s="66"/>
      <c r="D64" s="9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91</v>
      </c>
      <c r="K64" s="6">
        <v>90</v>
      </c>
      <c r="L64" s="6">
        <v>0</v>
      </c>
      <c r="M64" s="6">
        <v>0</v>
      </c>
      <c r="N64" s="6">
        <v>0</v>
      </c>
      <c r="O64" s="68">
        <v>0</v>
      </c>
    </row>
    <row r="65" spans="2:15" x14ac:dyDescent="0.25">
      <c r="B65" s="65">
        <v>22</v>
      </c>
      <c r="C65" s="66"/>
      <c r="D65" s="6">
        <v>53</v>
      </c>
      <c r="E65" s="6">
        <v>109</v>
      </c>
      <c r="F65" s="6">
        <v>74</v>
      </c>
      <c r="G65" s="6">
        <v>44</v>
      </c>
      <c r="H65" s="6">
        <v>40</v>
      </c>
      <c r="I65" s="6">
        <v>24</v>
      </c>
      <c r="J65" s="6">
        <v>19</v>
      </c>
      <c r="K65" s="6">
        <v>15</v>
      </c>
      <c r="L65" s="6">
        <v>39</v>
      </c>
      <c r="M65" s="6">
        <v>45</v>
      </c>
      <c r="N65" s="6">
        <v>77</v>
      </c>
      <c r="O65" s="68">
        <v>144</v>
      </c>
    </row>
    <row r="66" spans="2:15" x14ac:dyDescent="0.25">
      <c r="B66" s="65">
        <v>23</v>
      </c>
      <c r="C66" s="66"/>
      <c r="D66" s="6">
        <v>92</v>
      </c>
      <c r="E66" s="6">
        <v>148</v>
      </c>
      <c r="F66" s="6">
        <v>116</v>
      </c>
      <c r="G66" s="6">
        <v>104</v>
      </c>
      <c r="H66" s="6">
        <v>69</v>
      </c>
      <c r="I66" s="6">
        <v>44</v>
      </c>
      <c r="J66" s="6">
        <v>35</v>
      </c>
      <c r="K66" s="6">
        <v>31</v>
      </c>
      <c r="L66" s="6">
        <v>58</v>
      </c>
      <c r="M66" s="6">
        <v>75</v>
      </c>
      <c r="N66" s="6">
        <v>123</v>
      </c>
      <c r="O66" s="68">
        <v>199</v>
      </c>
    </row>
    <row r="67" spans="2:15" x14ac:dyDescent="0.25">
      <c r="B67" s="65">
        <v>24</v>
      </c>
      <c r="C67" s="66"/>
      <c r="D67" s="6">
        <v>259</v>
      </c>
      <c r="E67" s="6">
        <v>403</v>
      </c>
      <c r="F67" s="6">
        <v>284</v>
      </c>
      <c r="G67" s="6">
        <v>166</v>
      </c>
      <c r="H67" s="6">
        <v>157</v>
      </c>
      <c r="I67" s="6">
        <v>103</v>
      </c>
      <c r="J67" s="6">
        <v>67</v>
      </c>
      <c r="K67" s="6">
        <v>54</v>
      </c>
      <c r="L67" s="6">
        <v>172</v>
      </c>
      <c r="M67" s="6">
        <v>204</v>
      </c>
      <c r="N67" s="6">
        <v>349</v>
      </c>
      <c r="O67" s="68">
        <v>652</v>
      </c>
    </row>
    <row r="68" spans="2:15" x14ac:dyDescent="0.25">
      <c r="B68" s="65">
        <v>25</v>
      </c>
      <c r="C68" s="66"/>
      <c r="D68" s="6">
        <v>289</v>
      </c>
      <c r="E68" s="6">
        <v>320</v>
      </c>
      <c r="F68" s="6">
        <v>207</v>
      </c>
      <c r="G68" s="6">
        <v>150</v>
      </c>
      <c r="H68" s="6">
        <v>158</v>
      </c>
      <c r="I68" s="6">
        <v>118</v>
      </c>
      <c r="J68" s="6">
        <v>88</v>
      </c>
      <c r="K68" s="6">
        <v>71</v>
      </c>
      <c r="L68" s="6">
        <v>122</v>
      </c>
      <c r="M68" s="6">
        <v>150</v>
      </c>
      <c r="N68" s="6">
        <v>222</v>
      </c>
      <c r="O68" s="68">
        <v>372</v>
      </c>
    </row>
    <row r="69" spans="2:15" x14ac:dyDescent="0.25">
      <c r="B69" s="65">
        <v>26</v>
      </c>
      <c r="C69" s="66"/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8">
        <v>0</v>
      </c>
    </row>
    <row r="70" spans="2:15" x14ac:dyDescent="0.25">
      <c r="B70" s="65">
        <v>27</v>
      </c>
      <c r="C70" s="66"/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8">
        <v>0</v>
      </c>
    </row>
    <row r="71" spans="2:15" x14ac:dyDescent="0.25">
      <c r="B71" s="65">
        <v>28</v>
      </c>
      <c r="C71" s="66"/>
      <c r="D71" s="6">
        <v>306</v>
      </c>
      <c r="E71" s="6">
        <v>339</v>
      </c>
      <c r="F71" s="6">
        <v>225</v>
      </c>
      <c r="G71" s="6">
        <v>163</v>
      </c>
      <c r="H71" s="6">
        <v>169</v>
      </c>
      <c r="I71" s="6">
        <v>127</v>
      </c>
      <c r="J71" s="6">
        <v>100</v>
      </c>
      <c r="K71" s="6">
        <v>85</v>
      </c>
      <c r="L71" s="6">
        <v>157</v>
      </c>
      <c r="M71" s="6">
        <v>188</v>
      </c>
      <c r="N71" s="6">
        <v>275</v>
      </c>
      <c r="O71" s="68">
        <v>453</v>
      </c>
    </row>
    <row r="72" spans="2:15" x14ac:dyDescent="0.25">
      <c r="B72" s="65">
        <v>29</v>
      </c>
      <c r="C72" s="66"/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8">
        <v>0</v>
      </c>
    </row>
    <row r="73" spans="2:15" x14ac:dyDescent="0.25">
      <c r="B73" s="65">
        <v>30</v>
      </c>
      <c r="C73" s="66"/>
      <c r="D73" s="6">
        <v>0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8">
        <v>0</v>
      </c>
    </row>
    <row r="74" spans="2:15" x14ac:dyDescent="0.25">
      <c r="B74" s="65">
        <v>31</v>
      </c>
      <c r="C74" s="66"/>
      <c r="D74" s="6">
        <v>1096</v>
      </c>
      <c r="E74" s="6">
        <v>1372</v>
      </c>
      <c r="F74" s="6">
        <v>1048</v>
      </c>
      <c r="G74" s="6">
        <v>759</v>
      </c>
      <c r="H74" s="6">
        <v>670</v>
      </c>
      <c r="I74" s="6">
        <v>453</v>
      </c>
      <c r="J74" s="6">
        <v>314</v>
      </c>
      <c r="K74" s="6">
        <v>282</v>
      </c>
      <c r="L74" s="6">
        <v>578</v>
      </c>
      <c r="M74" s="6">
        <v>697</v>
      </c>
      <c r="N74" s="6">
        <v>1127</v>
      </c>
      <c r="O74" s="68">
        <v>1956</v>
      </c>
    </row>
    <row r="75" spans="2:15" x14ac:dyDescent="0.25">
      <c r="B75" s="65">
        <v>32</v>
      </c>
      <c r="C75" s="66"/>
      <c r="D75" s="6">
        <v>1172</v>
      </c>
      <c r="E75" s="6">
        <v>1463</v>
      </c>
      <c r="F75" s="6">
        <v>1144</v>
      </c>
      <c r="G75" s="6">
        <v>845</v>
      </c>
      <c r="H75" s="6">
        <v>736</v>
      </c>
      <c r="I75" s="6">
        <v>497</v>
      </c>
      <c r="J75" s="6">
        <v>345</v>
      </c>
      <c r="K75" s="6">
        <v>312</v>
      </c>
      <c r="L75" s="6">
        <v>614</v>
      </c>
      <c r="M75" s="6">
        <v>734</v>
      </c>
      <c r="N75" s="6">
        <v>1181</v>
      </c>
      <c r="O75" s="68">
        <v>2047</v>
      </c>
    </row>
    <row r="76" spans="2:15" x14ac:dyDescent="0.25">
      <c r="B76" s="65">
        <v>33</v>
      </c>
      <c r="C76" s="66"/>
      <c r="D76" s="6">
        <v>1926</v>
      </c>
      <c r="E76" s="6">
        <v>2361</v>
      </c>
      <c r="F76" s="6">
        <v>2066</v>
      </c>
      <c r="G76" s="6">
        <v>1658</v>
      </c>
      <c r="H76" s="6">
        <v>1365</v>
      </c>
      <c r="I76" s="6">
        <v>911</v>
      </c>
      <c r="J76" s="6">
        <v>669</v>
      </c>
      <c r="K76" s="6">
        <v>576</v>
      </c>
      <c r="L76" s="6">
        <v>976</v>
      </c>
      <c r="M76" s="6">
        <v>1150</v>
      </c>
      <c r="N76" s="6">
        <v>1755</v>
      </c>
      <c r="O76" s="68">
        <v>2961</v>
      </c>
    </row>
    <row r="77" spans="2:15" x14ac:dyDescent="0.25">
      <c r="B77" s="65">
        <v>34</v>
      </c>
      <c r="C77" s="66"/>
      <c r="D77" s="6">
        <v>5545</v>
      </c>
      <c r="E77" s="6">
        <v>5695</v>
      </c>
      <c r="F77" s="6">
        <v>5200</v>
      </c>
      <c r="G77" s="6">
        <v>3960</v>
      </c>
      <c r="H77" s="6">
        <v>3660</v>
      </c>
      <c r="I77" s="6">
        <v>2628</v>
      </c>
      <c r="J77" s="6">
        <v>1957</v>
      </c>
      <c r="K77" s="6">
        <v>1747</v>
      </c>
      <c r="L77" s="6">
        <v>2472</v>
      </c>
      <c r="M77" s="6">
        <v>2841</v>
      </c>
      <c r="N77" s="6">
        <v>3888</v>
      </c>
      <c r="O77" s="68">
        <v>6255</v>
      </c>
    </row>
    <row r="78" spans="2:15" x14ac:dyDescent="0.25">
      <c r="B78" s="65">
        <v>35</v>
      </c>
      <c r="C78" s="66"/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8">
        <v>0</v>
      </c>
    </row>
    <row r="79" spans="2:15" x14ac:dyDescent="0.25">
      <c r="B79" s="65">
        <v>36</v>
      </c>
      <c r="C79" s="66"/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8">
        <v>0</v>
      </c>
    </row>
    <row r="80" spans="2:15" x14ac:dyDescent="0.25">
      <c r="B80" s="65">
        <v>37</v>
      </c>
      <c r="C80" s="66"/>
      <c r="D80" s="6">
        <v>828</v>
      </c>
      <c r="E80" s="6">
        <v>578</v>
      </c>
      <c r="F80" s="6">
        <v>496</v>
      </c>
      <c r="G80" s="6">
        <v>365</v>
      </c>
      <c r="H80" s="6">
        <v>617</v>
      </c>
      <c r="I80" s="6">
        <v>497</v>
      </c>
      <c r="J80" s="6">
        <v>222</v>
      </c>
      <c r="K80" s="6">
        <v>181</v>
      </c>
      <c r="L80" s="6">
        <v>230</v>
      </c>
      <c r="M80" s="6">
        <v>280</v>
      </c>
      <c r="N80" s="6">
        <v>306</v>
      </c>
      <c r="O80" s="68">
        <v>467</v>
      </c>
    </row>
    <row r="81" spans="2:15" x14ac:dyDescent="0.25">
      <c r="B81" s="65">
        <v>38</v>
      </c>
      <c r="C81" s="66"/>
      <c r="D81" s="6">
        <v>925</v>
      </c>
      <c r="E81" s="6">
        <v>669</v>
      </c>
      <c r="F81" s="6">
        <v>577</v>
      </c>
      <c r="G81" s="6">
        <v>424</v>
      </c>
      <c r="H81" s="6">
        <v>706</v>
      </c>
      <c r="I81" s="6">
        <v>562</v>
      </c>
      <c r="J81" s="6">
        <v>254</v>
      </c>
      <c r="K81" s="6">
        <v>210</v>
      </c>
      <c r="L81" s="6">
        <v>261</v>
      </c>
      <c r="M81" s="6">
        <v>314</v>
      </c>
      <c r="N81" s="6">
        <v>344</v>
      </c>
      <c r="O81" s="68">
        <v>522</v>
      </c>
    </row>
    <row r="82" spans="2:15" x14ac:dyDescent="0.25">
      <c r="B82" s="65">
        <v>39</v>
      </c>
      <c r="C82" s="66"/>
      <c r="D82" s="6">
        <v>1119</v>
      </c>
      <c r="E82" s="6">
        <v>840</v>
      </c>
      <c r="F82" s="6">
        <v>731</v>
      </c>
      <c r="G82" s="6">
        <v>539</v>
      </c>
      <c r="H82" s="6">
        <v>877</v>
      </c>
      <c r="I82" s="6">
        <v>685</v>
      </c>
      <c r="J82" s="6">
        <v>323</v>
      </c>
      <c r="K82" s="6">
        <v>270</v>
      </c>
      <c r="L82" s="6">
        <v>327</v>
      </c>
      <c r="M82" s="6">
        <v>386</v>
      </c>
      <c r="N82" s="6">
        <v>421</v>
      </c>
      <c r="O82" s="68">
        <v>631</v>
      </c>
    </row>
    <row r="83" spans="2:15" x14ac:dyDescent="0.25">
      <c r="B83" s="65">
        <v>40</v>
      </c>
      <c r="C83" s="66"/>
      <c r="D83" s="6">
        <v>1312</v>
      </c>
      <c r="E83" s="6">
        <v>976</v>
      </c>
      <c r="F83" s="6">
        <v>835</v>
      </c>
      <c r="G83" s="6">
        <v>635</v>
      </c>
      <c r="H83" s="6">
        <v>1046</v>
      </c>
      <c r="I83" s="6">
        <v>824</v>
      </c>
      <c r="J83" s="6">
        <v>453</v>
      </c>
      <c r="K83" s="6">
        <v>426</v>
      </c>
      <c r="L83" s="6">
        <v>405</v>
      </c>
      <c r="M83" s="6">
        <v>470</v>
      </c>
      <c r="N83" s="6">
        <v>509</v>
      </c>
      <c r="O83" s="68">
        <v>761</v>
      </c>
    </row>
    <row r="84" spans="2:15" x14ac:dyDescent="0.25">
      <c r="B84" s="65">
        <v>41</v>
      </c>
      <c r="C84" s="66"/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8">
        <v>0</v>
      </c>
    </row>
    <row r="85" spans="2:15" x14ac:dyDescent="0.25">
      <c r="B85" s="65">
        <v>42</v>
      </c>
      <c r="C85" s="66"/>
      <c r="D85" s="6">
        <v>1385</v>
      </c>
      <c r="E85" s="6">
        <v>1033</v>
      </c>
      <c r="F85" s="6">
        <v>878</v>
      </c>
      <c r="G85" s="6">
        <v>669</v>
      </c>
      <c r="H85" s="6">
        <v>1114</v>
      </c>
      <c r="I85" s="6">
        <v>879</v>
      </c>
      <c r="J85" s="6">
        <v>483</v>
      </c>
      <c r="K85" s="6">
        <v>453</v>
      </c>
      <c r="L85" s="6">
        <v>429</v>
      </c>
      <c r="M85" s="6">
        <v>501</v>
      </c>
      <c r="N85" s="6">
        <v>543</v>
      </c>
      <c r="O85" s="68">
        <v>814</v>
      </c>
    </row>
    <row r="86" spans="2:15" x14ac:dyDescent="0.25">
      <c r="B86" s="65">
        <v>43</v>
      </c>
      <c r="C86" s="66"/>
      <c r="D86" s="6">
        <v>1401</v>
      </c>
      <c r="E86" s="6">
        <v>1111</v>
      </c>
      <c r="F86" s="6">
        <v>927</v>
      </c>
      <c r="G86" s="6">
        <v>669</v>
      </c>
      <c r="H86" s="6">
        <v>1151</v>
      </c>
      <c r="I86" s="6">
        <v>933</v>
      </c>
      <c r="J86" s="6">
        <v>521</v>
      </c>
      <c r="K86" s="6">
        <v>473</v>
      </c>
      <c r="L86" s="6">
        <v>458</v>
      </c>
      <c r="M86" s="6">
        <v>534</v>
      </c>
      <c r="N86" s="6">
        <v>575</v>
      </c>
      <c r="O86" s="68">
        <v>852</v>
      </c>
    </row>
    <row r="87" spans="2:15" x14ac:dyDescent="0.25">
      <c r="B87" s="65">
        <v>44</v>
      </c>
      <c r="C87" s="66"/>
      <c r="D87" s="6">
        <v>6946</v>
      </c>
      <c r="E87" s="6">
        <v>6806</v>
      </c>
      <c r="F87" s="6">
        <v>6127</v>
      </c>
      <c r="G87" s="6">
        <v>4629</v>
      </c>
      <c r="H87" s="6">
        <v>4811</v>
      </c>
      <c r="I87" s="6">
        <v>3561</v>
      </c>
      <c r="J87" s="6">
        <v>2478</v>
      </c>
      <c r="K87" s="6">
        <v>2220</v>
      </c>
      <c r="L87" s="6">
        <v>2930</v>
      </c>
      <c r="M87" s="6">
        <v>3374</v>
      </c>
      <c r="N87" s="6">
        <v>4463</v>
      </c>
      <c r="O87" s="68">
        <v>7107</v>
      </c>
    </row>
    <row r="88" spans="2:15" x14ac:dyDescent="0.25">
      <c r="B88" s="65">
        <v>45</v>
      </c>
      <c r="C88" s="66"/>
      <c r="D88" s="6">
        <v>7594</v>
      </c>
      <c r="E88" s="6">
        <v>7536</v>
      </c>
      <c r="F88" s="6">
        <v>6776</v>
      </c>
      <c r="G88" s="6">
        <v>5213</v>
      </c>
      <c r="H88" s="6">
        <v>5284</v>
      </c>
      <c r="I88" s="6">
        <v>3989</v>
      </c>
      <c r="J88" s="6">
        <v>2862</v>
      </c>
      <c r="K88" s="6">
        <v>2560</v>
      </c>
      <c r="L88" s="6">
        <v>3198</v>
      </c>
      <c r="M88" s="6">
        <v>3648</v>
      </c>
      <c r="N88" s="6">
        <v>4759</v>
      </c>
      <c r="O88" s="68">
        <v>7443</v>
      </c>
    </row>
    <row r="89" spans="2:15" x14ac:dyDescent="0.25">
      <c r="B89" s="65">
        <v>46</v>
      </c>
      <c r="C89" s="66"/>
      <c r="D89" s="6">
        <v>8648</v>
      </c>
      <c r="E89" s="6">
        <v>9261</v>
      </c>
      <c r="F89" s="6">
        <v>7930</v>
      </c>
      <c r="G89" s="6">
        <v>6409</v>
      </c>
      <c r="H89" s="6">
        <v>6772</v>
      </c>
      <c r="I89" s="6">
        <v>5288</v>
      </c>
      <c r="J89" s="6">
        <v>3708</v>
      </c>
      <c r="K89" s="6">
        <v>3300</v>
      </c>
      <c r="L89" s="6">
        <v>3811</v>
      </c>
      <c r="M89" s="6">
        <v>4313</v>
      </c>
      <c r="N89" s="6">
        <v>5423</v>
      </c>
      <c r="O89" s="68">
        <v>8109</v>
      </c>
    </row>
    <row r="90" spans="2:15" x14ac:dyDescent="0.25">
      <c r="B90" s="65">
        <v>47</v>
      </c>
      <c r="C90" s="66"/>
      <c r="D90" s="6">
        <v>441</v>
      </c>
      <c r="E90" s="6">
        <v>419</v>
      </c>
      <c r="F90" s="6">
        <v>245</v>
      </c>
      <c r="G90" s="6">
        <v>249</v>
      </c>
      <c r="H90" s="6">
        <v>390</v>
      </c>
      <c r="I90" s="6">
        <v>508</v>
      </c>
      <c r="J90" s="6">
        <v>265</v>
      </c>
      <c r="K90" s="6">
        <v>199</v>
      </c>
      <c r="L90" s="6">
        <v>161</v>
      </c>
      <c r="M90" s="6">
        <v>191</v>
      </c>
      <c r="N90" s="6">
        <v>185</v>
      </c>
      <c r="O90" s="68">
        <v>235</v>
      </c>
    </row>
    <row r="91" spans="2:15" x14ac:dyDescent="0.25">
      <c r="B91" s="65">
        <v>48</v>
      </c>
      <c r="C91" s="66"/>
      <c r="D91" s="6">
        <v>454</v>
      </c>
      <c r="E91" s="6">
        <v>433</v>
      </c>
      <c r="F91" s="6">
        <v>251</v>
      </c>
      <c r="G91" s="6">
        <v>254</v>
      </c>
      <c r="H91" s="6">
        <v>403</v>
      </c>
      <c r="I91" s="6">
        <v>523</v>
      </c>
      <c r="J91" s="6">
        <v>272</v>
      </c>
      <c r="K91" s="6">
        <v>204</v>
      </c>
      <c r="L91" s="6">
        <v>165</v>
      </c>
      <c r="M91" s="6">
        <v>196</v>
      </c>
      <c r="N91" s="6">
        <v>189</v>
      </c>
      <c r="O91" s="68">
        <v>240</v>
      </c>
    </row>
    <row r="92" spans="2:15" x14ac:dyDescent="0.25">
      <c r="B92" s="65">
        <v>49</v>
      </c>
      <c r="C92" s="66"/>
      <c r="D92" s="6">
        <v>741</v>
      </c>
      <c r="E92" s="6">
        <v>650</v>
      </c>
      <c r="F92" s="6">
        <v>382</v>
      </c>
      <c r="G92" s="6">
        <v>375</v>
      </c>
      <c r="H92" s="6">
        <v>642</v>
      </c>
      <c r="I92" s="6">
        <v>846</v>
      </c>
      <c r="J92" s="6">
        <v>423</v>
      </c>
      <c r="K92" s="6">
        <v>311</v>
      </c>
      <c r="L92" s="6">
        <v>259</v>
      </c>
      <c r="M92" s="6">
        <v>307</v>
      </c>
      <c r="N92" s="6">
        <v>288</v>
      </c>
      <c r="O92" s="68">
        <v>355</v>
      </c>
    </row>
    <row r="93" spans="2:15" x14ac:dyDescent="0.25">
      <c r="B93" s="65">
        <v>50</v>
      </c>
      <c r="C93" s="66"/>
      <c r="D93" s="6">
        <v>937</v>
      </c>
      <c r="E93" s="6">
        <v>848</v>
      </c>
      <c r="F93" s="6">
        <v>574</v>
      </c>
      <c r="G93" s="6">
        <v>536</v>
      </c>
      <c r="H93" s="6">
        <v>896</v>
      </c>
      <c r="I93" s="6">
        <v>1091</v>
      </c>
      <c r="J93" s="6">
        <v>548</v>
      </c>
      <c r="K93" s="6">
        <v>410</v>
      </c>
      <c r="L93" s="6">
        <v>343</v>
      </c>
      <c r="M93" s="6">
        <v>401</v>
      </c>
      <c r="N93" s="6">
        <v>383</v>
      </c>
      <c r="O93" s="68">
        <v>470</v>
      </c>
    </row>
    <row r="94" spans="2:15" x14ac:dyDescent="0.25">
      <c r="B94" s="65">
        <v>51</v>
      </c>
      <c r="C94" s="66"/>
      <c r="D94" s="6">
        <v>947</v>
      </c>
      <c r="E94" s="6">
        <v>863</v>
      </c>
      <c r="F94" s="6">
        <v>588</v>
      </c>
      <c r="G94" s="6">
        <v>548</v>
      </c>
      <c r="H94" s="6">
        <v>915</v>
      </c>
      <c r="I94" s="6">
        <v>1111</v>
      </c>
      <c r="J94" s="6">
        <v>558</v>
      </c>
      <c r="K94" s="6">
        <v>418</v>
      </c>
      <c r="L94" s="6">
        <v>349</v>
      </c>
      <c r="M94" s="6">
        <v>408</v>
      </c>
      <c r="N94" s="6">
        <v>391</v>
      </c>
      <c r="O94" s="68">
        <v>478</v>
      </c>
    </row>
    <row r="95" spans="2:15" x14ac:dyDescent="0.25">
      <c r="B95" s="65">
        <v>52</v>
      </c>
      <c r="C95" s="66"/>
      <c r="D95" s="6">
        <v>973</v>
      </c>
      <c r="E95" s="6">
        <v>891</v>
      </c>
      <c r="F95" s="6">
        <v>619</v>
      </c>
      <c r="G95" s="6">
        <v>573</v>
      </c>
      <c r="H95" s="6">
        <v>955</v>
      </c>
      <c r="I95" s="6">
        <v>1153</v>
      </c>
      <c r="J95" s="6">
        <v>579</v>
      </c>
      <c r="K95" s="6">
        <v>435</v>
      </c>
      <c r="L95" s="6">
        <v>362</v>
      </c>
      <c r="M95" s="6">
        <v>424</v>
      </c>
      <c r="N95" s="6">
        <v>406</v>
      </c>
      <c r="O95" s="68">
        <v>497</v>
      </c>
    </row>
    <row r="96" spans="2:15" x14ac:dyDescent="0.25">
      <c r="B96" s="65">
        <v>53</v>
      </c>
      <c r="C96" s="66"/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8">
        <v>0</v>
      </c>
    </row>
    <row r="97" spans="2:15" x14ac:dyDescent="0.25">
      <c r="B97" s="65">
        <v>54</v>
      </c>
      <c r="C97" s="66"/>
      <c r="D97" s="6">
        <v>144</v>
      </c>
      <c r="E97" s="6">
        <v>155</v>
      </c>
      <c r="F97" s="6">
        <v>114</v>
      </c>
      <c r="G97" s="6">
        <v>96</v>
      </c>
      <c r="H97" s="6">
        <v>189</v>
      </c>
      <c r="I97" s="6">
        <v>406</v>
      </c>
      <c r="J97" s="6">
        <v>282</v>
      </c>
      <c r="K97" s="6">
        <v>321</v>
      </c>
      <c r="L97" s="6">
        <v>152</v>
      </c>
      <c r="M97" s="6">
        <v>198</v>
      </c>
      <c r="N97" s="6">
        <v>159</v>
      </c>
      <c r="O97" s="68">
        <v>142</v>
      </c>
    </row>
    <row r="98" spans="2:15" x14ac:dyDescent="0.25">
      <c r="B98" s="65">
        <v>55</v>
      </c>
      <c r="C98" s="66"/>
      <c r="D98" s="6">
        <v>0</v>
      </c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8">
        <v>0</v>
      </c>
    </row>
    <row r="99" spans="2:15" x14ac:dyDescent="0.25">
      <c r="B99" s="65">
        <v>56</v>
      </c>
      <c r="C99" s="66"/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6">
        <v>0</v>
      </c>
      <c r="O99" s="68">
        <v>0</v>
      </c>
    </row>
    <row r="100" spans="2:15" x14ac:dyDescent="0.25">
      <c r="B100" s="65">
        <v>57</v>
      </c>
      <c r="C100" s="66"/>
      <c r="D100" s="6">
        <v>278</v>
      </c>
      <c r="E100" s="6">
        <v>298</v>
      </c>
      <c r="F100" s="6">
        <v>218</v>
      </c>
      <c r="G100" s="6">
        <v>181</v>
      </c>
      <c r="H100" s="6">
        <v>344</v>
      </c>
      <c r="I100" s="6">
        <v>746</v>
      </c>
      <c r="J100" s="6">
        <v>191</v>
      </c>
      <c r="K100" s="6">
        <v>187</v>
      </c>
      <c r="L100" s="6">
        <v>263</v>
      </c>
      <c r="M100" s="6">
        <v>343</v>
      </c>
      <c r="N100" s="6">
        <v>283</v>
      </c>
      <c r="O100" s="68">
        <v>258</v>
      </c>
    </row>
    <row r="101" spans="2:15" x14ac:dyDescent="0.25">
      <c r="B101" s="65">
        <v>58</v>
      </c>
      <c r="C101" s="66"/>
      <c r="D101" s="6">
        <v>471</v>
      </c>
      <c r="E101" s="6">
        <v>450</v>
      </c>
      <c r="F101" s="6">
        <v>339</v>
      </c>
      <c r="G101" s="6">
        <v>254</v>
      </c>
      <c r="H101" s="6">
        <v>552</v>
      </c>
      <c r="I101" s="6">
        <v>814</v>
      </c>
      <c r="J101" s="6">
        <v>468</v>
      </c>
      <c r="K101" s="6">
        <v>472</v>
      </c>
      <c r="L101" s="6">
        <v>305</v>
      </c>
      <c r="M101" s="6">
        <v>397</v>
      </c>
      <c r="N101" s="6">
        <v>334</v>
      </c>
      <c r="O101" s="68">
        <v>311</v>
      </c>
    </row>
    <row r="102" spans="2:15" x14ac:dyDescent="0.25">
      <c r="B102" s="65">
        <v>59</v>
      </c>
      <c r="C102" s="66"/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8">
        <v>0</v>
      </c>
    </row>
    <row r="103" spans="2:15" x14ac:dyDescent="0.25">
      <c r="B103" s="65">
        <v>60</v>
      </c>
      <c r="C103" s="66"/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8">
        <v>0</v>
      </c>
    </row>
    <row r="104" spans="2:15" x14ac:dyDescent="0.25">
      <c r="B104" s="65">
        <v>61</v>
      </c>
      <c r="C104" s="66"/>
      <c r="D104" s="6">
        <v>1875</v>
      </c>
      <c r="E104" s="6">
        <v>1752</v>
      </c>
      <c r="F104" s="6">
        <v>1268</v>
      </c>
      <c r="G104" s="6">
        <v>1059</v>
      </c>
      <c r="H104" s="6">
        <v>2011</v>
      </c>
      <c r="I104" s="6">
        <v>2711</v>
      </c>
      <c r="J104" s="6">
        <v>1075</v>
      </c>
      <c r="K104" s="6">
        <v>851</v>
      </c>
      <c r="L104" s="6">
        <v>894</v>
      </c>
      <c r="M104" s="6">
        <v>1109</v>
      </c>
      <c r="N104" s="6">
        <v>1014</v>
      </c>
      <c r="O104" s="68">
        <v>1113</v>
      </c>
    </row>
    <row r="105" spans="2:15" x14ac:dyDescent="0.25">
      <c r="B105" s="65">
        <v>62</v>
      </c>
      <c r="C105" s="66"/>
      <c r="D105" s="6">
        <v>1920</v>
      </c>
      <c r="E105" s="6">
        <v>1817</v>
      </c>
      <c r="F105" s="6">
        <v>1317</v>
      </c>
      <c r="G105" s="6">
        <v>1101</v>
      </c>
      <c r="H105" s="6">
        <v>2084</v>
      </c>
      <c r="I105" s="6">
        <v>2776</v>
      </c>
      <c r="J105" s="6">
        <v>1141</v>
      </c>
      <c r="K105" s="6">
        <v>902</v>
      </c>
      <c r="L105" s="6">
        <v>941</v>
      </c>
      <c r="M105" s="6">
        <v>1173</v>
      </c>
      <c r="N105" s="6">
        <v>1073</v>
      </c>
      <c r="O105" s="68">
        <v>1170</v>
      </c>
    </row>
    <row r="106" spans="2:15" x14ac:dyDescent="0.25">
      <c r="B106" s="65">
        <v>63</v>
      </c>
      <c r="C106" s="66"/>
      <c r="D106" s="6">
        <v>2079</v>
      </c>
      <c r="E106" s="6">
        <v>1994</v>
      </c>
      <c r="F106" s="6">
        <v>1470</v>
      </c>
      <c r="G106" s="6">
        <v>1236</v>
      </c>
      <c r="H106" s="6">
        <v>2301</v>
      </c>
      <c r="I106" s="6">
        <v>2990</v>
      </c>
      <c r="J106" s="6">
        <v>1254</v>
      </c>
      <c r="K106" s="6">
        <v>1015</v>
      </c>
      <c r="L106" s="6">
        <v>1055</v>
      </c>
      <c r="M106" s="6">
        <v>1317</v>
      </c>
      <c r="N106" s="6">
        <v>1215</v>
      </c>
      <c r="O106" s="68">
        <v>1311</v>
      </c>
    </row>
    <row r="107" spans="2:15" x14ac:dyDescent="0.25">
      <c r="B107" s="65">
        <v>64</v>
      </c>
      <c r="C107" s="66"/>
      <c r="D107" s="6">
        <v>0</v>
      </c>
      <c r="E107" s="6">
        <v>0</v>
      </c>
      <c r="F107" s="6">
        <v>0</v>
      </c>
      <c r="G107" s="6">
        <v>0</v>
      </c>
      <c r="H107" s="6">
        <v>0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6">
        <v>0</v>
      </c>
      <c r="O107" s="68">
        <v>0</v>
      </c>
    </row>
    <row r="108" spans="2:15" x14ac:dyDescent="0.25">
      <c r="B108" s="65">
        <v>65</v>
      </c>
      <c r="C108" s="66"/>
      <c r="D108" s="6">
        <v>114</v>
      </c>
      <c r="E108" s="6">
        <v>74</v>
      </c>
      <c r="F108" s="6">
        <v>95</v>
      </c>
      <c r="G108" s="6">
        <v>55</v>
      </c>
      <c r="H108" s="6">
        <v>137</v>
      </c>
      <c r="I108" s="6">
        <v>234</v>
      </c>
      <c r="J108" s="6">
        <v>109</v>
      </c>
      <c r="K108" s="6">
        <v>137</v>
      </c>
      <c r="L108" s="6">
        <v>117</v>
      </c>
      <c r="M108" s="6">
        <v>158</v>
      </c>
      <c r="N108" s="6">
        <v>119</v>
      </c>
      <c r="O108" s="68">
        <v>91</v>
      </c>
    </row>
    <row r="109" spans="2:15" x14ac:dyDescent="0.25">
      <c r="B109" s="65">
        <v>66</v>
      </c>
      <c r="C109" s="66"/>
      <c r="D109" s="6">
        <v>13111</v>
      </c>
      <c r="E109" s="6">
        <v>15215</v>
      </c>
      <c r="F109" s="6">
        <v>11859</v>
      </c>
      <c r="G109" s="6">
        <v>10623</v>
      </c>
      <c r="H109" s="6">
        <v>12884</v>
      </c>
      <c r="I109" s="6">
        <v>13384</v>
      </c>
      <c r="J109" s="6">
        <v>7172</v>
      </c>
      <c r="K109" s="6">
        <v>6024</v>
      </c>
      <c r="L109" s="6">
        <v>6371</v>
      </c>
      <c r="M109" s="6">
        <v>7629</v>
      </c>
      <c r="N109" s="6">
        <v>8407</v>
      </c>
      <c r="O109" s="68">
        <v>11103</v>
      </c>
    </row>
    <row r="110" spans="2:15" x14ac:dyDescent="0.25">
      <c r="B110" s="65">
        <v>67</v>
      </c>
      <c r="C110" s="66"/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8">
        <v>0</v>
      </c>
    </row>
    <row r="111" spans="2:15" x14ac:dyDescent="0.25">
      <c r="B111" s="65">
        <v>68</v>
      </c>
      <c r="C111" s="66"/>
      <c r="D111" s="6">
        <v>0</v>
      </c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8">
        <v>0</v>
      </c>
    </row>
    <row r="112" spans="2:15" x14ac:dyDescent="0.25">
      <c r="B112" s="65">
        <v>69</v>
      </c>
      <c r="C112" s="66"/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8">
        <v>0</v>
      </c>
    </row>
    <row r="113" spans="2:15" x14ac:dyDescent="0.25">
      <c r="B113" s="65">
        <v>70</v>
      </c>
      <c r="C113" s="66"/>
      <c r="D113" s="6">
        <v>10</v>
      </c>
      <c r="E113" s="6">
        <v>10</v>
      </c>
      <c r="F113" s="6">
        <v>10</v>
      </c>
      <c r="G113" s="6">
        <v>10</v>
      </c>
      <c r="H113" s="6">
        <v>10</v>
      </c>
      <c r="I113" s="6">
        <v>84</v>
      </c>
      <c r="J113" s="6">
        <v>10</v>
      </c>
      <c r="K113" s="6">
        <v>10</v>
      </c>
      <c r="L113" s="6">
        <v>39</v>
      </c>
      <c r="M113" s="6">
        <v>51</v>
      </c>
      <c r="N113" s="6">
        <v>26</v>
      </c>
      <c r="O113" s="68">
        <v>19</v>
      </c>
    </row>
    <row r="114" spans="2:15" x14ac:dyDescent="0.25">
      <c r="B114" s="65">
        <v>71</v>
      </c>
      <c r="C114" s="66"/>
      <c r="D114" s="6">
        <v>102</v>
      </c>
      <c r="E114" s="6">
        <v>108</v>
      </c>
      <c r="F114" s="6">
        <v>67</v>
      </c>
      <c r="G114" s="6">
        <v>42</v>
      </c>
      <c r="H114" s="6">
        <v>121</v>
      </c>
      <c r="I114" s="6">
        <v>194</v>
      </c>
      <c r="J114" s="6">
        <v>56</v>
      </c>
      <c r="K114" s="6">
        <v>59</v>
      </c>
      <c r="L114" s="6">
        <v>111</v>
      </c>
      <c r="M114" s="6">
        <v>141</v>
      </c>
      <c r="N114" s="6">
        <v>109</v>
      </c>
      <c r="O114" s="68">
        <v>93</v>
      </c>
    </row>
    <row r="115" spans="2:15" x14ac:dyDescent="0.25">
      <c r="B115" s="65">
        <v>72</v>
      </c>
      <c r="C115" s="66"/>
      <c r="D115" s="6">
        <v>111</v>
      </c>
      <c r="E115" s="6">
        <v>118</v>
      </c>
      <c r="F115" s="6">
        <v>73</v>
      </c>
      <c r="G115" s="6">
        <v>46</v>
      </c>
      <c r="H115" s="6">
        <v>129</v>
      </c>
      <c r="I115" s="6">
        <v>207</v>
      </c>
      <c r="J115" s="6">
        <v>58</v>
      </c>
      <c r="K115" s="6">
        <v>62</v>
      </c>
      <c r="L115" s="6">
        <v>117</v>
      </c>
      <c r="M115" s="6">
        <v>148</v>
      </c>
      <c r="N115" s="6">
        <v>114</v>
      </c>
      <c r="O115" s="68">
        <v>97</v>
      </c>
    </row>
    <row r="116" spans="2:15" x14ac:dyDescent="0.25">
      <c r="B116" s="65">
        <v>73</v>
      </c>
      <c r="C116" s="66"/>
      <c r="D116" s="6">
        <v>144</v>
      </c>
      <c r="E116" s="6">
        <v>160</v>
      </c>
      <c r="F116" s="6">
        <v>97</v>
      </c>
      <c r="G116" s="6">
        <v>61</v>
      </c>
      <c r="H116" s="6">
        <v>164</v>
      </c>
      <c r="I116" s="6">
        <v>257</v>
      </c>
      <c r="J116" s="6">
        <v>69</v>
      </c>
      <c r="K116" s="6">
        <v>60</v>
      </c>
      <c r="L116" s="6">
        <v>139</v>
      </c>
      <c r="M116" s="6">
        <v>173</v>
      </c>
      <c r="N116" s="6">
        <v>136</v>
      </c>
      <c r="O116" s="68">
        <v>115</v>
      </c>
    </row>
    <row r="117" spans="2:15" x14ac:dyDescent="0.25">
      <c r="B117" s="65">
        <v>74</v>
      </c>
      <c r="C117" s="66"/>
      <c r="D117" s="6">
        <v>962</v>
      </c>
      <c r="E117" s="6">
        <v>817</v>
      </c>
      <c r="F117" s="6">
        <v>449</v>
      </c>
      <c r="G117" s="6">
        <v>259</v>
      </c>
      <c r="H117" s="6">
        <v>610</v>
      </c>
      <c r="I117" s="6">
        <v>1151</v>
      </c>
      <c r="J117" s="6">
        <v>267</v>
      </c>
      <c r="K117" s="6">
        <v>441</v>
      </c>
      <c r="L117" s="6">
        <v>730</v>
      </c>
      <c r="M117" s="6">
        <v>936</v>
      </c>
      <c r="N117" s="6">
        <v>698</v>
      </c>
      <c r="O117" s="68">
        <v>587</v>
      </c>
    </row>
    <row r="118" spans="2:15" x14ac:dyDescent="0.25">
      <c r="B118" s="65">
        <v>75</v>
      </c>
      <c r="C118" s="66"/>
      <c r="D118" s="6">
        <v>1266</v>
      </c>
      <c r="E118" s="6">
        <v>1183</v>
      </c>
      <c r="F118" s="6">
        <v>662</v>
      </c>
      <c r="G118" s="6">
        <v>386</v>
      </c>
      <c r="H118" s="6">
        <v>922</v>
      </c>
      <c r="I118" s="6">
        <v>1604</v>
      </c>
      <c r="J118" s="6">
        <v>377</v>
      </c>
      <c r="K118" s="6">
        <v>562</v>
      </c>
      <c r="L118" s="6">
        <v>942</v>
      </c>
      <c r="M118" s="6">
        <v>1207</v>
      </c>
      <c r="N118" s="6">
        <v>920</v>
      </c>
      <c r="O118" s="68">
        <v>769</v>
      </c>
    </row>
    <row r="119" spans="2:15" x14ac:dyDescent="0.25">
      <c r="B119" s="65">
        <v>76</v>
      </c>
      <c r="C119" s="66"/>
      <c r="D119" s="6">
        <v>1132</v>
      </c>
      <c r="E119" s="6">
        <v>1033</v>
      </c>
      <c r="F119" s="6">
        <v>575</v>
      </c>
      <c r="G119" s="6">
        <v>335</v>
      </c>
      <c r="H119" s="6">
        <v>768</v>
      </c>
      <c r="I119" s="6">
        <v>1430</v>
      </c>
      <c r="J119" s="6">
        <v>318</v>
      </c>
      <c r="K119" s="6">
        <v>512</v>
      </c>
      <c r="L119" s="6">
        <v>842</v>
      </c>
      <c r="M119" s="6">
        <v>1084</v>
      </c>
      <c r="N119" s="6">
        <v>811</v>
      </c>
      <c r="O119" s="68">
        <v>673</v>
      </c>
    </row>
    <row r="120" spans="2:15" x14ac:dyDescent="0.25">
      <c r="B120" s="65">
        <v>77</v>
      </c>
      <c r="C120" s="66"/>
      <c r="D120" s="6">
        <v>1405</v>
      </c>
      <c r="E120" s="6">
        <v>1279</v>
      </c>
      <c r="F120" s="6">
        <v>783</v>
      </c>
      <c r="G120" s="6">
        <v>457</v>
      </c>
      <c r="H120" s="6">
        <v>1064</v>
      </c>
      <c r="I120" s="6">
        <v>1965</v>
      </c>
      <c r="J120" s="6">
        <v>453</v>
      </c>
      <c r="K120" s="6">
        <v>506</v>
      </c>
      <c r="L120" s="6">
        <v>1109</v>
      </c>
      <c r="M120" s="6">
        <v>1444</v>
      </c>
      <c r="N120" s="6">
        <v>1081</v>
      </c>
      <c r="O120" s="68">
        <v>886</v>
      </c>
    </row>
    <row r="121" spans="2:15" x14ac:dyDescent="0.25">
      <c r="B121" s="65">
        <v>78</v>
      </c>
      <c r="C121" s="66"/>
      <c r="D121" s="6">
        <v>1458</v>
      </c>
      <c r="E121" s="6">
        <v>1311</v>
      </c>
      <c r="F121" s="6">
        <v>831</v>
      </c>
      <c r="G121" s="6">
        <v>482</v>
      </c>
      <c r="H121" s="6">
        <v>1101</v>
      </c>
      <c r="I121" s="6">
        <v>2092</v>
      </c>
      <c r="J121" s="6">
        <v>482</v>
      </c>
      <c r="K121" s="6">
        <v>532</v>
      </c>
      <c r="L121" s="6">
        <v>1154</v>
      </c>
      <c r="M121" s="6">
        <v>1519</v>
      </c>
      <c r="N121" s="6">
        <v>1139</v>
      </c>
      <c r="O121" s="68">
        <v>929</v>
      </c>
    </row>
    <row r="122" spans="2:15" x14ac:dyDescent="0.25">
      <c r="B122" s="65">
        <v>79</v>
      </c>
      <c r="C122" s="66"/>
      <c r="D122" s="6">
        <v>0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8">
        <v>0</v>
      </c>
    </row>
    <row r="123" spans="2:15" x14ac:dyDescent="0.25">
      <c r="B123" s="65">
        <v>80</v>
      </c>
      <c r="C123" s="66"/>
      <c r="D123" s="6">
        <v>73</v>
      </c>
      <c r="E123" s="6">
        <v>48</v>
      </c>
      <c r="F123" s="6">
        <v>61</v>
      </c>
      <c r="G123" s="6">
        <v>35</v>
      </c>
      <c r="H123" s="6">
        <v>88</v>
      </c>
      <c r="I123" s="6">
        <v>150</v>
      </c>
      <c r="J123" s="6">
        <v>70</v>
      </c>
      <c r="K123" s="6">
        <v>88</v>
      </c>
      <c r="L123" s="6">
        <v>77</v>
      </c>
      <c r="M123" s="6">
        <v>101</v>
      </c>
      <c r="N123" s="6">
        <v>73</v>
      </c>
      <c r="O123" s="68">
        <v>56</v>
      </c>
    </row>
    <row r="124" spans="2:15" x14ac:dyDescent="0.25">
      <c r="B124" s="65">
        <v>81</v>
      </c>
      <c r="C124" s="66"/>
      <c r="D124" s="6">
        <v>1917</v>
      </c>
      <c r="E124" s="6">
        <v>1641</v>
      </c>
      <c r="F124" s="6">
        <v>1182</v>
      </c>
      <c r="G124" s="6">
        <v>685</v>
      </c>
      <c r="H124" s="6">
        <v>1601</v>
      </c>
      <c r="I124" s="6">
        <v>2965</v>
      </c>
      <c r="J124" s="6">
        <v>1459</v>
      </c>
      <c r="K124" s="6">
        <v>2023</v>
      </c>
      <c r="L124" s="6">
        <v>1591</v>
      </c>
      <c r="M124" s="6">
        <v>2124</v>
      </c>
      <c r="N124" s="6">
        <v>1601</v>
      </c>
      <c r="O124" s="68">
        <v>1300</v>
      </c>
    </row>
    <row r="125" spans="2:15" x14ac:dyDescent="0.25">
      <c r="B125" s="65">
        <v>82</v>
      </c>
      <c r="C125" s="66"/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8">
        <v>0</v>
      </c>
    </row>
    <row r="126" spans="2:15" x14ac:dyDescent="0.25">
      <c r="B126" s="65">
        <v>83</v>
      </c>
      <c r="C126" s="66"/>
      <c r="D126" s="6">
        <v>78</v>
      </c>
      <c r="E126" s="6">
        <v>51</v>
      </c>
      <c r="F126" s="6">
        <v>65</v>
      </c>
      <c r="G126" s="6">
        <v>37</v>
      </c>
      <c r="H126" s="6">
        <v>94</v>
      </c>
      <c r="I126" s="6">
        <v>161</v>
      </c>
      <c r="J126" s="6">
        <v>75</v>
      </c>
      <c r="K126" s="6">
        <v>94</v>
      </c>
      <c r="L126" s="6">
        <v>83</v>
      </c>
      <c r="M126" s="6">
        <v>108</v>
      </c>
      <c r="N126" s="6">
        <v>79</v>
      </c>
      <c r="O126" s="68">
        <v>60</v>
      </c>
    </row>
    <row r="127" spans="2:15" x14ac:dyDescent="0.25">
      <c r="B127" s="65">
        <v>84</v>
      </c>
      <c r="C127" s="66"/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6">
        <v>0</v>
      </c>
      <c r="O127" s="68">
        <v>0</v>
      </c>
    </row>
    <row r="128" spans="2:15" x14ac:dyDescent="0.25">
      <c r="B128" s="65">
        <v>85</v>
      </c>
      <c r="C128" s="66"/>
      <c r="D128" s="6">
        <v>151</v>
      </c>
      <c r="E128" s="6">
        <v>71</v>
      </c>
      <c r="F128" s="6">
        <v>35</v>
      </c>
      <c r="G128" s="6">
        <v>65</v>
      </c>
      <c r="H128" s="6">
        <v>290</v>
      </c>
      <c r="I128" s="6">
        <v>495</v>
      </c>
      <c r="J128" s="6">
        <v>251</v>
      </c>
      <c r="K128" s="6">
        <v>142</v>
      </c>
      <c r="L128" s="6">
        <v>247</v>
      </c>
      <c r="M128" s="6">
        <v>213</v>
      </c>
      <c r="N128" s="6">
        <v>128</v>
      </c>
      <c r="O128" s="68">
        <v>108</v>
      </c>
    </row>
    <row r="129" spans="2:15" x14ac:dyDescent="0.25">
      <c r="B129" s="65">
        <v>86</v>
      </c>
      <c r="C129" s="66"/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8">
        <v>0</v>
      </c>
    </row>
    <row r="130" spans="2:15" x14ac:dyDescent="0.25">
      <c r="B130" s="65">
        <v>87</v>
      </c>
      <c r="C130" s="66"/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6">
        <v>0</v>
      </c>
      <c r="O130" s="68">
        <v>0</v>
      </c>
    </row>
    <row r="131" spans="2:15" x14ac:dyDescent="0.25">
      <c r="B131" s="65">
        <v>88</v>
      </c>
      <c r="C131" s="66"/>
      <c r="D131" s="6">
        <v>326</v>
      </c>
      <c r="E131" s="6">
        <v>152</v>
      </c>
      <c r="F131" s="6">
        <v>109</v>
      </c>
      <c r="G131" s="6">
        <v>82</v>
      </c>
      <c r="H131" s="6">
        <v>337</v>
      </c>
      <c r="I131" s="6">
        <v>1057</v>
      </c>
      <c r="J131" s="6">
        <v>176</v>
      </c>
      <c r="K131" s="6">
        <v>247</v>
      </c>
      <c r="L131" s="6">
        <v>335</v>
      </c>
      <c r="M131" s="6">
        <v>357</v>
      </c>
      <c r="N131" s="6">
        <v>233</v>
      </c>
      <c r="O131" s="68">
        <v>171</v>
      </c>
    </row>
    <row r="132" spans="2:15" x14ac:dyDescent="0.25">
      <c r="B132" s="65">
        <v>89</v>
      </c>
      <c r="C132" s="66"/>
      <c r="D132" s="6">
        <v>380</v>
      </c>
      <c r="E132" s="6">
        <v>179</v>
      </c>
      <c r="F132" s="6">
        <v>129</v>
      </c>
      <c r="G132" s="6">
        <v>98</v>
      </c>
      <c r="H132" s="6">
        <v>416</v>
      </c>
      <c r="I132" s="6">
        <v>1259</v>
      </c>
      <c r="J132" s="6">
        <v>158</v>
      </c>
      <c r="K132" s="6">
        <v>216</v>
      </c>
      <c r="L132" s="6">
        <v>416</v>
      </c>
      <c r="M132" s="6">
        <v>442</v>
      </c>
      <c r="N132" s="6">
        <v>287</v>
      </c>
      <c r="O132" s="68">
        <v>206</v>
      </c>
    </row>
    <row r="133" spans="2:15" x14ac:dyDescent="0.25">
      <c r="B133" s="65">
        <v>90</v>
      </c>
      <c r="C133" s="66"/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6">
        <v>0</v>
      </c>
      <c r="O133" s="68">
        <v>0</v>
      </c>
    </row>
    <row r="134" spans="2:15" x14ac:dyDescent="0.25">
      <c r="B134" s="65">
        <v>91</v>
      </c>
      <c r="C134" s="66"/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6">
        <v>0</v>
      </c>
      <c r="O134" s="68">
        <v>0</v>
      </c>
    </row>
    <row r="135" spans="2:15" x14ac:dyDescent="0.25">
      <c r="B135" s="65">
        <v>92</v>
      </c>
      <c r="C135" s="66"/>
      <c r="D135" s="6">
        <v>1158</v>
      </c>
      <c r="E135" s="6">
        <v>643</v>
      </c>
      <c r="F135" s="6">
        <v>451</v>
      </c>
      <c r="G135" s="6">
        <v>499</v>
      </c>
      <c r="H135" s="6">
        <v>2054</v>
      </c>
      <c r="I135" s="6">
        <v>4167</v>
      </c>
      <c r="J135" s="6">
        <v>477</v>
      </c>
      <c r="K135" s="6">
        <v>855</v>
      </c>
      <c r="L135" s="6">
        <v>1584</v>
      </c>
      <c r="M135" s="6">
        <v>1594</v>
      </c>
      <c r="N135" s="6">
        <v>997</v>
      </c>
      <c r="O135" s="68">
        <v>733</v>
      </c>
    </row>
    <row r="136" spans="2:15" x14ac:dyDescent="0.25">
      <c r="B136" s="65">
        <v>93</v>
      </c>
      <c r="C136" s="66"/>
      <c r="D136" s="6">
        <v>32</v>
      </c>
      <c r="E136" s="6">
        <v>31</v>
      </c>
      <c r="F136" s="6">
        <v>32</v>
      </c>
      <c r="G136" s="6">
        <v>94</v>
      </c>
      <c r="H136" s="6">
        <v>195</v>
      </c>
      <c r="I136" s="6">
        <v>242</v>
      </c>
      <c r="J136" s="6">
        <v>53</v>
      </c>
      <c r="K136" s="6">
        <v>51</v>
      </c>
      <c r="L136" s="6">
        <v>79</v>
      </c>
      <c r="M136" s="6">
        <v>85</v>
      </c>
      <c r="N136" s="6">
        <v>59</v>
      </c>
      <c r="O136" s="68">
        <v>46</v>
      </c>
    </row>
    <row r="137" spans="2:15" x14ac:dyDescent="0.25">
      <c r="B137" s="65">
        <v>94</v>
      </c>
      <c r="C137" s="66"/>
      <c r="D137" s="6">
        <v>1331</v>
      </c>
      <c r="E137" s="6">
        <v>788</v>
      </c>
      <c r="F137" s="6">
        <v>593</v>
      </c>
      <c r="G137" s="6">
        <v>735</v>
      </c>
      <c r="H137" s="6">
        <v>2471</v>
      </c>
      <c r="I137" s="6">
        <v>5510</v>
      </c>
      <c r="J137" s="6">
        <v>598</v>
      </c>
      <c r="K137" s="6">
        <v>1056</v>
      </c>
      <c r="L137" s="6">
        <v>1911</v>
      </c>
      <c r="M137" s="6">
        <v>1940</v>
      </c>
      <c r="N137" s="6">
        <v>1247</v>
      </c>
      <c r="O137" s="68">
        <v>923</v>
      </c>
    </row>
    <row r="138" spans="2:15" x14ac:dyDescent="0.25">
      <c r="B138" s="65">
        <v>95</v>
      </c>
      <c r="C138" s="66"/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8">
        <v>0</v>
      </c>
    </row>
    <row r="139" spans="2:15" x14ac:dyDescent="0.25">
      <c r="B139" s="65">
        <v>96</v>
      </c>
      <c r="C139" s="66"/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0</v>
      </c>
      <c r="J139" s="6">
        <v>0</v>
      </c>
      <c r="K139" s="6">
        <v>0</v>
      </c>
      <c r="L139" s="6">
        <v>0</v>
      </c>
      <c r="M139" s="6">
        <v>0</v>
      </c>
      <c r="N139" s="6">
        <v>0</v>
      </c>
      <c r="O139" s="68">
        <v>0</v>
      </c>
    </row>
    <row r="140" spans="2:15" x14ac:dyDescent="0.25">
      <c r="B140" s="65">
        <v>97</v>
      </c>
      <c r="C140" s="66"/>
      <c r="D140" s="6">
        <v>236</v>
      </c>
      <c r="E140" s="6">
        <v>87</v>
      </c>
      <c r="F140" s="6">
        <v>143</v>
      </c>
      <c r="G140" s="6">
        <v>185</v>
      </c>
      <c r="H140" s="6">
        <v>504</v>
      </c>
      <c r="I140" s="6">
        <v>784</v>
      </c>
      <c r="J140" s="6">
        <v>104</v>
      </c>
      <c r="K140" s="6">
        <v>272</v>
      </c>
      <c r="L140" s="6">
        <v>474</v>
      </c>
      <c r="M140" s="6">
        <v>397</v>
      </c>
      <c r="N140" s="6">
        <v>227</v>
      </c>
      <c r="O140" s="68">
        <v>183</v>
      </c>
    </row>
    <row r="141" spans="2:15" x14ac:dyDescent="0.25">
      <c r="B141" s="65">
        <v>98</v>
      </c>
      <c r="C141" s="66"/>
      <c r="D141" s="6">
        <v>170</v>
      </c>
      <c r="E141" s="6">
        <v>52</v>
      </c>
      <c r="F141" s="6">
        <v>82</v>
      </c>
      <c r="G141" s="6">
        <v>106</v>
      </c>
      <c r="H141" s="6">
        <v>284</v>
      </c>
      <c r="I141" s="6">
        <v>467</v>
      </c>
      <c r="J141" s="6">
        <v>54</v>
      </c>
      <c r="K141" s="6">
        <v>145</v>
      </c>
      <c r="L141" s="6">
        <v>255</v>
      </c>
      <c r="M141" s="6">
        <v>210</v>
      </c>
      <c r="N141" s="6">
        <v>124</v>
      </c>
      <c r="O141" s="68">
        <v>99</v>
      </c>
    </row>
    <row r="142" spans="2:15" x14ac:dyDescent="0.25">
      <c r="B142" s="65">
        <v>99</v>
      </c>
      <c r="C142" s="66"/>
      <c r="D142" s="6">
        <v>88</v>
      </c>
      <c r="E142" s="6">
        <v>105</v>
      </c>
      <c r="F142" s="6">
        <v>90</v>
      </c>
      <c r="G142" s="6">
        <v>80</v>
      </c>
      <c r="H142" s="6">
        <v>69</v>
      </c>
      <c r="I142" s="6">
        <v>63</v>
      </c>
      <c r="J142" s="6">
        <v>54</v>
      </c>
      <c r="K142" s="6">
        <v>52</v>
      </c>
      <c r="L142" s="6">
        <v>47</v>
      </c>
      <c r="M142" s="6">
        <v>51</v>
      </c>
      <c r="N142" s="6">
        <v>58</v>
      </c>
      <c r="O142" s="68">
        <v>70</v>
      </c>
    </row>
    <row r="143" spans="2:15" x14ac:dyDescent="0.25">
      <c r="B143" s="65">
        <v>100</v>
      </c>
      <c r="C143" s="66"/>
      <c r="D143" s="6">
        <v>5</v>
      </c>
      <c r="E143" s="6">
        <v>6</v>
      </c>
      <c r="F143" s="6">
        <v>6</v>
      </c>
      <c r="G143" s="6">
        <v>5</v>
      </c>
      <c r="H143" s="6">
        <v>4</v>
      </c>
      <c r="I143" s="6">
        <v>4</v>
      </c>
      <c r="J143" s="6">
        <v>4</v>
      </c>
      <c r="K143" s="6">
        <v>3</v>
      </c>
      <c r="L143" s="6">
        <v>4</v>
      </c>
      <c r="M143" s="6">
        <v>5</v>
      </c>
      <c r="N143" s="6">
        <v>5</v>
      </c>
      <c r="O143" s="68">
        <v>5</v>
      </c>
    </row>
    <row r="144" spans="2:15" x14ac:dyDescent="0.25">
      <c r="B144" s="65">
        <v>101</v>
      </c>
      <c r="C144" s="66"/>
      <c r="D144" s="6">
        <v>161</v>
      </c>
      <c r="E144" s="6">
        <v>78</v>
      </c>
      <c r="F144" s="6">
        <v>62</v>
      </c>
      <c r="G144" s="6">
        <v>39</v>
      </c>
      <c r="H144" s="6">
        <v>150</v>
      </c>
      <c r="I144" s="6">
        <v>385</v>
      </c>
      <c r="J144" s="6">
        <v>60</v>
      </c>
      <c r="K144" s="6">
        <v>81</v>
      </c>
      <c r="L144" s="6">
        <v>162</v>
      </c>
      <c r="M144" s="6">
        <v>174</v>
      </c>
      <c r="N144" s="6">
        <v>116</v>
      </c>
      <c r="O144" s="68">
        <v>97</v>
      </c>
    </row>
    <row r="145" spans="2:15" x14ac:dyDescent="0.25">
      <c r="B145" s="65">
        <v>102</v>
      </c>
      <c r="C145" s="66"/>
      <c r="D145" s="6">
        <v>448</v>
      </c>
      <c r="E145" s="6">
        <v>173</v>
      </c>
      <c r="F145" s="6">
        <v>263</v>
      </c>
      <c r="G145" s="6">
        <v>595</v>
      </c>
      <c r="H145" s="6">
        <v>890</v>
      </c>
      <c r="I145" s="6">
        <v>1105</v>
      </c>
      <c r="J145" s="6">
        <v>244</v>
      </c>
      <c r="K145" s="6">
        <v>228</v>
      </c>
      <c r="L145" s="6">
        <v>328</v>
      </c>
      <c r="M145" s="6">
        <v>367</v>
      </c>
      <c r="N145" s="6">
        <v>271</v>
      </c>
      <c r="O145" s="68">
        <v>218</v>
      </c>
    </row>
    <row r="146" spans="2:15" x14ac:dyDescent="0.25">
      <c r="B146" s="65">
        <v>103</v>
      </c>
      <c r="C146" s="66"/>
      <c r="D146" s="6">
        <v>467</v>
      </c>
      <c r="E146" s="6">
        <v>180</v>
      </c>
      <c r="F146" s="6">
        <v>273</v>
      </c>
      <c r="G146" s="6">
        <v>599</v>
      </c>
      <c r="H146" s="6">
        <v>912</v>
      </c>
      <c r="I146" s="6">
        <v>1167</v>
      </c>
      <c r="J146" s="6">
        <v>254</v>
      </c>
      <c r="K146" s="6">
        <v>237</v>
      </c>
      <c r="L146" s="6">
        <v>339</v>
      </c>
      <c r="M146" s="6">
        <v>381</v>
      </c>
      <c r="N146" s="6">
        <v>283</v>
      </c>
      <c r="O146" s="68">
        <v>227</v>
      </c>
    </row>
    <row r="147" spans="2:15" x14ac:dyDescent="0.25">
      <c r="B147" s="65">
        <v>104</v>
      </c>
      <c r="C147" s="66"/>
      <c r="D147" s="6">
        <v>73</v>
      </c>
      <c r="E147" s="6">
        <v>39</v>
      </c>
      <c r="F147" s="6">
        <v>54</v>
      </c>
      <c r="G147" s="6">
        <v>53</v>
      </c>
      <c r="H147" s="6">
        <v>49</v>
      </c>
      <c r="I147" s="6">
        <v>44</v>
      </c>
      <c r="J147" s="6">
        <v>30</v>
      </c>
      <c r="K147" s="6">
        <v>26</v>
      </c>
      <c r="L147" s="6">
        <v>21</v>
      </c>
      <c r="M147" s="6">
        <v>26</v>
      </c>
      <c r="N147" s="6">
        <v>27</v>
      </c>
      <c r="O147" s="68">
        <v>35</v>
      </c>
    </row>
    <row r="148" spans="2:15" x14ac:dyDescent="0.25">
      <c r="B148" s="65">
        <v>105</v>
      </c>
      <c r="C148" s="66"/>
      <c r="D148" s="6">
        <v>0</v>
      </c>
      <c r="E148" s="6">
        <v>0</v>
      </c>
      <c r="F148" s="6">
        <v>0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8">
        <v>0</v>
      </c>
    </row>
    <row r="149" spans="2:15" x14ac:dyDescent="0.25">
      <c r="B149" s="65">
        <v>106</v>
      </c>
      <c r="C149" s="66"/>
      <c r="D149" s="6">
        <v>0</v>
      </c>
      <c r="E149" s="6">
        <v>0</v>
      </c>
      <c r="F149" s="6">
        <v>0</v>
      </c>
      <c r="G149" s="6">
        <v>0</v>
      </c>
      <c r="H149" s="6">
        <v>0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6">
        <v>0</v>
      </c>
      <c r="O149" s="68">
        <v>0</v>
      </c>
    </row>
    <row r="150" spans="2:15" x14ac:dyDescent="0.25">
      <c r="B150" s="65">
        <v>107</v>
      </c>
      <c r="C150" s="66"/>
      <c r="D150" s="6">
        <v>0</v>
      </c>
      <c r="E150" s="6">
        <v>0</v>
      </c>
      <c r="F150" s="6">
        <v>0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8">
        <v>0</v>
      </c>
    </row>
    <row r="151" spans="2:15" x14ac:dyDescent="0.25">
      <c r="B151" s="65">
        <v>108</v>
      </c>
      <c r="C151" s="66"/>
      <c r="D151" s="6">
        <v>0</v>
      </c>
      <c r="E151" s="6">
        <v>0</v>
      </c>
      <c r="F151" s="6">
        <v>0</v>
      </c>
      <c r="G151" s="6">
        <v>0</v>
      </c>
      <c r="H151" s="6">
        <v>0</v>
      </c>
      <c r="I151" s="6">
        <v>0</v>
      </c>
      <c r="J151" s="6">
        <v>0</v>
      </c>
      <c r="K151" s="6">
        <v>0</v>
      </c>
      <c r="L151" s="6">
        <v>0</v>
      </c>
      <c r="M151" s="6">
        <v>0</v>
      </c>
      <c r="N151" s="6">
        <v>0</v>
      </c>
      <c r="O151" s="68">
        <v>0</v>
      </c>
    </row>
    <row r="152" spans="2:15" x14ac:dyDescent="0.25">
      <c r="B152" s="65">
        <v>109</v>
      </c>
      <c r="C152" s="66"/>
      <c r="D152" s="6">
        <v>35</v>
      </c>
      <c r="E152" s="6">
        <v>16</v>
      </c>
      <c r="F152" s="6">
        <v>28</v>
      </c>
      <c r="G152" s="6">
        <v>29</v>
      </c>
      <c r="H152" s="6">
        <v>24</v>
      </c>
      <c r="I152" s="6">
        <v>20</v>
      </c>
      <c r="J152" s="6">
        <v>15</v>
      </c>
      <c r="K152" s="6">
        <v>13</v>
      </c>
      <c r="L152" s="6">
        <v>12</v>
      </c>
      <c r="M152" s="6">
        <v>15</v>
      </c>
      <c r="N152" s="6">
        <v>15</v>
      </c>
      <c r="O152" s="68">
        <v>21</v>
      </c>
    </row>
    <row r="153" spans="2:15" x14ac:dyDescent="0.25">
      <c r="B153" s="65">
        <v>110</v>
      </c>
      <c r="C153" s="66"/>
      <c r="D153" s="6">
        <v>58</v>
      </c>
      <c r="E153" s="6">
        <v>43</v>
      </c>
      <c r="F153" s="6">
        <v>51</v>
      </c>
      <c r="G153" s="6">
        <v>84</v>
      </c>
      <c r="H153" s="6">
        <v>113</v>
      </c>
      <c r="I153" s="6">
        <v>111</v>
      </c>
      <c r="J153" s="6">
        <v>36</v>
      </c>
      <c r="K153" s="6">
        <v>32</v>
      </c>
      <c r="L153" s="6">
        <v>43</v>
      </c>
      <c r="M153" s="6">
        <v>46</v>
      </c>
      <c r="N153" s="6">
        <v>32</v>
      </c>
      <c r="O153" s="68">
        <v>25</v>
      </c>
    </row>
    <row r="154" spans="2:15" x14ac:dyDescent="0.25">
      <c r="B154" s="65">
        <v>111</v>
      </c>
      <c r="C154" s="66"/>
      <c r="D154" s="6">
        <v>287</v>
      </c>
      <c r="E154" s="6">
        <v>180</v>
      </c>
      <c r="F154" s="6">
        <v>204</v>
      </c>
      <c r="G154" s="6">
        <v>371</v>
      </c>
      <c r="H154" s="6">
        <v>645</v>
      </c>
      <c r="I154" s="6">
        <v>863</v>
      </c>
      <c r="J154" s="6">
        <v>247</v>
      </c>
      <c r="K154" s="6">
        <v>224</v>
      </c>
      <c r="L154" s="6">
        <v>313</v>
      </c>
      <c r="M154" s="6">
        <v>313</v>
      </c>
      <c r="N154" s="6">
        <v>221</v>
      </c>
      <c r="O154" s="68">
        <v>177</v>
      </c>
    </row>
    <row r="155" spans="2:15" x14ac:dyDescent="0.25">
      <c r="B155" s="65">
        <v>112</v>
      </c>
      <c r="C155" s="66"/>
      <c r="D155" s="6">
        <v>289</v>
      </c>
      <c r="E155" s="6">
        <v>181</v>
      </c>
      <c r="F155" s="6">
        <v>206</v>
      </c>
      <c r="G155" s="6">
        <v>373</v>
      </c>
      <c r="H155" s="6">
        <v>651</v>
      </c>
      <c r="I155" s="6">
        <v>871</v>
      </c>
      <c r="J155" s="6">
        <v>249</v>
      </c>
      <c r="K155" s="6">
        <v>226</v>
      </c>
      <c r="L155" s="6">
        <v>315</v>
      </c>
      <c r="M155" s="6">
        <v>316</v>
      </c>
      <c r="N155" s="6">
        <v>222</v>
      </c>
      <c r="O155" s="68">
        <v>178</v>
      </c>
    </row>
    <row r="156" spans="2:15" x14ac:dyDescent="0.25">
      <c r="B156" s="65">
        <v>113</v>
      </c>
      <c r="C156" s="66"/>
      <c r="D156" s="6">
        <v>326</v>
      </c>
      <c r="E156" s="6">
        <v>195</v>
      </c>
      <c r="F156" s="6">
        <v>255</v>
      </c>
      <c r="G156" s="6">
        <v>427</v>
      </c>
      <c r="H156" s="6">
        <v>817</v>
      </c>
      <c r="I156" s="6">
        <v>1022</v>
      </c>
      <c r="J156" s="6">
        <v>320</v>
      </c>
      <c r="K156" s="6">
        <v>285</v>
      </c>
      <c r="L156" s="6">
        <v>400</v>
      </c>
      <c r="M156" s="6">
        <v>401</v>
      </c>
      <c r="N156" s="6">
        <v>287</v>
      </c>
      <c r="O156" s="68">
        <v>223</v>
      </c>
    </row>
    <row r="157" spans="2:15" x14ac:dyDescent="0.25">
      <c r="B157" s="65">
        <v>114</v>
      </c>
      <c r="C157" s="66"/>
      <c r="D157" s="6">
        <v>364</v>
      </c>
      <c r="E157" s="6">
        <v>210</v>
      </c>
      <c r="F157" s="6">
        <v>309</v>
      </c>
      <c r="G157" s="6">
        <v>490</v>
      </c>
      <c r="H157" s="6">
        <v>1007</v>
      </c>
      <c r="I157" s="6">
        <v>1184</v>
      </c>
      <c r="J157" s="6">
        <v>407</v>
      </c>
      <c r="K157" s="6">
        <v>352</v>
      </c>
      <c r="L157" s="6">
        <v>486</v>
      </c>
      <c r="M157" s="6">
        <v>485</v>
      </c>
      <c r="N157" s="6">
        <v>343</v>
      </c>
      <c r="O157" s="68">
        <v>269</v>
      </c>
    </row>
    <row r="158" spans="2:15" x14ac:dyDescent="0.25">
      <c r="B158" s="65">
        <v>115</v>
      </c>
      <c r="C158" s="66"/>
      <c r="D158" s="6">
        <v>33</v>
      </c>
      <c r="E158" s="6">
        <v>28</v>
      </c>
      <c r="F158" s="6">
        <v>27</v>
      </c>
      <c r="G158" s="6">
        <v>24</v>
      </c>
      <c r="H158" s="6">
        <v>20</v>
      </c>
      <c r="I158" s="6">
        <v>29</v>
      </c>
      <c r="J158" s="6">
        <v>15</v>
      </c>
      <c r="K158" s="6">
        <v>12</v>
      </c>
      <c r="L158" s="6">
        <v>18</v>
      </c>
      <c r="M158" s="6">
        <v>20</v>
      </c>
      <c r="N158" s="6">
        <v>19</v>
      </c>
      <c r="O158" s="68">
        <v>21</v>
      </c>
    </row>
    <row r="159" spans="2:15" x14ac:dyDescent="0.25">
      <c r="B159" s="65">
        <v>116</v>
      </c>
      <c r="C159" s="66"/>
      <c r="D159" s="6">
        <v>8</v>
      </c>
      <c r="E159" s="6">
        <v>4</v>
      </c>
      <c r="F159" s="6">
        <v>6</v>
      </c>
      <c r="G159" s="6">
        <v>6</v>
      </c>
      <c r="H159" s="6">
        <v>6</v>
      </c>
      <c r="I159" s="6">
        <v>4</v>
      </c>
      <c r="J159" s="6">
        <v>3</v>
      </c>
      <c r="K159" s="6">
        <v>3</v>
      </c>
      <c r="L159" s="6">
        <v>3</v>
      </c>
      <c r="M159" s="6">
        <v>3</v>
      </c>
      <c r="N159" s="6">
        <v>3</v>
      </c>
      <c r="O159" s="68">
        <v>5</v>
      </c>
    </row>
    <row r="160" spans="2:15" x14ac:dyDescent="0.25">
      <c r="B160" s="65">
        <v>117</v>
      </c>
      <c r="C160" s="66"/>
      <c r="D160" s="6">
        <v>38</v>
      </c>
      <c r="E160" s="6">
        <v>23</v>
      </c>
      <c r="F160" s="6">
        <v>26</v>
      </c>
      <c r="G160" s="6">
        <v>24</v>
      </c>
      <c r="H160" s="6">
        <v>25</v>
      </c>
      <c r="I160" s="6">
        <v>24</v>
      </c>
      <c r="J160" s="6">
        <v>15</v>
      </c>
      <c r="K160" s="6">
        <v>13</v>
      </c>
      <c r="L160" s="6">
        <v>9</v>
      </c>
      <c r="M160" s="6">
        <v>11</v>
      </c>
      <c r="N160" s="6">
        <v>11</v>
      </c>
      <c r="O160" s="68">
        <v>15</v>
      </c>
    </row>
    <row r="161" spans="2:15" x14ac:dyDescent="0.25">
      <c r="B161" s="65">
        <v>118</v>
      </c>
      <c r="C161" s="66"/>
      <c r="D161" s="6">
        <v>35</v>
      </c>
      <c r="E161" s="6">
        <v>16</v>
      </c>
      <c r="F161" s="6">
        <v>28</v>
      </c>
      <c r="G161" s="6">
        <v>29</v>
      </c>
      <c r="H161" s="6">
        <v>24</v>
      </c>
      <c r="I161" s="6">
        <v>20</v>
      </c>
      <c r="J161" s="6">
        <v>15</v>
      </c>
      <c r="K161" s="6">
        <v>13</v>
      </c>
      <c r="L161" s="6">
        <v>12</v>
      </c>
      <c r="M161" s="6">
        <v>15</v>
      </c>
      <c r="N161" s="6">
        <v>15</v>
      </c>
      <c r="O161" s="68">
        <v>21</v>
      </c>
    </row>
    <row r="162" spans="2:15" x14ac:dyDescent="0.25">
      <c r="B162" s="65">
        <v>119</v>
      </c>
      <c r="C162" s="66"/>
      <c r="D162" s="6">
        <v>43</v>
      </c>
      <c r="E162" s="6">
        <v>20</v>
      </c>
      <c r="F162" s="6">
        <v>34</v>
      </c>
      <c r="G162" s="6">
        <v>35</v>
      </c>
      <c r="H162" s="6">
        <v>30</v>
      </c>
      <c r="I162" s="6">
        <v>24</v>
      </c>
      <c r="J162" s="6">
        <v>18</v>
      </c>
      <c r="K162" s="6">
        <v>16</v>
      </c>
      <c r="L162" s="6">
        <v>15</v>
      </c>
      <c r="M162" s="6">
        <v>19</v>
      </c>
      <c r="N162" s="6">
        <v>19</v>
      </c>
      <c r="O162" s="68">
        <v>25</v>
      </c>
    </row>
    <row r="163" spans="2:15" x14ac:dyDescent="0.25">
      <c r="B163" s="65">
        <v>120</v>
      </c>
      <c r="C163" s="66"/>
      <c r="D163" s="6">
        <v>46</v>
      </c>
      <c r="E163" s="6">
        <v>21</v>
      </c>
      <c r="F163" s="6">
        <v>31</v>
      </c>
      <c r="G163" s="6">
        <v>18</v>
      </c>
      <c r="H163" s="6">
        <v>24</v>
      </c>
      <c r="I163" s="6">
        <v>17</v>
      </c>
      <c r="J163" s="6">
        <v>12</v>
      </c>
      <c r="K163" s="6">
        <v>12</v>
      </c>
      <c r="L163" s="6">
        <v>18</v>
      </c>
      <c r="M163" s="6">
        <v>20</v>
      </c>
      <c r="N163" s="6">
        <v>23</v>
      </c>
      <c r="O163" s="68">
        <v>34</v>
      </c>
    </row>
    <row r="164" spans="2:15" x14ac:dyDescent="0.25">
      <c r="B164" s="65">
        <v>121</v>
      </c>
      <c r="C164" s="66"/>
      <c r="D164" s="6">
        <v>106</v>
      </c>
      <c r="E164" s="6">
        <v>56</v>
      </c>
      <c r="F164" s="6">
        <v>91</v>
      </c>
      <c r="G164" s="6">
        <v>49</v>
      </c>
      <c r="H164" s="6">
        <v>50</v>
      </c>
      <c r="I164" s="6">
        <v>43</v>
      </c>
      <c r="J164" s="6">
        <v>33</v>
      </c>
      <c r="K164" s="6">
        <v>33</v>
      </c>
      <c r="L164" s="6">
        <v>45</v>
      </c>
      <c r="M164" s="6">
        <v>51</v>
      </c>
      <c r="N164" s="6">
        <v>58</v>
      </c>
      <c r="O164" s="68">
        <v>79</v>
      </c>
    </row>
    <row r="165" spans="2:15" x14ac:dyDescent="0.25">
      <c r="B165" s="65">
        <v>122</v>
      </c>
      <c r="C165" s="66"/>
      <c r="D165" s="6">
        <v>124</v>
      </c>
      <c r="E165" s="6">
        <v>66</v>
      </c>
      <c r="F165" s="6">
        <v>108</v>
      </c>
      <c r="G165" s="6">
        <v>57</v>
      </c>
      <c r="H165" s="6">
        <v>58</v>
      </c>
      <c r="I165" s="6">
        <v>49</v>
      </c>
      <c r="J165" s="6">
        <v>39</v>
      </c>
      <c r="K165" s="6">
        <v>39</v>
      </c>
      <c r="L165" s="6">
        <v>51</v>
      </c>
      <c r="M165" s="6">
        <v>58</v>
      </c>
      <c r="N165" s="6">
        <v>66</v>
      </c>
      <c r="O165" s="68">
        <v>90</v>
      </c>
    </row>
    <row r="166" spans="2:15" x14ac:dyDescent="0.25">
      <c r="B166" s="65">
        <v>123</v>
      </c>
      <c r="C166" s="66"/>
      <c r="D166" s="6">
        <v>355</v>
      </c>
      <c r="E166" s="6">
        <v>202</v>
      </c>
      <c r="F166" s="6">
        <v>313</v>
      </c>
      <c r="G166" s="6">
        <v>152</v>
      </c>
      <c r="H166" s="6">
        <v>166</v>
      </c>
      <c r="I166" s="6">
        <v>128</v>
      </c>
      <c r="J166" s="6">
        <v>90</v>
      </c>
      <c r="K166" s="6">
        <v>90</v>
      </c>
      <c r="L166" s="6">
        <v>125</v>
      </c>
      <c r="M166" s="6">
        <v>148</v>
      </c>
      <c r="N166" s="6">
        <v>185</v>
      </c>
      <c r="O166" s="68">
        <v>269</v>
      </c>
    </row>
    <row r="167" spans="2:15" x14ac:dyDescent="0.25">
      <c r="B167" s="65">
        <v>124</v>
      </c>
      <c r="C167" s="66"/>
      <c r="D167" s="6">
        <v>0</v>
      </c>
      <c r="E167" s="6">
        <v>0</v>
      </c>
      <c r="F167" s="6">
        <v>0</v>
      </c>
      <c r="G167" s="6">
        <v>0</v>
      </c>
      <c r="H167" s="6">
        <v>0</v>
      </c>
      <c r="I167" s="6">
        <v>0</v>
      </c>
      <c r="J167" s="6">
        <v>0</v>
      </c>
      <c r="K167" s="6">
        <v>0</v>
      </c>
      <c r="L167" s="6">
        <v>0</v>
      </c>
      <c r="M167" s="6">
        <v>0</v>
      </c>
      <c r="N167" s="6">
        <v>0</v>
      </c>
      <c r="O167" s="68">
        <v>0</v>
      </c>
    </row>
    <row r="168" spans="2:15" x14ac:dyDescent="0.25">
      <c r="B168" s="65">
        <v>125</v>
      </c>
      <c r="C168" s="66"/>
      <c r="D168" s="6">
        <v>463</v>
      </c>
      <c r="E168" s="6">
        <v>256</v>
      </c>
      <c r="F168" s="6">
        <v>377</v>
      </c>
      <c r="G168" s="6">
        <v>188</v>
      </c>
      <c r="H168" s="6">
        <v>200</v>
      </c>
      <c r="I168" s="6">
        <v>157</v>
      </c>
      <c r="J168" s="6">
        <v>118</v>
      </c>
      <c r="K168" s="6">
        <v>117</v>
      </c>
      <c r="L168" s="6">
        <v>154</v>
      </c>
      <c r="M168" s="6">
        <v>184</v>
      </c>
      <c r="N168" s="6">
        <v>240</v>
      </c>
      <c r="O168" s="68">
        <v>351</v>
      </c>
    </row>
    <row r="169" spans="2:15" x14ac:dyDescent="0.25">
      <c r="B169" s="65">
        <v>126</v>
      </c>
      <c r="C169" s="66"/>
      <c r="D169" s="6">
        <v>340</v>
      </c>
      <c r="E169" s="6">
        <v>234</v>
      </c>
      <c r="F169" s="6">
        <v>340</v>
      </c>
      <c r="G169" s="6">
        <v>147</v>
      </c>
      <c r="H169" s="6">
        <v>133</v>
      </c>
      <c r="I169" s="6">
        <v>89</v>
      </c>
      <c r="J169" s="6">
        <v>75</v>
      </c>
      <c r="K169" s="6">
        <v>57</v>
      </c>
      <c r="L169" s="6">
        <v>93</v>
      </c>
      <c r="M169" s="6">
        <v>127</v>
      </c>
      <c r="N169" s="6">
        <v>210</v>
      </c>
      <c r="O169" s="68">
        <v>303</v>
      </c>
    </row>
    <row r="170" spans="2:15" x14ac:dyDescent="0.25">
      <c r="B170" s="65">
        <v>127</v>
      </c>
      <c r="C170" s="66"/>
      <c r="D170" s="6">
        <v>569</v>
      </c>
      <c r="E170" s="6">
        <v>324</v>
      </c>
      <c r="F170" s="6">
        <v>430</v>
      </c>
      <c r="G170" s="6">
        <v>237</v>
      </c>
      <c r="H170" s="6">
        <v>223</v>
      </c>
      <c r="I170" s="6">
        <v>179</v>
      </c>
      <c r="J170" s="6">
        <v>165</v>
      </c>
      <c r="K170" s="6">
        <v>147</v>
      </c>
      <c r="L170" s="6">
        <v>186</v>
      </c>
      <c r="M170" s="6">
        <v>219</v>
      </c>
      <c r="N170" s="6">
        <v>313</v>
      </c>
      <c r="O170" s="68">
        <v>515</v>
      </c>
    </row>
    <row r="171" spans="2:15" x14ac:dyDescent="0.25">
      <c r="B171" s="65">
        <v>128</v>
      </c>
      <c r="C171" s="66"/>
      <c r="D171" s="6">
        <v>0</v>
      </c>
      <c r="E171" s="6">
        <v>0</v>
      </c>
      <c r="F171" s="6">
        <v>0</v>
      </c>
      <c r="G171" s="6">
        <v>0</v>
      </c>
      <c r="H171" s="6">
        <v>0</v>
      </c>
      <c r="I171" s="6">
        <v>0</v>
      </c>
      <c r="J171" s="6">
        <v>0</v>
      </c>
      <c r="K171" s="6">
        <v>0</v>
      </c>
      <c r="L171" s="6">
        <v>0</v>
      </c>
      <c r="M171" s="6">
        <v>0</v>
      </c>
      <c r="N171" s="6">
        <v>0</v>
      </c>
      <c r="O171" s="68">
        <v>0</v>
      </c>
    </row>
    <row r="172" spans="2:15" x14ac:dyDescent="0.25">
      <c r="B172" s="65">
        <v>129</v>
      </c>
      <c r="C172" s="66"/>
      <c r="D172" s="6">
        <v>748</v>
      </c>
      <c r="E172" s="6">
        <v>494</v>
      </c>
      <c r="F172" s="6">
        <v>607</v>
      </c>
      <c r="G172" s="6">
        <v>371</v>
      </c>
      <c r="H172" s="6">
        <v>354</v>
      </c>
      <c r="I172" s="6">
        <v>288</v>
      </c>
      <c r="J172" s="6">
        <v>248</v>
      </c>
      <c r="K172" s="6">
        <v>229</v>
      </c>
      <c r="L172" s="6">
        <v>290</v>
      </c>
      <c r="M172" s="6">
        <v>342</v>
      </c>
      <c r="N172" s="6">
        <v>467</v>
      </c>
      <c r="O172" s="68">
        <v>699</v>
      </c>
    </row>
    <row r="173" spans="2:15" x14ac:dyDescent="0.25">
      <c r="B173" s="65">
        <v>130</v>
      </c>
      <c r="C173" s="66"/>
      <c r="D173" s="6">
        <v>823</v>
      </c>
      <c r="E173" s="6">
        <v>563</v>
      </c>
      <c r="F173" s="6">
        <v>659</v>
      </c>
      <c r="G173" s="6">
        <v>407</v>
      </c>
      <c r="H173" s="6">
        <v>398</v>
      </c>
      <c r="I173" s="6">
        <v>319</v>
      </c>
      <c r="J173" s="6">
        <v>256</v>
      </c>
      <c r="K173" s="6">
        <v>237</v>
      </c>
      <c r="L173" s="6">
        <v>319</v>
      </c>
      <c r="M173" s="6">
        <v>379</v>
      </c>
      <c r="N173" s="6">
        <v>517</v>
      </c>
      <c r="O173" s="68">
        <v>781</v>
      </c>
    </row>
    <row r="174" spans="2:15" x14ac:dyDescent="0.25">
      <c r="B174" s="65">
        <v>131</v>
      </c>
      <c r="C174" s="66"/>
      <c r="D174" s="6">
        <v>144</v>
      </c>
      <c r="E174" s="6">
        <v>144</v>
      </c>
      <c r="F174" s="6">
        <v>144</v>
      </c>
      <c r="G174" s="6">
        <v>123</v>
      </c>
      <c r="H174" s="6">
        <v>123</v>
      </c>
      <c r="I174" s="6">
        <v>102</v>
      </c>
      <c r="J174" s="6">
        <v>77</v>
      </c>
      <c r="K174" s="6">
        <v>76</v>
      </c>
      <c r="L174" s="6">
        <v>96</v>
      </c>
      <c r="M174" s="6">
        <v>111</v>
      </c>
      <c r="N174" s="6">
        <v>130</v>
      </c>
      <c r="O174" s="68">
        <v>141</v>
      </c>
    </row>
    <row r="175" spans="2:15" x14ac:dyDescent="0.25">
      <c r="B175" s="65">
        <v>132</v>
      </c>
      <c r="C175" s="66"/>
      <c r="D175" s="6">
        <v>18</v>
      </c>
      <c r="E175" s="6">
        <v>10</v>
      </c>
      <c r="F175" s="6">
        <v>17</v>
      </c>
      <c r="G175" s="6">
        <v>15</v>
      </c>
      <c r="H175" s="6">
        <v>11</v>
      </c>
      <c r="I175" s="6">
        <v>10</v>
      </c>
      <c r="J175" s="6">
        <v>8</v>
      </c>
      <c r="K175" s="6">
        <v>8</v>
      </c>
      <c r="L175" s="6">
        <v>9</v>
      </c>
      <c r="M175" s="6">
        <v>11</v>
      </c>
      <c r="N175" s="6">
        <v>16</v>
      </c>
      <c r="O175" s="68">
        <v>25</v>
      </c>
    </row>
    <row r="176" spans="2:15" x14ac:dyDescent="0.25">
      <c r="B176" s="65">
        <v>133</v>
      </c>
      <c r="C176" s="66"/>
      <c r="D176" s="6">
        <v>0</v>
      </c>
      <c r="E176" s="6">
        <v>0</v>
      </c>
      <c r="F176" s="6">
        <v>0</v>
      </c>
      <c r="G176" s="6">
        <v>0</v>
      </c>
      <c r="H176" s="6">
        <v>0</v>
      </c>
      <c r="I176" s="6">
        <v>0</v>
      </c>
      <c r="J176" s="6">
        <v>0</v>
      </c>
      <c r="K176" s="6">
        <v>0</v>
      </c>
      <c r="L176" s="6">
        <v>0</v>
      </c>
      <c r="M176" s="6">
        <v>0</v>
      </c>
      <c r="N176" s="6">
        <v>0</v>
      </c>
      <c r="O176" s="68">
        <v>0</v>
      </c>
    </row>
    <row r="177" spans="2:15" x14ac:dyDescent="0.25">
      <c r="B177" s="65">
        <v>134</v>
      </c>
      <c r="C177" s="66"/>
      <c r="D177" s="6">
        <v>62</v>
      </c>
      <c r="E177" s="6">
        <v>88</v>
      </c>
      <c r="F177" s="6">
        <v>77</v>
      </c>
      <c r="G177" s="6">
        <v>51</v>
      </c>
      <c r="H177" s="6">
        <v>57</v>
      </c>
      <c r="I177" s="6">
        <v>39</v>
      </c>
      <c r="J177" s="6">
        <v>31</v>
      </c>
      <c r="K177" s="6">
        <v>26</v>
      </c>
      <c r="L177" s="6">
        <v>67</v>
      </c>
      <c r="M177" s="6">
        <v>85</v>
      </c>
      <c r="N177" s="6">
        <v>160</v>
      </c>
      <c r="O177" s="68">
        <v>254</v>
      </c>
    </row>
    <row r="178" spans="2:15" x14ac:dyDescent="0.25">
      <c r="B178" s="65">
        <v>135</v>
      </c>
      <c r="C178" s="66"/>
      <c r="D178" s="6">
        <v>0</v>
      </c>
      <c r="E178" s="6">
        <v>0</v>
      </c>
      <c r="F178" s="6">
        <v>0</v>
      </c>
      <c r="G178" s="6">
        <v>0</v>
      </c>
      <c r="H178" s="6">
        <v>0</v>
      </c>
      <c r="I178" s="6">
        <v>0</v>
      </c>
      <c r="J178" s="6">
        <v>0</v>
      </c>
      <c r="K178" s="6">
        <v>0</v>
      </c>
      <c r="L178" s="6">
        <v>0</v>
      </c>
      <c r="M178" s="6">
        <v>0</v>
      </c>
      <c r="N178" s="6">
        <v>0</v>
      </c>
      <c r="O178" s="68">
        <v>0</v>
      </c>
    </row>
    <row r="179" spans="2:15" x14ac:dyDescent="0.25">
      <c r="B179" s="65">
        <v>136</v>
      </c>
      <c r="C179" s="66"/>
      <c r="D179" s="6">
        <v>0</v>
      </c>
      <c r="E179" s="6">
        <v>0</v>
      </c>
      <c r="F179" s="6">
        <v>0</v>
      </c>
      <c r="G179" s="6">
        <v>0</v>
      </c>
      <c r="H179" s="6">
        <v>0</v>
      </c>
      <c r="I179" s="6">
        <v>0</v>
      </c>
      <c r="J179" s="6">
        <v>0</v>
      </c>
      <c r="K179" s="6">
        <v>0</v>
      </c>
      <c r="L179" s="6">
        <v>0</v>
      </c>
      <c r="M179" s="6">
        <v>0</v>
      </c>
      <c r="N179" s="6">
        <v>0</v>
      </c>
      <c r="O179" s="68">
        <v>0</v>
      </c>
    </row>
    <row r="180" spans="2:15" x14ac:dyDescent="0.25">
      <c r="B180" s="65">
        <v>137</v>
      </c>
      <c r="C180" s="66"/>
      <c r="D180" s="6">
        <v>0</v>
      </c>
      <c r="E180" s="6">
        <v>0</v>
      </c>
      <c r="F180" s="6">
        <v>0</v>
      </c>
      <c r="G180" s="6">
        <v>0</v>
      </c>
      <c r="H180" s="6">
        <v>0</v>
      </c>
      <c r="I180" s="6">
        <v>0</v>
      </c>
      <c r="J180" s="6">
        <v>0</v>
      </c>
      <c r="K180" s="6">
        <v>0</v>
      </c>
      <c r="L180" s="6">
        <v>0</v>
      </c>
      <c r="M180" s="6">
        <v>0</v>
      </c>
      <c r="N180" s="6">
        <v>0</v>
      </c>
      <c r="O180" s="68">
        <v>0</v>
      </c>
    </row>
    <row r="181" spans="2:15" x14ac:dyDescent="0.25">
      <c r="B181" s="65">
        <v>138</v>
      </c>
      <c r="C181" s="66"/>
      <c r="D181" s="6">
        <v>0</v>
      </c>
      <c r="E181" s="6">
        <v>0</v>
      </c>
      <c r="F181" s="6">
        <v>0</v>
      </c>
      <c r="G181" s="6">
        <v>0</v>
      </c>
      <c r="H181" s="6">
        <v>0</v>
      </c>
      <c r="I181" s="6">
        <v>0</v>
      </c>
      <c r="J181" s="6">
        <v>0</v>
      </c>
      <c r="K181" s="6">
        <v>0</v>
      </c>
      <c r="L181" s="6">
        <v>0</v>
      </c>
      <c r="M181" s="6">
        <v>0</v>
      </c>
      <c r="N181" s="6">
        <v>0</v>
      </c>
      <c r="O181" s="68">
        <v>0</v>
      </c>
    </row>
    <row r="182" spans="2:15" x14ac:dyDescent="0.25">
      <c r="B182" s="65">
        <v>139</v>
      </c>
      <c r="C182" s="66"/>
      <c r="D182" s="6">
        <v>0</v>
      </c>
      <c r="E182" s="6">
        <v>0</v>
      </c>
      <c r="F182" s="6">
        <v>0</v>
      </c>
      <c r="G182" s="6">
        <v>0</v>
      </c>
      <c r="H182" s="6">
        <v>0</v>
      </c>
      <c r="I182" s="6">
        <v>0</v>
      </c>
      <c r="J182" s="6">
        <v>0</v>
      </c>
      <c r="K182" s="6">
        <v>0</v>
      </c>
      <c r="L182" s="6">
        <v>0</v>
      </c>
      <c r="M182" s="6">
        <v>0</v>
      </c>
      <c r="N182" s="6">
        <v>0</v>
      </c>
      <c r="O182" s="68">
        <v>0</v>
      </c>
    </row>
    <row r="183" spans="2:15" x14ac:dyDescent="0.25">
      <c r="B183" s="65">
        <v>140</v>
      </c>
      <c r="C183" s="66"/>
      <c r="D183" s="6">
        <v>0</v>
      </c>
      <c r="E183" s="6">
        <v>0</v>
      </c>
      <c r="F183" s="6">
        <v>0</v>
      </c>
      <c r="G183" s="6">
        <v>0</v>
      </c>
      <c r="H183" s="6">
        <v>0</v>
      </c>
      <c r="I183" s="6">
        <v>0</v>
      </c>
      <c r="J183" s="6">
        <v>0</v>
      </c>
      <c r="K183" s="6">
        <v>0</v>
      </c>
      <c r="L183" s="6">
        <v>0</v>
      </c>
      <c r="M183" s="6">
        <v>0</v>
      </c>
      <c r="N183" s="6">
        <v>0</v>
      </c>
      <c r="O183" s="68">
        <v>0</v>
      </c>
    </row>
    <row r="184" spans="2:15" x14ac:dyDescent="0.25">
      <c r="B184" s="65">
        <v>141</v>
      </c>
      <c r="C184" s="66"/>
      <c r="D184" s="6">
        <v>252</v>
      </c>
      <c r="E184" s="6">
        <v>303</v>
      </c>
      <c r="F184" s="6">
        <v>245</v>
      </c>
      <c r="G184" s="6">
        <v>182</v>
      </c>
      <c r="H184" s="6">
        <v>184</v>
      </c>
      <c r="I184" s="6">
        <v>153</v>
      </c>
      <c r="J184" s="6">
        <v>165</v>
      </c>
      <c r="K184" s="6">
        <v>157</v>
      </c>
      <c r="L184" s="6">
        <v>288</v>
      </c>
      <c r="M184" s="6">
        <v>346</v>
      </c>
      <c r="N184" s="6">
        <v>556</v>
      </c>
      <c r="O184" s="68">
        <v>898</v>
      </c>
    </row>
    <row r="185" spans="2:15" x14ac:dyDescent="0.25">
      <c r="B185" s="65">
        <v>142</v>
      </c>
      <c r="C185" s="66"/>
      <c r="D185" s="6">
        <v>0</v>
      </c>
      <c r="E185" s="6">
        <v>0</v>
      </c>
      <c r="F185" s="6">
        <v>0</v>
      </c>
      <c r="G185" s="6">
        <v>0</v>
      </c>
      <c r="H185" s="6">
        <v>0</v>
      </c>
      <c r="I185" s="6">
        <v>0</v>
      </c>
      <c r="J185" s="6">
        <v>0</v>
      </c>
      <c r="K185" s="6">
        <v>0</v>
      </c>
      <c r="L185" s="6">
        <v>0</v>
      </c>
      <c r="M185" s="6">
        <v>0</v>
      </c>
      <c r="N185" s="6">
        <v>0</v>
      </c>
      <c r="O185" s="68">
        <v>0</v>
      </c>
    </row>
    <row r="186" spans="2:15" x14ac:dyDescent="0.25">
      <c r="B186" s="65">
        <v>143</v>
      </c>
      <c r="C186" s="66"/>
      <c r="D186" s="6">
        <v>0</v>
      </c>
      <c r="E186" s="6">
        <v>0</v>
      </c>
      <c r="F186" s="6">
        <v>0</v>
      </c>
      <c r="G186" s="6">
        <v>0</v>
      </c>
      <c r="H186" s="6">
        <v>0</v>
      </c>
      <c r="I186" s="6">
        <v>0</v>
      </c>
      <c r="J186" s="6">
        <v>0</v>
      </c>
      <c r="K186" s="6">
        <v>0</v>
      </c>
      <c r="L186" s="6">
        <v>0</v>
      </c>
      <c r="M186" s="6">
        <v>0</v>
      </c>
      <c r="N186" s="6">
        <v>0</v>
      </c>
      <c r="O186" s="68">
        <v>0</v>
      </c>
    </row>
    <row r="187" spans="2:15" x14ac:dyDescent="0.25">
      <c r="B187" s="65">
        <v>144</v>
      </c>
      <c r="C187" s="66"/>
      <c r="D187" s="6">
        <v>390</v>
      </c>
      <c r="E187" s="6">
        <v>503</v>
      </c>
      <c r="F187" s="6">
        <v>360</v>
      </c>
      <c r="G187" s="6">
        <v>297</v>
      </c>
      <c r="H187" s="6">
        <v>283</v>
      </c>
      <c r="I187" s="6">
        <v>222</v>
      </c>
      <c r="J187" s="6">
        <v>168</v>
      </c>
      <c r="K187" s="6">
        <v>156</v>
      </c>
      <c r="L187" s="6">
        <v>447</v>
      </c>
      <c r="M187" s="6">
        <v>561</v>
      </c>
      <c r="N187" s="6">
        <v>959</v>
      </c>
      <c r="O187" s="68">
        <v>1625</v>
      </c>
    </row>
    <row r="188" spans="2:15" x14ac:dyDescent="0.25">
      <c r="B188" s="65">
        <v>145</v>
      </c>
      <c r="C188" s="66"/>
      <c r="D188" s="6">
        <v>120</v>
      </c>
      <c r="E188" s="6">
        <v>138</v>
      </c>
      <c r="F188" s="6">
        <v>142</v>
      </c>
      <c r="G188" s="6">
        <v>119</v>
      </c>
      <c r="H188" s="6">
        <v>95</v>
      </c>
      <c r="I188" s="6">
        <v>73</v>
      </c>
      <c r="J188" s="6">
        <v>58</v>
      </c>
      <c r="K188" s="6">
        <v>51</v>
      </c>
      <c r="L188" s="6">
        <v>53</v>
      </c>
      <c r="M188" s="6">
        <v>57</v>
      </c>
      <c r="N188" s="6">
        <v>66</v>
      </c>
      <c r="O188" s="68">
        <v>88</v>
      </c>
    </row>
    <row r="189" spans="2:15" x14ac:dyDescent="0.25">
      <c r="B189" s="65">
        <v>146</v>
      </c>
      <c r="C189" s="66"/>
      <c r="D189" s="6">
        <v>0</v>
      </c>
      <c r="E189" s="6">
        <v>0</v>
      </c>
      <c r="F189" s="6">
        <v>0</v>
      </c>
      <c r="G189" s="6">
        <v>0</v>
      </c>
      <c r="H189" s="6">
        <v>0</v>
      </c>
      <c r="I189" s="6">
        <v>0</v>
      </c>
      <c r="J189" s="6">
        <v>0</v>
      </c>
      <c r="K189" s="6">
        <v>0</v>
      </c>
      <c r="L189" s="6">
        <v>0</v>
      </c>
      <c r="M189" s="6">
        <v>0</v>
      </c>
      <c r="N189" s="6">
        <v>0</v>
      </c>
      <c r="O189" s="68">
        <v>0</v>
      </c>
    </row>
    <row r="190" spans="2:15" x14ac:dyDescent="0.25">
      <c r="B190" s="65">
        <v>147</v>
      </c>
      <c r="C190" s="66"/>
      <c r="D190" s="6">
        <v>0</v>
      </c>
      <c r="E190" s="6">
        <v>0</v>
      </c>
      <c r="F190" s="6">
        <v>0</v>
      </c>
      <c r="G190" s="6">
        <v>0</v>
      </c>
      <c r="H190" s="6">
        <v>0</v>
      </c>
      <c r="I190" s="6">
        <v>0</v>
      </c>
      <c r="J190" s="6">
        <v>0</v>
      </c>
      <c r="K190" s="6">
        <v>0</v>
      </c>
      <c r="L190" s="6">
        <v>0</v>
      </c>
      <c r="M190" s="6">
        <v>0</v>
      </c>
      <c r="N190" s="6">
        <v>0</v>
      </c>
      <c r="O190" s="68">
        <v>0</v>
      </c>
    </row>
    <row r="191" spans="2:15" x14ac:dyDescent="0.25">
      <c r="B191" s="65">
        <v>148</v>
      </c>
      <c r="C191" s="66"/>
      <c r="D191" s="6">
        <v>344</v>
      </c>
      <c r="E191" s="6">
        <v>436</v>
      </c>
      <c r="F191" s="6">
        <v>321</v>
      </c>
      <c r="G191" s="6">
        <v>258</v>
      </c>
      <c r="H191" s="6">
        <v>250</v>
      </c>
      <c r="I191" s="6">
        <v>198</v>
      </c>
      <c r="J191" s="6">
        <v>153</v>
      </c>
      <c r="K191" s="6">
        <v>144</v>
      </c>
      <c r="L191" s="6">
        <v>390</v>
      </c>
      <c r="M191" s="6">
        <v>487</v>
      </c>
      <c r="N191" s="6">
        <v>826</v>
      </c>
      <c r="O191" s="68">
        <v>1394</v>
      </c>
    </row>
    <row r="192" spans="2:15" x14ac:dyDescent="0.25">
      <c r="B192" s="65">
        <v>149</v>
      </c>
      <c r="C192" s="66"/>
      <c r="D192" s="6">
        <v>80</v>
      </c>
      <c r="E192" s="6">
        <v>78</v>
      </c>
      <c r="F192" s="6">
        <v>74</v>
      </c>
      <c r="G192" s="6">
        <v>54</v>
      </c>
      <c r="H192" s="6">
        <v>55</v>
      </c>
      <c r="I192" s="6">
        <v>57</v>
      </c>
      <c r="J192" s="6">
        <v>48</v>
      </c>
      <c r="K192" s="6">
        <v>46</v>
      </c>
      <c r="L192" s="6">
        <v>84</v>
      </c>
      <c r="M192" s="6">
        <v>99</v>
      </c>
      <c r="N192" s="6">
        <v>145</v>
      </c>
      <c r="O192" s="68">
        <v>228</v>
      </c>
    </row>
    <row r="193" spans="2:15" x14ac:dyDescent="0.25">
      <c r="B193" s="65">
        <v>150</v>
      </c>
      <c r="C193" s="66"/>
      <c r="D193" s="6">
        <v>0</v>
      </c>
      <c r="E193" s="6">
        <v>0</v>
      </c>
      <c r="F193" s="6">
        <v>0</v>
      </c>
      <c r="G193" s="6">
        <v>0</v>
      </c>
      <c r="H193" s="6">
        <v>0</v>
      </c>
      <c r="I193" s="6">
        <v>0</v>
      </c>
      <c r="J193" s="6">
        <v>0</v>
      </c>
      <c r="K193" s="6">
        <v>0</v>
      </c>
      <c r="L193" s="6">
        <v>0</v>
      </c>
      <c r="M193" s="6">
        <v>0</v>
      </c>
      <c r="N193" s="6">
        <v>0</v>
      </c>
      <c r="O193" s="68">
        <v>0</v>
      </c>
    </row>
    <row r="194" spans="2:15" x14ac:dyDescent="0.25">
      <c r="B194" s="65">
        <v>151</v>
      </c>
      <c r="C194" s="66"/>
      <c r="D194" s="6">
        <v>0</v>
      </c>
      <c r="E194" s="6">
        <v>0</v>
      </c>
      <c r="F194" s="6">
        <v>0</v>
      </c>
      <c r="G194" s="6">
        <v>0</v>
      </c>
      <c r="H194" s="6">
        <v>0</v>
      </c>
      <c r="I194" s="6">
        <v>0</v>
      </c>
      <c r="J194" s="6">
        <v>0</v>
      </c>
      <c r="K194" s="6">
        <v>0</v>
      </c>
      <c r="L194" s="6">
        <v>0</v>
      </c>
      <c r="M194" s="6">
        <v>0</v>
      </c>
      <c r="N194" s="6">
        <v>0</v>
      </c>
      <c r="O194" s="68">
        <v>0</v>
      </c>
    </row>
    <row r="195" spans="2:15" x14ac:dyDescent="0.25">
      <c r="B195" s="65">
        <v>152</v>
      </c>
      <c r="C195" s="66"/>
      <c r="D195" s="6">
        <v>0</v>
      </c>
      <c r="E195" s="6">
        <v>0</v>
      </c>
      <c r="F195" s="6">
        <v>0</v>
      </c>
      <c r="G195" s="6">
        <v>0</v>
      </c>
      <c r="H195" s="6">
        <v>0</v>
      </c>
      <c r="I195" s="6">
        <v>0</v>
      </c>
      <c r="J195" s="6">
        <v>0</v>
      </c>
      <c r="K195" s="6">
        <v>0</v>
      </c>
      <c r="L195" s="6">
        <v>0</v>
      </c>
      <c r="M195" s="6">
        <v>0</v>
      </c>
      <c r="N195" s="6">
        <v>0</v>
      </c>
      <c r="O195" s="68">
        <v>0</v>
      </c>
    </row>
    <row r="196" spans="2:15" x14ac:dyDescent="0.25">
      <c r="B196" s="65">
        <v>153</v>
      </c>
      <c r="C196" s="66"/>
      <c r="D196" s="6">
        <v>0</v>
      </c>
      <c r="E196" s="6">
        <v>0</v>
      </c>
      <c r="F196" s="6">
        <v>0</v>
      </c>
      <c r="G196" s="6">
        <v>0</v>
      </c>
      <c r="H196" s="6">
        <v>0</v>
      </c>
      <c r="I196" s="6">
        <v>0</v>
      </c>
      <c r="J196" s="6">
        <v>0</v>
      </c>
      <c r="K196" s="6">
        <v>0</v>
      </c>
      <c r="L196" s="6">
        <v>0</v>
      </c>
      <c r="M196" s="6">
        <v>0</v>
      </c>
      <c r="N196" s="6">
        <v>0</v>
      </c>
      <c r="O196" s="68">
        <v>0</v>
      </c>
    </row>
    <row r="197" spans="2:15" x14ac:dyDescent="0.25">
      <c r="B197" s="65">
        <v>154</v>
      </c>
      <c r="C197" s="66"/>
      <c r="D197" s="6">
        <v>0</v>
      </c>
      <c r="E197" s="6">
        <v>0</v>
      </c>
      <c r="F197" s="6">
        <v>0</v>
      </c>
      <c r="G197" s="6">
        <v>0</v>
      </c>
      <c r="H197" s="6">
        <v>0</v>
      </c>
      <c r="I197" s="6">
        <v>0</v>
      </c>
      <c r="J197" s="6">
        <v>0</v>
      </c>
      <c r="K197" s="6">
        <v>0</v>
      </c>
      <c r="L197" s="6">
        <v>0</v>
      </c>
      <c r="M197" s="6">
        <v>0</v>
      </c>
      <c r="N197" s="6">
        <v>0</v>
      </c>
      <c r="O197" s="68">
        <v>0</v>
      </c>
    </row>
    <row r="198" spans="2:15" x14ac:dyDescent="0.25">
      <c r="B198" s="65">
        <v>155</v>
      </c>
      <c r="C198" s="66"/>
      <c r="D198" s="6">
        <v>71</v>
      </c>
      <c r="E198" s="6">
        <v>58</v>
      </c>
      <c r="F198" s="6">
        <v>52</v>
      </c>
      <c r="G198" s="6">
        <v>37</v>
      </c>
      <c r="H198" s="6">
        <v>31</v>
      </c>
      <c r="I198" s="6">
        <v>26</v>
      </c>
      <c r="J198" s="6">
        <v>38</v>
      </c>
      <c r="K198" s="6">
        <v>36</v>
      </c>
      <c r="L198" s="6">
        <v>60</v>
      </c>
      <c r="M198" s="6">
        <v>76</v>
      </c>
      <c r="N198" s="6">
        <v>130</v>
      </c>
      <c r="O198" s="68">
        <v>248</v>
      </c>
    </row>
    <row r="199" spans="2:15" x14ac:dyDescent="0.25">
      <c r="B199" s="65">
        <v>156</v>
      </c>
      <c r="C199" s="66"/>
      <c r="D199" s="6">
        <v>368</v>
      </c>
      <c r="E199" s="6">
        <v>379</v>
      </c>
      <c r="F199" s="6">
        <v>247</v>
      </c>
      <c r="G199" s="6">
        <v>166</v>
      </c>
      <c r="H199" s="6">
        <v>183</v>
      </c>
      <c r="I199" s="6">
        <v>111</v>
      </c>
      <c r="J199" s="6">
        <v>73</v>
      </c>
      <c r="K199" s="6">
        <v>89</v>
      </c>
      <c r="L199" s="6">
        <v>216</v>
      </c>
      <c r="M199" s="6">
        <v>293</v>
      </c>
      <c r="N199" s="6">
        <v>588</v>
      </c>
      <c r="O199" s="68">
        <v>1097</v>
      </c>
    </row>
    <row r="200" spans="2:15" x14ac:dyDescent="0.25">
      <c r="B200" s="65">
        <v>157</v>
      </c>
      <c r="C200" s="66"/>
      <c r="D200" s="6">
        <v>0</v>
      </c>
      <c r="E200" s="6">
        <v>0</v>
      </c>
      <c r="F200" s="6">
        <v>0</v>
      </c>
      <c r="G200" s="6">
        <v>0</v>
      </c>
      <c r="H200" s="6">
        <v>0</v>
      </c>
      <c r="I200" s="6">
        <v>0</v>
      </c>
      <c r="J200" s="6">
        <v>0</v>
      </c>
      <c r="K200" s="6">
        <v>0</v>
      </c>
      <c r="L200" s="6">
        <v>0</v>
      </c>
      <c r="M200" s="6">
        <v>0</v>
      </c>
      <c r="N200" s="6">
        <v>0</v>
      </c>
      <c r="O200" s="68">
        <v>0</v>
      </c>
    </row>
    <row r="201" spans="2:15" x14ac:dyDescent="0.25">
      <c r="B201" s="65">
        <v>158</v>
      </c>
      <c r="C201" s="66"/>
      <c r="D201" s="6">
        <v>20</v>
      </c>
      <c r="E201" s="6">
        <v>37</v>
      </c>
      <c r="F201" s="6">
        <v>29</v>
      </c>
      <c r="G201" s="6">
        <v>22</v>
      </c>
      <c r="H201" s="6">
        <v>17</v>
      </c>
      <c r="I201" s="6">
        <v>11</v>
      </c>
      <c r="J201" s="6">
        <v>10</v>
      </c>
      <c r="K201" s="6">
        <v>9</v>
      </c>
      <c r="L201" s="6">
        <v>27</v>
      </c>
      <c r="M201" s="6">
        <v>32</v>
      </c>
      <c r="N201" s="6">
        <v>51</v>
      </c>
      <c r="O201" s="68">
        <v>78</v>
      </c>
    </row>
    <row r="202" spans="2:15" x14ac:dyDescent="0.25">
      <c r="B202" s="65">
        <v>159</v>
      </c>
      <c r="C202" s="66"/>
      <c r="D202" s="6">
        <v>0</v>
      </c>
      <c r="E202" s="6">
        <v>0</v>
      </c>
      <c r="F202" s="6">
        <v>0</v>
      </c>
      <c r="G202" s="6">
        <v>0</v>
      </c>
      <c r="H202" s="6">
        <v>0</v>
      </c>
      <c r="I202" s="6">
        <v>0</v>
      </c>
      <c r="J202" s="6">
        <v>0</v>
      </c>
      <c r="K202" s="6">
        <v>0</v>
      </c>
      <c r="L202" s="6">
        <v>0</v>
      </c>
      <c r="M202" s="6">
        <v>0</v>
      </c>
      <c r="N202" s="6">
        <v>0</v>
      </c>
      <c r="O202" s="68">
        <v>0</v>
      </c>
    </row>
    <row r="203" spans="2:15" x14ac:dyDescent="0.25">
      <c r="B203" s="65">
        <v>160</v>
      </c>
      <c r="C203" s="66"/>
      <c r="D203" s="6">
        <v>12</v>
      </c>
      <c r="E203" s="6">
        <v>6</v>
      </c>
      <c r="F203" s="6">
        <v>6</v>
      </c>
      <c r="G203" s="6">
        <v>7</v>
      </c>
      <c r="H203" s="6">
        <v>7</v>
      </c>
      <c r="I203" s="6">
        <v>7</v>
      </c>
      <c r="J203" s="6">
        <v>4</v>
      </c>
      <c r="K203" s="6">
        <v>5</v>
      </c>
      <c r="L203" s="6">
        <v>6</v>
      </c>
      <c r="M203" s="6">
        <v>7</v>
      </c>
      <c r="N203" s="6">
        <v>7</v>
      </c>
      <c r="O203" s="68">
        <v>9</v>
      </c>
    </row>
    <row r="204" spans="2:15" x14ac:dyDescent="0.25">
      <c r="B204" s="65">
        <v>161</v>
      </c>
      <c r="C204" s="66"/>
      <c r="D204" s="6">
        <v>273</v>
      </c>
      <c r="E204" s="6">
        <v>133</v>
      </c>
      <c r="F204" s="6">
        <v>136</v>
      </c>
      <c r="G204" s="6">
        <v>129</v>
      </c>
      <c r="H204" s="6">
        <v>138</v>
      </c>
      <c r="I204" s="6">
        <v>115</v>
      </c>
      <c r="J204" s="6">
        <v>47</v>
      </c>
      <c r="K204" s="6">
        <v>42</v>
      </c>
      <c r="L204" s="6">
        <v>71</v>
      </c>
      <c r="M204" s="6">
        <v>90</v>
      </c>
      <c r="N204" s="6">
        <v>99</v>
      </c>
      <c r="O204" s="68">
        <v>131</v>
      </c>
    </row>
    <row r="205" spans="2:15" x14ac:dyDescent="0.25">
      <c r="B205" s="65">
        <v>162</v>
      </c>
      <c r="C205" s="66"/>
      <c r="D205" s="6">
        <v>0</v>
      </c>
      <c r="E205" s="6">
        <v>0</v>
      </c>
      <c r="F205" s="6">
        <v>0</v>
      </c>
      <c r="G205" s="6">
        <v>0</v>
      </c>
      <c r="H205" s="6">
        <v>0</v>
      </c>
      <c r="I205" s="6">
        <v>0</v>
      </c>
      <c r="J205" s="6">
        <v>0</v>
      </c>
      <c r="K205" s="6">
        <v>0</v>
      </c>
      <c r="L205" s="6">
        <v>0</v>
      </c>
      <c r="M205" s="6">
        <v>0</v>
      </c>
      <c r="N205" s="6">
        <v>0</v>
      </c>
      <c r="O205" s="68">
        <v>0</v>
      </c>
    </row>
    <row r="206" spans="2:15" x14ac:dyDescent="0.25">
      <c r="B206" s="65">
        <v>163</v>
      </c>
      <c r="C206" s="66"/>
      <c r="D206" s="6">
        <v>0</v>
      </c>
      <c r="E206" s="6">
        <v>0</v>
      </c>
      <c r="F206" s="6">
        <v>0</v>
      </c>
      <c r="G206" s="6">
        <v>0</v>
      </c>
      <c r="H206" s="6">
        <v>0</v>
      </c>
      <c r="I206" s="6">
        <v>0</v>
      </c>
      <c r="J206" s="6">
        <v>0</v>
      </c>
      <c r="K206" s="6">
        <v>0</v>
      </c>
      <c r="L206" s="6">
        <v>0</v>
      </c>
      <c r="M206" s="6">
        <v>0</v>
      </c>
      <c r="N206" s="6">
        <v>0</v>
      </c>
      <c r="O206" s="68">
        <v>0</v>
      </c>
    </row>
    <row r="207" spans="2:15" x14ac:dyDescent="0.25">
      <c r="B207" s="65">
        <v>164</v>
      </c>
      <c r="C207" s="66"/>
      <c r="D207" s="6">
        <v>200</v>
      </c>
      <c r="E207" s="6">
        <v>94</v>
      </c>
      <c r="F207" s="6">
        <v>82</v>
      </c>
      <c r="G207" s="6">
        <v>76</v>
      </c>
      <c r="H207" s="6">
        <v>89</v>
      </c>
      <c r="I207" s="6">
        <v>71</v>
      </c>
      <c r="J207" s="6">
        <v>18</v>
      </c>
      <c r="K207" s="6">
        <v>16</v>
      </c>
      <c r="L207" s="6">
        <v>50</v>
      </c>
      <c r="M207" s="6">
        <v>64</v>
      </c>
      <c r="N207" s="6">
        <v>72</v>
      </c>
      <c r="O207" s="68">
        <v>96</v>
      </c>
    </row>
    <row r="208" spans="2:15" x14ac:dyDescent="0.25">
      <c r="B208" s="65">
        <v>165</v>
      </c>
      <c r="C208" s="66"/>
      <c r="D208" s="6">
        <v>0</v>
      </c>
      <c r="E208" s="6">
        <v>0</v>
      </c>
      <c r="F208" s="6">
        <v>0</v>
      </c>
      <c r="G208" s="6">
        <v>0</v>
      </c>
      <c r="H208" s="6">
        <v>0</v>
      </c>
      <c r="I208" s="6">
        <v>0</v>
      </c>
      <c r="J208" s="6">
        <v>0</v>
      </c>
      <c r="K208" s="6">
        <v>0</v>
      </c>
      <c r="L208" s="6">
        <v>0</v>
      </c>
      <c r="M208" s="6">
        <v>0</v>
      </c>
      <c r="N208" s="6">
        <v>0</v>
      </c>
      <c r="O208" s="68">
        <v>0</v>
      </c>
    </row>
    <row r="209" spans="2:15" x14ac:dyDescent="0.25">
      <c r="B209" s="65">
        <v>166</v>
      </c>
      <c r="C209" s="66"/>
      <c r="D209" s="6">
        <v>0</v>
      </c>
      <c r="E209" s="6">
        <v>0</v>
      </c>
      <c r="F209" s="6">
        <v>0</v>
      </c>
      <c r="G209" s="6">
        <v>0</v>
      </c>
      <c r="H209" s="6">
        <v>0</v>
      </c>
      <c r="I209" s="6">
        <v>0</v>
      </c>
      <c r="J209" s="6">
        <v>0</v>
      </c>
      <c r="K209" s="6">
        <v>3419</v>
      </c>
      <c r="L209" s="6">
        <v>0</v>
      </c>
      <c r="M209" s="6">
        <v>0</v>
      </c>
      <c r="N209" s="6">
        <v>0</v>
      </c>
      <c r="O209" s="68">
        <v>0</v>
      </c>
    </row>
    <row r="210" spans="2:15" x14ac:dyDescent="0.25">
      <c r="B210" s="65">
        <v>167</v>
      </c>
      <c r="C210" s="66"/>
      <c r="D210" s="6">
        <v>0</v>
      </c>
      <c r="E210" s="6">
        <v>0</v>
      </c>
      <c r="F210" s="6">
        <v>0</v>
      </c>
      <c r="G210" s="6">
        <v>0</v>
      </c>
      <c r="H210" s="6">
        <v>0</v>
      </c>
      <c r="I210" s="6">
        <v>0</v>
      </c>
      <c r="J210" s="6">
        <v>0</v>
      </c>
      <c r="K210" s="6">
        <v>0</v>
      </c>
      <c r="L210" s="6">
        <v>0</v>
      </c>
      <c r="M210" s="6">
        <v>0</v>
      </c>
      <c r="N210" s="6">
        <v>0</v>
      </c>
      <c r="O210" s="68">
        <v>0</v>
      </c>
    </row>
    <row r="211" spans="2:15" x14ac:dyDescent="0.25">
      <c r="B211" s="65">
        <v>168</v>
      </c>
      <c r="C211" s="66"/>
      <c r="D211" s="6">
        <v>736</v>
      </c>
      <c r="E211" s="6">
        <v>1118</v>
      </c>
      <c r="F211" s="6">
        <v>729</v>
      </c>
      <c r="G211" s="6">
        <v>689</v>
      </c>
      <c r="H211" s="6">
        <v>336</v>
      </c>
      <c r="I211" s="6">
        <v>328</v>
      </c>
      <c r="J211" s="6">
        <v>336</v>
      </c>
      <c r="K211" s="6">
        <v>363</v>
      </c>
      <c r="L211" s="6">
        <v>275</v>
      </c>
      <c r="M211" s="6">
        <v>294</v>
      </c>
      <c r="N211" s="6">
        <v>462</v>
      </c>
      <c r="O211" s="68">
        <v>834</v>
      </c>
    </row>
    <row r="212" spans="2:15" x14ac:dyDescent="0.25">
      <c r="B212" s="65">
        <v>169</v>
      </c>
      <c r="C212" s="66"/>
      <c r="D212" s="6">
        <v>1289</v>
      </c>
      <c r="E212" s="6">
        <v>1600</v>
      </c>
      <c r="F212" s="6">
        <v>1032</v>
      </c>
      <c r="G212" s="6">
        <v>920</v>
      </c>
      <c r="H212" s="6">
        <v>510</v>
      </c>
      <c r="I212" s="6">
        <v>499</v>
      </c>
      <c r="J212" s="6">
        <v>417</v>
      </c>
      <c r="K212" s="6">
        <v>460</v>
      </c>
      <c r="L212" s="6">
        <v>518</v>
      </c>
      <c r="M212" s="6">
        <v>606</v>
      </c>
      <c r="N212" s="6">
        <v>1052</v>
      </c>
      <c r="O212" s="68">
        <v>1919</v>
      </c>
    </row>
    <row r="213" spans="2:15" x14ac:dyDescent="0.25">
      <c r="B213" s="65">
        <v>170</v>
      </c>
      <c r="C213" s="66"/>
      <c r="D213" s="6">
        <v>0</v>
      </c>
      <c r="E213" s="6">
        <v>0</v>
      </c>
      <c r="F213" s="6">
        <v>0</v>
      </c>
      <c r="G213" s="6">
        <v>0</v>
      </c>
      <c r="H213" s="6">
        <v>0</v>
      </c>
      <c r="I213" s="6">
        <v>0</v>
      </c>
      <c r="J213" s="6">
        <v>0</v>
      </c>
      <c r="K213" s="6">
        <v>0</v>
      </c>
      <c r="L213" s="6">
        <v>0</v>
      </c>
      <c r="M213" s="6">
        <v>0</v>
      </c>
      <c r="N213" s="6">
        <v>0</v>
      </c>
      <c r="O213" s="68">
        <v>0</v>
      </c>
    </row>
    <row r="214" spans="2:15" x14ac:dyDescent="0.25">
      <c r="B214" s="65">
        <v>171</v>
      </c>
      <c r="C214" s="66"/>
      <c r="D214" s="6">
        <v>0</v>
      </c>
      <c r="E214" s="6">
        <v>0</v>
      </c>
      <c r="F214" s="6">
        <v>0</v>
      </c>
      <c r="G214" s="6">
        <v>0</v>
      </c>
      <c r="H214" s="6">
        <v>0</v>
      </c>
      <c r="I214" s="6">
        <v>0</v>
      </c>
      <c r="J214" s="6">
        <v>0</v>
      </c>
      <c r="K214" s="6">
        <v>0</v>
      </c>
      <c r="L214" s="6">
        <v>8</v>
      </c>
      <c r="M214" s="6">
        <v>8</v>
      </c>
      <c r="N214" s="6">
        <v>13</v>
      </c>
      <c r="O214" s="68">
        <v>29</v>
      </c>
    </row>
    <row r="215" spans="2:15" x14ac:dyDescent="0.25">
      <c r="B215" s="65">
        <v>172</v>
      </c>
      <c r="C215" s="66"/>
      <c r="D215" s="6">
        <v>1387</v>
      </c>
      <c r="E215" s="6">
        <v>1559</v>
      </c>
      <c r="F215" s="6">
        <v>1120</v>
      </c>
      <c r="G215" s="6">
        <v>931</v>
      </c>
      <c r="H215" s="6">
        <v>515</v>
      </c>
      <c r="I215" s="6">
        <v>508</v>
      </c>
      <c r="J215" s="6">
        <v>418</v>
      </c>
      <c r="K215" s="6">
        <v>460</v>
      </c>
      <c r="L215" s="6">
        <v>528</v>
      </c>
      <c r="M215" s="6">
        <v>606</v>
      </c>
      <c r="N215" s="6">
        <v>1052</v>
      </c>
      <c r="O215" s="68">
        <v>1919</v>
      </c>
    </row>
    <row r="216" spans="2:15" x14ac:dyDescent="0.25">
      <c r="B216" s="65">
        <v>173</v>
      </c>
      <c r="C216" s="66"/>
      <c r="D216" s="6">
        <v>1387</v>
      </c>
      <c r="E216" s="6">
        <v>1559</v>
      </c>
      <c r="F216" s="6">
        <v>1120</v>
      </c>
      <c r="G216" s="6">
        <v>931</v>
      </c>
      <c r="H216" s="6">
        <v>515</v>
      </c>
      <c r="I216" s="6">
        <v>508</v>
      </c>
      <c r="J216" s="6">
        <v>418</v>
      </c>
      <c r="K216" s="6">
        <v>460</v>
      </c>
      <c r="L216" s="6">
        <v>378</v>
      </c>
      <c r="M216" s="6">
        <v>395</v>
      </c>
      <c r="N216" s="6">
        <v>602</v>
      </c>
      <c r="O216" s="68">
        <v>1124</v>
      </c>
    </row>
    <row r="217" spans="2:15" x14ac:dyDescent="0.25">
      <c r="B217" s="65">
        <v>174</v>
      </c>
      <c r="C217" s="66"/>
      <c r="D217" s="6">
        <v>0</v>
      </c>
      <c r="E217" s="6">
        <v>0</v>
      </c>
      <c r="F217" s="6">
        <v>0</v>
      </c>
      <c r="G217" s="6">
        <v>0</v>
      </c>
      <c r="H217" s="6">
        <v>0</v>
      </c>
      <c r="I217" s="6">
        <v>0</v>
      </c>
      <c r="J217" s="6">
        <v>0</v>
      </c>
      <c r="K217" s="6">
        <v>0</v>
      </c>
      <c r="L217" s="6">
        <v>0</v>
      </c>
      <c r="M217" s="6">
        <v>0</v>
      </c>
      <c r="N217" s="6">
        <v>0</v>
      </c>
      <c r="O217" s="68">
        <v>0</v>
      </c>
    </row>
    <row r="218" spans="2:15" x14ac:dyDescent="0.25">
      <c r="B218" s="65">
        <v>175</v>
      </c>
      <c r="C218" s="66"/>
      <c r="D218" s="6">
        <v>1387</v>
      </c>
      <c r="E218" s="6">
        <v>1559</v>
      </c>
      <c r="F218" s="6">
        <v>1120</v>
      </c>
      <c r="G218" s="6">
        <v>931</v>
      </c>
      <c r="H218" s="6">
        <v>515</v>
      </c>
      <c r="I218" s="6">
        <v>508</v>
      </c>
      <c r="J218" s="6">
        <v>419</v>
      </c>
      <c r="K218" s="6">
        <v>460</v>
      </c>
      <c r="L218" s="6">
        <v>378</v>
      </c>
      <c r="M218" s="6">
        <v>395</v>
      </c>
      <c r="N218" s="6">
        <v>602</v>
      </c>
      <c r="O218" s="68">
        <v>1124</v>
      </c>
    </row>
    <row r="219" spans="2:15" x14ac:dyDescent="0.25">
      <c r="B219" s="65">
        <v>176</v>
      </c>
      <c r="C219" s="66"/>
      <c r="D219" s="6">
        <v>1387</v>
      </c>
      <c r="E219" s="6">
        <v>1559</v>
      </c>
      <c r="F219" s="6">
        <v>1120</v>
      </c>
      <c r="G219" s="6">
        <v>931</v>
      </c>
      <c r="H219" s="6">
        <v>515</v>
      </c>
      <c r="I219" s="6">
        <v>508</v>
      </c>
      <c r="J219" s="6">
        <v>418</v>
      </c>
      <c r="K219" s="6">
        <v>460</v>
      </c>
      <c r="L219" s="6">
        <v>378</v>
      </c>
      <c r="M219" s="6">
        <v>395</v>
      </c>
      <c r="N219" s="6">
        <v>602</v>
      </c>
      <c r="O219" s="68">
        <v>1124</v>
      </c>
    </row>
    <row r="220" spans="2:15" x14ac:dyDescent="0.25">
      <c r="B220" s="65">
        <v>177</v>
      </c>
      <c r="C220" s="66"/>
      <c r="D220" s="6">
        <v>0</v>
      </c>
      <c r="E220" s="6">
        <v>0</v>
      </c>
      <c r="F220" s="6">
        <v>0</v>
      </c>
      <c r="G220" s="6">
        <v>0</v>
      </c>
      <c r="H220" s="6">
        <v>0</v>
      </c>
      <c r="I220" s="6">
        <v>0</v>
      </c>
      <c r="J220" s="6">
        <v>0</v>
      </c>
      <c r="K220" s="6">
        <v>0</v>
      </c>
      <c r="L220" s="6">
        <v>0</v>
      </c>
      <c r="M220" s="6">
        <v>0</v>
      </c>
      <c r="N220" s="6">
        <v>0</v>
      </c>
      <c r="O220" s="68">
        <v>0</v>
      </c>
    </row>
    <row r="221" spans="2:15" x14ac:dyDescent="0.25">
      <c r="B221" s="65">
        <v>178</v>
      </c>
      <c r="C221" s="66"/>
      <c r="D221" s="6">
        <v>1441</v>
      </c>
      <c r="E221" s="6">
        <v>1526</v>
      </c>
      <c r="F221" s="6">
        <v>1172</v>
      </c>
      <c r="G221" s="6">
        <v>936</v>
      </c>
      <c r="H221" s="6">
        <v>520</v>
      </c>
      <c r="I221" s="6">
        <v>512</v>
      </c>
      <c r="J221" s="6">
        <v>419</v>
      </c>
      <c r="K221" s="6">
        <v>460</v>
      </c>
      <c r="L221" s="6">
        <v>378</v>
      </c>
      <c r="M221" s="6">
        <v>395</v>
      </c>
      <c r="N221" s="6">
        <v>602</v>
      </c>
      <c r="O221" s="68">
        <v>1124</v>
      </c>
    </row>
    <row r="222" spans="2:15" x14ac:dyDescent="0.25">
      <c r="B222" s="65">
        <v>179</v>
      </c>
      <c r="C222" s="66"/>
      <c r="D222" s="6">
        <v>0</v>
      </c>
      <c r="E222" s="6">
        <v>0</v>
      </c>
      <c r="F222" s="6">
        <v>0</v>
      </c>
      <c r="G222" s="6">
        <v>0</v>
      </c>
      <c r="H222" s="6">
        <v>0</v>
      </c>
      <c r="I222" s="6">
        <v>0</v>
      </c>
      <c r="J222" s="6">
        <v>0</v>
      </c>
      <c r="K222" s="6">
        <v>0</v>
      </c>
      <c r="L222" s="6">
        <v>0</v>
      </c>
      <c r="M222" s="6">
        <v>0</v>
      </c>
      <c r="N222" s="6">
        <v>0</v>
      </c>
      <c r="O222" s="68">
        <v>0</v>
      </c>
    </row>
    <row r="223" spans="2:15" x14ac:dyDescent="0.25">
      <c r="B223" s="65">
        <v>180</v>
      </c>
      <c r="C223" s="66"/>
      <c r="D223" s="6">
        <v>0</v>
      </c>
      <c r="E223" s="6">
        <v>0</v>
      </c>
      <c r="F223" s="6">
        <v>0</v>
      </c>
      <c r="G223" s="6">
        <v>0</v>
      </c>
      <c r="H223" s="6">
        <v>0</v>
      </c>
      <c r="I223" s="6">
        <v>0</v>
      </c>
      <c r="J223" s="6">
        <v>0</v>
      </c>
      <c r="K223" s="6">
        <v>0</v>
      </c>
      <c r="L223" s="6">
        <v>0</v>
      </c>
      <c r="M223" s="6">
        <v>0</v>
      </c>
      <c r="N223" s="6">
        <v>0</v>
      </c>
      <c r="O223" s="68">
        <v>0</v>
      </c>
    </row>
    <row r="224" spans="2:15" x14ac:dyDescent="0.25">
      <c r="B224" s="65">
        <v>181</v>
      </c>
      <c r="C224" s="66"/>
      <c r="D224" s="6">
        <v>0</v>
      </c>
      <c r="E224" s="6">
        <v>0</v>
      </c>
      <c r="F224" s="6">
        <v>0</v>
      </c>
      <c r="G224" s="6">
        <v>0</v>
      </c>
      <c r="H224" s="6">
        <v>0</v>
      </c>
      <c r="I224" s="6">
        <v>0</v>
      </c>
      <c r="J224" s="6">
        <v>0</v>
      </c>
      <c r="K224" s="6">
        <v>0</v>
      </c>
      <c r="L224" s="6">
        <v>0</v>
      </c>
      <c r="M224" s="6">
        <v>0</v>
      </c>
      <c r="N224" s="6">
        <v>0</v>
      </c>
      <c r="O224" s="68">
        <v>0</v>
      </c>
    </row>
    <row r="225" spans="2:15" x14ac:dyDescent="0.25">
      <c r="B225" s="65">
        <v>182</v>
      </c>
      <c r="C225" s="66"/>
      <c r="D225" s="6">
        <v>0</v>
      </c>
      <c r="E225" s="6">
        <v>0</v>
      </c>
      <c r="F225" s="6">
        <v>0</v>
      </c>
      <c r="G225" s="6">
        <v>0</v>
      </c>
      <c r="H225" s="6">
        <v>0</v>
      </c>
      <c r="I225" s="6">
        <v>0</v>
      </c>
      <c r="J225" s="6">
        <v>0</v>
      </c>
      <c r="K225" s="6">
        <v>0</v>
      </c>
      <c r="L225" s="6">
        <v>0</v>
      </c>
      <c r="M225" s="6">
        <v>0</v>
      </c>
      <c r="N225" s="6">
        <v>0</v>
      </c>
      <c r="O225" s="68">
        <v>0</v>
      </c>
    </row>
    <row r="226" spans="2:15" x14ac:dyDescent="0.25">
      <c r="B226" s="65">
        <v>183</v>
      </c>
      <c r="C226" s="66"/>
      <c r="D226" s="6">
        <v>49</v>
      </c>
      <c r="E226" s="6">
        <v>49</v>
      </c>
      <c r="F226" s="6">
        <v>42</v>
      </c>
      <c r="G226" s="6">
        <v>27</v>
      </c>
      <c r="H226" s="6">
        <v>27</v>
      </c>
      <c r="I226" s="6">
        <v>22</v>
      </c>
      <c r="J226" s="6">
        <v>26</v>
      </c>
      <c r="K226" s="6">
        <v>25</v>
      </c>
      <c r="L226" s="6">
        <v>41</v>
      </c>
      <c r="M226" s="6">
        <v>52</v>
      </c>
      <c r="N226" s="6">
        <v>85</v>
      </c>
      <c r="O226" s="68">
        <v>142</v>
      </c>
    </row>
    <row r="227" spans="2:15" x14ac:dyDescent="0.25">
      <c r="B227" s="65">
        <v>184</v>
      </c>
      <c r="C227" s="66"/>
      <c r="D227" s="6">
        <v>0</v>
      </c>
      <c r="E227" s="6">
        <v>0</v>
      </c>
      <c r="F227" s="6">
        <v>0</v>
      </c>
      <c r="G227" s="6">
        <v>0</v>
      </c>
      <c r="H227" s="6">
        <v>0</v>
      </c>
      <c r="I227" s="6">
        <v>0</v>
      </c>
      <c r="J227" s="6">
        <v>0</v>
      </c>
      <c r="K227" s="6">
        <v>0</v>
      </c>
      <c r="L227" s="6">
        <v>0</v>
      </c>
      <c r="M227" s="6">
        <v>0</v>
      </c>
      <c r="N227" s="6">
        <v>0</v>
      </c>
      <c r="O227" s="68">
        <v>0</v>
      </c>
    </row>
    <row r="228" spans="2:15" x14ac:dyDescent="0.25">
      <c r="B228" s="65">
        <v>185</v>
      </c>
      <c r="C228" s="66"/>
      <c r="D228" s="6">
        <v>0</v>
      </c>
      <c r="E228" s="6">
        <v>0</v>
      </c>
      <c r="F228" s="6">
        <v>0</v>
      </c>
      <c r="G228" s="6">
        <v>0</v>
      </c>
      <c r="H228" s="6">
        <v>0</v>
      </c>
      <c r="I228" s="6">
        <v>0</v>
      </c>
      <c r="J228" s="6">
        <v>0</v>
      </c>
      <c r="K228" s="6">
        <v>0</v>
      </c>
      <c r="L228" s="6">
        <v>0</v>
      </c>
      <c r="M228" s="6">
        <v>0</v>
      </c>
      <c r="N228" s="6">
        <v>0</v>
      </c>
      <c r="O228" s="68">
        <v>0</v>
      </c>
    </row>
    <row r="229" spans="2:15" x14ac:dyDescent="0.25">
      <c r="B229" s="65">
        <v>186</v>
      </c>
      <c r="C229" s="66"/>
      <c r="D229" s="6">
        <v>0</v>
      </c>
      <c r="E229" s="6">
        <v>0</v>
      </c>
      <c r="F229" s="6">
        <v>0</v>
      </c>
      <c r="G229" s="6">
        <v>0</v>
      </c>
      <c r="H229" s="6">
        <v>0</v>
      </c>
      <c r="I229" s="6">
        <v>0</v>
      </c>
      <c r="J229" s="6">
        <v>0</v>
      </c>
      <c r="K229" s="6">
        <v>0</v>
      </c>
      <c r="L229" s="6">
        <v>0</v>
      </c>
      <c r="M229" s="6">
        <v>0</v>
      </c>
      <c r="N229" s="6">
        <v>0</v>
      </c>
      <c r="O229" s="68">
        <v>0</v>
      </c>
    </row>
    <row r="230" spans="2:15" x14ac:dyDescent="0.25">
      <c r="B230" s="65">
        <v>187</v>
      </c>
      <c r="C230" s="66"/>
      <c r="D230" s="6">
        <v>122</v>
      </c>
      <c r="E230" s="6">
        <v>123</v>
      </c>
      <c r="F230" s="6">
        <v>122</v>
      </c>
      <c r="G230" s="6">
        <v>101</v>
      </c>
      <c r="H230" s="6">
        <v>87</v>
      </c>
      <c r="I230" s="6">
        <v>77</v>
      </c>
      <c r="J230" s="6">
        <v>68</v>
      </c>
      <c r="K230" s="6">
        <v>62</v>
      </c>
      <c r="L230" s="6">
        <v>61</v>
      </c>
      <c r="M230" s="6">
        <v>68</v>
      </c>
      <c r="N230" s="6">
        <v>86</v>
      </c>
      <c r="O230" s="68">
        <v>112</v>
      </c>
    </row>
    <row r="231" spans="2:15" x14ac:dyDescent="0.25">
      <c r="B231" s="65">
        <v>188</v>
      </c>
      <c r="C231" s="66"/>
      <c r="D231" s="6">
        <v>99</v>
      </c>
      <c r="E231" s="6">
        <v>322</v>
      </c>
      <c r="F231" s="6">
        <v>92</v>
      </c>
      <c r="G231" s="6">
        <v>123</v>
      </c>
      <c r="H231" s="6">
        <v>49</v>
      </c>
      <c r="I231" s="6">
        <v>37</v>
      </c>
      <c r="J231" s="6">
        <v>45</v>
      </c>
      <c r="K231" s="6">
        <v>41</v>
      </c>
      <c r="L231" s="6">
        <v>39</v>
      </c>
      <c r="M231" s="6">
        <v>60</v>
      </c>
      <c r="N231" s="6">
        <v>161</v>
      </c>
      <c r="O231" s="68">
        <v>304</v>
      </c>
    </row>
    <row r="232" spans="2:15" x14ac:dyDescent="0.25">
      <c r="B232" s="65">
        <v>189</v>
      </c>
      <c r="C232" s="66"/>
      <c r="D232" s="6">
        <v>0</v>
      </c>
      <c r="E232" s="6">
        <v>0</v>
      </c>
      <c r="F232" s="6">
        <v>0</v>
      </c>
      <c r="G232" s="6">
        <v>0</v>
      </c>
      <c r="H232" s="6">
        <v>0</v>
      </c>
      <c r="I232" s="6">
        <v>0</v>
      </c>
      <c r="J232" s="6">
        <v>0</v>
      </c>
      <c r="K232" s="6">
        <v>0</v>
      </c>
      <c r="L232" s="6">
        <v>0</v>
      </c>
      <c r="M232" s="6">
        <v>0</v>
      </c>
      <c r="N232" s="6">
        <v>0</v>
      </c>
      <c r="O232" s="68">
        <v>0</v>
      </c>
    </row>
    <row r="233" spans="2:15" x14ac:dyDescent="0.25">
      <c r="B233" s="65">
        <v>190</v>
      </c>
      <c r="C233" s="66"/>
      <c r="D233" s="6">
        <v>318</v>
      </c>
      <c r="E233" s="6">
        <v>631</v>
      </c>
      <c r="F233" s="6">
        <v>527</v>
      </c>
      <c r="G233" s="6">
        <v>472</v>
      </c>
      <c r="H233" s="6">
        <v>288</v>
      </c>
      <c r="I233" s="6">
        <v>234</v>
      </c>
      <c r="J233" s="6">
        <v>184</v>
      </c>
      <c r="K233" s="6">
        <v>172</v>
      </c>
      <c r="L233" s="6">
        <v>86</v>
      </c>
      <c r="M233" s="6">
        <v>102</v>
      </c>
      <c r="N233" s="6">
        <v>137</v>
      </c>
      <c r="O233" s="68">
        <v>183</v>
      </c>
    </row>
    <row r="234" spans="2:15" x14ac:dyDescent="0.25">
      <c r="B234" s="65">
        <v>191</v>
      </c>
      <c r="C234" s="66"/>
      <c r="D234" s="6">
        <v>376</v>
      </c>
      <c r="E234" s="6">
        <v>810</v>
      </c>
      <c r="F234" s="6">
        <v>590</v>
      </c>
      <c r="G234" s="6">
        <v>548</v>
      </c>
      <c r="H234" s="6">
        <v>284</v>
      </c>
      <c r="I234" s="6">
        <v>171</v>
      </c>
      <c r="J234" s="6">
        <v>112</v>
      </c>
      <c r="K234" s="6">
        <v>98</v>
      </c>
      <c r="L234" s="6">
        <v>243</v>
      </c>
      <c r="M234" s="6">
        <v>353</v>
      </c>
      <c r="N234" s="6">
        <v>635</v>
      </c>
      <c r="O234" s="68">
        <v>1172</v>
      </c>
    </row>
    <row r="235" spans="2:15" x14ac:dyDescent="0.25">
      <c r="B235" s="65">
        <v>192</v>
      </c>
      <c r="C235" s="66"/>
      <c r="D235" s="6">
        <v>0</v>
      </c>
      <c r="E235" s="6">
        <v>0</v>
      </c>
      <c r="F235" s="6">
        <v>0</v>
      </c>
      <c r="G235" s="6">
        <v>0</v>
      </c>
      <c r="H235" s="6">
        <v>0</v>
      </c>
      <c r="I235" s="6">
        <v>0</v>
      </c>
      <c r="J235" s="6">
        <v>0</v>
      </c>
      <c r="K235" s="6">
        <v>0</v>
      </c>
      <c r="L235" s="6">
        <v>0</v>
      </c>
      <c r="M235" s="6">
        <v>0</v>
      </c>
      <c r="N235" s="6">
        <v>0</v>
      </c>
      <c r="O235" s="68">
        <v>0</v>
      </c>
    </row>
    <row r="236" spans="2:15" x14ac:dyDescent="0.25">
      <c r="B236" s="65">
        <v>193</v>
      </c>
      <c r="C236" s="66"/>
      <c r="D236" s="6">
        <v>0</v>
      </c>
      <c r="E236" s="6">
        <v>0</v>
      </c>
      <c r="F236" s="6">
        <v>0</v>
      </c>
      <c r="G236" s="6">
        <v>0</v>
      </c>
      <c r="H236" s="6">
        <v>0</v>
      </c>
      <c r="I236" s="6">
        <v>0</v>
      </c>
      <c r="J236" s="6">
        <v>0</v>
      </c>
      <c r="K236" s="6">
        <v>0</v>
      </c>
      <c r="L236" s="6">
        <v>0</v>
      </c>
      <c r="M236" s="6">
        <v>0</v>
      </c>
      <c r="N236" s="6">
        <v>0</v>
      </c>
      <c r="O236" s="68">
        <v>0</v>
      </c>
    </row>
    <row r="237" spans="2:15" x14ac:dyDescent="0.25">
      <c r="B237" s="65">
        <v>194</v>
      </c>
      <c r="C237" s="66"/>
      <c r="D237" s="6">
        <v>0</v>
      </c>
      <c r="E237" s="6">
        <v>0</v>
      </c>
      <c r="F237" s="6">
        <v>0</v>
      </c>
      <c r="G237" s="6">
        <v>0</v>
      </c>
      <c r="H237" s="6">
        <v>0</v>
      </c>
      <c r="I237" s="6">
        <v>0</v>
      </c>
      <c r="J237" s="6">
        <v>0</v>
      </c>
      <c r="K237" s="6">
        <v>0</v>
      </c>
      <c r="L237" s="6">
        <v>0</v>
      </c>
      <c r="M237" s="6">
        <v>0</v>
      </c>
      <c r="N237" s="6">
        <v>0</v>
      </c>
      <c r="O237" s="68">
        <v>0</v>
      </c>
    </row>
    <row r="238" spans="2:15" x14ac:dyDescent="0.25">
      <c r="B238" s="65">
        <v>195</v>
      </c>
      <c r="C238" s="66"/>
      <c r="D238" s="6">
        <v>0</v>
      </c>
      <c r="E238" s="6">
        <v>0</v>
      </c>
      <c r="F238" s="6">
        <v>0</v>
      </c>
      <c r="G238" s="6">
        <v>0</v>
      </c>
      <c r="H238" s="6">
        <v>0</v>
      </c>
      <c r="I238" s="6">
        <v>0</v>
      </c>
      <c r="J238" s="6">
        <v>0</v>
      </c>
      <c r="K238" s="6">
        <v>0</v>
      </c>
      <c r="L238" s="6">
        <v>0</v>
      </c>
      <c r="M238" s="6">
        <v>0</v>
      </c>
      <c r="N238" s="6">
        <v>0</v>
      </c>
      <c r="O238" s="68">
        <v>0</v>
      </c>
    </row>
    <row r="239" spans="2:15" x14ac:dyDescent="0.25">
      <c r="B239" s="65">
        <v>196</v>
      </c>
      <c r="C239" s="66"/>
      <c r="D239" s="6">
        <v>19</v>
      </c>
      <c r="E239" s="6">
        <v>19</v>
      </c>
      <c r="F239" s="6">
        <v>18</v>
      </c>
      <c r="G239" s="6">
        <v>16</v>
      </c>
      <c r="H239" s="6">
        <v>17</v>
      </c>
      <c r="I239" s="6">
        <v>12</v>
      </c>
      <c r="J239" s="6">
        <v>14</v>
      </c>
      <c r="K239" s="6">
        <v>14</v>
      </c>
      <c r="L239" s="6">
        <v>15</v>
      </c>
      <c r="M239" s="6">
        <v>19</v>
      </c>
      <c r="N239" s="6">
        <v>37</v>
      </c>
      <c r="O239" s="68">
        <v>57</v>
      </c>
    </row>
    <row r="240" spans="2:15" x14ac:dyDescent="0.25">
      <c r="B240" s="65">
        <v>197</v>
      </c>
      <c r="C240" s="66"/>
      <c r="D240" s="6">
        <v>40</v>
      </c>
      <c r="E240" s="6">
        <v>30</v>
      </c>
      <c r="F240" s="6">
        <v>32</v>
      </c>
      <c r="G240" s="6">
        <v>24</v>
      </c>
      <c r="H240" s="6">
        <v>22</v>
      </c>
      <c r="I240" s="6">
        <v>19</v>
      </c>
      <c r="J240" s="6">
        <v>16</v>
      </c>
      <c r="K240" s="6">
        <v>16</v>
      </c>
      <c r="L240" s="6">
        <v>21</v>
      </c>
      <c r="M240" s="6">
        <v>24</v>
      </c>
      <c r="N240" s="6">
        <v>34</v>
      </c>
      <c r="O240" s="68">
        <v>49</v>
      </c>
    </row>
    <row r="241" spans="2:15" x14ac:dyDescent="0.25">
      <c r="B241" s="65">
        <v>198</v>
      </c>
      <c r="C241" s="66"/>
      <c r="D241" s="6">
        <v>82</v>
      </c>
      <c r="E241" s="6">
        <v>58</v>
      </c>
      <c r="F241" s="6">
        <v>59</v>
      </c>
      <c r="G241" s="6">
        <v>43</v>
      </c>
      <c r="H241" s="6">
        <v>42</v>
      </c>
      <c r="I241" s="6">
        <v>35</v>
      </c>
      <c r="J241" s="6">
        <v>36</v>
      </c>
      <c r="K241" s="6">
        <v>36</v>
      </c>
      <c r="L241" s="6">
        <v>44</v>
      </c>
      <c r="M241" s="6">
        <v>50</v>
      </c>
      <c r="N241" s="6">
        <v>69</v>
      </c>
      <c r="O241" s="68">
        <v>102</v>
      </c>
    </row>
    <row r="242" spans="2:15" x14ac:dyDescent="0.25">
      <c r="B242" s="65">
        <v>199</v>
      </c>
      <c r="C242" s="66"/>
      <c r="D242" s="6">
        <v>862</v>
      </c>
      <c r="E242" s="6">
        <v>589</v>
      </c>
      <c r="F242" s="6">
        <v>690</v>
      </c>
      <c r="G242" s="6">
        <v>426</v>
      </c>
      <c r="H242" s="6">
        <v>417</v>
      </c>
      <c r="I242" s="6">
        <v>334</v>
      </c>
      <c r="J242" s="6">
        <v>251</v>
      </c>
      <c r="K242" s="6">
        <v>222</v>
      </c>
      <c r="L242" s="6">
        <v>335</v>
      </c>
      <c r="M242" s="6">
        <v>397</v>
      </c>
      <c r="N242" s="6">
        <v>541</v>
      </c>
      <c r="O242" s="68">
        <v>815</v>
      </c>
    </row>
    <row r="243" spans="2:15" x14ac:dyDescent="0.25">
      <c r="B243" s="65">
        <v>200</v>
      </c>
      <c r="C243" s="66"/>
      <c r="D243" s="6">
        <v>0</v>
      </c>
      <c r="E243" s="6">
        <v>0</v>
      </c>
      <c r="F243" s="6">
        <v>0</v>
      </c>
      <c r="G243" s="6">
        <v>0</v>
      </c>
      <c r="H243" s="6">
        <v>0</v>
      </c>
      <c r="I243" s="6">
        <v>0</v>
      </c>
      <c r="J243" s="6">
        <v>0</v>
      </c>
      <c r="K243" s="6">
        <v>0</v>
      </c>
      <c r="L243" s="6">
        <v>0</v>
      </c>
      <c r="M243" s="6">
        <v>0</v>
      </c>
      <c r="N243" s="6">
        <v>0</v>
      </c>
      <c r="O243" s="68">
        <v>0</v>
      </c>
    </row>
    <row r="244" spans="2:15" x14ac:dyDescent="0.25">
      <c r="B244" s="65">
        <v>201</v>
      </c>
      <c r="C244" s="66"/>
      <c r="D244" s="6">
        <v>13</v>
      </c>
      <c r="E244" s="6">
        <v>7</v>
      </c>
      <c r="F244" s="6">
        <v>12</v>
      </c>
      <c r="G244" s="6">
        <v>11</v>
      </c>
      <c r="H244" s="6">
        <v>8</v>
      </c>
      <c r="I244" s="6">
        <v>7</v>
      </c>
      <c r="J244" s="6">
        <v>6</v>
      </c>
      <c r="K244" s="6">
        <v>6</v>
      </c>
      <c r="L244" s="6">
        <v>6</v>
      </c>
      <c r="M244" s="6">
        <v>8</v>
      </c>
      <c r="N244" s="6">
        <v>12</v>
      </c>
      <c r="O244" s="68">
        <v>18</v>
      </c>
    </row>
    <row r="245" spans="2:15" x14ac:dyDescent="0.25">
      <c r="B245" s="65">
        <v>202</v>
      </c>
      <c r="C245" s="66"/>
      <c r="D245" s="6">
        <v>5</v>
      </c>
      <c r="E245" s="6">
        <v>3</v>
      </c>
      <c r="F245" s="6">
        <v>5</v>
      </c>
      <c r="G245" s="6">
        <v>4</v>
      </c>
      <c r="H245" s="6">
        <v>3</v>
      </c>
      <c r="I245" s="6">
        <v>3</v>
      </c>
      <c r="J245" s="6">
        <v>2</v>
      </c>
      <c r="K245" s="6">
        <v>2</v>
      </c>
      <c r="L245" s="6">
        <v>3</v>
      </c>
      <c r="M245" s="6">
        <v>3</v>
      </c>
      <c r="N245" s="6">
        <v>5</v>
      </c>
      <c r="O245" s="68">
        <v>8</v>
      </c>
    </row>
    <row r="246" spans="2:15" x14ac:dyDescent="0.25">
      <c r="B246" s="65">
        <v>203</v>
      </c>
      <c r="C246" s="66"/>
      <c r="D246" s="6">
        <v>19</v>
      </c>
      <c r="E246" s="6">
        <v>10</v>
      </c>
      <c r="F246" s="6">
        <v>17</v>
      </c>
      <c r="G246" s="6">
        <v>16</v>
      </c>
      <c r="H246" s="6">
        <v>12</v>
      </c>
      <c r="I246" s="6">
        <v>11</v>
      </c>
      <c r="J246" s="6">
        <v>9</v>
      </c>
      <c r="K246" s="6">
        <v>9</v>
      </c>
      <c r="L246" s="6">
        <v>11</v>
      </c>
      <c r="M246" s="6">
        <v>13</v>
      </c>
      <c r="N246" s="6">
        <v>20</v>
      </c>
      <c r="O246" s="68">
        <v>31</v>
      </c>
    </row>
    <row r="247" spans="2:15" x14ac:dyDescent="0.25">
      <c r="B247" s="65">
        <v>204</v>
      </c>
      <c r="C247" s="66"/>
      <c r="D247" s="6">
        <v>571</v>
      </c>
      <c r="E247" s="6">
        <v>1347</v>
      </c>
      <c r="F247" s="6">
        <v>2303</v>
      </c>
      <c r="G247" s="6">
        <v>1992</v>
      </c>
      <c r="H247" s="6">
        <v>1738</v>
      </c>
      <c r="I247" s="6">
        <v>1392</v>
      </c>
      <c r="J247" s="6">
        <v>979</v>
      </c>
      <c r="K247" s="6">
        <v>736</v>
      </c>
      <c r="L247" s="6">
        <v>338</v>
      </c>
      <c r="M247" s="6">
        <v>201</v>
      </c>
      <c r="N247" s="6">
        <v>142</v>
      </c>
      <c r="O247" s="68">
        <v>164</v>
      </c>
    </row>
    <row r="248" spans="2:15" x14ac:dyDescent="0.25">
      <c r="B248" s="65">
        <v>205</v>
      </c>
      <c r="C248" s="66"/>
      <c r="D248" s="6">
        <v>76</v>
      </c>
      <c r="E248" s="6">
        <v>126</v>
      </c>
      <c r="F248" s="6">
        <v>100</v>
      </c>
      <c r="G248" s="6">
        <v>88</v>
      </c>
      <c r="H248" s="6">
        <v>58</v>
      </c>
      <c r="I248" s="6">
        <v>37</v>
      </c>
      <c r="J248" s="6">
        <v>27</v>
      </c>
      <c r="K248" s="6">
        <v>24</v>
      </c>
      <c r="L248" s="6">
        <v>46</v>
      </c>
      <c r="M248" s="6">
        <v>60</v>
      </c>
      <c r="N248" s="6">
        <v>99</v>
      </c>
      <c r="O248" s="68">
        <v>159</v>
      </c>
    </row>
    <row r="249" spans="2:15" x14ac:dyDescent="0.25">
      <c r="B249" s="65">
        <v>206</v>
      </c>
      <c r="C249" s="66"/>
      <c r="D249" s="6">
        <v>301</v>
      </c>
      <c r="E249" s="6">
        <v>333</v>
      </c>
      <c r="F249" s="6">
        <v>219</v>
      </c>
      <c r="G249" s="6">
        <v>159</v>
      </c>
      <c r="H249" s="6">
        <v>165</v>
      </c>
      <c r="I249" s="6">
        <v>123</v>
      </c>
      <c r="J249" s="6">
        <v>91</v>
      </c>
      <c r="K249" s="6">
        <v>77</v>
      </c>
      <c r="L249" s="6">
        <v>146</v>
      </c>
      <c r="M249" s="6">
        <v>177</v>
      </c>
      <c r="N249" s="6">
        <v>260</v>
      </c>
      <c r="O249" s="68">
        <v>430</v>
      </c>
    </row>
    <row r="250" spans="2:15" x14ac:dyDescent="0.25">
      <c r="B250" s="65">
        <v>207</v>
      </c>
      <c r="C250" s="66"/>
      <c r="D250" s="6">
        <v>302</v>
      </c>
      <c r="E250" s="6">
        <v>334</v>
      </c>
      <c r="F250" s="6">
        <v>221</v>
      </c>
      <c r="G250" s="6">
        <v>160</v>
      </c>
      <c r="H250" s="6">
        <v>166</v>
      </c>
      <c r="I250" s="6">
        <v>124</v>
      </c>
      <c r="J250" s="6">
        <v>94</v>
      </c>
      <c r="K250" s="6">
        <v>80</v>
      </c>
      <c r="L250" s="6">
        <v>149</v>
      </c>
      <c r="M250" s="6">
        <v>180</v>
      </c>
      <c r="N250" s="6">
        <v>265</v>
      </c>
      <c r="O250" s="68">
        <v>437</v>
      </c>
    </row>
    <row r="251" spans="2:15" x14ac:dyDescent="0.25">
      <c r="B251" s="65">
        <v>208</v>
      </c>
      <c r="C251" s="66"/>
      <c r="D251" s="6">
        <v>0</v>
      </c>
      <c r="E251" s="6">
        <v>0</v>
      </c>
      <c r="F251" s="6">
        <v>0</v>
      </c>
      <c r="G251" s="6">
        <v>0</v>
      </c>
      <c r="H251" s="6">
        <v>0</v>
      </c>
      <c r="I251" s="6">
        <v>0</v>
      </c>
      <c r="J251" s="6">
        <v>0</v>
      </c>
      <c r="K251" s="6">
        <v>0</v>
      </c>
      <c r="L251" s="6">
        <v>0</v>
      </c>
      <c r="M251" s="6">
        <v>0</v>
      </c>
      <c r="N251" s="6">
        <v>0</v>
      </c>
      <c r="O251" s="68">
        <v>0</v>
      </c>
    </row>
    <row r="252" spans="2:15" x14ac:dyDescent="0.25">
      <c r="B252" s="65">
        <v>209</v>
      </c>
      <c r="C252" s="66"/>
      <c r="D252" s="6">
        <v>243</v>
      </c>
      <c r="E252" s="6">
        <v>351</v>
      </c>
      <c r="F252" s="6">
        <v>268</v>
      </c>
      <c r="G252" s="6">
        <v>237</v>
      </c>
      <c r="H252" s="6">
        <v>166</v>
      </c>
      <c r="I252" s="6">
        <v>111</v>
      </c>
      <c r="J252" s="6">
        <v>75</v>
      </c>
      <c r="K252" s="6">
        <v>62</v>
      </c>
      <c r="L252" s="6">
        <v>161</v>
      </c>
      <c r="M252" s="6">
        <v>201</v>
      </c>
      <c r="N252" s="6">
        <v>336</v>
      </c>
      <c r="O252" s="68">
        <v>550</v>
      </c>
    </row>
    <row r="253" spans="2:15" x14ac:dyDescent="0.25">
      <c r="B253" s="65">
        <v>210</v>
      </c>
      <c r="C253" s="66"/>
      <c r="D253" s="6">
        <v>0</v>
      </c>
      <c r="E253" s="6">
        <v>0</v>
      </c>
      <c r="F253" s="6">
        <v>0</v>
      </c>
      <c r="G253" s="6">
        <v>0</v>
      </c>
      <c r="H253" s="6">
        <v>0</v>
      </c>
      <c r="I253" s="6">
        <v>0</v>
      </c>
      <c r="J253" s="6">
        <v>0</v>
      </c>
      <c r="K253" s="6">
        <v>0</v>
      </c>
      <c r="L253" s="6">
        <v>0</v>
      </c>
      <c r="M253" s="6">
        <v>0</v>
      </c>
      <c r="N253" s="6">
        <v>0</v>
      </c>
      <c r="O253" s="68">
        <v>0</v>
      </c>
    </row>
    <row r="254" spans="2:15" x14ac:dyDescent="0.25">
      <c r="B254" s="65">
        <v>211</v>
      </c>
      <c r="C254" s="66"/>
      <c r="D254" s="6">
        <v>312</v>
      </c>
      <c r="E254" s="6">
        <v>218</v>
      </c>
      <c r="F254" s="6">
        <v>197</v>
      </c>
      <c r="G254" s="6">
        <v>140</v>
      </c>
      <c r="H254" s="6">
        <v>136</v>
      </c>
      <c r="I254" s="6">
        <v>116</v>
      </c>
      <c r="J254" s="6">
        <v>90</v>
      </c>
      <c r="K254" s="6">
        <v>81</v>
      </c>
      <c r="L254" s="6">
        <v>144</v>
      </c>
      <c r="M254" s="6">
        <v>171</v>
      </c>
      <c r="N254" s="6">
        <v>253</v>
      </c>
      <c r="O254" s="68">
        <v>428</v>
      </c>
    </row>
    <row r="255" spans="2:15" x14ac:dyDescent="0.25">
      <c r="B255" s="65">
        <v>212</v>
      </c>
      <c r="C255" s="66"/>
      <c r="D255" s="6">
        <v>0</v>
      </c>
      <c r="E255" s="6">
        <v>0</v>
      </c>
      <c r="F255" s="6">
        <v>0</v>
      </c>
      <c r="G255" s="6">
        <v>0</v>
      </c>
      <c r="H255" s="6">
        <v>0</v>
      </c>
      <c r="I255" s="6">
        <v>0</v>
      </c>
      <c r="J255" s="6">
        <v>0</v>
      </c>
      <c r="K255" s="6">
        <v>0</v>
      </c>
      <c r="L255" s="6">
        <v>0</v>
      </c>
      <c r="M255" s="6">
        <v>0</v>
      </c>
      <c r="N255" s="6">
        <v>0</v>
      </c>
      <c r="O255" s="68">
        <v>0</v>
      </c>
    </row>
    <row r="256" spans="2:15" x14ac:dyDescent="0.25">
      <c r="B256" s="65">
        <v>213</v>
      </c>
      <c r="C256" s="66"/>
      <c r="D256" s="6">
        <v>0</v>
      </c>
      <c r="E256" s="6">
        <v>0</v>
      </c>
      <c r="F256" s="6">
        <v>0</v>
      </c>
      <c r="G256" s="6">
        <v>0</v>
      </c>
      <c r="H256" s="6">
        <v>0</v>
      </c>
      <c r="I256" s="6">
        <v>0</v>
      </c>
      <c r="J256" s="6">
        <v>0</v>
      </c>
      <c r="K256" s="6">
        <v>0</v>
      </c>
      <c r="L256" s="6">
        <v>0</v>
      </c>
      <c r="M256" s="6">
        <v>0</v>
      </c>
      <c r="N256" s="6">
        <v>0</v>
      </c>
      <c r="O256" s="68">
        <v>0</v>
      </c>
    </row>
    <row r="257" spans="2:15" x14ac:dyDescent="0.25">
      <c r="B257" s="65">
        <v>214</v>
      </c>
      <c r="C257" s="66"/>
      <c r="D257" s="6">
        <v>0</v>
      </c>
      <c r="E257" s="6">
        <v>0</v>
      </c>
      <c r="F257" s="6">
        <v>0</v>
      </c>
      <c r="G257" s="6">
        <v>0</v>
      </c>
      <c r="H257" s="6">
        <v>0</v>
      </c>
      <c r="I257" s="6">
        <v>0</v>
      </c>
      <c r="J257" s="6">
        <v>0</v>
      </c>
      <c r="K257" s="6">
        <v>0</v>
      </c>
      <c r="L257" s="6">
        <v>0</v>
      </c>
      <c r="M257" s="6">
        <v>0</v>
      </c>
      <c r="N257" s="6">
        <v>0</v>
      </c>
      <c r="O257" s="68">
        <v>0</v>
      </c>
    </row>
    <row r="258" spans="2:15" x14ac:dyDescent="0.25">
      <c r="B258" s="65">
        <v>215</v>
      </c>
      <c r="C258" s="66"/>
      <c r="D258" s="6">
        <v>283</v>
      </c>
      <c r="E258" s="6">
        <v>134</v>
      </c>
      <c r="F258" s="6">
        <v>65</v>
      </c>
      <c r="G258" s="6">
        <v>122</v>
      </c>
      <c r="H258" s="6">
        <v>544</v>
      </c>
      <c r="I258" s="6">
        <v>931</v>
      </c>
      <c r="J258" s="6">
        <v>117</v>
      </c>
      <c r="K258" s="6">
        <v>265</v>
      </c>
      <c r="L258" s="6">
        <v>438</v>
      </c>
      <c r="M258" s="6">
        <v>395</v>
      </c>
      <c r="N258" s="6">
        <v>236</v>
      </c>
      <c r="O258" s="68">
        <v>189</v>
      </c>
    </row>
    <row r="259" spans="2:15" x14ac:dyDescent="0.25">
      <c r="B259" s="65">
        <v>216</v>
      </c>
      <c r="C259" s="66"/>
      <c r="D259" s="6">
        <v>417</v>
      </c>
      <c r="E259" s="6">
        <v>210</v>
      </c>
      <c r="F259" s="6">
        <v>140</v>
      </c>
      <c r="G259" s="6">
        <v>106</v>
      </c>
      <c r="H259" s="6">
        <v>492</v>
      </c>
      <c r="I259" s="6">
        <v>1459</v>
      </c>
      <c r="J259" s="6">
        <v>180</v>
      </c>
      <c r="K259" s="6">
        <v>241</v>
      </c>
      <c r="L259" s="6">
        <v>462</v>
      </c>
      <c r="M259" s="6">
        <v>491</v>
      </c>
      <c r="N259" s="6">
        <v>316</v>
      </c>
      <c r="O259" s="68">
        <v>227</v>
      </c>
    </row>
    <row r="260" spans="2:15" x14ac:dyDescent="0.25">
      <c r="B260" s="65">
        <v>217</v>
      </c>
      <c r="C260" s="66"/>
      <c r="D260" s="6">
        <v>864</v>
      </c>
      <c r="E260" s="6">
        <v>459</v>
      </c>
      <c r="F260" s="6">
        <v>269</v>
      </c>
      <c r="G260" s="6">
        <v>322</v>
      </c>
      <c r="H260" s="6">
        <v>1288</v>
      </c>
      <c r="I260" s="6">
        <v>3014</v>
      </c>
      <c r="J260" s="6">
        <v>338</v>
      </c>
      <c r="K260" s="6">
        <v>608</v>
      </c>
      <c r="L260" s="6">
        <v>1123</v>
      </c>
      <c r="M260" s="6">
        <v>1124</v>
      </c>
      <c r="N260" s="6">
        <v>698</v>
      </c>
      <c r="O260" s="68">
        <v>519</v>
      </c>
    </row>
    <row r="261" spans="2:15" x14ac:dyDescent="0.25">
      <c r="B261" s="65">
        <v>218</v>
      </c>
      <c r="C261" s="66"/>
      <c r="D261" s="6">
        <v>0</v>
      </c>
      <c r="E261" s="6">
        <v>0</v>
      </c>
      <c r="F261" s="6">
        <v>0</v>
      </c>
      <c r="G261" s="6">
        <v>0</v>
      </c>
      <c r="H261" s="6">
        <v>0</v>
      </c>
      <c r="I261" s="6">
        <v>0</v>
      </c>
      <c r="J261" s="6">
        <v>0</v>
      </c>
      <c r="K261" s="6">
        <v>0</v>
      </c>
      <c r="L261" s="6">
        <v>0</v>
      </c>
      <c r="M261" s="6">
        <v>0</v>
      </c>
      <c r="N261" s="6">
        <v>0</v>
      </c>
      <c r="O261" s="68">
        <v>0</v>
      </c>
    </row>
    <row r="262" spans="2:15" x14ac:dyDescent="0.25">
      <c r="B262" s="65">
        <v>219</v>
      </c>
      <c r="C262" s="66"/>
      <c r="D262" s="6">
        <v>0</v>
      </c>
      <c r="E262" s="6">
        <v>0</v>
      </c>
      <c r="F262" s="6">
        <v>0</v>
      </c>
      <c r="G262" s="6">
        <v>0</v>
      </c>
      <c r="H262" s="6">
        <v>0</v>
      </c>
      <c r="I262" s="6">
        <v>0</v>
      </c>
      <c r="J262" s="6">
        <v>0</v>
      </c>
      <c r="K262" s="6">
        <v>0</v>
      </c>
      <c r="L262" s="6">
        <v>0</v>
      </c>
      <c r="M262" s="6">
        <v>0</v>
      </c>
      <c r="N262" s="6">
        <v>0</v>
      </c>
      <c r="O262" s="68">
        <v>0</v>
      </c>
    </row>
    <row r="263" spans="2:15" x14ac:dyDescent="0.25">
      <c r="B263" s="65">
        <v>220</v>
      </c>
      <c r="C263" s="66"/>
      <c r="D263" s="6">
        <v>56</v>
      </c>
      <c r="E263" s="6">
        <v>53</v>
      </c>
      <c r="F263" s="6">
        <v>55</v>
      </c>
      <c r="G263" s="6">
        <v>160</v>
      </c>
      <c r="H263" s="6">
        <v>328</v>
      </c>
      <c r="I263" s="6">
        <v>419</v>
      </c>
      <c r="J263" s="6">
        <v>80</v>
      </c>
      <c r="K263" s="6">
        <v>89</v>
      </c>
      <c r="L263" s="6">
        <v>131</v>
      </c>
      <c r="M263" s="6">
        <v>148</v>
      </c>
      <c r="N263" s="6">
        <v>103</v>
      </c>
      <c r="O263" s="68">
        <v>80</v>
      </c>
    </row>
    <row r="264" spans="2:15" x14ac:dyDescent="0.25">
      <c r="B264" s="65">
        <v>221</v>
      </c>
      <c r="C264" s="66"/>
      <c r="D264" s="6">
        <v>0</v>
      </c>
      <c r="E264" s="6">
        <v>0</v>
      </c>
      <c r="F264" s="6">
        <v>0</v>
      </c>
      <c r="G264" s="6">
        <v>0</v>
      </c>
      <c r="H264" s="6">
        <v>0</v>
      </c>
      <c r="I264" s="6">
        <v>0</v>
      </c>
      <c r="J264" s="6">
        <v>0</v>
      </c>
      <c r="K264" s="6">
        <v>0</v>
      </c>
      <c r="L264" s="6">
        <v>0</v>
      </c>
      <c r="M264" s="6">
        <v>0</v>
      </c>
      <c r="N264" s="6">
        <v>0</v>
      </c>
      <c r="O264" s="68">
        <v>0</v>
      </c>
    </row>
    <row r="265" spans="2:15" x14ac:dyDescent="0.25">
      <c r="B265" s="65">
        <v>222</v>
      </c>
      <c r="C265" s="66"/>
      <c r="D265" s="6">
        <v>1774</v>
      </c>
      <c r="E265" s="6">
        <v>1518</v>
      </c>
      <c r="F265" s="6">
        <v>1094</v>
      </c>
      <c r="G265" s="6">
        <v>634</v>
      </c>
      <c r="H265" s="6">
        <v>1481</v>
      </c>
      <c r="I265" s="6">
        <v>2743</v>
      </c>
      <c r="J265" s="6">
        <v>639</v>
      </c>
      <c r="K265" s="6">
        <v>688</v>
      </c>
      <c r="L265" s="6">
        <v>1466</v>
      </c>
      <c r="M265" s="6">
        <v>1960</v>
      </c>
      <c r="N265" s="6">
        <v>1474</v>
      </c>
      <c r="O265" s="68">
        <v>1189</v>
      </c>
    </row>
    <row r="266" spans="2:15" x14ac:dyDescent="0.25">
      <c r="B266" s="65">
        <v>223</v>
      </c>
      <c r="C266" s="66"/>
      <c r="D266" s="6">
        <v>0</v>
      </c>
      <c r="E266" s="6">
        <v>0</v>
      </c>
      <c r="F266" s="6">
        <v>0</v>
      </c>
      <c r="G266" s="6">
        <v>0</v>
      </c>
      <c r="H266" s="6">
        <v>0</v>
      </c>
      <c r="I266" s="6">
        <v>0</v>
      </c>
      <c r="J266" s="6">
        <v>0</v>
      </c>
      <c r="K266" s="6">
        <v>0</v>
      </c>
      <c r="L266" s="6">
        <v>0</v>
      </c>
      <c r="M266" s="6">
        <v>0</v>
      </c>
      <c r="N266" s="6">
        <v>0</v>
      </c>
      <c r="O266" s="68">
        <v>0</v>
      </c>
    </row>
    <row r="267" spans="2:15" x14ac:dyDescent="0.25">
      <c r="B267" s="65">
        <v>224</v>
      </c>
      <c r="C267" s="66"/>
      <c r="D267" s="6">
        <v>0</v>
      </c>
      <c r="E267" s="6">
        <v>0</v>
      </c>
      <c r="F267" s="6">
        <v>0</v>
      </c>
      <c r="G267" s="6">
        <v>0</v>
      </c>
      <c r="H267" s="6">
        <v>0</v>
      </c>
      <c r="I267" s="6">
        <v>0</v>
      </c>
      <c r="J267" s="6">
        <v>0</v>
      </c>
      <c r="K267" s="6">
        <v>0</v>
      </c>
      <c r="L267" s="6">
        <v>0</v>
      </c>
      <c r="M267" s="6">
        <v>0</v>
      </c>
      <c r="N267" s="6">
        <v>0</v>
      </c>
      <c r="O267" s="68">
        <v>0</v>
      </c>
    </row>
    <row r="268" spans="2:15" x14ac:dyDescent="0.25">
      <c r="B268" s="65">
        <v>225</v>
      </c>
      <c r="C268" s="66"/>
      <c r="D268" s="6">
        <v>379</v>
      </c>
      <c r="E268" s="6">
        <v>476</v>
      </c>
      <c r="F268" s="6">
        <v>511</v>
      </c>
      <c r="G268" s="6">
        <v>376</v>
      </c>
      <c r="H268" s="6">
        <v>187</v>
      </c>
      <c r="I268" s="6">
        <v>75</v>
      </c>
      <c r="J268" s="6">
        <v>40</v>
      </c>
      <c r="K268" s="6">
        <v>25</v>
      </c>
      <c r="L268" s="6">
        <v>20</v>
      </c>
      <c r="M268" s="6">
        <v>31</v>
      </c>
      <c r="N268" s="6">
        <v>76</v>
      </c>
      <c r="O268" s="68">
        <v>213</v>
      </c>
    </row>
    <row r="269" spans="2:15" x14ac:dyDescent="0.25">
      <c r="B269" s="65">
        <v>226</v>
      </c>
      <c r="C269" s="66"/>
      <c r="D269" s="6">
        <v>0</v>
      </c>
      <c r="E269" s="6">
        <v>0</v>
      </c>
      <c r="F269" s="6">
        <v>0</v>
      </c>
      <c r="G269" s="6">
        <v>0</v>
      </c>
      <c r="H269" s="6">
        <v>0</v>
      </c>
      <c r="I269" s="6">
        <v>0</v>
      </c>
      <c r="J269" s="6">
        <v>0</v>
      </c>
      <c r="K269" s="6">
        <v>0</v>
      </c>
      <c r="L269" s="6">
        <v>0</v>
      </c>
      <c r="M269" s="6">
        <v>0</v>
      </c>
      <c r="N269" s="6">
        <v>0</v>
      </c>
      <c r="O269" s="68">
        <v>0</v>
      </c>
    </row>
    <row r="270" spans="2:15" x14ac:dyDescent="0.25">
      <c r="B270" s="65">
        <v>227</v>
      </c>
      <c r="C270" s="66"/>
      <c r="D270" s="6">
        <v>1148</v>
      </c>
      <c r="E270" s="6">
        <v>1658</v>
      </c>
      <c r="F270" s="6">
        <v>1784</v>
      </c>
      <c r="G270" s="6">
        <v>1405</v>
      </c>
      <c r="H270" s="6">
        <v>894</v>
      </c>
      <c r="I270" s="6">
        <v>597</v>
      </c>
      <c r="J270" s="6">
        <v>369</v>
      </c>
      <c r="K270" s="6">
        <v>321</v>
      </c>
      <c r="L270" s="6">
        <v>412</v>
      </c>
      <c r="M270" s="6">
        <v>480</v>
      </c>
      <c r="N270" s="6">
        <v>702</v>
      </c>
      <c r="O270" s="68">
        <v>1085</v>
      </c>
    </row>
    <row r="271" spans="2:15" x14ac:dyDescent="0.25">
      <c r="B271" s="65">
        <v>228</v>
      </c>
      <c r="C271" s="66"/>
      <c r="D271" s="6">
        <v>1254</v>
      </c>
      <c r="E271" s="6">
        <v>1809</v>
      </c>
      <c r="F271" s="6">
        <v>1949</v>
      </c>
      <c r="G271" s="6">
        <v>1534</v>
      </c>
      <c r="H271" s="6">
        <v>975</v>
      </c>
      <c r="I271" s="6">
        <v>652</v>
      </c>
      <c r="J271" s="6">
        <v>403</v>
      </c>
      <c r="K271" s="6">
        <v>351</v>
      </c>
      <c r="L271" s="6">
        <v>451</v>
      </c>
      <c r="M271" s="6">
        <v>525</v>
      </c>
      <c r="N271" s="6">
        <v>767</v>
      </c>
      <c r="O271" s="68">
        <v>1186</v>
      </c>
    </row>
    <row r="272" spans="2:15" x14ac:dyDescent="0.25">
      <c r="B272" s="65">
        <v>229</v>
      </c>
      <c r="C272" s="66"/>
      <c r="D272" s="6">
        <v>2715</v>
      </c>
      <c r="E272" s="6">
        <v>4410</v>
      </c>
      <c r="F272" s="6">
        <v>5070</v>
      </c>
      <c r="G272" s="6">
        <v>4029</v>
      </c>
      <c r="H272" s="6">
        <v>2325</v>
      </c>
      <c r="I272" s="6">
        <v>1278</v>
      </c>
      <c r="J272" s="6">
        <v>749</v>
      </c>
      <c r="K272" s="6">
        <v>592</v>
      </c>
      <c r="L272" s="6">
        <v>706</v>
      </c>
      <c r="M272" s="6">
        <v>887</v>
      </c>
      <c r="N272" s="6">
        <v>1478</v>
      </c>
      <c r="O272" s="68">
        <v>2564</v>
      </c>
    </row>
    <row r="273" spans="2:15" x14ac:dyDescent="0.25">
      <c r="B273" s="65">
        <v>230</v>
      </c>
      <c r="C273" s="66"/>
      <c r="D273" s="6">
        <v>2739</v>
      </c>
      <c r="E273" s="6">
        <v>4450</v>
      </c>
      <c r="F273" s="6">
        <v>5116</v>
      </c>
      <c r="G273" s="6">
        <v>4066</v>
      </c>
      <c r="H273" s="6">
        <v>2346</v>
      </c>
      <c r="I273" s="6">
        <v>1289</v>
      </c>
      <c r="J273" s="6">
        <v>595</v>
      </c>
      <c r="K273" s="6">
        <v>441</v>
      </c>
      <c r="L273" s="6">
        <v>712</v>
      </c>
      <c r="M273" s="6">
        <v>896</v>
      </c>
      <c r="N273" s="6">
        <v>1493</v>
      </c>
      <c r="O273" s="68">
        <v>2588</v>
      </c>
    </row>
    <row r="274" spans="2:15" x14ac:dyDescent="0.25">
      <c r="B274" s="65">
        <v>231</v>
      </c>
      <c r="C274" s="66"/>
      <c r="D274" s="6">
        <v>0</v>
      </c>
      <c r="E274" s="6">
        <v>0</v>
      </c>
      <c r="F274" s="6">
        <v>0</v>
      </c>
      <c r="G274" s="6">
        <v>0</v>
      </c>
      <c r="H274" s="6">
        <v>0</v>
      </c>
      <c r="I274" s="6">
        <v>0</v>
      </c>
      <c r="J274" s="6">
        <v>0</v>
      </c>
      <c r="K274" s="6">
        <v>0</v>
      </c>
      <c r="L274" s="6">
        <v>0</v>
      </c>
      <c r="M274" s="6">
        <v>0</v>
      </c>
      <c r="N274" s="6">
        <v>0</v>
      </c>
      <c r="O274" s="68">
        <v>0</v>
      </c>
    </row>
    <row r="275" spans="2:15" x14ac:dyDescent="0.25">
      <c r="B275" s="65">
        <v>232</v>
      </c>
      <c r="C275" s="66"/>
      <c r="D275" s="6">
        <v>0</v>
      </c>
      <c r="E275" s="6">
        <v>0</v>
      </c>
      <c r="F275" s="6">
        <v>0</v>
      </c>
      <c r="G275" s="6">
        <v>0</v>
      </c>
      <c r="H275" s="6">
        <v>0</v>
      </c>
      <c r="I275" s="6">
        <v>0</v>
      </c>
      <c r="J275" s="6">
        <v>0</v>
      </c>
      <c r="K275" s="6">
        <v>0</v>
      </c>
      <c r="L275" s="6">
        <v>0</v>
      </c>
      <c r="M275" s="6">
        <v>0</v>
      </c>
      <c r="N275" s="6">
        <v>0</v>
      </c>
      <c r="O275" s="68">
        <v>0</v>
      </c>
    </row>
    <row r="276" spans="2:15" x14ac:dyDescent="0.25">
      <c r="B276" s="65">
        <v>233</v>
      </c>
      <c r="C276" s="66"/>
      <c r="D276" s="6">
        <v>0</v>
      </c>
      <c r="E276" s="6">
        <v>0</v>
      </c>
      <c r="F276" s="6">
        <v>0</v>
      </c>
      <c r="G276" s="6">
        <v>0</v>
      </c>
      <c r="H276" s="6">
        <v>0</v>
      </c>
      <c r="I276" s="6">
        <v>0</v>
      </c>
      <c r="J276" s="6">
        <v>0</v>
      </c>
      <c r="K276" s="6">
        <v>0</v>
      </c>
      <c r="L276" s="6">
        <v>0</v>
      </c>
      <c r="M276" s="6">
        <v>0</v>
      </c>
      <c r="N276" s="6">
        <v>0</v>
      </c>
      <c r="O276" s="68">
        <v>0</v>
      </c>
    </row>
    <row r="277" spans="2:15" x14ac:dyDescent="0.25">
      <c r="B277" s="65">
        <v>234</v>
      </c>
      <c r="C277" s="66"/>
      <c r="D277" s="6">
        <v>0</v>
      </c>
      <c r="E277" s="6">
        <v>0</v>
      </c>
      <c r="F277" s="6">
        <v>0</v>
      </c>
      <c r="G277" s="6">
        <v>0</v>
      </c>
      <c r="H277" s="6">
        <v>0</v>
      </c>
      <c r="I277" s="6">
        <v>0</v>
      </c>
      <c r="J277" s="6">
        <v>0</v>
      </c>
      <c r="K277" s="6">
        <v>0</v>
      </c>
      <c r="L277" s="6">
        <v>0</v>
      </c>
      <c r="M277" s="6">
        <v>0</v>
      </c>
      <c r="N277" s="6">
        <v>0</v>
      </c>
      <c r="O277" s="68">
        <v>0</v>
      </c>
    </row>
    <row r="278" spans="2:15" x14ac:dyDescent="0.25">
      <c r="B278" s="65">
        <v>235</v>
      </c>
      <c r="C278" s="66"/>
      <c r="D278" s="6">
        <v>0</v>
      </c>
      <c r="E278" s="6">
        <v>0</v>
      </c>
      <c r="F278" s="6">
        <v>0</v>
      </c>
      <c r="G278" s="6">
        <v>0</v>
      </c>
      <c r="H278" s="6">
        <v>0</v>
      </c>
      <c r="I278" s="6">
        <v>0</v>
      </c>
      <c r="J278" s="6">
        <v>0</v>
      </c>
      <c r="K278" s="6">
        <v>0</v>
      </c>
      <c r="L278" s="6">
        <v>0</v>
      </c>
      <c r="M278" s="6">
        <v>0</v>
      </c>
      <c r="N278" s="6">
        <v>0</v>
      </c>
      <c r="O278" s="68">
        <v>0</v>
      </c>
    </row>
    <row r="279" spans="2:15" x14ac:dyDescent="0.25">
      <c r="B279" s="65">
        <v>236</v>
      </c>
      <c r="C279" s="66"/>
      <c r="D279" s="6">
        <v>0</v>
      </c>
      <c r="E279" s="6">
        <v>0</v>
      </c>
      <c r="F279" s="6">
        <v>0</v>
      </c>
      <c r="G279" s="6">
        <v>0</v>
      </c>
      <c r="H279" s="6">
        <v>0</v>
      </c>
      <c r="I279" s="6">
        <v>0</v>
      </c>
      <c r="J279" s="6">
        <v>0</v>
      </c>
      <c r="K279" s="6">
        <v>0</v>
      </c>
      <c r="L279" s="6">
        <v>0</v>
      </c>
      <c r="M279" s="6">
        <v>0</v>
      </c>
      <c r="N279" s="6">
        <v>0</v>
      </c>
      <c r="O279" s="68">
        <v>0</v>
      </c>
    </row>
    <row r="280" spans="2:15" x14ac:dyDescent="0.25">
      <c r="B280" s="65">
        <v>237</v>
      </c>
      <c r="C280" s="66"/>
      <c r="D280" s="6">
        <v>921</v>
      </c>
      <c r="E280" s="6">
        <v>626</v>
      </c>
      <c r="F280" s="6">
        <v>558</v>
      </c>
      <c r="G280" s="6">
        <v>426</v>
      </c>
      <c r="H280" s="6">
        <v>675</v>
      </c>
      <c r="I280" s="6">
        <v>548</v>
      </c>
      <c r="J280" s="6">
        <v>253</v>
      </c>
      <c r="K280" s="6">
        <v>209</v>
      </c>
      <c r="L280" s="6">
        <v>257</v>
      </c>
      <c r="M280" s="6">
        <v>313</v>
      </c>
      <c r="N280" s="6">
        <v>340</v>
      </c>
      <c r="O280" s="68">
        <v>512</v>
      </c>
    </row>
    <row r="281" spans="2:15" x14ac:dyDescent="0.25">
      <c r="B281" s="65">
        <v>238</v>
      </c>
      <c r="C281" s="66"/>
      <c r="D281" s="6">
        <v>1018</v>
      </c>
      <c r="E281" s="6">
        <v>717</v>
      </c>
      <c r="F281" s="6">
        <v>639</v>
      </c>
      <c r="G281" s="6">
        <v>485</v>
      </c>
      <c r="H281" s="6">
        <v>764</v>
      </c>
      <c r="I281" s="6">
        <v>613</v>
      </c>
      <c r="J281" s="6">
        <v>286</v>
      </c>
      <c r="K281" s="6">
        <v>237</v>
      </c>
      <c r="L281" s="6">
        <v>288</v>
      </c>
      <c r="M281" s="6">
        <v>347</v>
      </c>
      <c r="N281" s="6">
        <v>378</v>
      </c>
      <c r="O281" s="68">
        <v>566</v>
      </c>
    </row>
    <row r="282" spans="2:15" x14ac:dyDescent="0.25">
      <c r="B282" s="65">
        <v>239</v>
      </c>
      <c r="C282" s="66"/>
      <c r="D282" s="6">
        <v>1212</v>
      </c>
      <c r="E282" s="6">
        <v>888</v>
      </c>
      <c r="F282" s="6">
        <v>793</v>
      </c>
      <c r="G282" s="6">
        <v>600</v>
      </c>
      <c r="H282" s="6">
        <v>935</v>
      </c>
      <c r="I282" s="6">
        <v>736</v>
      </c>
      <c r="J282" s="6">
        <v>355</v>
      </c>
      <c r="K282" s="6">
        <v>298</v>
      </c>
      <c r="L282" s="6">
        <v>354</v>
      </c>
      <c r="M282" s="6">
        <v>418</v>
      </c>
      <c r="N282" s="6">
        <v>455</v>
      </c>
      <c r="O282" s="68">
        <v>676</v>
      </c>
    </row>
    <row r="283" spans="2:15" x14ac:dyDescent="0.25">
      <c r="B283" s="65">
        <v>240</v>
      </c>
      <c r="C283" s="66"/>
      <c r="D283" s="6">
        <v>1405</v>
      </c>
      <c r="E283" s="6">
        <v>1024</v>
      </c>
      <c r="F283" s="6">
        <v>897</v>
      </c>
      <c r="G283" s="6">
        <v>696</v>
      </c>
      <c r="H283" s="6">
        <v>1104</v>
      </c>
      <c r="I283" s="6">
        <v>875</v>
      </c>
      <c r="J283" s="6">
        <v>485</v>
      </c>
      <c r="K283" s="6">
        <v>454</v>
      </c>
      <c r="L283" s="6">
        <v>431</v>
      </c>
      <c r="M283" s="6">
        <v>503</v>
      </c>
      <c r="N283" s="6">
        <v>543</v>
      </c>
      <c r="O283" s="68">
        <v>806</v>
      </c>
    </row>
    <row r="284" spans="2:15" x14ac:dyDescent="0.25">
      <c r="B284" s="65">
        <v>241</v>
      </c>
      <c r="C284" s="66"/>
      <c r="D284" s="6">
        <v>252</v>
      </c>
      <c r="E284" s="6">
        <v>244</v>
      </c>
      <c r="F284" s="6">
        <v>300</v>
      </c>
      <c r="G284" s="6">
        <v>209</v>
      </c>
      <c r="H284" s="6">
        <v>174</v>
      </c>
      <c r="I284" s="6">
        <v>140</v>
      </c>
      <c r="J284" s="6">
        <v>122</v>
      </c>
      <c r="K284" s="6">
        <v>115</v>
      </c>
      <c r="L284" s="6">
        <v>133</v>
      </c>
      <c r="M284" s="6">
        <v>151</v>
      </c>
      <c r="N284" s="6">
        <v>179</v>
      </c>
      <c r="O284" s="68">
        <v>224</v>
      </c>
    </row>
    <row r="285" spans="2:15" x14ac:dyDescent="0.25">
      <c r="B285" s="65">
        <v>242</v>
      </c>
      <c r="C285" s="66"/>
      <c r="D285" s="6">
        <v>1478</v>
      </c>
      <c r="E285" s="6">
        <v>1081</v>
      </c>
      <c r="F285" s="6">
        <v>940</v>
      </c>
      <c r="G285" s="6">
        <v>730</v>
      </c>
      <c r="H285" s="6">
        <v>1172</v>
      </c>
      <c r="I285" s="6">
        <v>930</v>
      </c>
      <c r="J285" s="6">
        <v>514</v>
      </c>
      <c r="K285" s="6">
        <v>481</v>
      </c>
      <c r="L285" s="6">
        <v>455</v>
      </c>
      <c r="M285" s="6">
        <v>533</v>
      </c>
      <c r="N285" s="6">
        <v>577</v>
      </c>
      <c r="O285" s="68">
        <v>859</v>
      </c>
    </row>
    <row r="286" spans="2:15" x14ac:dyDescent="0.25">
      <c r="B286" s="65">
        <v>243</v>
      </c>
      <c r="C286" s="66"/>
      <c r="D286" s="6">
        <v>1494</v>
      </c>
      <c r="E286" s="6">
        <v>1159</v>
      </c>
      <c r="F286" s="6">
        <v>989</v>
      </c>
      <c r="G286" s="6">
        <v>730</v>
      </c>
      <c r="H286" s="6">
        <v>1209</v>
      </c>
      <c r="I286" s="6">
        <v>984</v>
      </c>
      <c r="J286" s="6">
        <v>552</v>
      </c>
      <c r="K286" s="6">
        <v>501</v>
      </c>
      <c r="L286" s="6">
        <v>484</v>
      </c>
      <c r="M286" s="6">
        <v>566</v>
      </c>
      <c r="N286" s="6">
        <v>609</v>
      </c>
      <c r="O286" s="68">
        <v>897</v>
      </c>
    </row>
    <row r="287" spans="2:15" x14ac:dyDescent="0.25">
      <c r="B287" s="65">
        <v>244</v>
      </c>
      <c r="C287" s="66"/>
      <c r="D287" s="6">
        <v>7039</v>
      </c>
      <c r="E287" s="6">
        <v>6854</v>
      </c>
      <c r="F287" s="6">
        <v>6189</v>
      </c>
      <c r="G287" s="6">
        <v>4690</v>
      </c>
      <c r="H287" s="6">
        <v>4869</v>
      </c>
      <c r="I287" s="6">
        <v>3612</v>
      </c>
      <c r="J287" s="6">
        <v>2509</v>
      </c>
      <c r="K287" s="6">
        <v>2248</v>
      </c>
      <c r="L287" s="6">
        <v>2956</v>
      </c>
      <c r="M287" s="6">
        <v>3407</v>
      </c>
      <c r="N287" s="6">
        <v>4497</v>
      </c>
      <c r="O287" s="68">
        <v>7151</v>
      </c>
    </row>
    <row r="288" spans="2:15" x14ac:dyDescent="0.25">
      <c r="B288" s="65">
        <v>245</v>
      </c>
      <c r="C288" s="66"/>
      <c r="D288" s="6">
        <v>7687</v>
      </c>
      <c r="E288" s="6">
        <v>7584</v>
      </c>
      <c r="F288" s="6">
        <v>6838</v>
      </c>
      <c r="G288" s="6">
        <v>5274</v>
      </c>
      <c r="H288" s="6">
        <v>5342</v>
      </c>
      <c r="I288" s="6">
        <v>4040</v>
      </c>
      <c r="J288" s="6">
        <v>2894</v>
      </c>
      <c r="K288" s="6">
        <v>2588</v>
      </c>
      <c r="L288" s="6">
        <v>3225</v>
      </c>
      <c r="M288" s="6">
        <v>3681</v>
      </c>
      <c r="N288" s="6">
        <v>4793</v>
      </c>
      <c r="O288" s="68">
        <v>7488</v>
      </c>
    </row>
    <row r="289" spans="2:15" x14ac:dyDescent="0.25">
      <c r="B289" s="65">
        <v>246</v>
      </c>
      <c r="C289" s="66"/>
      <c r="D289" s="6">
        <v>8741</v>
      </c>
      <c r="E289" s="6">
        <v>9309</v>
      </c>
      <c r="F289" s="6">
        <v>7992</v>
      </c>
      <c r="G289" s="6">
        <v>6470</v>
      </c>
      <c r="H289" s="6">
        <v>6830</v>
      </c>
      <c r="I289" s="6">
        <v>5339</v>
      </c>
      <c r="J289" s="6">
        <v>3740</v>
      </c>
      <c r="K289" s="6">
        <v>3328</v>
      </c>
      <c r="L289" s="6">
        <v>3837</v>
      </c>
      <c r="M289" s="6">
        <v>4345</v>
      </c>
      <c r="N289" s="6">
        <v>5457</v>
      </c>
      <c r="O289" s="68">
        <v>8154</v>
      </c>
    </row>
    <row r="290" spans="2:15" x14ac:dyDescent="0.25">
      <c r="B290" s="65">
        <v>247</v>
      </c>
      <c r="C290" s="66"/>
      <c r="D290" s="6">
        <v>212</v>
      </c>
      <c r="E290" s="6">
        <v>242</v>
      </c>
      <c r="F290" s="6">
        <v>314</v>
      </c>
      <c r="G290" s="6">
        <v>216</v>
      </c>
      <c r="H290" s="6">
        <v>164</v>
      </c>
      <c r="I290" s="6">
        <v>119</v>
      </c>
      <c r="J290" s="6">
        <v>97</v>
      </c>
      <c r="K290" s="6">
        <v>85</v>
      </c>
      <c r="L290" s="6">
        <v>103</v>
      </c>
      <c r="M290" s="6">
        <v>126</v>
      </c>
      <c r="N290" s="6">
        <v>165</v>
      </c>
      <c r="O290" s="68">
        <v>231</v>
      </c>
    </row>
    <row r="291" spans="2:15" x14ac:dyDescent="0.25">
      <c r="B291" s="65">
        <v>248</v>
      </c>
      <c r="C291" s="66"/>
      <c r="D291" s="6">
        <v>219</v>
      </c>
      <c r="E291" s="6">
        <v>252</v>
      </c>
      <c r="F291" s="6">
        <v>327</v>
      </c>
      <c r="G291" s="6">
        <v>225</v>
      </c>
      <c r="H291" s="6">
        <v>172</v>
      </c>
      <c r="I291" s="6">
        <v>124</v>
      </c>
      <c r="J291" s="6">
        <v>101</v>
      </c>
      <c r="K291" s="6">
        <v>88</v>
      </c>
      <c r="L291" s="6">
        <v>107</v>
      </c>
      <c r="M291" s="6">
        <v>132</v>
      </c>
      <c r="N291" s="6">
        <v>172</v>
      </c>
      <c r="O291" s="68">
        <v>241</v>
      </c>
    </row>
    <row r="292" spans="2:15" x14ac:dyDescent="0.25">
      <c r="B292" s="65">
        <v>249</v>
      </c>
      <c r="C292" s="66"/>
      <c r="D292" s="6">
        <v>746</v>
      </c>
      <c r="E292" s="6">
        <v>658</v>
      </c>
      <c r="F292" s="6">
        <v>390</v>
      </c>
      <c r="G292" s="6">
        <v>380</v>
      </c>
      <c r="H292" s="6">
        <v>651</v>
      </c>
      <c r="I292" s="6">
        <v>856</v>
      </c>
      <c r="J292" s="6">
        <v>428</v>
      </c>
      <c r="K292" s="6">
        <v>315</v>
      </c>
      <c r="L292" s="6">
        <v>262</v>
      </c>
      <c r="M292" s="6">
        <v>311</v>
      </c>
      <c r="N292" s="6">
        <v>292</v>
      </c>
      <c r="O292" s="68">
        <v>359</v>
      </c>
    </row>
    <row r="293" spans="2:15" x14ac:dyDescent="0.25">
      <c r="B293" s="65">
        <v>250</v>
      </c>
      <c r="C293" s="66"/>
      <c r="D293" s="6">
        <v>0</v>
      </c>
      <c r="E293" s="6">
        <v>0</v>
      </c>
      <c r="F293" s="6">
        <v>0</v>
      </c>
      <c r="G293" s="6">
        <v>0</v>
      </c>
      <c r="H293" s="6">
        <v>0</v>
      </c>
      <c r="I293" s="6">
        <v>0</v>
      </c>
      <c r="J293" s="6">
        <v>0</v>
      </c>
      <c r="K293" s="6">
        <v>0</v>
      </c>
      <c r="L293" s="6">
        <v>0</v>
      </c>
      <c r="M293" s="6">
        <v>0</v>
      </c>
      <c r="N293" s="6">
        <v>0</v>
      </c>
      <c r="O293" s="68">
        <v>0</v>
      </c>
    </row>
    <row r="294" spans="2:15" x14ac:dyDescent="0.25">
      <c r="B294" s="65">
        <v>251</v>
      </c>
      <c r="C294" s="66"/>
      <c r="D294" s="6">
        <v>85</v>
      </c>
      <c r="E294" s="6">
        <v>177</v>
      </c>
      <c r="F294" s="6">
        <v>121</v>
      </c>
      <c r="G294" s="6">
        <v>72</v>
      </c>
      <c r="H294" s="6">
        <v>65</v>
      </c>
      <c r="I294" s="6">
        <v>38</v>
      </c>
      <c r="J294" s="6">
        <v>30</v>
      </c>
      <c r="K294" s="6">
        <v>23</v>
      </c>
      <c r="L294" s="6">
        <v>61</v>
      </c>
      <c r="M294" s="6">
        <v>72</v>
      </c>
      <c r="N294" s="6">
        <v>125</v>
      </c>
      <c r="O294" s="68">
        <v>239</v>
      </c>
    </row>
    <row r="295" spans="2:15" x14ac:dyDescent="0.25">
      <c r="B295" s="65">
        <v>252</v>
      </c>
      <c r="C295" s="66"/>
      <c r="D295" s="6">
        <v>70</v>
      </c>
      <c r="E295" s="6">
        <v>101</v>
      </c>
      <c r="F295" s="6">
        <v>92</v>
      </c>
      <c r="G295" s="6">
        <v>88</v>
      </c>
      <c r="H295" s="6">
        <v>72</v>
      </c>
      <c r="I295" s="6">
        <v>65</v>
      </c>
      <c r="J295" s="6">
        <v>49</v>
      </c>
      <c r="K295" s="6">
        <v>48</v>
      </c>
      <c r="L295" s="6">
        <v>48</v>
      </c>
      <c r="M295" s="6">
        <v>52</v>
      </c>
      <c r="N295" s="6">
        <v>61</v>
      </c>
      <c r="O295" s="68">
        <v>80</v>
      </c>
    </row>
    <row r="296" spans="2:15" x14ac:dyDescent="0.25">
      <c r="B296" s="65">
        <v>253</v>
      </c>
      <c r="C296" s="66"/>
      <c r="D296" s="6">
        <v>402</v>
      </c>
      <c r="E296" s="6">
        <v>880</v>
      </c>
      <c r="F296" s="6">
        <v>644</v>
      </c>
      <c r="G296" s="6">
        <v>627</v>
      </c>
      <c r="H296" s="6">
        <v>309</v>
      </c>
      <c r="I296" s="6">
        <v>184</v>
      </c>
      <c r="J296" s="6">
        <v>129</v>
      </c>
      <c r="K296" s="6">
        <v>112</v>
      </c>
      <c r="L296" s="6">
        <v>266</v>
      </c>
      <c r="M296" s="6">
        <v>380</v>
      </c>
      <c r="N296" s="6">
        <v>689</v>
      </c>
      <c r="O296" s="68">
        <v>1291</v>
      </c>
    </row>
    <row r="297" spans="2:15" x14ac:dyDescent="0.25">
      <c r="B297" s="65">
        <v>254</v>
      </c>
      <c r="C297" s="66"/>
      <c r="D297" s="6">
        <v>4</v>
      </c>
      <c r="E297" s="6">
        <v>3</v>
      </c>
      <c r="F297" s="6">
        <v>3</v>
      </c>
      <c r="G297" s="6">
        <v>28</v>
      </c>
      <c r="H297" s="6">
        <v>8</v>
      </c>
      <c r="I297" s="6">
        <v>26</v>
      </c>
      <c r="J297" s="6">
        <v>17</v>
      </c>
      <c r="K297" s="6">
        <v>22</v>
      </c>
      <c r="L297" s="6">
        <v>11</v>
      </c>
      <c r="M297" s="6">
        <v>13</v>
      </c>
      <c r="N297" s="6">
        <v>33</v>
      </c>
      <c r="O297" s="68">
        <v>69</v>
      </c>
    </row>
    <row r="298" spans="2:15" x14ac:dyDescent="0.25">
      <c r="B298" s="65">
        <v>255</v>
      </c>
      <c r="C298" s="66"/>
      <c r="D298" s="6">
        <v>45</v>
      </c>
      <c r="E298" s="6">
        <v>152</v>
      </c>
      <c r="F298" s="6">
        <v>66</v>
      </c>
      <c r="G298" s="6">
        <v>29</v>
      </c>
      <c r="H298" s="6">
        <v>16</v>
      </c>
      <c r="I298" s="6">
        <v>11</v>
      </c>
      <c r="J298" s="6">
        <v>11</v>
      </c>
      <c r="K298" s="6">
        <v>11</v>
      </c>
      <c r="L298" s="6">
        <v>35</v>
      </c>
      <c r="M298" s="6">
        <v>67</v>
      </c>
      <c r="N298" s="6">
        <v>198</v>
      </c>
      <c r="O298" s="68">
        <v>354</v>
      </c>
    </row>
    <row r="299" spans="2:15" x14ac:dyDescent="0.25">
      <c r="B299" s="65">
        <v>256</v>
      </c>
      <c r="C299" s="66"/>
      <c r="D299" s="6">
        <v>0</v>
      </c>
      <c r="E299" s="6">
        <v>0</v>
      </c>
      <c r="F299" s="6">
        <v>0</v>
      </c>
      <c r="G299" s="6">
        <v>0</v>
      </c>
      <c r="H299" s="6">
        <v>0</v>
      </c>
      <c r="I299" s="6">
        <v>0</v>
      </c>
      <c r="J299" s="6">
        <v>0</v>
      </c>
      <c r="K299" s="6">
        <v>0</v>
      </c>
      <c r="L299" s="6">
        <v>0</v>
      </c>
      <c r="M299" s="6">
        <v>0</v>
      </c>
      <c r="N299" s="6">
        <v>0</v>
      </c>
      <c r="O299" s="68">
        <v>0</v>
      </c>
    </row>
    <row r="300" spans="2:15" x14ac:dyDescent="0.25">
      <c r="B300" s="65">
        <v>257</v>
      </c>
      <c r="C300" s="66"/>
      <c r="D300" s="6">
        <v>635</v>
      </c>
      <c r="E300" s="6">
        <v>1485</v>
      </c>
      <c r="F300" s="6">
        <v>1093</v>
      </c>
      <c r="G300" s="6">
        <v>1196</v>
      </c>
      <c r="H300" s="6">
        <v>477</v>
      </c>
      <c r="I300" s="6">
        <v>274</v>
      </c>
      <c r="J300" s="6">
        <v>188</v>
      </c>
      <c r="K300" s="6">
        <v>143</v>
      </c>
      <c r="L300" s="6">
        <v>454</v>
      </c>
      <c r="M300" s="6">
        <v>626</v>
      </c>
      <c r="N300" s="6">
        <v>1181</v>
      </c>
      <c r="O300" s="68">
        <v>2302</v>
      </c>
    </row>
    <row r="301" spans="2:15" x14ac:dyDescent="0.25">
      <c r="B301" s="65">
        <v>258</v>
      </c>
      <c r="C301" s="66"/>
      <c r="D301" s="6">
        <v>52</v>
      </c>
      <c r="E301" s="6">
        <v>174</v>
      </c>
      <c r="F301" s="6">
        <v>69</v>
      </c>
      <c r="G301" s="6">
        <v>41</v>
      </c>
      <c r="H301" s="6">
        <v>20</v>
      </c>
      <c r="I301" s="6">
        <v>14</v>
      </c>
      <c r="J301" s="6">
        <v>12</v>
      </c>
      <c r="K301" s="6">
        <v>12</v>
      </c>
      <c r="L301" s="6">
        <v>42</v>
      </c>
      <c r="M301" s="6">
        <v>77</v>
      </c>
      <c r="N301" s="6">
        <v>232</v>
      </c>
      <c r="O301" s="68">
        <v>422</v>
      </c>
    </row>
    <row r="302" spans="2:15" x14ac:dyDescent="0.25">
      <c r="B302" s="65">
        <v>259</v>
      </c>
      <c r="C302" s="66"/>
      <c r="D302" s="6">
        <v>70</v>
      </c>
      <c r="E302" s="6">
        <v>101</v>
      </c>
      <c r="F302" s="6">
        <v>92</v>
      </c>
      <c r="G302" s="6">
        <v>88</v>
      </c>
      <c r="H302" s="6">
        <v>72</v>
      </c>
      <c r="I302" s="6">
        <v>65</v>
      </c>
      <c r="J302" s="6">
        <v>49</v>
      </c>
      <c r="K302" s="6">
        <v>48</v>
      </c>
      <c r="L302" s="6">
        <v>48</v>
      </c>
      <c r="M302" s="6">
        <v>52</v>
      </c>
      <c r="N302" s="6">
        <v>61</v>
      </c>
      <c r="O302" s="68">
        <v>80</v>
      </c>
    </row>
    <row r="303" spans="2:15" x14ac:dyDescent="0.25">
      <c r="B303" s="65">
        <v>260</v>
      </c>
      <c r="C303" s="66"/>
      <c r="D303" s="6">
        <v>0</v>
      </c>
      <c r="E303" s="6">
        <v>0</v>
      </c>
      <c r="F303" s="6">
        <v>0</v>
      </c>
      <c r="G303" s="6">
        <v>0</v>
      </c>
      <c r="H303" s="6">
        <v>0</v>
      </c>
      <c r="I303" s="6">
        <v>0</v>
      </c>
      <c r="J303" s="6">
        <v>0</v>
      </c>
      <c r="K303" s="6">
        <v>0</v>
      </c>
      <c r="L303" s="6">
        <v>0</v>
      </c>
      <c r="M303" s="6">
        <v>0</v>
      </c>
      <c r="N303" s="6">
        <v>0</v>
      </c>
      <c r="O303" s="68">
        <v>0</v>
      </c>
    </row>
    <row r="304" spans="2:15" x14ac:dyDescent="0.25">
      <c r="B304" s="65">
        <v>261</v>
      </c>
      <c r="C304" s="66"/>
      <c r="D304" s="6">
        <v>232</v>
      </c>
      <c r="E304" s="6">
        <v>267</v>
      </c>
      <c r="F304" s="6">
        <v>351</v>
      </c>
      <c r="G304" s="6">
        <v>243</v>
      </c>
      <c r="H304" s="6">
        <v>185</v>
      </c>
      <c r="I304" s="6">
        <v>133</v>
      </c>
      <c r="J304" s="6">
        <v>109</v>
      </c>
      <c r="K304" s="6">
        <v>95</v>
      </c>
      <c r="L304" s="6">
        <v>115</v>
      </c>
      <c r="M304" s="6">
        <v>141</v>
      </c>
      <c r="N304" s="6">
        <v>184</v>
      </c>
      <c r="O304" s="68">
        <v>257</v>
      </c>
    </row>
    <row r="305" spans="2:15" x14ac:dyDescent="0.25">
      <c r="B305" s="65">
        <v>262</v>
      </c>
      <c r="C305" s="66"/>
      <c r="D305" s="6">
        <v>46</v>
      </c>
      <c r="E305" s="6">
        <v>45</v>
      </c>
      <c r="F305" s="6">
        <v>40</v>
      </c>
      <c r="G305" s="6">
        <v>25</v>
      </c>
      <c r="H305" s="6">
        <v>25</v>
      </c>
      <c r="I305" s="6">
        <v>20</v>
      </c>
      <c r="J305" s="6">
        <v>24</v>
      </c>
      <c r="K305" s="6">
        <v>23</v>
      </c>
      <c r="L305" s="6">
        <v>38</v>
      </c>
      <c r="M305" s="6">
        <v>47</v>
      </c>
      <c r="N305" s="6">
        <v>78</v>
      </c>
      <c r="O305" s="68">
        <v>129</v>
      </c>
    </row>
    <row r="306" spans="2:15" x14ac:dyDescent="0.25">
      <c r="B306" s="65">
        <v>263</v>
      </c>
      <c r="C306" s="66"/>
      <c r="D306" s="6">
        <v>64</v>
      </c>
      <c r="E306" s="6">
        <v>92</v>
      </c>
      <c r="F306" s="6">
        <v>79</v>
      </c>
      <c r="G306" s="6">
        <v>53</v>
      </c>
      <c r="H306" s="6">
        <v>59</v>
      </c>
      <c r="I306" s="6">
        <v>40</v>
      </c>
      <c r="J306" s="6">
        <v>32</v>
      </c>
      <c r="K306" s="6">
        <v>27</v>
      </c>
      <c r="L306" s="6">
        <v>70</v>
      </c>
      <c r="M306" s="6">
        <v>89</v>
      </c>
      <c r="N306" s="6">
        <v>166</v>
      </c>
      <c r="O306" s="68">
        <v>265</v>
      </c>
    </row>
    <row r="307" spans="2:15" x14ac:dyDescent="0.25">
      <c r="B307" s="65">
        <v>264</v>
      </c>
      <c r="C307" s="66"/>
      <c r="D307" s="6">
        <v>0</v>
      </c>
      <c r="E307" s="6">
        <v>0</v>
      </c>
      <c r="F307" s="6">
        <v>0</v>
      </c>
      <c r="G307" s="6">
        <v>0</v>
      </c>
      <c r="H307" s="6">
        <v>0</v>
      </c>
      <c r="I307" s="6">
        <v>0</v>
      </c>
      <c r="J307" s="6">
        <v>0</v>
      </c>
      <c r="K307" s="6">
        <v>0</v>
      </c>
      <c r="L307" s="6">
        <v>0</v>
      </c>
      <c r="M307" s="6">
        <v>0</v>
      </c>
      <c r="N307" s="6">
        <v>0</v>
      </c>
      <c r="O307" s="68">
        <v>0</v>
      </c>
    </row>
    <row r="308" spans="2:15" x14ac:dyDescent="0.25">
      <c r="B308" s="65">
        <v>265</v>
      </c>
      <c r="C308" s="66"/>
      <c r="D308" s="6">
        <v>15</v>
      </c>
      <c r="E308" s="6">
        <v>22</v>
      </c>
      <c r="F308" s="6">
        <v>13</v>
      </c>
      <c r="G308" s="6">
        <v>13</v>
      </c>
      <c r="H308" s="6">
        <v>11</v>
      </c>
      <c r="I308" s="6">
        <v>8</v>
      </c>
      <c r="J308" s="6">
        <v>5</v>
      </c>
      <c r="K308" s="6">
        <v>5</v>
      </c>
      <c r="L308" s="6">
        <v>21</v>
      </c>
      <c r="M308" s="6">
        <v>25</v>
      </c>
      <c r="N308" s="6">
        <v>39</v>
      </c>
      <c r="O308" s="68">
        <v>61</v>
      </c>
    </row>
    <row r="309" spans="2:15" x14ac:dyDescent="0.25">
      <c r="B309" s="65">
        <v>266</v>
      </c>
      <c r="C309" s="66"/>
      <c r="D309" s="6">
        <v>13204</v>
      </c>
      <c r="E309" s="6">
        <v>15263</v>
      </c>
      <c r="F309" s="6">
        <v>11921</v>
      </c>
      <c r="G309" s="6">
        <v>10684</v>
      </c>
      <c r="H309" s="6">
        <v>12942</v>
      </c>
      <c r="I309" s="6">
        <v>13435</v>
      </c>
      <c r="J309" s="6">
        <v>7203</v>
      </c>
      <c r="K309" s="6">
        <v>6052</v>
      </c>
      <c r="L309" s="6">
        <v>6398</v>
      </c>
      <c r="M309" s="6">
        <v>7662</v>
      </c>
      <c r="N309" s="6">
        <v>8441</v>
      </c>
      <c r="O309" s="68">
        <v>11148</v>
      </c>
    </row>
    <row r="310" spans="2:15" x14ac:dyDescent="0.25">
      <c r="B310" s="65">
        <v>267</v>
      </c>
      <c r="C310" s="66"/>
      <c r="D310" s="6">
        <v>79</v>
      </c>
      <c r="E310" s="6">
        <v>77</v>
      </c>
      <c r="F310" s="6">
        <v>73</v>
      </c>
      <c r="G310" s="6">
        <v>54</v>
      </c>
      <c r="H310" s="6">
        <v>55</v>
      </c>
      <c r="I310" s="6">
        <v>57</v>
      </c>
      <c r="J310" s="6">
        <v>55</v>
      </c>
      <c r="K310" s="6">
        <v>46</v>
      </c>
      <c r="L310" s="6">
        <v>84</v>
      </c>
      <c r="M310" s="6">
        <v>99</v>
      </c>
      <c r="N310" s="6">
        <v>144</v>
      </c>
      <c r="O310" s="68">
        <v>227</v>
      </c>
    </row>
    <row r="311" spans="2:15" x14ac:dyDescent="0.25">
      <c r="B311" s="65">
        <v>268</v>
      </c>
      <c r="C311" s="66"/>
      <c r="D311" s="6">
        <v>0</v>
      </c>
      <c r="E311" s="6">
        <v>0</v>
      </c>
      <c r="F311" s="6">
        <v>0</v>
      </c>
      <c r="G311" s="6">
        <v>0</v>
      </c>
      <c r="H311" s="6">
        <v>0</v>
      </c>
      <c r="I311" s="6">
        <v>0</v>
      </c>
      <c r="J311" s="6">
        <v>0</v>
      </c>
      <c r="K311" s="6">
        <v>0</v>
      </c>
      <c r="L311" s="6">
        <v>0</v>
      </c>
      <c r="M311" s="6">
        <v>0</v>
      </c>
      <c r="N311" s="6">
        <v>0</v>
      </c>
      <c r="O311" s="68">
        <v>0</v>
      </c>
    </row>
    <row r="312" spans="2:15" x14ac:dyDescent="0.25">
      <c r="B312" s="65">
        <v>269</v>
      </c>
      <c r="C312" s="66"/>
      <c r="D312" s="6">
        <v>772</v>
      </c>
      <c r="E312" s="6">
        <v>1001</v>
      </c>
      <c r="F312" s="6">
        <v>1315</v>
      </c>
      <c r="G312" s="6">
        <v>1220</v>
      </c>
      <c r="H312" s="6">
        <v>960</v>
      </c>
      <c r="I312" s="6">
        <v>558</v>
      </c>
      <c r="J312" s="6">
        <v>486</v>
      </c>
      <c r="K312" s="6">
        <v>322</v>
      </c>
      <c r="L312" s="6">
        <v>233</v>
      </c>
      <c r="M312" s="6">
        <v>196</v>
      </c>
      <c r="N312" s="6">
        <v>190</v>
      </c>
      <c r="O312" s="68">
        <v>210</v>
      </c>
    </row>
    <row r="313" spans="2:15" x14ac:dyDescent="0.25">
      <c r="B313" s="65">
        <v>270</v>
      </c>
      <c r="C313" s="66"/>
      <c r="D313" s="6">
        <v>347</v>
      </c>
      <c r="E313" s="6">
        <v>735</v>
      </c>
      <c r="F313" s="6">
        <v>533</v>
      </c>
      <c r="G313" s="6">
        <v>471</v>
      </c>
      <c r="H313" s="6">
        <v>260</v>
      </c>
      <c r="I313" s="6">
        <v>158</v>
      </c>
      <c r="J313" s="6">
        <v>99</v>
      </c>
      <c r="K313" s="6">
        <v>85</v>
      </c>
      <c r="L313" s="6">
        <v>214</v>
      </c>
      <c r="M313" s="6">
        <v>312</v>
      </c>
      <c r="N313" s="6">
        <v>563</v>
      </c>
      <c r="O313" s="68">
        <v>1052</v>
      </c>
    </row>
    <row r="314" spans="2:15" x14ac:dyDescent="0.25">
      <c r="B314" s="65">
        <v>271</v>
      </c>
      <c r="C314" s="66"/>
      <c r="D314" s="6">
        <v>1750</v>
      </c>
      <c r="E314" s="6">
        <v>4622</v>
      </c>
      <c r="F314" s="6">
        <v>3813</v>
      </c>
      <c r="G314" s="6">
        <v>3894</v>
      </c>
      <c r="H314" s="6">
        <v>1584</v>
      </c>
      <c r="I314" s="6">
        <v>1003</v>
      </c>
      <c r="J314" s="6">
        <v>711</v>
      </c>
      <c r="K314" s="6">
        <v>593</v>
      </c>
      <c r="L314" s="6">
        <v>970</v>
      </c>
      <c r="M314" s="6">
        <v>1251</v>
      </c>
      <c r="N314" s="6">
        <v>2185</v>
      </c>
      <c r="O314" s="68">
        <v>4041</v>
      </c>
    </row>
    <row r="315" spans="2:15" x14ac:dyDescent="0.25">
      <c r="B315" s="65">
        <v>272</v>
      </c>
      <c r="C315" s="66"/>
      <c r="D315" s="6">
        <v>0</v>
      </c>
      <c r="E315" s="6">
        <v>0</v>
      </c>
      <c r="F315" s="6">
        <v>0</v>
      </c>
      <c r="G315" s="6">
        <v>0</v>
      </c>
      <c r="H315" s="6">
        <v>0</v>
      </c>
      <c r="I315" s="6">
        <v>0</v>
      </c>
      <c r="J315" s="6">
        <v>0</v>
      </c>
      <c r="K315" s="6">
        <v>0</v>
      </c>
      <c r="L315" s="6">
        <v>0</v>
      </c>
      <c r="M315" s="6">
        <v>0</v>
      </c>
      <c r="N315" s="6">
        <v>0</v>
      </c>
      <c r="O315" s="68">
        <v>0</v>
      </c>
    </row>
    <row r="316" spans="2:15" x14ac:dyDescent="0.25">
      <c r="B316" s="65">
        <v>273</v>
      </c>
      <c r="C316" s="66"/>
      <c r="D316" s="6">
        <v>852</v>
      </c>
      <c r="E316" s="6">
        <v>2090</v>
      </c>
      <c r="F316" s="6">
        <v>1549</v>
      </c>
      <c r="G316" s="6">
        <v>1837</v>
      </c>
      <c r="H316" s="6">
        <v>681</v>
      </c>
      <c r="I316" s="6">
        <v>386</v>
      </c>
      <c r="J316" s="6">
        <v>283</v>
      </c>
      <c r="K316" s="6">
        <v>214</v>
      </c>
      <c r="L316" s="6">
        <v>561</v>
      </c>
      <c r="M316" s="6">
        <v>784</v>
      </c>
      <c r="N316" s="6">
        <v>1553</v>
      </c>
      <c r="O316" s="68">
        <v>3139</v>
      </c>
    </row>
    <row r="317" spans="2:15" x14ac:dyDescent="0.25">
      <c r="B317" s="65">
        <v>274</v>
      </c>
      <c r="C317" s="66"/>
      <c r="D317" s="6">
        <v>2151</v>
      </c>
      <c r="E317" s="6">
        <v>5381</v>
      </c>
      <c r="F317" s="6">
        <v>5888</v>
      </c>
      <c r="G317" s="6">
        <v>5594</v>
      </c>
      <c r="H317" s="6">
        <v>2599</v>
      </c>
      <c r="I317" s="6">
        <v>1216</v>
      </c>
      <c r="J317" s="6">
        <v>611</v>
      </c>
      <c r="K317" s="6">
        <v>486</v>
      </c>
      <c r="L317" s="6">
        <v>1368</v>
      </c>
      <c r="M317" s="6">
        <v>1681</v>
      </c>
      <c r="N317" s="6">
        <v>2736</v>
      </c>
      <c r="O317" s="68">
        <v>4815</v>
      </c>
    </row>
    <row r="318" spans="2:15" x14ac:dyDescent="0.25">
      <c r="B318" s="65">
        <v>275</v>
      </c>
      <c r="C318" s="66"/>
      <c r="D318" s="6">
        <v>6087</v>
      </c>
      <c r="E318" s="6">
        <v>15352</v>
      </c>
      <c r="F318" s="6">
        <v>19035</v>
      </c>
      <c r="G318" s="6">
        <v>16978</v>
      </c>
      <c r="H318" s="6">
        <v>8410</v>
      </c>
      <c r="I318" s="6">
        <v>3732</v>
      </c>
      <c r="J318" s="6">
        <v>2131</v>
      </c>
      <c r="K318" s="6">
        <v>1603</v>
      </c>
      <c r="L318" s="6">
        <v>1839</v>
      </c>
      <c r="M318" s="6">
        <v>2069</v>
      </c>
      <c r="N318" s="6">
        <v>3432</v>
      </c>
      <c r="O318" s="68">
        <v>6734</v>
      </c>
    </row>
    <row r="319" spans="2:15" x14ac:dyDescent="0.25">
      <c r="B319" s="65">
        <v>276</v>
      </c>
      <c r="C319" s="66"/>
      <c r="D319" s="6">
        <v>3323</v>
      </c>
      <c r="E319" s="6">
        <v>8418</v>
      </c>
      <c r="F319" s="6">
        <v>11099</v>
      </c>
      <c r="G319" s="6">
        <v>9611</v>
      </c>
      <c r="H319" s="6">
        <v>4906</v>
      </c>
      <c r="I319" s="6">
        <v>2124</v>
      </c>
      <c r="J319" s="6">
        <v>835</v>
      </c>
      <c r="K319" s="6">
        <v>510</v>
      </c>
      <c r="L319" s="6">
        <v>824</v>
      </c>
      <c r="M319" s="6">
        <v>953</v>
      </c>
      <c r="N319" s="6">
        <v>1644</v>
      </c>
      <c r="O319" s="68">
        <v>3327</v>
      </c>
    </row>
    <row r="320" spans="2:15" x14ac:dyDescent="0.25">
      <c r="B320" s="65">
        <v>277</v>
      </c>
      <c r="C320" s="66"/>
      <c r="D320" s="6">
        <v>132</v>
      </c>
      <c r="E320" s="6">
        <v>226</v>
      </c>
      <c r="F320" s="6">
        <v>346</v>
      </c>
      <c r="G320" s="6">
        <v>513</v>
      </c>
      <c r="H320" s="6">
        <v>339</v>
      </c>
      <c r="I320" s="6">
        <v>202</v>
      </c>
      <c r="J320" s="6">
        <v>138</v>
      </c>
      <c r="K320" s="6">
        <v>116</v>
      </c>
      <c r="L320" s="6">
        <v>96</v>
      </c>
      <c r="M320" s="6">
        <v>84</v>
      </c>
      <c r="N320" s="6">
        <v>83</v>
      </c>
      <c r="O320" s="68">
        <v>85</v>
      </c>
    </row>
    <row r="321" spans="2:15" x14ac:dyDescent="0.25">
      <c r="B321" s="65">
        <v>278</v>
      </c>
      <c r="C321" s="66"/>
      <c r="D321" s="6">
        <v>229</v>
      </c>
      <c r="E321" s="6">
        <v>367</v>
      </c>
      <c r="F321" s="6">
        <v>374</v>
      </c>
      <c r="G321" s="6">
        <v>185</v>
      </c>
      <c r="H321" s="6">
        <v>113</v>
      </c>
      <c r="I321" s="6">
        <v>64</v>
      </c>
      <c r="J321" s="6">
        <v>57</v>
      </c>
      <c r="K321" s="6">
        <v>51</v>
      </c>
      <c r="L321" s="6">
        <v>70</v>
      </c>
      <c r="M321" s="6">
        <v>94</v>
      </c>
      <c r="N321" s="6">
        <v>130</v>
      </c>
      <c r="O321" s="68">
        <v>208</v>
      </c>
    </row>
    <row r="322" spans="2:15" x14ac:dyDescent="0.25">
      <c r="B322" s="65">
        <v>279</v>
      </c>
      <c r="C322" s="66"/>
      <c r="D322" s="6">
        <v>550</v>
      </c>
      <c r="E322" s="6">
        <v>666</v>
      </c>
      <c r="F322" s="6">
        <v>961</v>
      </c>
      <c r="G322" s="6">
        <v>718</v>
      </c>
      <c r="H322" s="6">
        <v>381</v>
      </c>
      <c r="I322" s="6">
        <v>150</v>
      </c>
      <c r="J322" s="6">
        <v>77</v>
      </c>
      <c r="K322" s="6">
        <v>41</v>
      </c>
      <c r="L322" s="6">
        <v>63</v>
      </c>
      <c r="M322" s="6">
        <v>61</v>
      </c>
      <c r="N322" s="6">
        <v>117</v>
      </c>
      <c r="O322" s="68">
        <v>241</v>
      </c>
    </row>
    <row r="323" spans="2:15" x14ac:dyDescent="0.25">
      <c r="B323" s="65">
        <v>280</v>
      </c>
      <c r="C323" s="66"/>
      <c r="D323" s="6">
        <v>571</v>
      </c>
      <c r="E323" s="6">
        <v>1351</v>
      </c>
      <c r="F323" s="6">
        <v>2305</v>
      </c>
      <c r="G323" s="6">
        <v>2001</v>
      </c>
      <c r="H323" s="6">
        <v>1745</v>
      </c>
      <c r="I323" s="6">
        <v>1396</v>
      </c>
      <c r="J323" s="6">
        <v>982</v>
      </c>
      <c r="K323" s="6">
        <v>738</v>
      </c>
      <c r="L323" s="6">
        <v>339</v>
      </c>
      <c r="M323" s="6">
        <v>202</v>
      </c>
      <c r="N323" s="6">
        <v>142</v>
      </c>
      <c r="O323" s="68">
        <v>164</v>
      </c>
    </row>
    <row r="324" spans="2:15" x14ac:dyDescent="0.25">
      <c r="B324" s="65">
        <v>281</v>
      </c>
      <c r="C324" s="66"/>
      <c r="D324" s="6">
        <v>95</v>
      </c>
      <c r="E324" s="6">
        <v>102</v>
      </c>
      <c r="F324" s="6">
        <v>98</v>
      </c>
      <c r="G324" s="6">
        <v>89</v>
      </c>
      <c r="H324" s="6">
        <v>80</v>
      </c>
      <c r="I324" s="6">
        <v>74</v>
      </c>
      <c r="J324" s="6">
        <v>69</v>
      </c>
      <c r="K324" s="6">
        <v>67</v>
      </c>
      <c r="L324" s="6">
        <v>63</v>
      </c>
      <c r="M324" s="6">
        <v>67</v>
      </c>
      <c r="N324" s="6">
        <v>72</v>
      </c>
      <c r="O324" s="68">
        <v>79</v>
      </c>
    </row>
    <row r="325" spans="2:15" x14ac:dyDescent="0.25">
      <c r="B325" s="65">
        <v>282</v>
      </c>
      <c r="C325" s="66"/>
      <c r="D325" s="6">
        <v>108</v>
      </c>
      <c r="E325" s="6">
        <v>129</v>
      </c>
      <c r="F325" s="6">
        <v>110</v>
      </c>
      <c r="G325" s="6">
        <v>98</v>
      </c>
      <c r="H325" s="6">
        <v>85</v>
      </c>
      <c r="I325" s="6">
        <v>77</v>
      </c>
      <c r="J325" s="6">
        <v>67</v>
      </c>
      <c r="K325" s="6">
        <v>67</v>
      </c>
      <c r="L325" s="6">
        <v>57</v>
      </c>
      <c r="M325" s="6">
        <v>62</v>
      </c>
      <c r="N325" s="6">
        <v>71</v>
      </c>
      <c r="O325" s="68">
        <v>86</v>
      </c>
    </row>
    <row r="326" spans="2:15" x14ac:dyDescent="0.25">
      <c r="B326" s="65">
        <v>283</v>
      </c>
      <c r="C326" s="66"/>
      <c r="D326" s="6">
        <v>17</v>
      </c>
      <c r="E326" s="6">
        <v>78</v>
      </c>
      <c r="F326" s="6">
        <v>13</v>
      </c>
      <c r="G326" s="6">
        <v>18</v>
      </c>
      <c r="H326" s="6">
        <v>12</v>
      </c>
      <c r="I326" s="6">
        <v>10</v>
      </c>
      <c r="J326" s="6">
        <v>20</v>
      </c>
      <c r="K326" s="6">
        <v>21</v>
      </c>
      <c r="L326" s="6">
        <v>44</v>
      </c>
      <c r="M326" s="6">
        <v>61</v>
      </c>
      <c r="N326" s="6">
        <v>122</v>
      </c>
      <c r="O326" s="68">
        <v>182</v>
      </c>
    </row>
    <row r="327" spans="2:15" x14ac:dyDescent="0.25">
      <c r="B327" s="65">
        <v>284</v>
      </c>
      <c r="C327" s="66"/>
      <c r="D327" s="6">
        <v>246</v>
      </c>
      <c r="E327" s="6">
        <v>92</v>
      </c>
      <c r="F327" s="6">
        <v>151</v>
      </c>
      <c r="G327" s="6">
        <v>194</v>
      </c>
      <c r="H327" s="6">
        <v>526</v>
      </c>
      <c r="I327" s="6">
        <v>832</v>
      </c>
      <c r="J327" s="6">
        <v>107</v>
      </c>
      <c r="K327" s="6">
        <v>282</v>
      </c>
      <c r="L327" s="6">
        <v>490</v>
      </c>
      <c r="M327" s="6">
        <v>412</v>
      </c>
      <c r="N327" s="6">
        <v>236</v>
      </c>
      <c r="O327" s="68">
        <v>189</v>
      </c>
    </row>
    <row r="328" spans="2:15" x14ac:dyDescent="0.25">
      <c r="B328" s="65">
        <v>285</v>
      </c>
      <c r="C328" s="66"/>
      <c r="D328" s="6">
        <v>19592</v>
      </c>
      <c r="E328" s="6">
        <v>23357</v>
      </c>
      <c r="F328" s="6">
        <v>32615</v>
      </c>
      <c r="G328" s="6">
        <v>32004</v>
      </c>
      <c r="H328" s="6">
        <v>26223</v>
      </c>
      <c r="I328" s="6">
        <v>19756</v>
      </c>
      <c r="J328" s="6">
        <v>11454</v>
      </c>
      <c r="K328" s="6">
        <v>6737</v>
      </c>
      <c r="L328" s="6">
        <v>5333</v>
      </c>
      <c r="M328" s="6">
        <v>6402</v>
      </c>
      <c r="N328" s="6">
        <v>10100</v>
      </c>
      <c r="O328" s="68">
        <v>16124</v>
      </c>
    </row>
    <row r="329" spans="2:15" x14ac:dyDescent="0.25">
      <c r="B329" s="65">
        <v>286</v>
      </c>
      <c r="C329" s="66"/>
      <c r="D329" s="6">
        <v>88</v>
      </c>
      <c r="E329" s="6">
        <v>45</v>
      </c>
      <c r="F329" s="6">
        <v>51</v>
      </c>
      <c r="G329" s="6">
        <v>24</v>
      </c>
      <c r="H329" s="6">
        <v>72</v>
      </c>
      <c r="I329" s="6">
        <v>173</v>
      </c>
      <c r="J329" s="6">
        <v>39</v>
      </c>
      <c r="K329" s="6">
        <v>58</v>
      </c>
      <c r="L329" s="6">
        <v>99</v>
      </c>
      <c r="M329" s="6">
        <v>123</v>
      </c>
      <c r="N329" s="6">
        <v>83</v>
      </c>
      <c r="O329" s="68">
        <v>63</v>
      </c>
    </row>
    <row r="330" spans="2:15" x14ac:dyDescent="0.25">
      <c r="B330" s="65">
        <v>287</v>
      </c>
      <c r="C330" s="66"/>
      <c r="D330" s="6">
        <v>19607</v>
      </c>
      <c r="E330" s="6">
        <v>23402</v>
      </c>
      <c r="F330" s="6">
        <v>33107</v>
      </c>
      <c r="G330" s="6">
        <v>32480</v>
      </c>
      <c r="H330" s="6">
        <v>26865</v>
      </c>
      <c r="I330" s="6">
        <v>20330</v>
      </c>
      <c r="J330" s="6">
        <v>11629</v>
      </c>
      <c r="K330" s="6">
        <v>6840</v>
      </c>
      <c r="L330" s="6">
        <v>5416</v>
      </c>
      <c r="M330" s="6">
        <v>6496</v>
      </c>
      <c r="N330" s="6">
        <v>10247</v>
      </c>
      <c r="O330" s="68">
        <v>16359</v>
      </c>
    </row>
    <row r="331" spans="2:15" x14ac:dyDescent="0.25">
      <c r="B331" s="65">
        <v>288</v>
      </c>
      <c r="C331" s="66"/>
      <c r="D331" s="6">
        <v>7069</v>
      </c>
      <c r="E331" s="6">
        <v>15052</v>
      </c>
      <c r="F331" s="6">
        <v>22092</v>
      </c>
      <c r="G331" s="6">
        <v>18756</v>
      </c>
      <c r="H331" s="6">
        <v>10727</v>
      </c>
      <c r="I331" s="6">
        <v>5071</v>
      </c>
      <c r="J331" s="6">
        <v>2104</v>
      </c>
      <c r="K331" s="6">
        <v>1283</v>
      </c>
      <c r="L331" s="6">
        <v>811</v>
      </c>
      <c r="M331" s="6">
        <v>815</v>
      </c>
      <c r="N331" s="6">
        <v>1366</v>
      </c>
      <c r="O331" s="68">
        <v>2765</v>
      </c>
    </row>
    <row r="332" spans="2:15" x14ac:dyDescent="0.25">
      <c r="B332" s="65">
        <v>289</v>
      </c>
      <c r="C332" s="66"/>
      <c r="D332" s="6">
        <v>71</v>
      </c>
      <c r="E332" s="6">
        <v>85</v>
      </c>
      <c r="F332" s="6">
        <v>73</v>
      </c>
      <c r="G332" s="6">
        <v>65</v>
      </c>
      <c r="H332" s="6">
        <v>56</v>
      </c>
      <c r="I332" s="6">
        <v>51</v>
      </c>
      <c r="J332" s="6">
        <v>44</v>
      </c>
      <c r="K332" s="6">
        <v>44</v>
      </c>
      <c r="L332" s="6">
        <v>38</v>
      </c>
      <c r="M332" s="6">
        <v>42</v>
      </c>
      <c r="N332" s="6">
        <v>47</v>
      </c>
      <c r="O332" s="68">
        <v>57</v>
      </c>
    </row>
    <row r="333" spans="2:15" x14ac:dyDescent="0.25">
      <c r="B333" s="65">
        <v>290</v>
      </c>
      <c r="C333" s="66"/>
      <c r="D333" s="6">
        <v>483</v>
      </c>
      <c r="E333" s="6">
        <v>977</v>
      </c>
      <c r="F333" s="6">
        <v>2283</v>
      </c>
      <c r="G333" s="6">
        <v>1971</v>
      </c>
      <c r="H333" s="6">
        <v>2470</v>
      </c>
      <c r="I333" s="6">
        <v>1619</v>
      </c>
      <c r="J333" s="6">
        <v>1259</v>
      </c>
      <c r="K333" s="6">
        <v>885</v>
      </c>
      <c r="L333" s="6">
        <v>597</v>
      </c>
      <c r="M333" s="6">
        <v>341</v>
      </c>
      <c r="N333" s="6">
        <v>248</v>
      </c>
      <c r="O333" s="68">
        <v>347</v>
      </c>
    </row>
    <row r="334" spans="2:15" x14ac:dyDescent="0.25">
      <c r="B334" s="65">
        <v>291</v>
      </c>
      <c r="C334" s="66"/>
      <c r="D334" s="6">
        <v>414</v>
      </c>
      <c r="E334" s="6">
        <v>922</v>
      </c>
      <c r="F334" s="6">
        <v>870</v>
      </c>
      <c r="G334" s="6">
        <v>837</v>
      </c>
      <c r="H334" s="6">
        <v>576</v>
      </c>
      <c r="I334" s="6">
        <v>239</v>
      </c>
      <c r="J334" s="6">
        <v>116</v>
      </c>
      <c r="K334" s="6">
        <v>63</v>
      </c>
      <c r="L334" s="6">
        <v>47</v>
      </c>
      <c r="M334" s="6">
        <v>54</v>
      </c>
      <c r="N334" s="6">
        <v>93</v>
      </c>
      <c r="O334" s="68">
        <v>227</v>
      </c>
    </row>
    <row r="335" spans="2:15" x14ac:dyDescent="0.25">
      <c r="B335" s="65">
        <v>292</v>
      </c>
      <c r="C335" s="66"/>
      <c r="D335" s="6">
        <v>5969</v>
      </c>
      <c r="E335" s="6">
        <v>13452</v>
      </c>
      <c r="F335" s="6">
        <v>13900</v>
      </c>
      <c r="G335" s="6">
        <v>10756</v>
      </c>
      <c r="H335" s="6">
        <v>6727</v>
      </c>
      <c r="I335" s="6">
        <v>3071</v>
      </c>
      <c r="J335" s="6">
        <v>904</v>
      </c>
      <c r="K335" s="6">
        <v>383</v>
      </c>
      <c r="L335" s="6">
        <v>259</v>
      </c>
      <c r="M335" s="6">
        <v>312</v>
      </c>
      <c r="N335" s="6">
        <v>791</v>
      </c>
      <c r="O335" s="68">
        <v>2119</v>
      </c>
    </row>
    <row r="336" spans="2:15" x14ac:dyDescent="0.25">
      <c r="B336" s="65">
        <v>293</v>
      </c>
      <c r="C336" s="66"/>
      <c r="D336" s="6">
        <v>1595</v>
      </c>
      <c r="E336" s="6">
        <v>2654</v>
      </c>
      <c r="F336" s="6">
        <v>9738</v>
      </c>
      <c r="G336" s="6">
        <v>9313</v>
      </c>
      <c r="H336" s="6">
        <v>4751</v>
      </c>
      <c r="I336" s="6">
        <v>2355</v>
      </c>
      <c r="J336" s="6">
        <v>1347</v>
      </c>
      <c r="K336" s="6">
        <v>990</v>
      </c>
      <c r="L336" s="6">
        <v>609</v>
      </c>
      <c r="M336" s="6">
        <v>559</v>
      </c>
      <c r="N336" s="6">
        <v>670</v>
      </c>
      <c r="O336" s="68">
        <v>839</v>
      </c>
    </row>
    <row r="337" spans="2:15" x14ac:dyDescent="0.25">
      <c r="B337" s="65">
        <v>294</v>
      </c>
      <c r="C337" s="66"/>
      <c r="D337" s="6">
        <v>237</v>
      </c>
      <c r="E337" s="6">
        <v>226</v>
      </c>
      <c r="F337" s="6">
        <v>273</v>
      </c>
      <c r="G337" s="6">
        <v>188</v>
      </c>
      <c r="H337" s="6">
        <v>158</v>
      </c>
      <c r="I337" s="6">
        <v>127</v>
      </c>
      <c r="J337" s="6">
        <v>112</v>
      </c>
      <c r="K337" s="6">
        <v>106</v>
      </c>
      <c r="L337" s="6">
        <v>122</v>
      </c>
      <c r="M337" s="6">
        <v>139</v>
      </c>
      <c r="N337" s="6">
        <v>165</v>
      </c>
      <c r="O337" s="68">
        <v>206</v>
      </c>
    </row>
    <row r="338" spans="2:15" x14ac:dyDescent="0.25">
      <c r="B338" s="65">
        <v>295</v>
      </c>
      <c r="C338" s="66"/>
      <c r="D338" s="6">
        <v>83</v>
      </c>
      <c r="E338" s="6">
        <v>95</v>
      </c>
      <c r="F338" s="6">
        <v>101</v>
      </c>
      <c r="G338" s="6">
        <v>91</v>
      </c>
      <c r="H338" s="6">
        <v>83</v>
      </c>
      <c r="I338" s="6">
        <v>77</v>
      </c>
      <c r="J338" s="6">
        <v>69</v>
      </c>
      <c r="K338" s="6">
        <v>67</v>
      </c>
      <c r="L338" s="6">
        <v>71</v>
      </c>
      <c r="M338" s="6">
        <v>75</v>
      </c>
      <c r="N338" s="6">
        <v>79</v>
      </c>
      <c r="O338" s="68">
        <v>87</v>
      </c>
    </row>
    <row r="339" spans="2:15" x14ac:dyDescent="0.25">
      <c r="B339" s="65">
        <v>296</v>
      </c>
      <c r="C339" s="66"/>
      <c r="D339" s="6">
        <v>37</v>
      </c>
      <c r="E339" s="6">
        <v>43</v>
      </c>
      <c r="F339" s="6">
        <v>48</v>
      </c>
      <c r="G339" s="6">
        <v>44</v>
      </c>
      <c r="H339" s="6">
        <v>40</v>
      </c>
      <c r="I339" s="6">
        <v>36</v>
      </c>
      <c r="J339" s="6">
        <v>34</v>
      </c>
      <c r="K339" s="6">
        <v>33</v>
      </c>
      <c r="L339" s="6">
        <v>29</v>
      </c>
      <c r="M339" s="6">
        <v>30</v>
      </c>
      <c r="N339" s="6">
        <v>31</v>
      </c>
      <c r="O339" s="68">
        <v>33</v>
      </c>
    </row>
    <row r="340" spans="2:15" x14ac:dyDescent="0.25">
      <c r="B340" s="65">
        <v>297</v>
      </c>
      <c r="C340" s="66"/>
      <c r="D340" s="6">
        <v>574</v>
      </c>
      <c r="E340" s="6">
        <v>1361</v>
      </c>
      <c r="F340" s="6">
        <v>2319</v>
      </c>
      <c r="G340" s="6">
        <v>2019</v>
      </c>
      <c r="H340" s="6">
        <v>1762</v>
      </c>
      <c r="I340" s="6">
        <v>1408</v>
      </c>
      <c r="J340" s="6">
        <v>990</v>
      </c>
      <c r="K340" s="6">
        <v>745</v>
      </c>
      <c r="L340" s="6">
        <v>342</v>
      </c>
      <c r="M340" s="6">
        <v>204</v>
      </c>
      <c r="N340" s="6">
        <v>143</v>
      </c>
      <c r="O340" s="68">
        <v>166</v>
      </c>
    </row>
    <row r="341" spans="2:15" x14ac:dyDescent="0.25">
      <c r="B341" s="65">
        <v>298</v>
      </c>
      <c r="C341" s="66"/>
      <c r="D341" s="6">
        <v>160</v>
      </c>
      <c r="E341" s="6">
        <v>160</v>
      </c>
      <c r="F341" s="6">
        <v>160</v>
      </c>
      <c r="G341" s="6">
        <v>118</v>
      </c>
      <c r="H341" s="6">
        <v>119</v>
      </c>
      <c r="I341" s="6">
        <v>98</v>
      </c>
      <c r="J341" s="6">
        <v>74</v>
      </c>
      <c r="K341" s="6">
        <v>73</v>
      </c>
      <c r="L341" s="6">
        <v>93</v>
      </c>
      <c r="M341" s="6">
        <v>110</v>
      </c>
      <c r="N341" s="6">
        <v>134</v>
      </c>
      <c r="O341" s="68">
        <v>154</v>
      </c>
    </row>
    <row r="342" spans="2:15" x14ac:dyDescent="0.25">
      <c r="B342" s="65">
        <v>299</v>
      </c>
      <c r="C342" s="66"/>
      <c r="D342" s="6">
        <v>644</v>
      </c>
      <c r="E342" s="6">
        <v>393</v>
      </c>
      <c r="F342" s="6">
        <v>482</v>
      </c>
      <c r="G342" s="6">
        <v>273</v>
      </c>
      <c r="H342" s="6">
        <v>267</v>
      </c>
      <c r="I342" s="6">
        <v>210</v>
      </c>
      <c r="J342" s="6">
        <v>174</v>
      </c>
      <c r="K342" s="6">
        <v>155</v>
      </c>
      <c r="L342" s="6">
        <v>215</v>
      </c>
      <c r="M342" s="6">
        <v>256</v>
      </c>
      <c r="N342" s="6">
        <v>363</v>
      </c>
      <c r="O342" s="68">
        <v>597</v>
      </c>
    </row>
    <row r="343" spans="2:15" x14ac:dyDescent="0.25">
      <c r="B343" s="65">
        <v>300</v>
      </c>
      <c r="C343" s="66"/>
      <c r="D343" s="6">
        <v>0</v>
      </c>
      <c r="E343" s="6">
        <v>0</v>
      </c>
      <c r="F343" s="6">
        <v>0</v>
      </c>
      <c r="G343" s="6">
        <v>0</v>
      </c>
      <c r="H343" s="6">
        <v>0</v>
      </c>
      <c r="I343" s="6">
        <v>0</v>
      </c>
      <c r="J343" s="6">
        <v>0</v>
      </c>
      <c r="K343" s="6">
        <v>0</v>
      </c>
      <c r="L343" s="6">
        <v>0</v>
      </c>
      <c r="M343" s="6">
        <v>0</v>
      </c>
      <c r="N343" s="6">
        <v>0</v>
      </c>
      <c r="O343" s="68">
        <v>0</v>
      </c>
    </row>
    <row r="344" spans="2:15" x14ac:dyDescent="0.25">
      <c r="B344" s="65">
        <v>301</v>
      </c>
      <c r="C344" s="66"/>
      <c r="D344" s="6">
        <v>35</v>
      </c>
      <c r="E344" s="6">
        <v>16</v>
      </c>
      <c r="F344" s="6">
        <v>28</v>
      </c>
      <c r="G344" s="6">
        <v>29</v>
      </c>
      <c r="H344" s="6">
        <v>24</v>
      </c>
      <c r="I344" s="6">
        <v>20</v>
      </c>
      <c r="J344" s="6">
        <v>15</v>
      </c>
      <c r="K344" s="6">
        <v>13</v>
      </c>
      <c r="L344" s="6">
        <v>14</v>
      </c>
      <c r="M344" s="6">
        <v>18</v>
      </c>
      <c r="N344" s="6">
        <v>18</v>
      </c>
      <c r="O344" s="68">
        <v>24</v>
      </c>
    </row>
    <row r="345" spans="2:15" x14ac:dyDescent="0.25">
      <c r="B345" s="65">
        <v>302</v>
      </c>
      <c r="C345" s="66"/>
      <c r="D345" s="6">
        <v>1100</v>
      </c>
      <c r="E345" s="6">
        <v>1600</v>
      </c>
      <c r="F345" s="6">
        <v>8192</v>
      </c>
      <c r="G345" s="6">
        <v>8000</v>
      </c>
      <c r="H345" s="6">
        <v>4000</v>
      </c>
      <c r="I345" s="6">
        <v>2000</v>
      </c>
      <c r="J345" s="6">
        <v>1200</v>
      </c>
      <c r="K345" s="6">
        <v>900</v>
      </c>
      <c r="L345" s="6">
        <v>552</v>
      </c>
      <c r="M345" s="6">
        <v>502</v>
      </c>
      <c r="N345" s="6">
        <v>574</v>
      </c>
      <c r="O345" s="68">
        <v>646</v>
      </c>
    </row>
    <row r="346" spans="2:15" x14ac:dyDescent="0.25">
      <c r="B346" s="65">
        <v>303</v>
      </c>
      <c r="C346" s="66"/>
      <c r="D346" s="6">
        <v>39</v>
      </c>
      <c r="E346" s="6">
        <v>29</v>
      </c>
      <c r="F346" s="6">
        <v>38</v>
      </c>
      <c r="G346" s="6">
        <v>15</v>
      </c>
      <c r="H346" s="6">
        <v>11</v>
      </c>
      <c r="I346" s="6">
        <v>10</v>
      </c>
      <c r="J346" s="6">
        <v>2</v>
      </c>
      <c r="K346" s="6">
        <v>2</v>
      </c>
      <c r="L346" s="6">
        <v>10</v>
      </c>
      <c r="M346" s="6">
        <v>15</v>
      </c>
      <c r="N346" s="6">
        <v>25</v>
      </c>
      <c r="O346" s="68">
        <v>41</v>
      </c>
    </row>
    <row r="347" spans="2:15" x14ac:dyDescent="0.25">
      <c r="B347" s="65">
        <v>304</v>
      </c>
      <c r="C347" s="66"/>
      <c r="D347" s="6">
        <v>0</v>
      </c>
      <c r="E347" s="6">
        <v>0</v>
      </c>
      <c r="F347" s="6">
        <v>0</v>
      </c>
      <c r="G347" s="6">
        <v>0</v>
      </c>
      <c r="H347" s="6">
        <v>0</v>
      </c>
      <c r="I347" s="6">
        <v>0</v>
      </c>
      <c r="J347" s="6">
        <v>0</v>
      </c>
      <c r="K347" s="6">
        <v>0</v>
      </c>
      <c r="L347" s="6">
        <v>0</v>
      </c>
      <c r="M347" s="6">
        <v>0</v>
      </c>
      <c r="N347" s="6">
        <v>0</v>
      </c>
      <c r="O347" s="68">
        <v>1</v>
      </c>
    </row>
    <row r="348" spans="2:15" x14ac:dyDescent="0.25">
      <c r="B348" s="65">
        <v>305</v>
      </c>
      <c r="C348" s="66"/>
      <c r="D348" s="6">
        <v>0</v>
      </c>
      <c r="E348" s="6">
        <v>0</v>
      </c>
      <c r="F348" s="6">
        <v>0</v>
      </c>
      <c r="G348" s="6">
        <v>0</v>
      </c>
      <c r="H348" s="6">
        <v>0</v>
      </c>
      <c r="I348" s="6">
        <v>0</v>
      </c>
      <c r="J348" s="6">
        <v>0</v>
      </c>
      <c r="K348" s="6">
        <v>0</v>
      </c>
      <c r="L348" s="6">
        <v>0</v>
      </c>
      <c r="M348" s="6">
        <v>0</v>
      </c>
      <c r="N348" s="6">
        <v>0</v>
      </c>
      <c r="O348" s="68">
        <v>0</v>
      </c>
    </row>
    <row r="349" spans="2:15" x14ac:dyDescent="0.25">
      <c r="B349" s="65">
        <v>306</v>
      </c>
      <c r="C349" s="66"/>
      <c r="D349" s="6">
        <v>183</v>
      </c>
      <c r="E349" s="6">
        <v>173</v>
      </c>
      <c r="F349" s="6">
        <v>182</v>
      </c>
      <c r="G349" s="6">
        <v>138</v>
      </c>
      <c r="H349" s="6">
        <v>134</v>
      </c>
      <c r="I349" s="6">
        <v>112</v>
      </c>
      <c r="J349" s="6">
        <v>79</v>
      </c>
      <c r="K349" s="6">
        <v>78</v>
      </c>
      <c r="L349" s="6">
        <v>106</v>
      </c>
      <c r="M349" s="6">
        <v>126</v>
      </c>
      <c r="N349" s="6">
        <v>156</v>
      </c>
      <c r="O349" s="68">
        <v>182</v>
      </c>
    </row>
    <row r="350" spans="2:15" x14ac:dyDescent="0.25">
      <c r="B350" s="65">
        <v>307</v>
      </c>
      <c r="C350" s="66"/>
      <c r="D350" s="6">
        <v>0</v>
      </c>
      <c r="E350" s="6">
        <v>0</v>
      </c>
      <c r="F350" s="6">
        <v>0</v>
      </c>
      <c r="G350" s="6">
        <v>0</v>
      </c>
      <c r="H350" s="6">
        <v>0</v>
      </c>
      <c r="I350" s="6">
        <v>0</v>
      </c>
      <c r="J350" s="6">
        <v>0</v>
      </c>
      <c r="K350" s="6">
        <v>0</v>
      </c>
      <c r="L350" s="6">
        <v>0</v>
      </c>
      <c r="M350" s="6">
        <v>0</v>
      </c>
      <c r="N350" s="6">
        <v>0</v>
      </c>
      <c r="O350" s="68">
        <v>0</v>
      </c>
    </row>
    <row r="351" spans="2:15" x14ac:dyDescent="0.25">
      <c r="B351" s="65">
        <v>308</v>
      </c>
      <c r="C351" s="66"/>
      <c r="D351" s="6">
        <v>0</v>
      </c>
      <c r="E351" s="6">
        <v>0</v>
      </c>
      <c r="F351" s="6">
        <v>0</v>
      </c>
      <c r="G351" s="6">
        <v>0</v>
      </c>
      <c r="H351" s="6">
        <v>0</v>
      </c>
      <c r="I351" s="6">
        <v>0</v>
      </c>
      <c r="J351" s="6">
        <v>0</v>
      </c>
      <c r="K351" s="6">
        <v>0</v>
      </c>
      <c r="L351" s="6">
        <v>0</v>
      </c>
      <c r="M351" s="6">
        <v>0</v>
      </c>
      <c r="N351" s="6">
        <v>0</v>
      </c>
      <c r="O351" s="68">
        <v>0</v>
      </c>
    </row>
    <row r="352" spans="2:15" x14ac:dyDescent="0.25">
      <c r="B352" s="65">
        <v>309</v>
      </c>
      <c r="C352" s="66"/>
      <c r="D352" s="6">
        <v>0</v>
      </c>
      <c r="E352" s="6">
        <v>0</v>
      </c>
      <c r="F352" s="6">
        <v>0</v>
      </c>
      <c r="G352" s="6">
        <v>0</v>
      </c>
      <c r="H352" s="6">
        <v>0</v>
      </c>
      <c r="I352" s="6">
        <v>0</v>
      </c>
      <c r="J352" s="6">
        <v>0</v>
      </c>
      <c r="K352" s="6">
        <v>0</v>
      </c>
      <c r="L352" s="6">
        <v>0</v>
      </c>
      <c r="M352" s="6">
        <v>0</v>
      </c>
      <c r="N352" s="6">
        <v>0</v>
      </c>
      <c r="O352" s="68">
        <v>0</v>
      </c>
    </row>
    <row r="353" spans="2:15" x14ac:dyDescent="0.25">
      <c r="B353" s="65">
        <v>310</v>
      </c>
      <c r="C353" s="66"/>
      <c r="D353" s="6">
        <v>0</v>
      </c>
      <c r="E353" s="6">
        <v>0</v>
      </c>
      <c r="F353" s="6">
        <v>0</v>
      </c>
      <c r="G353" s="6">
        <v>0</v>
      </c>
      <c r="H353" s="6">
        <v>0</v>
      </c>
      <c r="I353" s="6">
        <v>0</v>
      </c>
      <c r="J353" s="6">
        <v>0</v>
      </c>
      <c r="K353" s="6">
        <v>0</v>
      </c>
      <c r="L353" s="6">
        <v>0</v>
      </c>
      <c r="M353" s="6">
        <v>0</v>
      </c>
      <c r="N353" s="6">
        <v>0</v>
      </c>
      <c r="O353" s="68">
        <v>0</v>
      </c>
    </row>
    <row r="354" spans="2:15" x14ac:dyDescent="0.25">
      <c r="B354" s="65">
        <v>311</v>
      </c>
      <c r="C354" s="66"/>
      <c r="D354" s="6">
        <v>0</v>
      </c>
      <c r="E354" s="6">
        <v>0</v>
      </c>
      <c r="F354" s="6">
        <v>0</v>
      </c>
      <c r="G354" s="6">
        <v>0</v>
      </c>
      <c r="H354" s="6">
        <v>0</v>
      </c>
      <c r="I354" s="6">
        <v>0</v>
      </c>
      <c r="J354" s="6">
        <v>0</v>
      </c>
      <c r="K354" s="6">
        <v>0</v>
      </c>
      <c r="L354" s="6">
        <v>0</v>
      </c>
      <c r="M354" s="6">
        <v>0</v>
      </c>
      <c r="N354" s="6">
        <v>0</v>
      </c>
      <c r="O354" s="68">
        <v>0</v>
      </c>
    </row>
    <row r="355" spans="2:15" x14ac:dyDescent="0.25">
      <c r="B355" s="65">
        <v>312</v>
      </c>
      <c r="C355" s="66"/>
      <c r="D355" s="6">
        <v>0</v>
      </c>
      <c r="E355" s="6">
        <v>0</v>
      </c>
      <c r="F355" s="6">
        <v>0</v>
      </c>
      <c r="G355" s="6">
        <v>0</v>
      </c>
      <c r="H355" s="6">
        <v>0</v>
      </c>
      <c r="I355" s="6">
        <v>0</v>
      </c>
      <c r="J355" s="6">
        <v>0</v>
      </c>
      <c r="K355" s="6">
        <v>0</v>
      </c>
      <c r="L355" s="6">
        <v>0</v>
      </c>
      <c r="M355" s="6">
        <v>0</v>
      </c>
      <c r="N355" s="6">
        <v>0</v>
      </c>
      <c r="O355" s="68">
        <v>0</v>
      </c>
    </row>
    <row r="356" spans="2:15" x14ac:dyDescent="0.25">
      <c r="B356" s="65">
        <v>313</v>
      </c>
      <c r="C356" s="66"/>
      <c r="D356" s="6">
        <v>320</v>
      </c>
      <c r="E356" s="6">
        <v>358</v>
      </c>
      <c r="F356" s="6">
        <v>362</v>
      </c>
      <c r="G356" s="6">
        <v>280</v>
      </c>
      <c r="H356" s="6">
        <v>196</v>
      </c>
      <c r="I356" s="6">
        <v>154</v>
      </c>
      <c r="J356" s="6">
        <v>128</v>
      </c>
      <c r="K356" s="6">
        <v>112</v>
      </c>
      <c r="L356" s="6">
        <v>115</v>
      </c>
      <c r="M356" s="6">
        <v>142</v>
      </c>
      <c r="N356" s="6">
        <v>184</v>
      </c>
      <c r="O356" s="68">
        <v>258</v>
      </c>
    </row>
    <row r="357" spans="2:15" x14ac:dyDescent="0.25">
      <c r="B357" s="65">
        <v>314</v>
      </c>
      <c r="C357" s="66"/>
      <c r="D357" s="6">
        <v>683</v>
      </c>
      <c r="E357" s="6">
        <v>419</v>
      </c>
      <c r="F357" s="6">
        <v>513</v>
      </c>
      <c r="G357" s="6">
        <v>292</v>
      </c>
      <c r="H357" s="6">
        <v>286</v>
      </c>
      <c r="I357" s="6">
        <v>225</v>
      </c>
      <c r="J357" s="6">
        <v>169</v>
      </c>
      <c r="K357" s="6">
        <v>140</v>
      </c>
      <c r="L357" s="6">
        <v>231</v>
      </c>
      <c r="M357" s="6">
        <v>274</v>
      </c>
      <c r="N357" s="6">
        <v>387</v>
      </c>
      <c r="O357" s="68">
        <v>631</v>
      </c>
    </row>
    <row r="358" spans="2:15" x14ac:dyDescent="0.25">
      <c r="B358" s="65">
        <v>315</v>
      </c>
      <c r="C358" s="66"/>
      <c r="D358" s="6">
        <v>166</v>
      </c>
      <c r="E358" s="6">
        <v>163</v>
      </c>
      <c r="F358" s="6">
        <v>165</v>
      </c>
      <c r="G358" s="6">
        <v>123</v>
      </c>
      <c r="H358" s="6">
        <v>123</v>
      </c>
      <c r="I358" s="6">
        <v>102</v>
      </c>
      <c r="J358" s="6">
        <v>77</v>
      </c>
      <c r="K358" s="6">
        <v>76</v>
      </c>
      <c r="L358" s="6">
        <v>97</v>
      </c>
      <c r="M358" s="6">
        <v>115</v>
      </c>
      <c r="N358" s="6">
        <v>142</v>
      </c>
      <c r="O358" s="68">
        <v>168</v>
      </c>
    </row>
    <row r="359" spans="2:15" x14ac:dyDescent="0.25">
      <c r="B359" s="65">
        <v>316</v>
      </c>
      <c r="C359" s="66"/>
      <c r="D359" s="6">
        <v>166</v>
      </c>
      <c r="E359" s="6">
        <v>163</v>
      </c>
      <c r="F359" s="6">
        <v>165</v>
      </c>
      <c r="G359" s="6">
        <v>123</v>
      </c>
      <c r="H359" s="6">
        <v>123</v>
      </c>
      <c r="I359" s="6">
        <v>102</v>
      </c>
      <c r="J359" s="6">
        <v>77</v>
      </c>
      <c r="K359" s="6">
        <v>76</v>
      </c>
      <c r="L359" s="6">
        <v>97</v>
      </c>
      <c r="M359" s="6">
        <v>115</v>
      </c>
      <c r="N359" s="6">
        <v>142</v>
      </c>
      <c r="O359" s="68">
        <v>167</v>
      </c>
    </row>
    <row r="360" spans="2:15" x14ac:dyDescent="0.25">
      <c r="B360" s="65">
        <v>317</v>
      </c>
      <c r="C360" s="66"/>
      <c r="D360" s="6">
        <v>0</v>
      </c>
      <c r="E360" s="6">
        <v>0</v>
      </c>
      <c r="F360" s="6">
        <v>0</v>
      </c>
      <c r="G360" s="6">
        <v>0</v>
      </c>
      <c r="H360" s="6">
        <v>0</v>
      </c>
      <c r="I360" s="6">
        <v>0</v>
      </c>
      <c r="J360" s="6">
        <v>0</v>
      </c>
      <c r="K360" s="6">
        <v>0</v>
      </c>
      <c r="L360" s="6">
        <v>0</v>
      </c>
      <c r="M360" s="6">
        <v>0</v>
      </c>
      <c r="N360" s="6">
        <v>0</v>
      </c>
      <c r="O360" s="68">
        <v>1</v>
      </c>
    </row>
    <row r="361" spans="2:15" x14ac:dyDescent="0.25">
      <c r="B361" s="65">
        <v>318</v>
      </c>
      <c r="C361" s="66"/>
      <c r="D361" s="6">
        <v>101</v>
      </c>
      <c r="E361" s="6">
        <v>52</v>
      </c>
      <c r="F361" s="6">
        <v>68</v>
      </c>
      <c r="G361" s="6">
        <v>67</v>
      </c>
      <c r="H361" s="6">
        <v>64</v>
      </c>
      <c r="I361" s="6">
        <v>55</v>
      </c>
      <c r="J361" s="6">
        <v>35</v>
      </c>
      <c r="K361" s="6">
        <v>31</v>
      </c>
      <c r="L361" s="6">
        <v>29</v>
      </c>
      <c r="M361" s="6">
        <v>36</v>
      </c>
      <c r="N361" s="6">
        <v>37</v>
      </c>
      <c r="O361" s="68">
        <v>50</v>
      </c>
    </row>
    <row r="362" spans="2:15" x14ac:dyDescent="0.25">
      <c r="B362" s="65">
        <v>319</v>
      </c>
      <c r="C362" s="66"/>
      <c r="D362" s="6">
        <v>93</v>
      </c>
      <c r="E362" s="6">
        <v>48</v>
      </c>
      <c r="F362" s="6">
        <v>62</v>
      </c>
      <c r="G362" s="6">
        <v>61</v>
      </c>
      <c r="H362" s="6">
        <v>58</v>
      </c>
      <c r="I362" s="6">
        <v>51</v>
      </c>
      <c r="J362" s="6">
        <v>31</v>
      </c>
      <c r="K362" s="6">
        <v>28</v>
      </c>
      <c r="L362" s="6">
        <v>26</v>
      </c>
      <c r="M362" s="6">
        <v>33</v>
      </c>
      <c r="N362" s="6">
        <v>34</v>
      </c>
      <c r="O362" s="68">
        <v>45</v>
      </c>
    </row>
    <row r="363" spans="2:15" ht="15.75" thickBot="1" x14ac:dyDescent="0.3">
      <c r="B363" s="69">
        <v>320</v>
      </c>
      <c r="C363" s="70"/>
      <c r="D363" s="71">
        <v>43</v>
      </c>
      <c r="E363" s="71">
        <v>20</v>
      </c>
      <c r="F363" s="71">
        <v>34</v>
      </c>
      <c r="G363" s="71">
        <v>35</v>
      </c>
      <c r="H363" s="71">
        <v>30</v>
      </c>
      <c r="I363" s="71">
        <v>24</v>
      </c>
      <c r="J363" s="71">
        <v>18</v>
      </c>
      <c r="K363" s="71">
        <v>16</v>
      </c>
      <c r="L363" s="71">
        <v>14</v>
      </c>
      <c r="M363" s="71">
        <v>18</v>
      </c>
      <c r="N363" s="71">
        <v>19</v>
      </c>
      <c r="O363" s="72">
        <v>25</v>
      </c>
    </row>
  </sheetData>
  <mergeCells count="11">
    <mergeCell ref="B37:C37"/>
    <mergeCell ref="B38:C38"/>
    <mergeCell ref="B39:C39"/>
    <mergeCell ref="B40:C40"/>
    <mergeCell ref="B41:C41"/>
    <mergeCell ref="B25:C25"/>
    <mergeCell ref="B31:C31"/>
    <mergeCell ref="B32:B33"/>
    <mergeCell ref="C32:C33"/>
    <mergeCell ref="B34:B35"/>
    <mergeCell ref="C34:C3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arregarVazpast">
                <anchor moveWithCells="1">
                  <from>
                    <xdr:col>1</xdr:col>
                    <xdr:colOff>9525</xdr:colOff>
                    <xdr:row>20</xdr:row>
                    <xdr:rowOff>180975</xdr:rowOff>
                  </from>
                  <to>
                    <xdr:col>1</xdr:col>
                    <xdr:colOff>733425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CarregarPrevs">
                <anchor moveWithCells="1" sizeWithCells="1">
                  <from>
                    <xdr:col>1</xdr:col>
                    <xdr:colOff>1162050</xdr:colOff>
                    <xdr:row>20</xdr:row>
                    <xdr:rowOff>180975</xdr:rowOff>
                  </from>
                  <to>
                    <xdr:col>1</xdr:col>
                    <xdr:colOff>1752600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CarregarMLT">
                <anchor moveWithCells="1" sizeWithCells="1">
                  <from>
                    <xdr:col>2</xdr:col>
                    <xdr:colOff>19050</xdr:colOff>
                    <xdr:row>20</xdr:row>
                    <xdr:rowOff>171450</xdr:rowOff>
                  </from>
                  <to>
                    <xdr:col>3</xdr:col>
                    <xdr:colOff>9525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AtualizarVazoes">
                <anchor moveWithCells="1" siz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3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 macro="[0]!NovoCenario">
                <anchor moveWithCells="1" sizeWithCells="1">
                  <from>
                    <xdr:col>13</xdr:col>
                    <xdr:colOff>361950</xdr:colOff>
                    <xdr:row>20</xdr:row>
                    <xdr:rowOff>171450</xdr:rowOff>
                  </from>
                  <to>
                    <xdr:col>14</xdr:col>
                    <xdr:colOff>561975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9" name="Button 6">
              <controlPr defaultSize="0" print="0" autoFill="0" autoPict="0" macro="[0]!CriarCenarios">
                <anchor moveWithCells="1" sizeWithCells="1">
                  <from>
                    <xdr:col>15</xdr:col>
                    <xdr:colOff>200025</xdr:colOff>
                    <xdr:row>31</xdr:row>
                    <xdr:rowOff>47625</xdr:rowOff>
                  </from>
                  <to>
                    <xdr:col>18</xdr:col>
                    <xdr:colOff>180975</xdr:colOff>
                    <xdr:row>34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N500"/>
  <sheetViews>
    <sheetView topLeftCell="A347" workbookViewId="0">
      <selection activeCell="A368" sqref="A368"/>
    </sheetView>
  </sheetViews>
  <sheetFormatPr defaultRowHeight="15" x14ac:dyDescent="0.25"/>
  <cols>
    <col min="1" max="1" width="116.7109375" customWidth="1"/>
  </cols>
  <sheetData>
    <row r="1" spans="1:1" x14ac:dyDescent="0.25">
      <c r="A1" t="s">
        <v>58</v>
      </c>
    </row>
    <row r="2" spans="1:1" x14ac:dyDescent="0.25">
      <c r="A2" t="s">
        <v>59</v>
      </c>
    </row>
    <row r="3" spans="1:1" x14ac:dyDescent="0.25">
      <c r="A3" t="s">
        <v>60</v>
      </c>
    </row>
    <row r="4" spans="1:1" x14ac:dyDescent="0.25">
      <c r="A4" t="s">
        <v>61</v>
      </c>
    </row>
    <row r="6" spans="1:1" x14ac:dyDescent="0.25">
      <c r="A6" t="s">
        <v>62</v>
      </c>
    </row>
    <row r="7" spans="1:1" x14ac:dyDescent="0.25">
      <c r="A7" s="78" t="str">
        <f>"&lt;DeckInicial&gt;"&amp;SUBSTITUTE(SUBSTITUTE(Geral!$C$4,"L:\","/home/marco/PrevisaoPLD/"),"\","/")&amp;"&lt;/DeckInicial&gt;"</f>
        <v>&lt;DeckInicial&gt;/home/marco/PrevisaoPLD/3_decks_entrada/201708_jul_e_base_140717_DOUG&lt;/DeckInicial&gt;</v>
      </c>
    </row>
    <row r="9" spans="1:1" x14ac:dyDescent="0.25">
      <c r="A9" t="s">
        <v>63</v>
      </c>
    </row>
    <row r="10" spans="1:1" x14ac:dyDescent="0.25">
      <c r="A10" s="78" t="str">
        <f>"&lt;LocalSaida&gt;"&amp;SUBSTITUTE(SUBSTITUTE(_NewaveBase,"L:\","/home/marco/PrevisaoPLD/"),"\","/")&amp;"&lt;/LocalSaida&gt;"</f>
        <v>&lt;LocalSaida&gt;/home/marco/PrevisaoPLD/4_resultados/201708_jul_e_base_140717_DOUG&lt;/LocalSaida&gt;</v>
      </c>
    </row>
    <row r="12" spans="1:1" x14ac:dyDescent="0.25">
      <c r="A12" t="s">
        <v>64</v>
      </c>
    </row>
    <row r="13" spans="1:1" x14ac:dyDescent="0.25">
      <c r="A13" t="s">
        <v>121</v>
      </c>
    </row>
    <row r="15" spans="1:1" x14ac:dyDescent="0.25">
      <c r="A15" t="s">
        <v>65</v>
      </c>
    </row>
    <row r="16" spans="1:1" x14ac:dyDescent="0.25">
      <c r="A16" t="s">
        <v>122</v>
      </c>
    </row>
    <row r="18" spans="1:1" x14ac:dyDescent="0.25">
      <c r="A18" t="s">
        <v>66</v>
      </c>
    </row>
    <row r="19" spans="1:1" x14ac:dyDescent="0.25">
      <c r="A19" t="s">
        <v>123</v>
      </c>
    </row>
    <row r="21" spans="1:1" x14ac:dyDescent="0.25">
      <c r="A21" t="s">
        <v>67</v>
      </c>
    </row>
    <row r="22" spans="1:1" x14ac:dyDescent="0.25">
      <c r="A22" t="s">
        <v>68</v>
      </c>
    </row>
    <row r="24" spans="1:1" x14ac:dyDescent="0.25">
      <c r="A24" t="s">
        <v>69</v>
      </c>
    </row>
    <row r="25" spans="1:1" x14ac:dyDescent="0.25">
      <c r="A25" t="s">
        <v>70</v>
      </c>
    </row>
    <row r="27" spans="1:1" x14ac:dyDescent="0.25">
      <c r="A27" t="s">
        <v>71</v>
      </c>
    </row>
    <row r="28" spans="1:1" x14ac:dyDescent="0.25">
      <c r="A28" s="81" t="s">
        <v>113</v>
      </c>
    </row>
    <row r="30" spans="1:1" x14ac:dyDescent="0.25">
      <c r="A30" t="s">
        <v>72</v>
      </c>
    </row>
    <row r="31" spans="1:1" x14ac:dyDescent="0.25">
      <c r="A31" s="79" t="s">
        <v>73</v>
      </c>
    </row>
    <row r="33" spans="1:1" x14ac:dyDescent="0.25">
      <c r="A33" t="s">
        <v>74</v>
      </c>
    </row>
    <row r="34" spans="1:1" x14ac:dyDescent="0.25">
      <c r="A34" t="s">
        <v>75</v>
      </c>
    </row>
    <row r="36" spans="1:1" x14ac:dyDescent="0.25">
      <c r="A36" t="s">
        <v>76</v>
      </c>
    </row>
    <row r="37" spans="1:1" x14ac:dyDescent="0.25">
      <c r="A37" s="78" t="str">
        <f>"&lt;MesesAvancar&gt;"&amp; (13 - RIGHT(LEFT(Geral!$C$3,6),2))  &amp;"&lt;/MesesAvancar&gt;"</f>
        <v>&lt;MesesAvancar&gt;5&lt;/MesesAvancar&gt;</v>
      </c>
    </row>
    <row r="39" spans="1:1" x14ac:dyDescent="0.25">
      <c r="A39" t="s">
        <v>77</v>
      </c>
    </row>
    <row r="40" spans="1:1" x14ac:dyDescent="0.25">
      <c r="A40" t="s">
        <v>78</v>
      </c>
    </row>
    <row r="41" spans="1:1" x14ac:dyDescent="0.25">
      <c r="A41" s="81" t="s">
        <v>114</v>
      </c>
    </row>
    <row r="42" spans="1:1" x14ac:dyDescent="0.25">
      <c r="A42" s="81" t="s">
        <v>115</v>
      </c>
    </row>
    <row r="43" spans="1:1" x14ac:dyDescent="0.25">
      <c r="A43" s="81" t="s">
        <v>116</v>
      </c>
    </row>
    <row r="44" spans="1:1" x14ac:dyDescent="0.25">
      <c r="A44" s="81" t="s">
        <v>117</v>
      </c>
    </row>
    <row r="45" spans="1:1" x14ac:dyDescent="0.25">
      <c r="A45" s="81"/>
    </row>
    <row r="46" spans="1:1" x14ac:dyDescent="0.25">
      <c r="A46" s="81"/>
    </row>
    <row r="47" spans="1:1" x14ac:dyDescent="0.25">
      <c r="A47" s="81"/>
    </row>
    <row r="48" spans="1:1" x14ac:dyDescent="0.25">
      <c r="A48" s="81"/>
    </row>
    <row r="49" spans="1:1" x14ac:dyDescent="0.25">
      <c r="A49" s="81"/>
    </row>
    <row r="50" spans="1:1" x14ac:dyDescent="0.25">
      <c r="A50" s="81"/>
    </row>
    <row r="51" spans="1:1" x14ac:dyDescent="0.25">
      <c r="A51" s="81"/>
    </row>
    <row r="52" spans="1:1" x14ac:dyDescent="0.25">
      <c r="A52" s="81"/>
    </row>
    <row r="53" spans="1:1" x14ac:dyDescent="0.25">
      <c r="A53" s="81"/>
    </row>
    <row r="54" spans="1:1" x14ac:dyDescent="0.25">
      <c r="A54" s="81"/>
    </row>
    <row r="55" spans="1:1" x14ac:dyDescent="0.25">
      <c r="A55" s="81"/>
    </row>
    <row r="57" spans="1:1" x14ac:dyDescent="0.25">
      <c r="A57" t="s">
        <v>79</v>
      </c>
    </row>
    <row r="58" spans="1:1" x14ac:dyDescent="0.25">
      <c r="A58" t="s">
        <v>80</v>
      </c>
    </row>
    <row r="59" spans="1:1" x14ac:dyDescent="0.25">
      <c r="A59" t="s">
        <v>81</v>
      </c>
    </row>
    <row r="60" spans="1:1" x14ac:dyDescent="0.25">
      <c r="A60" t="s">
        <v>82</v>
      </c>
    </row>
    <row r="61" spans="1:1" x14ac:dyDescent="0.25">
      <c r="A61" t="s">
        <v>83</v>
      </c>
    </row>
    <row r="62" spans="1:1" x14ac:dyDescent="0.25">
      <c r="A62" t="s">
        <v>84</v>
      </c>
    </row>
    <row r="64" spans="1:1" x14ac:dyDescent="0.25">
      <c r="A64" t="s">
        <v>85</v>
      </c>
    </row>
    <row r="65" spans="1:1" x14ac:dyDescent="0.25">
      <c r="A65" s="81" t="s">
        <v>86</v>
      </c>
    </row>
    <row r="66" spans="1:1" x14ac:dyDescent="0.25">
      <c r="A66" s="81" t="s">
        <v>86</v>
      </c>
    </row>
    <row r="67" spans="1:1" x14ac:dyDescent="0.25">
      <c r="A67" s="81" t="s">
        <v>86</v>
      </c>
    </row>
    <row r="68" spans="1:1" x14ac:dyDescent="0.25">
      <c r="A68" s="81" t="s">
        <v>86</v>
      </c>
    </row>
    <row r="69" spans="1:1" x14ac:dyDescent="0.25">
      <c r="A69" s="81"/>
    </row>
    <row r="70" spans="1:1" x14ac:dyDescent="0.25">
      <c r="A70" s="81"/>
    </row>
    <row r="71" spans="1:1" x14ac:dyDescent="0.25">
      <c r="A71" s="81"/>
    </row>
    <row r="72" spans="1:1" x14ac:dyDescent="0.25">
      <c r="A72" s="81"/>
    </row>
    <row r="73" spans="1:1" x14ac:dyDescent="0.25">
      <c r="A73" s="81"/>
    </row>
    <row r="74" spans="1:1" x14ac:dyDescent="0.25">
      <c r="A74" s="81"/>
    </row>
    <row r="75" spans="1:1" x14ac:dyDescent="0.25">
      <c r="A75" s="81"/>
    </row>
    <row r="76" spans="1:1" x14ac:dyDescent="0.25">
      <c r="A76" s="81"/>
    </row>
    <row r="77" spans="1:1" x14ac:dyDescent="0.25">
      <c r="A77" s="81"/>
    </row>
    <row r="78" spans="1:1" x14ac:dyDescent="0.25">
      <c r="A78" s="81"/>
    </row>
    <row r="79" spans="1:1" x14ac:dyDescent="0.25">
      <c r="A79" s="81"/>
    </row>
    <row r="80" spans="1:1" x14ac:dyDescent="0.25">
      <c r="A80" t="s">
        <v>87</v>
      </c>
    </row>
    <row r="81" spans="1:14" x14ac:dyDescent="0.25">
      <c r="A81" s="81" t="s">
        <v>88</v>
      </c>
    </row>
    <row r="82" spans="1:14" x14ac:dyDescent="0.25">
      <c r="A82" t="str">
        <f>"&lt;VolumesPorRee&gt;"&amp;IF(_tipoEarm="MERCADO",0,1)&amp;"&lt;/VolumesPorRee&gt;"</f>
        <v>&lt;VolumesPorRee&gt;0&lt;/VolumesPorRee&gt;</v>
      </c>
    </row>
    <row r="83" spans="1:14" x14ac:dyDescent="0.25">
      <c r="A83" s="78" t="str">
        <f>IF(Geral!B15&lt;&gt;"","&lt;VolumePO SubMercado="""&amp;Geral!B15&amp;""" MesReferencia=""1""&gt; "&amp; C83  &amp;" &lt;/VolumePO&gt;","")</f>
        <v>&lt;VolumePO SubMercado="1" MesReferencia="1"&gt; 37.4 40.2 41.5 41.8 43.3 42.2 39.6 32.3 25.9 22.1 20.5 24.5 &lt;/VolumePO&gt;</v>
      </c>
      <c r="C83" s="80" t="str">
        <f>SUBSTITUTE(TEXT(Geral!D15*100,"0,0") &amp; " " &amp; TEXT(Geral!E15*100,"0,0")&amp; " " &amp; TEXT(Geral!F15*100,"0,0")&amp; " " &amp; TEXT(Geral!G15*100,"0,0")&amp; " " &amp; TEXT(Geral!H15*100,"0,0")&amp; " " &amp; TEXT(Geral!I15*100,"0,0")&amp; " " &amp; TEXT(Geral!J15*100,"0,0")&amp; " " &amp; TEXT(Geral!K15*100,"0,0")&amp; " " &amp; TEXT(Geral!L15*100,"0,0")&amp; " " &amp; TEXT(Geral!M15*100,"0,0")&amp; " " &amp; TEXT(Geral!N15*100,"0,0")&amp; " " &amp; TEXT(Geral!O15*100,"0,0"),",",".")</f>
        <v>37.4 40.2 41.5 41.8 43.3 42.2 39.6 32.3 25.9 22.1 20.5 24.5</v>
      </c>
      <c r="D83" s="80"/>
      <c r="E83" s="80"/>
      <c r="F83" s="80"/>
      <c r="G83" s="80"/>
      <c r="H83" s="80"/>
      <c r="I83" s="80"/>
      <c r="J83" s="80"/>
      <c r="K83" s="80"/>
      <c r="L83" s="80"/>
      <c r="M83" s="80"/>
      <c r="N83" s="80"/>
    </row>
    <row r="84" spans="1:14" x14ac:dyDescent="0.25">
      <c r="A84" s="78" t="str">
        <f>IF(Geral!B16&lt;&gt;"","&lt;VolumePO SubMercado="""&amp;Geral!B16&amp;""" MesReferencia=""1""&gt; "&amp; C84  &amp;" &lt;/VolumePO&gt;","")</f>
        <v>&lt;VolumePO SubMercado="2" MesReferencia="1"&gt; 60.4 51.6 43.5 42.6 71.7 92.8 78.0 65.4 74.7 83.1 71.4 58.8 &lt;/VolumePO&gt;</v>
      </c>
      <c r="C84" s="80" t="str">
        <f>SUBSTITUTE(TEXT(Geral!D16*100,"0,0") &amp; " " &amp; TEXT(Geral!E16*100,"0,0")&amp; " " &amp; TEXT(Geral!F16*100,"0,0")&amp; " " &amp; TEXT(Geral!G16*100,"0,0")&amp; " " &amp; TEXT(Geral!H16*100,"0,0")&amp; " " &amp; TEXT(Geral!I16*100,"0,0")&amp; " " &amp; TEXT(Geral!J16*100,"0,0")&amp; " " &amp; TEXT(Geral!K16*100,"0,0")&amp; " " &amp; TEXT(Geral!L16*100,"0,0")&amp; " " &amp; TEXT(Geral!M16*100,"0,0")&amp; " " &amp; TEXT(Geral!N16*100,"0,0")&amp; " " &amp; TEXT(Geral!O16*100,"0,0"),",",".")</f>
        <v>60.4 51.6 43.5 42.6 71.7 92.8 78.0 65.4 74.7 83.1 71.4 58.8</v>
      </c>
      <c r="D84" s="80"/>
      <c r="E84" s="80"/>
      <c r="F84" s="80"/>
      <c r="G84" s="80"/>
      <c r="H84" s="80"/>
      <c r="I84" s="80"/>
      <c r="J84" s="80"/>
      <c r="K84" s="80"/>
      <c r="L84" s="80"/>
      <c r="M84" s="80"/>
      <c r="N84" s="80"/>
    </row>
    <row r="85" spans="1:14" x14ac:dyDescent="0.25">
      <c r="A85" s="78" t="str">
        <f>IF(Geral!B17&lt;&gt;"","&lt;VolumePO SubMercado="""&amp;Geral!B17&amp;""" MesReferencia=""1""&gt; "&amp; C85  &amp;" &lt;/VolumePO&gt;","")</f>
        <v>&lt;VolumePO SubMercado="3" MesReferencia="1"&gt; 17.4 20.8 21.7 21.7 19.8 17.8 15.6 15.1 13.5 12.3 12.0 14.4 &lt;/VolumePO&gt;</v>
      </c>
      <c r="C85" s="80" t="str">
        <f>SUBSTITUTE(TEXT(Geral!D17*100,"0,0") &amp; " " &amp; TEXT(Geral!E17*100,"0,0")&amp; " " &amp; TEXT(Geral!F17*100,"0,0")&amp; " " &amp; TEXT(Geral!G17*100,"0,0")&amp; " " &amp; TEXT(Geral!H17*100,"0,0")&amp; " " &amp; TEXT(Geral!I17*100,"0,0")&amp; " " &amp; TEXT(Geral!J17*100,"0,0")&amp; " " &amp; TEXT(Geral!K17*100,"0,0")&amp; " " &amp; TEXT(Geral!L17*100,"0,0")&amp; " " &amp; TEXT(Geral!M17*100,"0,0")&amp; " " &amp; TEXT(Geral!N17*100,"0,0")&amp; " " &amp; TEXT(Geral!O17*100,"0,0"),",",".")</f>
        <v>17.4 20.8 21.7 21.7 19.8 17.8 15.6 15.1 13.5 12.3 12.0 14.4</v>
      </c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0"/>
    </row>
    <row r="86" spans="1:14" x14ac:dyDescent="0.25">
      <c r="A86" s="78" t="str">
        <f>IF(Geral!B18&lt;&gt;"","&lt;VolumePO SubMercado="""&amp;Geral!B18&amp;""" MesReferencia=""1""&gt; "&amp; C86  &amp;" &lt;/VolumePO&gt;","")</f>
        <v>&lt;VolumePO SubMercado="4" MesReferencia="1"&gt; 24.4 47.4 63.8 66.0 65.8 64.0 61.9 52.0 38.7 29.6 21.6 25.2 &lt;/VolumePO&gt;</v>
      </c>
      <c r="C86" s="80" t="str">
        <f>SUBSTITUTE(TEXT(Geral!D18*100,"0,0") &amp; " " &amp; TEXT(Geral!E18*100,"0,0")&amp; " " &amp; TEXT(Geral!F18*100,"0,0")&amp; " " &amp; TEXT(Geral!G18*100,"0,0")&amp; " " &amp; TEXT(Geral!H18*100,"0,0")&amp; " " &amp; TEXT(Geral!I18*100,"0,0")&amp; " " &amp; TEXT(Geral!J18*100,"0,0")&amp; " " &amp; TEXT(Geral!K18*100,"0,0")&amp; " " &amp; TEXT(Geral!L18*100,"0,0")&amp; " " &amp; TEXT(Geral!M18*100,"0,0")&amp; " " &amp; TEXT(Geral!N18*100,"0,0")&amp; " " &amp; TEXT(Geral!O18*100,"0,0"),",",".")</f>
        <v>24.4 47.4 63.8 66.0 65.8 64.0 61.9 52.0 38.7 29.6 21.6 25.2</v>
      </c>
      <c r="D86" s="80"/>
      <c r="E86" s="80"/>
      <c r="F86" s="80"/>
      <c r="G86" s="80"/>
      <c r="H86" s="80"/>
      <c r="I86" s="80"/>
      <c r="J86" s="80"/>
      <c r="K86" s="80"/>
      <c r="L86" s="80"/>
      <c r="M86" s="80"/>
      <c r="N86" s="80"/>
    </row>
    <row r="87" spans="1:14" x14ac:dyDescent="0.25">
      <c r="A87" s="78" t="str">
        <f>IF(Geral!B19&lt;&gt;"","&lt;VolumePO SubMercado="""&amp;Geral!B19&amp;""" MesReferencia=""1""&gt; "&amp; C87  &amp;" &lt;/VolumePO&gt;","")</f>
        <v/>
      </c>
      <c r="C87" s="80" t="str">
        <f>SUBSTITUTE(TEXT(Geral!D19*100,"0,0") &amp; " " &amp; TEXT(Geral!E19*100,"0,0")&amp; " " &amp; TEXT(Geral!F19*100,"0,0")&amp; " " &amp; TEXT(Geral!G19*100,"0,0")&amp; " " &amp; TEXT(Geral!H19*100,"0,0")&amp; " " &amp; TEXT(Geral!I19*100,"0,0")&amp; " " &amp; TEXT(Geral!J19*100,"0,0")&amp; " " &amp; TEXT(Geral!K19*100,"0,0")&amp; " " &amp; TEXT(Geral!L19*100,"0,0")&amp; " " &amp; TEXT(Geral!M19*100,"0,0")&amp; " " &amp; TEXT(Geral!N19*100,"0,0")&amp; " " &amp; TEXT(Geral!O19*100,"0,0"),",",".")</f>
        <v>0.0 0.0 0.0 0.0 0.0 0.0 0.0 0.0 0.0 0.0 0.0 0.0</v>
      </c>
      <c r="D87" s="80"/>
      <c r="E87" s="80"/>
      <c r="F87" s="80"/>
      <c r="G87" s="80"/>
      <c r="H87" s="80"/>
      <c r="I87" s="80"/>
      <c r="J87" s="80"/>
      <c r="K87" s="80"/>
      <c r="L87" s="80"/>
      <c r="M87" s="80"/>
      <c r="N87" s="80"/>
    </row>
    <row r="88" spans="1:14" x14ac:dyDescent="0.25">
      <c r="A88" s="78" t="str">
        <f>IF(Geral!B20&lt;&gt;"","&lt;VolumePO SubMercado="""&amp;Geral!B20&amp;""" MesReferencia=""1""&gt; "&amp; C88  &amp;" &lt;/VolumePO&gt;","")</f>
        <v/>
      </c>
      <c r="C88" s="80" t="str">
        <f>SUBSTITUTE(TEXT(Geral!D20*100,"0,0") &amp; " " &amp; TEXT(Geral!E20*100,"0,0")&amp; " " &amp; TEXT(Geral!F20*100,"0,0")&amp; " " &amp; TEXT(Geral!G20*100,"0,0")&amp; " " &amp; TEXT(Geral!H20*100,"0,0")&amp; " " &amp; TEXT(Geral!I20*100,"0,0")&amp; " " &amp; TEXT(Geral!J20*100,"0,0")&amp; " " &amp; TEXT(Geral!K20*100,"0,0")&amp; " " &amp; TEXT(Geral!L20*100,"0,0")&amp; " " &amp; TEXT(Geral!M20*100,"0,0")&amp; " " &amp; TEXT(Geral!N20*100,"0,0")&amp; " " &amp; TEXT(Geral!O20*100,"0,0"),",",".")</f>
        <v>0.0 0.0 0.0 0.0 0.0 0.0 0.0 0.0 0.0 0.0 0.0 0.0</v>
      </c>
      <c r="D88" s="80"/>
      <c r="E88" s="80"/>
      <c r="F88" s="80"/>
      <c r="G88" s="80"/>
      <c r="H88" s="80"/>
      <c r="I88" s="80"/>
      <c r="J88" s="80"/>
      <c r="K88" s="80"/>
      <c r="L88" s="80"/>
      <c r="M88" s="80"/>
      <c r="N88" s="80"/>
    </row>
    <row r="89" spans="1:14" x14ac:dyDescent="0.25">
      <c r="A89" s="78" t="str">
        <f>IF(Geral!B21&lt;&gt;"","&lt;VolumePO SubMercado="""&amp;Geral!B21&amp;""" MesReferencia=""1""&gt; "&amp; C89  &amp;" &lt;/VolumePO&gt;","")</f>
        <v/>
      </c>
      <c r="C89" s="80" t="str">
        <f>SUBSTITUTE(TEXT(Geral!D21*100,"0,0") &amp; " " &amp; TEXT(Geral!E21*100,"0,0")&amp; " " &amp; TEXT(Geral!F21*100,"0,0")&amp; " " &amp; TEXT(Geral!G21*100,"0,0")&amp; " " &amp; TEXT(Geral!H21*100,"0,0")&amp; " " &amp; TEXT(Geral!I21*100,"0,0")&amp; " " &amp; TEXT(Geral!J21*100,"0,0")&amp; " " &amp; TEXT(Geral!K21*100,"0,0")&amp; " " &amp; TEXT(Geral!L21*100,"0,0")&amp; " " &amp; TEXT(Geral!M21*100,"0,0")&amp; " " &amp; TEXT(Geral!N21*100,"0,0")&amp; " " &amp; TEXT(Geral!O21*100,"0,0"),",",".")</f>
        <v>0.0 0.0 0.0 0.0 0.0 0.0 0.0 0.0 0.0 0.0 0.0 0.0</v>
      </c>
      <c r="D89" s="80"/>
      <c r="E89" s="80"/>
      <c r="F89" s="80"/>
      <c r="G89" s="80"/>
      <c r="H89" s="80"/>
      <c r="I89" s="80"/>
      <c r="J89" s="80"/>
      <c r="K89" s="80"/>
      <c r="L89" s="80"/>
      <c r="M89" s="80"/>
      <c r="N89" s="80"/>
    </row>
    <row r="90" spans="1:14" x14ac:dyDescent="0.25">
      <c r="A90" s="78" t="str">
        <f>IF(Geral!B22&lt;&gt;"","&lt;VolumePO SubMercado="""&amp;Geral!B22&amp;""" MesReferencia=""1""&gt; "&amp; C90  &amp;" &lt;/VolumePO&gt;","")</f>
        <v/>
      </c>
      <c r="C90" s="80" t="str">
        <f>SUBSTITUTE(TEXT(Geral!D22*100,"0,0") &amp; " " &amp; TEXT(Geral!E22*100,"0,0")&amp; " " &amp; TEXT(Geral!F22*100,"0,0")&amp; " " &amp; TEXT(Geral!G22*100,"0,0")&amp; " " &amp; TEXT(Geral!H22*100,"0,0")&amp; " " &amp; TEXT(Geral!I22*100,"0,0")&amp; " " &amp; TEXT(Geral!J22*100,"0,0")&amp; " " &amp; TEXT(Geral!K22*100,"0,0")&amp; " " &amp; TEXT(Geral!L22*100,"0,0")&amp; " " &amp; TEXT(Geral!M22*100,"0,0")&amp; " " &amp; TEXT(Geral!N22*100,"0,0")&amp; " " &amp; TEXT(Geral!O22*100,"0,0"),",",".")</f>
        <v>0.0 0.0 0.0 0.0 0.0 0.0 0.0 0.0 0.0 0.0 0.0 0.0</v>
      </c>
      <c r="D90" s="80"/>
      <c r="E90" s="80"/>
      <c r="F90" s="80"/>
      <c r="G90" s="80"/>
      <c r="H90" s="80"/>
      <c r="I90" s="80"/>
      <c r="J90" s="80"/>
      <c r="K90" s="80"/>
      <c r="L90" s="80"/>
      <c r="M90" s="80"/>
      <c r="N90" s="80"/>
    </row>
    <row r="91" spans="1:14" x14ac:dyDescent="0.25">
      <c r="C91" s="80" t="str">
        <f>SUBSTITUTE(TEXT(Geral!D23*100,"0,0") &amp; " " &amp; TEXT(Geral!E23*100,"0,0")&amp; " " &amp; TEXT(Geral!F23*100,"0,0")&amp; " " &amp; TEXT(Geral!G23*100,"0,0")&amp; " " &amp; TEXT(Geral!H23*100,"0,0")&amp; " " &amp; TEXT(Geral!I23*100,"0,0")&amp; " " &amp; TEXT(Geral!J23*100,"0,0")&amp; " " &amp; TEXT(Geral!K23*100,"0,0")&amp; " " &amp; TEXT(Geral!L23*100,"0,0")&amp; " " &amp; TEXT(Geral!M23*100,"0,0")&amp; " " &amp; TEXT(Geral!N23*100,"0,0")&amp; " " &amp; TEXT(Geral!O23*100,"0,0"),",",".")</f>
        <v>0.0 0.0 0.0 0.0 0.0 0.0 0.0 0.0 0.0 0.0 0.0 0.0</v>
      </c>
      <c r="D91" s="80"/>
      <c r="E91" s="80"/>
      <c r="F91" s="80"/>
      <c r="G91" s="80"/>
      <c r="H91" s="80"/>
      <c r="I91" s="80"/>
      <c r="J91" s="80"/>
      <c r="K91" s="80"/>
      <c r="L91" s="80"/>
      <c r="M91" s="80"/>
      <c r="N91" s="80"/>
    </row>
    <row r="100" spans="1:1" x14ac:dyDescent="0.25">
      <c r="A100" t="s">
        <v>89</v>
      </c>
    </row>
    <row r="101" spans="1:1" x14ac:dyDescent="0.25">
      <c r="A101" s="81" t="s">
        <v>90</v>
      </c>
    </row>
    <row r="103" spans="1:1" x14ac:dyDescent="0.25">
      <c r="A103" t="s">
        <v>91</v>
      </c>
    </row>
    <row r="104" spans="1:1" x14ac:dyDescent="0.25">
      <c r="A104" s="78" t="str">
        <f>"&lt;ArquivoSaida&gt;"&amp;Geral!$C$3&amp;"&lt;/ArquivoSaida&gt;"</f>
        <v>&lt;ArquivoSaida&gt;201708_jul_e_base_140717_DOUG&lt;/ArquivoSaida&gt;</v>
      </c>
    </row>
    <row r="106" spans="1:1" x14ac:dyDescent="0.25">
      <c r="A106" t="s">
        <v>92</v>
      </c>
    </row>
    <row r="107" spans="1:1" x14ac:dyDescent="0.25">
      <c r="A107" s="78" t="str">
        <f>"&lt;ArquivoLog&gt;"&amp;Geral!$C$3&amp;".log&lt;/ArquivoLog&gt;"</f>
        <v>&lt;ArquivoLog&gt;201708_jul_e_base_140717_DOUG.log&lt;/ArquivoLog&gt;</v>
      </c>
    </row>
    <row r="109" spans="1:1" x14ac:dyDescent="0.25">
      <c r="A109" t="s">
        <v>93</v>
      </c>
    </row>
    <row r="110" spans="1:1" x14ac:dyDescent="0.25">
      <c r="A110" t="s">
        <v>94</v>
      </c>
    </row>
    <row r="112" spans="1:1" x14ac:dyDescent="0.25">
      <c r="A112" t="s">
        <v>95</v>
      </c>
    </row>
    <row r="113" spans="1:1" x14ac:dyDescent="0.25">
      <c r="A113" t="s">
        <v>96</v>
      </c>
    </row>
    <row r="114" spans="1:1" x14ac:dyDescent="0.25">
      <c r="A114" t="s">
        <v>97</v>
      </c>
    </row>
    <row r="116" spans="1:1" x14ac:dyDescent="0.25">
      <c r="A116" t="s">
        <v>98</v>
      </c>
    </row>
    <row r="117" spans="1:1" x14ac:dyDescent="0.25">
      <c r="A117" t="s">
        <v>99</v>
      </c>
    </row>
    <row r="119" spans="1:1" x14ac:dyDescent="0.25">
      <c r="A119" t="s">
        <v>100</v>
      </c>
    </row>
    <row r="120" spans="1:1" x14ac:dyDescent="0.25">
      <c r="A120" s="81" t="s">
        <v>101</v>
      </c>
    </row>
    <row r="122" spans="1:1" x14ac:dyDescent="0.25">
      <c r="A122" t="s">
        <v>102</v>
      </c>
    </row>
    <row r="123" spans="1:1" x14ac:dyDescent="0.25">
      <c r="A123" s="81" t="s">
        <v>103</v>
      </c>
    </row>
    <row r="125" spans="1:1" x14ac:dyDescent="0.25">
      <c r="A125" t="s">
        <v>104</v>
      </c>
    </row>
    <row r="126" spans="1:1" x14ac:dyDescent="0.25">
      <c r="A126" s="81" t="s">
        <v>118</v>
      </c>
    </row>
    <row r="128" spans="1:1" x14ac:dyDescent="0.25">
      <c r="A128" t="s">
        <v>105</v>
      </c>
    </row>
    <row r="129" spans="1:3" x14ac:dyDescent="0.25">
      <c r="A129" s="78" t="s">
        <v>106</v>
      </c>
    </row>
    <row r="131" spans="1:3" x14ac:dyDescent="0.25">
      <c r="A131" t="s">
        <v>107</v>
      </c>
    </row>
    <row r="132" spans="1:3" x14ac:dyDescent="0.25">
      <c r="A132" s="78" t="s">
        <v>108</v>
      </c>
    </row>
    <row r="141" spans="1:3" x14ac:dyDescent="0.25">
      <c r="A141" t="str">
        <f>"&lt;PrevisaoVAZAO Posto="""&amp;'Hidrologia - 1'!B44&amp;""" MesReferencia=""1""&gt; "&amp;C141&amp;" &lt;/PrevisaoVAZAO&gt;"</f>
        <v>&lt;PrevisaoVAZAO Posto="1" MesReferencia="1"&gt; 157 103 91 66 62 53 42 39 66 78 110 180 &lt;/PrevisaoVAZAO&gt;</v>
      </c>
      <c r="C141" s="83" t="str">
        <f>SUBSTITUTE(TEXT('Hidrologia - 1'!D44,"0") &amp; " " &amp; TEXT('Hidrologia - 1'!E44,"0")&amp; " " &amp; TEXT('Hidrologia - 1'!F44,"0")&amp; " " &amp; TEXT('Hidrologia - 1'!G44,"0")&amp; " " &amp; TEXT('Hidrologia - 1'!H44,"0")&amp; " " &amp; TEXT('Hidrologia - 1'!I44,"0")&amp; " " &amp; TEXT('Hidrologia - 1'!J44,"0")&amp; " " &amp; TEXT('Hidrologia - 1'!K44,"0")&amp; " " &amp; TEXT('Hidrologia - 1'!L44,"0")&amp; " " &amp; TEXT('Hidrologia - 1'!M44,"0")&amp; " " &amp; TEXT('Hidrologia - 1'!N44,"0")&amp; " " &amp; TEXT('Hidrologia - 1'!O44,"0"),",",".")</f>
        <v>157 103 91 66 62 53 42 39 66 78 110 180</v>
      </c>
    </row>
    <row r="142" spans="1:3" x14ac:dyDescent="0.25">
      <c r="A142" s="82" t="str">
        <f>"&lt;PrevisaoVAZAO Posto="""&amp;'Hidrologia - 1'!B45&amp;""" MesReferencia=""1""&gt; "&amp;C142&amp;" &lt;/PrevisaoVAZAO&gt;"</f>
        <v>&lt;PrevisaoVAZAO Posto="2" MesReferencia="1"&gt; 157 103 91 66 62 53 42 39 66 78 110 180 &lt;/PrevisaoVAZAO&gt;</v>
      </c>
      <c r="C142" s="83" t="str">
        <f>SUBSTITUTE(TEXT('Hidrologia - 1'!D45,"0") &amp; " " &amp; TEXT('Hidrologia - 1'!E45,"0")&amp; " " &amp; TEXT('Hidrologia - 1'!F45,"0")&amp; " " &amp; TEXT('Hidrologia - 1'!G45,"0")&amp; " " &amp; TEXT('Hidrologia - 1'!H45,"0")&amp; " " &amp; TEXT('Hidrologia - 1'!I45,"0")&amp; " " &amp; TEXT('Hidrologia - 1'!J45,"0")&amp; " " &amp; TEXT('Hidrologia - 1'!K45,"0")&amp; " " &amp; TEXT('Hidrologia - 1'!L45,"0")&amp; " " &amp; TEXT('Hidrologia - 1'!M45,"0")&amp; " " &amp; TEXT('Hidrologia - 1'!N45,"0")&amp; " " &amp; TEXT('Hidrologia - 1'!O45,"0"),",",".")</f>
        <v>157 103 91 66 62 53 42 39 66 78 110 180</v>
      </c>
    </row>
    <row r="143" spans="1:3" x14ac:dyDescent="0.25">
      <c r="A143" s="82" t="str">
        <f>"&lt;PrevisaoVAZAO Posto="""&amp;'Hidrologia - 1'!B46&amp;""" MesReferencia=""1""&gt; "&amp;C143&amp;" &lt;/PrevisaoVAZAO&gt;"</f>
        <v>&lt;PrevisaoVAZAO Posto="3" MesReferencia="1"&gt; 0 0 0 0 0 0 0 0 0 0 0 0 &lt;/PrevisaoVAZAO&gt;</v>
      </c>
      <c r="C143" s="83" t="str">
        <f>SUBSTITUTE(TEXT('Hidrologia - 1'!D46,"0") &amp; " " &amp; TEXT('Hidrologia - 1'!E46,"0")&amp; " " &amp; TEXT('Hidrologia - 1'!F46,"0")&amp; " " &amp; TEXT('Hidrologia - 1'!G46,"0")&amp; " " &amp; TEXT('Hidrologia - 1'!H46,"0")&amp; " " &amp; TEXT('Hidrologia - 1'!I46,"0")&amp; " " &amp; TEXT('Hidrologia - 1'!J46,"0")&amp; " " &amp; TEXT('Hidrologia - 1'!K46,"0")&amp; " " &amp; TEXT('Hidrologia - 1'!L46,"0")&amp; " " &amp; TEXT('Hidrologia - 1'!M46,"0")&amp; " " &amp; TEXT('Hidrologia - 1'!N46,"0")&amp; " " &amp; TEXT('Hidrologia - 1'!O46,"0"),",",".")</f>
        <v>0 0 0 0 0 0 0 0 0 0 0 0</v>
      </c>
    </row>
    <row r="144" spans="1:3" x14ac:dyDescent="0.25">
      <c r="A144" s="82" t="str">
        <f>"&lt;PrevisaoVAZAO Posto="""&amp;'Hidrologia - 1'!B47&amp;""" MesReferencia=""1""&gt; "&amp;C144&amp;" &lt;/PrevisaoVAZAO&gt;"</f>
        <v>&lt;PrevisaoVAZAO Posto="4" MesReferencia="1"&gt; 0 0 0 0 0 0 0 0 0 0 0 0 &lt;/PrevisaoVAZAO&gt;</v>
      </c>
      <c r="C144" s="83" t="str">
        <f>SUBSTITUTE(TEXT('Hidrologia - 1'!D47,"0") &amp; " " &amp; TEXT('Hidrologia - 1'!E47,"0")&amp; " " &amp; TEXT('Hidrologia - 1'!F47,"0")&amp; " " &amp; TEXT('Hidrologia - 1'!G47,"0")&amp; " " &amp; TEXT('Hidrologia - 1'!H47,"0")&amp; " " &amp; TEXT('Hidrologia - 1'!I47,"0")&amp; " " &amp; TEXT('Hidrologia - 1'!J47,"0")&amp; " " &amp; TEXT('Hidrologia - 1'!K47,"0")&amp; " " &amp; TEXT('Hidrologia - 1'!L47,"0")&amp; " " &amp; TEXT('Hidrologia - 1'!M47,"0")&amp; " " &amp; TEXT('Hidrologia - 1'!N47,"0")&amp; " " &amp; TEXT('Hidrologia - 1'!O47,"0"),",",".")</f>
        <v>0 0 0 0 0 0 0 0 0 0 0 0</v>
      </c>
    </row>
    <row r="145" spans="1:3" x14ac:dyDescent="0.25">
      <c r="A145" s="82" t="str">
        <f>"&lt;PrevisaoVAZAO Posto="""&amp;'Hidrologia - 1'!B48&amp;""" MesReferencia=""1""&gt; "&amp;C145&amp;" &lt;/PrevisaoVAZAO&gt;"</f>
        <v>&lt;PrevisaoVAZAO Posto="5" MesReferencia="1"&gt; 0 0 0 0 0 0 0 0 0 0 0 0 &lt;/PrevisaoVAZAO&gt;</v>
      </c>
      <c r="C145" s="83" t="str">
        <f>SUBSTITUTE(TEXT('Hidrologia - 1'!D48,"0") &amp; " " &amp; TEXT('Hidrologia - 1'!E48,"0")&amp; " " &amp; TEXT('Hidrologia - 1'!F48,"0")&amp; " " &amp; TEXT('Hidrologia - 1'!G48,"0")&amp; " " &amp; TEXT('Hidrologia - 1'!H48,"0")&amp; " " &amp; TEXT('Hidrologia - 1'!I48,"0")&amp; " " &amp; TEXT('Hidrologia - 1'!J48,"0")&amp; " " &amp; TEXT('Hidrologia - 1'!K48,"0")&amp; " " &amp; TEXT('Hidrologia - 1'!L48,"0")&amp; " " &amp; TEXT('Hidrologia - 1'!M48,"0")&amp; " " &amp; TEXT('Hidrologia - 1'!N48,"0")&amp; " " &amp; TEXT('Hidrologia - 1'!O48,"0"),",",".")</f>
        <v>0 0 0 0 0 0 0 0 0 0 0 0</v>
      </c>
    </row>
    <row r="146" spans="1:3" x14ac:dyDescent="0.25">
      <c r="A146" s="82" t="str">
        <f>"&lt;PrevisaoVAZAO Posto="""&amp;'Hidrologia - 1'!B49&amp;""" MesReferencia=""1""&gt; "&amp;C146&amp;" &lt;/PrevisaoVAZAO&gt;"</f>
        <v>&lt;PrevisaoVAZAO Posto="6" MesReferencia="1"&gt; 794 575 595 365 429 370 263 235 430 502 715 1232 &lt;/PrevisaoVAZAO&gt;</v>
      </c>
      <c r="C146" s="83" t="str">
        <f>SUBSTITUTE(TEXT('Hidrologia - 1'!D49,"0") &amp; " " &amp; TEXT('Hidrologia - 1'!E49,"0")&amp; " " &amp; TEXT('Hidrologia - 1'!F49,"0")&amp; " " &amp; TEXT('Hidrologia - 1'!G49,"0")&amp; " " &amp; TEXT('Hidrologia - 1'!H49,"0")&amp; " " &amp; TEXT('Hidrologia - 1'!I49,"0")&amp; " " &amp; TEXT('Hidrologia - 1'!J49,"0")&amp; " " &amp; TEXT('Hidrologia - 1'!K49,"0")&amp; " " &amp; TEXT('Hidrologia - 1'!L49,"0")&amp; " " &amp; TEXT('Hidrologia - 1'!M49,"0")&amp; " " &amp; TEXT('Hidrologia - 1'!N49,"0")&amp; " " &amp; TEXT('Hidrologia - 1'!O49,"0"),",",".")</f>
        <v>794 575 595 365 429 370 263 235 430 502 715 1232</v>
      </c>
    </row>
    <row r="147" spans="1:3" x14ac:dyDescent="0.25">
      <c r="A147" s="82" t="str">
        <f>"&lt;PrevisaoVAZAO Posto="""&amp;'Hidrologia - 1'!B50&amp;""" MesReferencia=""1""&gt; "&amp;C147&amp;" &lt;/PrevisaoVAZAO&gt;"</f>
        <v>&lt;PrevisaoVAZAO Posto="7" MesReferencia="1"&gt; 922 716 680 418 475 400 298 271 476 557 788 1358 &lt;/PrevisaoVAZAO&gt;</v>
      </c>
      <c r="C147" s="83" t="str">
        <f>SUBSTITUTE(TEXT('Hidrologia - 1'!D50,"0") &amp; " " &amp; TEXT('Hidrologia - 1'!E50,"0")&amp; " " &amp; TEXT('Hidrologia - 1'!F50,"0")&amp; " " &amp; TEXT('Hidrologia - 1'!G50,"0")&amp; " " &amp; TEXT('Hidrologia - 1'!H50,"0")&amp; " " &amp; TEXT('Hidrologia - 1'!I50,"0")&amp; " " &amp; TEXT('Hidrologia - 1'!J50,"0")&amp; " " &amp; TEXT('Hidrologia - 1'!K50,"0")&amp; " " &amp; TEXT('Hidrologia - 1'!L50,"0")&amp; " " &amp; TEXT('Hidrologia - 1'!M50,"0")&amp; " " &amp; TEXT('Hidrologia - 1'!N50,"0")&amp; " " &amp; TEXT('Hidrologia - 1'!O50,"0"),",",".")</f>
        <v>922 716 680 418 475 400 298 271 476 557 788 1358</v>
      </c>
    </row>
    <row r="148" spans="1:3" x14ac:dyDescent="0.25">
      <c r="A148" s="82" t="str">
        <f>"&lt;PrevisaoVAZAO Posto="""&amp;'Hidrologia - 1'!B51&amp;""" MesReferencia=""1""&gt; "&amp;C148&amp;" &lt;/PrevisaoVAZAO&gt;"</f>
        <v>&lt;PrevisaoVAZAO Posto="8" MesReferencia="1"&gt; 950 751 699 431 486 408 306 278 486 568 802 1380 &lt;/PrevisaoVAZAO&gt;</v>
      </c>
      <c r="C148" s="83" t="str">
        <f>SUBSTITUTE(TEXT('Hidrologia - 1'!D51,"0") &amp; " " &amp; TEXT('Hidrologia - 1'!E51,"0")&amp; " " &amp; TEXT('Hidrologia - 1'!F51,"0")&amp; " " &amp; TEXT('Hidrologia - 1'!G51,"0")&amp; " " &amp; TEXT('Hidrologia - 1'!H51,"0")&amp; " " &amp; TEXT('Hidrologia - 1'!I51,"0")&amp; " " &amp; TEXT('Hidrologia - 1'!J51,"0")&amp; " " &amp; TEXT('Hidrologia - 1'!K51,"0")&amp; " " &amp; TEXT('Hidrologia - 1'!L51,"0")&amp; " " &amp; TEXT('Hidrologia - 1'!M51,"0")&amp; " " &amp; TEXT('Hidrologia - 1'!N51,"0")&amp; " " &amp; TEXT('Hidrologia - 1'!O51,"0"),",",".")</f>
        <v>950 751 699 431 486 408 306 278 486 568 802 1380</v>
      </c>
    </row>
    <row r="149" spans="1:3" x14ac:dyDescent="0.25">
      <c r="A149" s="82" t="str">
        <f>"&lt;PrevisaoVAZAO Posto="""&amp;'Hidrologia - 1'!B52&amp;""" MesReferencia=""1""&gt; "&amp;C149&amp;" &lt;/PrevisaoVAZAO&gt;"</f>
        <v>&lt;PrevisaoVAZAO Posto="9" MesReferencia="1"&gt; 959 768 707 436 490 412 310 281 490 572 807 1387 &lt;/PrevisaoVAZAO&gt;</v>
      </c>
      <c r="C149" s="83" t="str">
        <f>SUBSTITUTE(TEXT('Hidrologia - 1'!D52,"0") &amp; " " &amp; TEXT('Hidrologia - 1'!E52,"0")&amp; " " &amp; TEXT('Hidrologia - 1'!F52,"0")&amp; " " &amp; TEXT('Hidrologia - 1'!G52,"0")&amp; " " &amp; TEXT('Hidrologia - 1'!H52,"0")&amp; " " &amp; TEXT('Hidrologia - 1'!I52,"0")&amp; " " &amp; TEXT('Hidrologia - 1'!J52,"0")&amp; " " &amp; TEXT('Hidrologia - 1'!K52,"0")&amp; " " &amp; TEXT('Hidrologia - 1'!L52,"0")&amp; " " &amp; TEXT('Hidrologia - 1'!M52,"0")&amp; " " &amp; TEXT('Hidrologia - 1'!N52,"0")&amp; " " &amp; TEXT('Hidrologia - 1'!O52,"0"),",",".")</f>
        <v>959 768 707 436 490 412 310 281 490 572 807 1387</v>
      </c>
    </row>
    <row r="150" spans="1:3" x14ac:dyDescent="0.25">
      <c r="A150" s="82" t="str">
        <f>"&lt;PrevisaoVAZAO Posto="""&amp;'Hidrologia - 1'!B53&amp;""" MesReferencia=""1""&gt; "&amp;C150&amp;" &lt;/PrevisaoVAZAO&gt;"</f>
        <v>&lt;PrevisaoVAZAO Posto="10" MesReferencia="1"&gt; 989 813 730 452 501 421 319 290 501 585 823 1410 &lt;/PrevisaoVAZAO&gt;</v>
      </c>
      <c r="C150" s="83" t="str">
        <f>SUBSTITUTE(TEXT('Hidrologia - 1'!D53,"0") &amp; " " &amp; TEXT('Hidrologia - 1'!E53,"0")&amp; " " &amp; TEXT('Hidrologia - 1'!F53,"0")&amp; " " &amp; TEXT('Hidrologia - 1'!G53,"0")&amp; " " &amp; TEXT('Hidrologia - 1'!H53,"0")&amp; " " &amp; TEXT('Hidrologia - 1'!I53,"0")&amp; " " &amp; TEXT('Hidrologia - 1'!J53,"0")&amp; " " &amp; TEXT('Hidrologia - 1'!K53,"0")&amp; " " &amp; TEXT('Hidrologia - 1'!L53,"0")&amp; " " &amp; TEXT('Hidrologia - 1'!M53,"0")&amp; " " &amp; TEXT('Hidrologia - 1'!N53,"0")&amp; " " &amp; TEXT('Hidrologia - 1'!O53,"0"),",",".")</f>
        <v>989 813 730 452 501 421 319 290 501 585 823 1410</v>
      </c>
    </row>
    <row r="151" spans="1:3" x14ac:dyDescent="0.25">
      <c r="A151" s="82" t="str">
        <f>"&lt;PrevisaoVAZAO Posto="""&amp;'Hidrologia - 1'!B54&amp;""" MesReferencia=""1""&gt; "&amp;C151&amp;" &lt;/PrevisaoVAZAO&gt;"</f>
        <v>&lt;PrevisaoVAZAO Posto="11" MesReferencia="1"&gt; 1064 904 780 486 529 440 341 308 528 616 863 1475 &lt;/PrevisaoVAZAO&gt;</v>
      </c>
      <c r="C151" s="83" t="str">
        <f>SUBSTITUTE(TEXT('Hidrologia - 1'!D54,"0") &amp; " " &amp; TEXT('Hidrologia - 1'!E54,"0")&amp; " " &amp; TEXT('Hidrologia - 1'!F54,"0")&amp; " " &amp; TEXT('Hidrologia - 1'!G54,"0")&amp; " " &amp; TEXT('Hidrologia - 1'!H54,"0")&amp; " " &amp; TEXT('Hidrologia - 1'!I54,"0")&amp; " " &amp; TEXT('Hidrologia - 1'!J54,"0")&amp; " " &amp; TEXT('Hidrologia - 1'!K54,"0")&amp; " " &amp; TEXT('Hidrologia - 1'!L54,"0")&amp; " " &amp; TEXT('Hidrologia - 1'!M54,"0")&amp; " " &amp; TEXT('Hidrologia - 1'!N54,"0")&amp; " " &amp; TEXT('Hidrologia - 1'!O54,"0"),",",".")</f>
        <v>1064 904 780 486 529 440 341 308 528 616 863 1475</v>
      </c>
    </row>
    <row r="152" spans="1:3" x14ac:dyDescent="0.25">
      <c r="A152" s="82" t="str">
        <f>"&lt;PrevisaoVAZAO Posto="""&amp;'Hidrologia - 1'!B55&amp;""" MesReferencia=""1""&gt; "&amp;C152&amp;" &lt;/PrevisaoVAZAO&gt;"</f>
        <v>&lt;PrevisaoVAZAO Posto="12" MesReferencia="1"&gt; 1222 1109 920 589 618 505 391 350 593 693 968 1649 &lt;/PrevisaoVAZAO&gt;</v>
      </c>
      <c r="C152" s="83" t="str">
        <f>SUBSTITUTE(TEXT('Hidrologia - 1'!D55,"0") &amp; " " &amp; TEXT('Hidrologia - 1'!E55,"0")&amp; " " &amp; TEXT('Hidrologia - 1'!F55,"0")&amp; " " &amp; TEXT('Hidrologia - 1'!G55,"0")&amp; " " &amp; TEXT('Hidrologia - 1'!H55,"0")&amp; " " &amp; TEXT('Hidrologia - 1'!I55,"0")&amp; " " &amp; TEXT('Hidrologia - 1'!J55,"0")&amp; " " &amp; TEXT('Hidrologia - 1'!K55,"0")&amp; " " &amp; TEXT('Hidrologia - 1'!L55,"0")&amp; " " &amp; TEXT('Hidrologia - 1'!M55,"0")&amp; " " &amp; TEXT('Hidrologia - 1'!N55,"0")&amp; " " &amp; TEXT('Hidrologia - 1'!O55,"0"),",",".")</f>
        <v>1222 1109 920 589 618 505 391 350 593 693 968 1649</v>
      </c>
    </row>
    <row r="153" spans="1:3" x14ac:dyDescent="0.25">
      <c r="A153" s="82" t="str">
        <f>"&lt;PrevisaoVAZAO Posto="""&amp;'Hidrologia - 1'!B56&amp;""" MesReferencia=""1""&gt; "&amp;C153&amp;" &lt;/PrevisaoVAZAO&gt;"</f>
        <v>&lt;PrevisaoVAZAO Posto="13" MesReferencia="1"&gt; 0 0 0 0 0 0 0 0 0 0 0 0 &lt;/PrevisaoVAZAO&gt;</v>
      </c>
      <c r="C153" s="83" t="str">
        <f>SUBSTITUTE(TEXT('Hidrologia - 1'!D56,"0") &amp; " " &amp; TEXT('Hidrologia - 1'!E56,"0")&amp; " " &amp; TEXT('Hidrologia - 1'!F56,"0")&amp; " " &amp; TEXT('Hidrologia - 1'!G56,"0")&amp; " " &amp; TEXT('Hidrologia - 1'!H56,"0")&amp; " " &amp; TEXT('Hidrologia - 1'!I56,"0")&amp; " " &amp; TEXT('Hidrologia - 1'!J56,"0")&amp; " " &amp; TEXT('Hidrologia - 1'!K56,"0")&amp; " " &amp; TEXT('Hidrologia - 1'!L56,"0")&amp; " " &amp; TEXT('Hidrologia - 1'!M56,"0")&amp; " " &amp; TEXT('Hidrologia - 1'!N56,"0")&amp; " " &amp; TEXT('Hidrologia - 1'!O56,"0"),",",".")</f>
        <v>0 0 0 0 0 0 0 0 0 0 0 0</v>
      </c>
    </row>
    <row r="154" spans="1:3" x14ac:dyDescent="0.25">
      <c r="A154" s="82" t="str">
        <f>"&lt;PrevisaoVAZAO Posto="""&amp;'Hidrologia - 1'!B57&amp;""" MesReferencia=""1""&gt; "&amp;C154&amp;" &lt;/PrevisaoVAZAO&gt;"</f>
        <v>&lt;PrevisaoVAZAO Posto="14" MesReferencia="1"&gt; 79 55 62 40 40 32 25 21 25 31 40 70 &lt;/PrevisaoVAZAO&gt;</v>
      </c>
      <c r="C154" s="83" t="str">
        <f>SUBSTITUTE(TEXT('Hidrologia - 1'!D57,"0") &amp; " " &amp; TEXT('Hidrologia - 1'!E57,"0")&amp; " " &amp; TEXT('Hidrologia - 1'!F57,"0")&amp; " " &amp; TEXT('Hidrologia - 1'!G57,"0")&amp; " " &amp; TEXT('Hidrologia - 1'!H57,"0")&amp; " " &amp; TEXT('Hidrologia - 1'!I57,"0")&amp; " " &amp; TEXT('Hidrologia - 1'!J57,"0")&amp; " " &amp; TEXT('Hidrologia - 1'!K57,"0")&amp; " " &amp; TEXT('Hidrologia - 1'!L57,"0")&amp; " " &amp; TEXT('Hidrologia - 1'!M57,"0")&amp; " " &amp; TEXT('Hidrologia - 1'!N57,"0")&amp; " " &amp; TEXT('Hidrologia - 1'!O57,"0"),",",".")</f>
        <v>79 55 62 40 40 32 25 21 25 31 40 70</v>
      </c>
    </row>
    <row r="155" spans="1:3" x14ac:dyDescent="0.25">
      <c r="A155" s="82" t="str">
        <f>"&lt;PrevisaoVAZAO Posto="""&amp;'Hidrologia - 1'!B58&amp;""" MesReferencia=""1""&gt; "&amp;C155&amp;" &lt;/PrevisaoVAZAO&gt;"</f>
        <v>&lt;PrevisaoVAZAO Posto="15" MesReferencia="1"&gt; 129 90 101 65 65 52 41 35 42 50 64 113 &lt;/PrevisaoVAZAO&gt;</v>
      </c>
      <c r="C155" s="83" t="str">
        <f>SUBSTITUTE(TEXT('Hidrologia - 1'!D58,"0") &amp; " " &amp; TEXT('Hidrologia - 1'!E58,"0")&amp; " " &amp; TEXT('Hidrologia - 1'!F58,"0")&amp; " " &amp; TEXT('Hidrologia - 1'!G58,"0")&amp; " " &amp; TEXT('Hidrologia - 1'!H58,"0")&amp; " " &amp; TEXT('Hidrologia - 1'!I58,"0")&amp; " " &amp; TEXT('Hidrologia - 1'!J58,"0")&amp; " " &amp; TEXT('Hidrologia - 1'!K58,"0")&amp; " " &amp; TEXT('Hidrologia - 1'!L58,"0")&amp; " " &amp; TEXT('Hidrologia - 1'!M58,"0")&amp; " " &amp; TEXT('Hidrologia - 1'!N58,"0")&amp; " " &amp; TEXT('Hidrologia - 1'!O58,"0"),",",".")</f>
        <v>129 90 101 65 65 52 41 35 42 50 64 113</v>
      </c>
    </row>
    <row r="156" spans="1:3" x14ac:dyDescent="0.25">
      <c r="A156" s="82" t="str">
        <f>"&lt;PrevisaoVAZAO Posto="""&amp;'Hidrologia - 1'!B59&amp;""" MesReferencia=""1""&gt; "&amp;C156&amp;" &lt;/PrevisaoVAZAO&gt;"</f>
        <v>&lt;PrevisaoVAZAO Posto="16" MesReferencia="1"&gt; 130 91 103 66 66 53 42 36 43 51 65 115 &lt;/PrevisaoVAZAO&gt;</v>
      </c>
      <c r="C156" s="83" t="str">
        <f>SUBSTITUTE(TEXT('Hidrologia - 1'!D59,"0") &amp; " " &amp; TEXT('Hidrologia - 1'!E59,"0")&amp; " " &amp; TEXT('Hidrologia - 1'!F59,"0")&amp; " " &amp; TEXT('Hidrologia - 1'!G59,"0")&amp; " " &amp; TEXT('Hidrologia - 1'!H59,"0")&amp; " " &amp; TEXT('Hidrologia - 1'!I59,"0")&amp; " " &amp; TEXT('Hidrologia - 1'!J59,"0")&amp; " " &amp; TEXT('Hidrologia - 1'!K59,"0")&amp; " " &amp; TEXT('Hidrologia - 1'!L59,"0")&amp; " " &amp; TEXT('Hidrologia - 1'!M59,"0")&amp; " " &amp; TEXT('Hidrologia - 1'!N59,"0")&amp; " " &amp; TEXT('Hidrologia - 1'!O59,"0"),",",".")</f>
        <v>130 91 103 66 66 53 42 36 43 51 65 115</v>
      </c>
    </row>
    <row r="157" spans="1:3" x14ac:dyDescent="0.25">
      <c r="A157" s="82" t="str">
        <f>"&lt;PrevisaoVAZAO Posto="""&amp;'Hidrologia - 1'!B60&amp;""" MesReferencia=""1""&gt; "&amp;C157&amp;" &lt;/PrevisaoVAZAO&gt;"</f>
        <v>&lt;PrevisaoVAZAO Posto="17" MesReferencia="1"&gt; 1934 1773 1512 1022 1116 912 654 585 875 997 1338 2218 &lt;/PrevisaoVAZAO&gt;</v>
      </c>
      <c r="C157" s="83" t="str">
        <f>SUBSTITUTE(TEXT('Hidrologia - 1'!D60,"0") &amp; " " &amp; TEXT('Hidrologia - 1'!E60,"0")&amp; " " &amp; TEXT('Hidrologia - 1'!F60,"0")&amp; " " &amp; TEXT('Hidrologia - 1'!G60,"0")&amp; " " &amp; TEXT('Hidrologia - 1'!H60,"0")&amp; " " &amp; TEXT('Hidrologia - 1'!I60,"0")&amp; " " &amp; TEXT('Hidrologia - 1'!J60,"0")&amp; " " &amp; TEXT('Hidrologia - 1'!K60,"0")&amp; " " &amp; TEXT('Hidrologia - 1'!L60,"0")&amp; " " &amp; TEXT('Hidrologia - 1'!M60,"0")&amp; " " &amp; TEXT('Hidrologia - 1'!N60,"0")&amp; " " &amp; TEXT('Hidrologia - 1'!O60,"0"),",",".")</f>
        <v>1934 1773 1512 1022 1116 912 654 585 875 997 1338 2218</v>
      </c>
    </row>
    <row r="158" spans="1:3" x14ac:dyDescent="0.25">
      <c r="A158" s="82" t="str">
        <f>"&lt;PrevisaoVAZAO Posto="""&amp;'Hidrologia - 1'!B61&amp;""" MesReferencia=""1""&gt; "&amp;C158&amp;" &lt;/PrevisaoVAZAO&gt;"</f>
        <v>&lt;PrevisaoVAZAO Posto="18" MesReferencia="1"&gt; 2196 2121 1823 1276 1373 1089 791 709 1003 1146 1506 2451 &lt;/PrevisaoVAZAO&gt;</v>
      </c>
      <c r="C158" s="83" t="str">
        <f>SUBSTITUTE(TEXT('Hidrologia - 1'!D61,"0") &amp; " " &amp; TEXT('Hidrologia - 1'!E61,"0")&amp; " " &amp; TEXT('Hidrologia - 1'!F61,"0")&amp; " " &amp; TEXT('Hidrologia - 1'!G61,"0")&amp; " " &amp; TEXT('Hidrologia - 1'!H61,"0")&amp; " " &amp; TEXT('Hidrologia - 1'!I61,"0")&amp; " " &amp; TEXT('Hidrologia - 1'!J61,"0")&amp; " " &amp; TEXT('Hidrologia - 1'!K61,"0")&amp; " " &amp; TEXT('Hidrologia - 1'!L61,"0")&amp; " " &amp; TEXT('Hidrologia - 1'!M61,"0")&amp; " " &amp; TEXT('Hidrologia - 1'!N61,"0")&amp; " " &amp; TEXT('Hidrologia - 1'!O61,"0"),",",".")</f>
        <v>2196 2121 1823 1276 1373 1089 791 709 1003 1146 1506 2451</v>
      </c>
    </row>
    <row r="159" spans="1:3" x14ac:dyDescent="0.25">
      <c r="A159" s="82" t="str">
        <f>"&lt;PrevisaoVAZAO Posto="""&amp;'Hidrologia - 1'!B62&amp;""" MesReferencia=""1""&gt; "&amp;C159&amp;" &lt;/PrevisaoVAZAO&gt;"</f>
        <v>&lt;PrevisaoVAZAO Posto="19" MesReferencia="1"&gt; 0 0 0 0 0 0 0 0 0 0 0 0 &lt;/PrevisaoVAZAO&gt;</v>
      </c>
      <c r="C159" s="83" t="str">
        <f>SUBSTITUTE(TEXT('Hidrologia - 1'!D62,"0") &amp; " " &amp; TEXT('Hidrologia - 1'!E62,"0")&amp; " " &amp; TEXT('Hidrologia - 1'!F62,"0")&amp; " " &amp; TEXT('Hidrologia - 1'!G62,"0")&amp; " " &amp; TEXT('Hidrologia - 1'!H62,"0")&amp; " " &amp; TEXT('Hidrologia - 1'!I62,"0")&amp; " " &amp; TEXT('Hidrologia - 1'!J62,"0")&amp; " " &amp; TEXT('Hidrologia - 1'!K62,"0")&amp; " " &amp; TEXT('Hidrologia - 1'!L62,"0")&amp; " " &amp; TEXT('Hidrologia - 1'!M62,"0")&amp; " " &amp; TEXT('Hidrologia - 1'!N62,"0")&amp; " " &amp; TEXT('Hidrologia - 1'!O62,"0"),",",".")</f>
        <v>0 0 0 0 0 0 0 0 0 0 0 0</v>
      </c>
    </row>
    <row r="160" spans="1:3" x14ac:dyDescent="0.25">
      <c r="A160" s="82" t="str">
        <f>"&lt;PrevisaoVAZAO Posto="""&amp;'Hidrologia - 1'!B63&amp;""" MesReferencia=""1""&gt; "&amp;C160&amp;" &lt;/PrevisaoVAZAO&gt;"</f>
        <v>&lt;PrevisaoVAZAO Posto="20" MesReferencia="1"&gt; 91 142 100 59 55 36 35 31 56 69 120 234 &lt;/PrevisaoVAZAO&gt;</v>
      </c>
      <c r="C160" s="83" t="str">
        <f>SUBSTITUTE(TEXT('Hidrologia - 1'!D63,"0") &amp; " " &amp; TEXT('Hidrologia - 1'!E63,"0")&amp; " " &amp; TEXT('Hidrologia - 1'!F63,"0")&amp; " " &amp; TEXT('Hidrologia - 1'!G63,"0")&amp; " " &amp; TEXT('Hidrologia - 1'!H63,"0")&amp; " " &amp; TEXT('Hidrologia - 1'!I63,"0")&amp; " " &amp; TEXT('Hidrologia - 1'!J63,"0")&amp; " " &amp; TEXT('Hidrologia - 1'!K63,"0")&amp; " " &amp; TEXT('Hidrologia - 1'!L63,"0")&amp; " " &amp; TEXT('Hidrologia - 1'!M63,"0")&amp; " " &amp; TEXT('Hidrologia - 1'!N63,"0")&amp; " " &amp; TEXT('Hidrologia - 1'!O63,"0"),",",".")</f>
        <v>91 142 100 59 55 36 35 31 56 69 120 234</v>
      </c>
    </row>
    <row r="161" spans="1:3" x14ac:dyDescent="0.25">
      <c r="A161" s="82" t="str">
        <f>"&lt;PrevisaoVAZAO Posto="""&amp;'Hidrologia - 1'!B64&amp;""" MesReferencia=""1""&gt; "&amp;C161&amp;" &lt;/PrevisaoVAZAO&gt;"</f>
        <v>&lt;PrevisaoVAZAO Posto="21" MesReferencia="1"&gt; 0 0 0 0 0 0 91 90 0 0 0 0 &lt;/PrevisaoVAZAO&gt;</v>
      </c>
      <c r="C161" s="83" t="str">
        <f>SUBSTITUTE(TEXT('Hidrologia - 1'!D64,"0") &amp; " " &amp; TEXT('Hidrologia - 1'!E64,"0")&amp; " " &amp; TEXT('Hidrologia - 1'!F64,"0")&amp; " " &amp; TEXT('Hidrologia - 1'!G64,"0")&amp; " " &amp; TEXT('Hidrologia - 1'!H64,"0")&amp; " " &amp; TEXT('Hidrologia - 1'!I64,"0")&amp; " " &amp; TEXT('Hidrologia - 1'!J64,"0")&amp; " " &amp; TEXT('Hidrologia - 1'!K64,"0")&amp; " " &amp; TEXT('Hidrologia - 1'!L64,"0")&amp; " " &amp; TEXT('Hidrologia - 1'!M64,"0")&amp; " " &amp; TEXT('Hidrologia - 1'!N64,"0")&amp; " " &amp; TEXT('Hidrologia - 1'!O64,"0"),",",".")</f>
        <v>0 0 0 0 0 0 91 90 0 0 0 0</v>
      </c>
    </row>
    <row r="162" spans="1:3" x14ac:dyDescent="0.25">
      <c r="A162" s="82" t="str">
        <f>"&lt;PrevisaoVAZAO Posto="""&amp;'Hidrologia - 1'!B65&amp;""" MesReferencia=""1""&gt; "&amp;C162&amp;" &lt;/PrevisaoVAZAO&gt;"</f>
        <v>&lt;PrevisaoVAZAO Posto="22" MesReferencia="1"&gt; 53 109 74 44 40 24 19 15 39 45 77 144 &lt;/PrevisaoVAZAO&gt;</v>
      </c>
      <c r="C162" s="83" t="str">
        <f>SUBSTITUTE(TEXT('Hidrologia - 1'!D65,"0") &amp; " " &amp; TEXT('Hidrologia - 1'!E65,"0")&amp; " " &amp; TEXT('Hidrologia - 1'!F65,"0")&amp; " " &amp; TEXT('Hidrologia - 1'!G65,"0")&amp; " " &amp; TEXT('Hidrologia - 1'!H65,"0")&amp; " " &amp; TEXT('Hidrologia - 1'!I65,"0")&amp; " " &amp; TEXT('Hidrologia - 1'!J65,"0")&amp; " " &amp; TEXT('Hidrologia - 1'!K65,"0")&amp; " " &amp; TEXT('Hidrologia - 1'!L65,"0")&amp; " " &amp; TEXT('Hidrologia - 1'!M65,"0")&amp; " " &amp; TEXT('Hidrologia - 1'!N65,"0")&amp; " " &amp; TEXT('Hidrologia - 1'!O65,"0"),",",".")</f>
        <v>53 109 74 44 40 24 19 15 39 45 77 144</v>
      </c>
    </row>
    <row r="163" spans="1:3" x14ac:dyDescent="0.25">
      <c r="A163" s="82" t="str">
        <f>"&lt;PrevisaoVAZAO Posto="""&amp;'Hidrologia - 1'!B66&amp;""" MesReferencia=""1""&gt; "&amp;C163&amp;" &lt;/PrevisaoVAZAO&gt;"</f>
        <v>&lt;PrevisaoVAZAO Posto="23" MesReferencia="1"&gt; 92 148 116 104 69 44 35 31 58 75 123 199 &lt;/PrevisaoVAZAO&gt;</v>
      </c>
      <c r="C163" s="83" t="str">
        <f>SUBSTITUTE(TEXT('Hidrologia - 1'!D66,"0") &amp; " " &amp; TEXT('Hidrologia - 1'!E66,"0")&amp; " " &amp; TEXT('Hidrologia - 1'!F66,"0")&amp; " " &amp; TEXT('Hidrologia - 1'!G66,"0")&amp; " " &amp; TEXT('Hidrologia - 1'!H66,"0")&amp; " " &amp; TEXT('Hidrologia - 1'!I66,"0")&amp; " " &amp; TEXT('Hidrologia - 1'!J66,"0")&amp; " " &amp; TEXT('Hidrologia - 1'!K66,"0")&amp; " " &amp; TEXT('Hidrologia - 1'!L66,"0")&amp; " " &amp; TEXT('Hidrologia - 1'!M66,"0")&amp; " " &amp; TEXT('Hidrologia - 1'!N66,"0")&amp; " " &amp; TEXT('Hidrologia - 1'!O66,"0"),",",".")</f>
        <v>92 148 116 104 69 44 35 31 58 75 123 199</v>
      </c>
    </row>
    <row r="164" spans="1:3" x14ac:dyDescent="0.25">
      <c r="A164" s="82" t="str">
        <f>"&lt;PrevisaoVAZAO Posto="""&amp;'Hidrologia - 1'!B67&amp;""" MesReferencia=""1""&gt; "&amp;C164&amp;" &lt;/PrevisaoVAZAO&gt;"</f>
        <v>&lt;PrevisaoVAZAO Posto="24" MesReferencia="1"&gt; 259 403 284 166 157 103 67 54 172 204 349 652 &lt;/PrevisaoVAZAO&gt;</v>
      </c>
      <c r="C164" s="83" t="str">
        <f>SUBSTITUTE(TEXT('Hidrologia - 1'!D67,"0") &amp; " " &amp; TEXT('Hidrologia - 1'!E67,"0")&amp; " " &amp; TEXT('Hidrologia - 1'!F67,"0")&amp; " " &amp; TEXT('Hidrologia - 1'!G67,"0")&amp; " " &amp; TEXT('Hidrologia - 1'!H67,"0")&amp; " " &amp; TEXT('Hidrologia - 1'!I67,"0")&amp; " " &amp; TEXT('Hidrologia - 1'!J67,"0")&amp; " " &amp; TEXT('Hidrologia - 1'!K67,"0")&amp; " " &amp; TEXT('Hidrologia - 1'!L67,"0")&amp; " " &amp; TEXT('Hidrologia - 1'!M67,"0")&amp; " " &amp; TEXT('Hidrologia - 1'!N67,"0")&amp; " " &amp; TEXT('Hidrologia - 1'!O67,"0"),",",".")</f>
        <v>259 403 284 166 157 103 67 54 172 204 349 652</v>
      </c>
    </row>
    <row r="165" spans="1:3" x14ac:dyDescent="0.25">
      <c r="A165" s="82" t="str">
        <f>"&lt;PrevisaoVAZAO Posto="""&amp;'Hidrologia - 1'!B68&amp;""" MesReferencia=""1""&gt; "&amp;C165&amp;" &lt;/PrevisaoVAZAO&gt;"</f>
        <v>&lt;PrevisaoVAZAO Posto="25" MesReferencia="1"&gt; 289 320 207 150 158 118 88 71 122 150 222 372 &lt;/PrevisaoVAZAO&gt;</v>
      </c>
      <c r="C165" s="83" t="str">
        <f>SUBSTITUTE(TEXT('Hidrologia - 1'!D68,"0") &amp; " " &amp; TEXT('Hidrologia - 1'!E68,"0")&amp; " " &amp; TEXT('Hidrologia - 1'!F68,"0")&amp; " " &amp; TEXT('Hidrologia - 1'!G68,"0")&amp; " " &amp; TEXT('Hidrologia - 1'!H68,"0")&amp; " " &amp; TEXT('Hidrologia - 1'!I68,"0")&amp; " " &amp; TEXT('Hidrologia - 1'!J68,"0")&amp; " " &amp; TEXT('Hidrologia - 1'!K68,"0")&amp; " " &amp; TEXT('Hidrologia - 1'!L68,"0")&amp; " " &amp; TEXT('Hidrologia - 1'!M68,"0")&amp; " " &amp; TEXT('Hidrologia - 1'!N68,"0")&amp; " " &amp; TEXT('Hidrologia - 1'!O68,"0"),",",".")</f>
        <v>289 320 207 150 158 118 88 71 122 150 222 372</v>
      </c>
    </row>
    <row r="166" spans="1:3" x14ac:dyDescent="0.25">
      <c r="A166" s="82" t="str">
        <f>"&lt;PrevisaoVAZAO Posto="""&amp;'Hidrologia - 1'!B69&amp;""" MesReferencia=""1""&gt; "&amp;C166&amp;" &lt;/PrevisaoVAZAO&gt;"</f>
        <v>&lt;PrevisaoVAZAO Posto="26" MesReferencia="1"&gt; 0 0 0 0 0 0 0 0 0 0 0 0 &lt;/PrevisaoVAZAO&gt;</v>
      </c>
      <c r="C166" s="83" t="str">
        <f>SUBSTITUTE(TEXT('Hidrologia - 1'!D69,"0") &amp; " " &amp; TEXT('Hidrologia - 1'!E69,"0")&amp; " " &amp; TEXT('Hidrologia - 1'!F69,"0")&amp; " " &amp; TEXT('Hidrologia - 1'!G69,"0")&amp; " " &amp; TEXT('Hidrologia - 1'!H69,"0")&amp; " " &amp; TEXT('Hidrologia - 1'!I69,"0")&amp; " " &amp; TEXT('Hidrologia - 1'!J69,"0")&amp; " " &amp; TEXT('Hidrologia - 1'!K69,"0")&amp; " " &amp; TEXT('Hidrologia - 1'!L69,"0")&amp; " " &amp; TEXT('Hidrologia - 1'!M69,"0")&amp; " " &amp; TEXT('Hidrologia - 1'!N69,"0")&amp; " " &amp; TEXT('Hidrologia - 1'!O69,"0"),",",".")</f>
        <v>0 0 0 0 0 0 0 0 0 0 0 0</v>
      </c>
    </row>
    <row r="167" spans="1:3" x14ac:dyDescent="0.25">
      <c r="A167" s="82" t="str">
        <f>"&lt;PrevisaoVAZAO Posto="""&amp;'Hidrologia - 1'!B70&amp;""" MesReferencia=""1""&gt; "&amp;C167&amp;" &lt;/PrevisaoVAZAO&gt;"</f>
        <v>&lt;PrevisaoVAZAO Posto="27" MesReferencia="1"&gt; 0 0 0 0 0 0 0 0 0 0 0 0 &lt;/PrevisaoVAZAO&gt;</v>
      </c>
      <c r="C167" s="83" t="str">
        <f>SUBSTITUTE(TEXT('Hidrologia - 1'!D70,"0") &amp; " " &amp; TEXT('Hidrologia - 1'!E70,"0")&amp; " " &amp; TEXT('Hidrologia - 1'!F70,"0")&amp; " " &amp; TEXT('Hidrologia - 1'!G70,"0")&amp; " " &amp; TEXT('Hidrologia - 1'!H70,"0")&amp; " " &amp; TEXT('Hidrologia - 1'!I70,"0")&amp; " " &amp; TEXT('Hidrologia - 1'!J70,"0")&amp; " " &amp; TEXT('Hidrologia - 1'!K70,"0")&amp; " " &amp; TEXT('Hidrologia - 1'!L70,"0")&amp; " " &amp; TEXT('Hidrologia - 1'!M70,"0")&amp; " " &amp; TEXT('Hidrologia - 1'!N70,"0")&amp; " " &amp; TEXT('Hidrologia - 1'!O70,"0"),",",".")</f>
        <v>0 0 0 0 0 0 0 0 0 0 0 0</v>
      </c>
    </row>
    <row r="168" spans="1:3" x14ac:dyDescent="0.25">
      <c r="A168" s="82" t="str">
        <f>"&lt;PrevisaoVAZAO Posto="""&amp;'Hidrologia - 1'!B71&amp;""" MesReferencia=""1""&gt; "&amp;C168&amp;" &lt;/PrevisaoVAZAO&gt;"</f>
        <v>&lt;PrevisaoVAZAO Posto="28" MesReferencia="1"&gt; 306 339 225 163 169 127 100 85 157 188 275 453 &lt;/PrevisaoVAZAO&gt;</v>
      </c>
      <c r="C168" s="83" t="str">
        <f>SUBSTITUTE(TEXT('Hidrologia - 1'!D71,"0") &amp; " " &amp; TEXT('Hidrologia - 1'!E71,"0")&amp; " " &amp; TEXT('Hidrologia - 1'!F71,"0")&amp; " " &amp; TEXT('Hidrologia - 1'!G71,"0")&amp; " " &amp; TEXT('Hidrologia - 1'!H71,"0")&amp; " " &amp; TEXT('Hidrologia - 1'!I71,"0")&amp; " " &amp; TEXT('Hidrologia - 1'!J71,"0")&amp; " " &amp; TEXT('Hidrologia - 1'!K71,"0")&amp; " " &amp; TEXT('Hidrologia - 1'!L71,"0")&amp; " " &amp; TEXT('Hidrologia - 1'!M71,"0")&amp; " " &amp; TEXT('Hidrologia - 1'!N71,"0")&amp; " " &amp; TEXT('Hidrologia - 1'!O71,"0"),",",".")</f>
        <v>306 339 225 163 169 127 100 85 157 188 275 453</v>
      </c>
    </row>
    <row r="169" spans="1:3" x14ac:dyDescent="0.25">
      <c r="A169" s="82" t="str">
        <f>"&lt;PrevisaoVAZAO Posto="""&amp;'Hidrologia - 1'!B72&amp;""" MesReferencia=""1""&gt; "&amp;C169&amp;" &lt;/PrevisaoVAZAO&gt;"</f>
        <v>&lt;PrevisaoVAZAO Posto="29" MesReferencia="1"&gt; 0 0 0 0 0 0 0 0 0 0 0 0 &lt;/PrevisaoVAZAO&gt;</v>
      </c>
      <c r="C169" s="83" t="str">
        <f>SUBSTITUTE(TEXT('Hidrologia - 1'!D72,"0") &amp; " " &amp; TEXT('Hidrologia - 1'!E72,"0")&amp; " " &amp; TEXT('Hidrologia - 1'!F72,"0")&amp; " " &amp; TEXT('Hidrologia - 1'!G72,"0")&amp; " " &amp; TEXT('Hidrologia - 1'!H72,"0")&amp; " " &amp; TEXT('Hidrologia - 1'!I72,"0")&amp; " " &amp; TEXT('Hidrologia - 1'!J72,"0")&amp; " " &amp; TEXT('Hidrologia - 1'!K72,"0")&amp; " " &amp; TEXT('Hidrologia - 1'!L72,"0")&amp; " " &amp; TEXT('Hidrologia - 1'!M72,"0")&amp; " " &amp; TEXT('Hidrologia - 1'!N72,"0")&amp; " " &amp; TEXT('Hidrologia - 1'!O72,"0"),",",".")</f>
        <v>0 0 0 0 0 0 0 0 0 0 0 0</v>
      </c>
    </row>
    <row r="170" spans="1:3" x14ac:dyDescent="0.25">
      <c r="A170" s="82" t="str">
        <f>"&lt;PrevisaoVAZAO Posto="""&amp;'Hidrologia - 1'!B73&amp;""" MesReferencia=""1""&gt; "&amp;C170&amp;" &lt;/PrevisaoVAZAO&gt;"</f>
        <v>&lt;PrevisaoVAZAO Posto="30" MesReferencia="1"&gt; 0 0 0 0 0 0 0 0 0 0 0 0 &lt;/PrevisaoVAZAO&gt;</v>
      </c>
      <c r="C170" s="83" t="str">
        <f>SUBSTITUTE(TEXT('Hidrologia - 1'!D73,"0") &amp; " " &amp; TEXT('Hidrologia - 1'!E73,"0")&amp; " " &amp; TEXT('Hidrologia - 1'!F73,"0")&amp; " " &amp; TEXT('Hidrologia - 1'!G73,"0")&amp; " " &amp; TEXT('Hidrologia - 1'!H73,"0")&amp; " " &amp; TEXT('Hidrologia - 1'!I73,"0")&amp; " " &amp; TEXT('Hidrologia - 1'!J73,"0")&amp; " " &amp; TEXT('Hidrologia - 1'!K73,"0")&amp; " " &amp; TEXT('Hidrologia - 1'!L73,"0")&amp; " " &amp; TEXT('Hidrologia - 1'!M73,"0")&amp; " " &amp; TEXT('Hidrologia - 1'!N73,"0")&amp; " " &amp; TEXT('Hidrologia - 1'!O73,"0"),",",".")</f>
        <v>0 0 0 0 0 0 0 0 0 0 0 0</v>
      </c>
    </row>
    <row r="171" spans="1:3" x14ac:dyDescent="0.25">
      <c r="A171" s="82" t="str">
        <f>"&lt;PrevisaoVAZAO Posto="""&amp;'Hidrologia - 1'!B74&amp;""" MesReferencia=""1""&gt; "&amp;C171&amp;" &lt;/PrevisaoVAZAO&gt;"</f>
        <v>&lt;PrevisaoVAZAO Posto="31" MesReferencia="1"&gt; 1096 1372 1048 759 670 453 314 282 578 697 1127 1956 &lt;/PrevisaoVAZAO&gt;</v>
      </c>
      <c r="C171" s="83" t="str">
        <f>SUBSTITUTE(TEXT('Hidrologia - 1'!D74,"0") &amp; " " &amp; TEXT('Hidrologia - 1'!E74,"0")&amp; " " &amp; TEXT('Hidrologia - 1'!F74,"0")&amp; " " &amp; TEXT('Hidrologia - 1'!G74,"0")&amp; " " &amp; TEXT('Hidrologia - 1'!H74,"0")&amp; " " &amp; TEXT('Hidrologia - 1'!I74,"0")&amp; " " &amp; TEXT('Hidrologia - 1'!J74,"0")&amp; " " &amp; TEXT('Hidrologia - 1'!K74,"0")&amp; " " &amp; TEXT('Hidrologia - 1'!L74,"0")&amp; " " &amp; TEXT('Hidrologia - 1'!M74,"0")&amp; " " &amp; TEXT('Hidrologia - 1'!N74,"0")&amp; " " &amp; TEXT('Hidrologia - 1'!O74,"0"),",",".")</f>
        <v>1096 1372 1048 759 670 453 314 282 578 697 1127 1956</v>
      </c>
    </row>
    <row r="172" spans="1:3" x14ac:dyDescent="0.25">
      <c r="A172" s="82" t="str">
        <f>"&lt;PrevisaoVAZAO Posto="""&amp;'Hidrologia - 1'!B75&amp;""" MesReferencia=""1""&gt; "&amp;C172&amp;" &lt;/PrevisaoVAZAO&gt;"</f>
        <v>&lt;PrevisaoVAZAO Posto="32" MesReferencia="1"&gt; 1172 1463 1144 845 736 497 345 312 614 734 1181 2047 &lt;/PrevisaoVAZAO&gt;</v>
      </c>
      <c r="C172" s="83" t="str">
        <f>SUBSTITUTE(TEXT('Hidrologia - 1'!D75,"0") &amp; " " &amp; TEXT('Hidrologia - 1'!E75,"0")&amp; " " &amp; TEXT('Hidrologia - 1'!F75,"0")&amp; " " &amp; TEXT('Hidrologia - 1'!G75,"0")&amp; " " &amp; TEXT('Hidrologia - 1'!H75,"0")&amp; " " &amp; TEXT('Hidrologia - 1'!I75,"0")&amp; " " &amp; TEXT('Hidrologia - 1'!J75,"0")&amp; " " &amp; TEXT('Hidrologia - 1'!K75,"0")&amp; " " &amp; TEXT('Hidrologia - 1'!L75,"0")&amp; " " &amp; TEXT('Hidrologia - 1'!M75,"0")&amp; " " &amp; TEXT('Hidrologia - 1'!N75,"0")&amp; " " &amp; TEXT('Hidrologia - 1'!O75,"0"),",",".")</f>
        <v>1172 1463 1144 845 736 497 345 312 614 734 1181 2047</v>
      </c>
    </row>
    <row r="173" spans="1:3" x14ac:dyDescent="0.25">
      <c r="A173" s="82" t="str">
        <f>"&lt;PrevisaoVAZAO Posto="""&amp;'Hidrologia - 1'!B76&amp;""" MesReferencia=""1""&gt; "&amp;C173&amp;" &lt;/PrevisaoVAZAO&gt;"</f>
        <v>&lt;PrevisaoVAZAO Posto="33" MesReferencia="1"&gt; 1926 2361 2066 1658 1365 911 669 576 976 1150 1755 2961 &lt;/PrevisaoVAZAO&gt;</v>
      </c>
      <c r="C173" s="83" t="str">
        <f>SUBSTITUTE(TEXT('Hidrologia - 1'!D76,"0") &amp; " " &amp; TEXT('Hidrologia - 1'!E76,"0")&amp; " " &amp; TEXT('Hidrologia - 1'!F76,"0")&amp; " " &amp; TEXT('Hidrologia - 1'!G76,"0")&amp; " " &amp; TEXT('Hidrologia - 1'!H76,"0")&amp; " " &amp; TEXT('Hidrologia - 1'!I76,"0")&amp; " " &amp; TEXT('Hidrologia - 1'!J76,"0")&amp; " " &amp; TEXT('Hidrologia - 1'!K76,"0")&amp; " " &amp; TEXT('Hidrologia - 1'!L76,"0")&amp; " " &amp; TEXT('Hidrologia - 1'!M76,"0")&amp; " " &amp; TEXT('Hidrologia - 1'!N76,"0")&amp; " " &amp; TEXT('Hidrologia - 1'!O76,"0"),",",".")</f>
        <v>1926 2361 2066 1658 1365 911 669 576 976 1150 1755 2961</v>
      </c>
    </row>
    <row r="174" spans="1:3" x14ac:dyDescent="0.25">
      <c r="A174" s="82" t="str">
        <f>"&lt;PrevisaoVAZAO Posto="""&amp;'Hidrologia - 1'!B77&amp;""" MesReferencia=""1""&gt; "&amp;C174&amp;" &lt;/PrevisaoVAZAO&gt;"</f>
        <v>&lt;PrevisaoVAZAO Posto="34" MesReferencia="1"&gt; 5545 5695 5200 3960 3660 2628 1957 1747 2472 2841 3888 6255 &lt;/PrevisaoVAZAO&gt;</v>
      </c>
      <c r="C174" s="83" t="str">
        <f>SUBSTITUTE(TEXT('Hidrologia - 1'!D77,"0") &amp; " " &amp; TEXT('Hidrologia - 1'!E77,"0")&amp; " " &amp; TEXT('Hidrologia - 1'!F77,"0")&amp; " " &amp; TEXT('Hidrologia - 1'!G77,"0")&amp; " " &amp; TEXT('Hidrologia - 1'!H77,"0")&amp; " " &amp; TEXT('Hidrologia - 1'!I77,"0")&amp; " " &amp; TEXT('Hidrologia - 1'!J77,"0")&amp; " " &amp; TEXT('Hidrologia - 1'!K77,"0")&amp; " " &amp; TEXT('Hidrologia - 1'!L77,"0")&amp; " " &amp; TEXT('Hidrologia - 1'!M77,"0")&amp; " " &amp; TEXT('Hidrologia - 1'!N77,"0")&amp; " " &amp; TEXT('Hidrologia - 1'!O77,"0"),",",".")</f>
        <v>5545 5695 5200 3960 3660 2628 1957 1747 2472 2841 3888 6255</v>
      </c>
    </row>
    <row r="175" spans="1:3" x14ac:dyDescent="0.25">
      <c r="A175" s="82" t="str">
        <f>"&lt;PrevisaoVAZAO Posto="""&amp;'Hidrologia - 1'!B78&amp;""" MesReferencia=""1""&gt; "&amp;C175&amp;" &lt;/PrevisaoVAZAO&gt;"</f>
        <v>&lt;PrevisaoVAZAO Posto="35" MesReferencia="1"&gt; 0 0 0 0 0 0 0 0 0 0 0 0 &lt;/PrevisaoVAZAO&gt;</v>
      </c>
      <c r="C175" s="83" t="str">
        <f>SUBSTITUTE(TEXT('Hidrologia - 1'!D78,"0") &amp; " " &amp; TEXT('Hidrologia - 1'!E78,"0")&amp; " " &amp; TEXT('Hidrologia - 1'!F78,"0")&amp; " " &amp; TEXT('Hidrologia - 1'!G78,"0")&amp; " " &amp; TEXT('Hidrologia - 1'!H78,"0")&amp; " " &amp; TEXT('Hidrologia - 1'!I78,"0")&amp; " " &amp; TEXT('Hidrologia - 1'!J78,"0")&amp; " " &amp; TEXT('Hidrologia - 1'!K78,"0")&amp; " " &amp; TEXT('Hidrologia - 1'!L78,"0")&amp; " " &amp; TEXT('Hidrologia - 1'!M78,"0")&amp; " " &amp; TEXT('Hidrologia - 1'!N78,"0")&amp; " " &amp; TEXT('Hidrologia - 1'!O78,"0"),",",".")</f>
        <v>0 0 0 0 0 0 0 0 0 0 0 0</v>
      </c>
    </row>
    <row r="176" spans="1:3" x14ac:dyDescent="0.25">
      <c r="A176" s="82" t="str">
        <f>"&lt;PrevisaoVAZAO Posto="""&amp;'Hidrologia - 1'!B79&amp;""" MesReferencia=""1""&gt; "&amp;C176&amp;" &lt;/PrevisaoVAZAO&gt;"</f>
        <v>&lt;PrevisaoVAZAO Posto="36" MesReferencia="1"&gt; 0 0 0 0 0 0 0 0 0 0 0 0 &lt;/PrevisaoVAZAO&gt;</v>
      </c>
      <c r="C176" s="83" t="str">
        <f>SUBSTITUTE(TEXT('Hidrologia - 1'!D79,"0") &amp; " " &amp; TEXT('Hidrologia - 1'!E79,"0")&amp; " " &amp; TEXT('Hidrologia - 1'!F79,"0")&amp; " " &amp; TEXT('Hidrologia - 1'!G79,"0")&amp; " " &amp; TEXT('Hidrologia - 1'!H79,"0")&amp; " " &amp; TEXT('Hidrologia - 1'!I79,"0")&amp; " " &amp; TEXT('Hidrologia - 1'!J79,"0")&amp; " " &amp; TEXT('Hidrologia - 1'!K79,"0")&amp; " " &amp; TEXT('Hidrologia - 1'!L79,"0")&amp; " " &amp; TEXT('Hidrologia - 1'!M79,"0")&amp; " " &amp; TEXT('Hidrologia - 1'!N79,"0")&amp; " " &amp; TEXT('Hidrologia - 1'!O79,"0"),",",".")</f>
        <v>0 0 0 0 0 0 0 0 0 0 0 0</v>
      </c>
    </row>
    <row r="177" spans="1:3" x14ac:dyDescent="0.25">
      <c r="A177" s="82" t="str">
        <f>"&lt;PrevisaoVAZAO Posto="""&amp;'Hidrologia - 1'!B80&amp;""" MesReferencia=""1""&gt; "&amp;C177&amp;" &lt;/PrevisaoVAZAO&gt;"</f>
        <v>&lt;PrevisaoVAZAO Posto="37" MesReferencia="1"&gt; 828 578 496 365 617 497 222 181 230 280 306 467 &lt;/PrevisaoVAZAO&gt;</v>
      </c>
      <c r="C177" s="83" t="str">
        <f>SUBSTITUTE(TEXT('Hidrologia - 1'!D80,"0") &amp; " " &amp; TEXT('Hidrologia - 1'!E80,"0")&amp; " " &amp; TEXT('Hidrologia - 1'!F80,"0")&amp; " " &amp; TEXT('Hidrologia - 1'!G80,"0")&amp; " " &amp; TEXT('Hidrologia - 1'!H80,"0")&amp; " " &amp; TEXT('Hidrologia - 1'!I80,"0")&amp; " " &amp; TEXT('Hidrologia - 1'!J80,"0")&amp; " " &amp; TEXT('Hidrologia - 1'!K80,"0")&amp; " " &amp; TEXT('Hidrologia - 1'!L80,"0")&amp; " " &amp; TEXT('Hidrologia - 1'!M80,"0")&amp; " " &amp; TEXT('Hidrologia - 1'!N80,"0")&amp; " " &amp; TEXT('Hidrologia - 1'!O80,"0"),",",".")</f>
        <v>828 578 496 365 617 497 222 181 230 280 306 467</v>
      </c>
    </row>
    <row r="178" spans="1:3" x14ac:dyDescent="0.25">
      <c r="A178" s="82" t="str">
        <f>"&lt;PrevisaoVAZAO Posto="""&amp;'Hidrologia - 1'!B81&amp;""" MesReferencia=""1""&gt; "&amp;C178&amp;" &lt;/PrevisaoVAZAO&gt;"</f>
        <v>&lt;PrevisaoVAZAO Posto="38" MesReferencia="1"&gt; 925 669 577 424 706 562 254 210 261 314 344 522 &lt;/PrevisaoVAZAO&gt;</v>
      </c>
      <c r="C178" s="83" t="str">
        <f>SUBSTITUTE(TEXT('Hidrologia - 1'!D81,"0") &amp; " " &amp; TEXT('Hidrologia - 1'!E81,"0")&amp; " " &amp; TEXT('Hidrologia - 1'!F81,"0")&amp; " " &amp; TEXT('Hidrologia - 1'!G81,"0")&amp; " " &amp; TEXT('Hidrologia - 1'!H81,"0")&amp; " " &amp; TEXT('Hidrologia - 1'!I81,"0")&amp; " " &amp; TEXT('Hidrologia - 1'!J81,"0")&amp; " " &amp; TEXT('Hidrologia - 1'!K81,"0")&amp; " " &amp; TEXT('Hidrologia - 1'!L81,"0")&amp; " " &amp; TEXT('Hidrologia - 1'!M81,"0")&amp; " " &amp; TEXT('Hidrologia - 1'!N81,"0")&amp; " " &amp; TEXT('Hidrologia - 1'!O81,"0"),",",".")</f>
        <v>925 669 577 424 706 562 254 210 261 314 344 522</v>
      </c>
    </row>
    <row r="179" spans="1:3" x14ac:dyDescent="0.25">
      <c r="A179" s="82" t="str">
        <f>"&lt;PrevisaoVAZAO Posto="""&amp;'Hidrologia - 1'!B82&amp;""" MesReferencia=""1""&gt; "&amp;C179&amp;" &lt;/PrevisaoVAZAO&gt;"</f>
        <v>&lt;PrevisaoVAZAO Posto="39" MesReferencia="1"&gt; 1119 840 731 539 877 685 323 270 327 386 421 631 &lt;/PrevisaoVAZAO&gt;</v>
      </c>
      <c r="C179" s="83" t="str">
        <f>SUBSTITUTE(TEXT('Hidrologia - 1'!D82,"0") &amp; " " &amp; TEXT('Hidrologia - 1'!E82,"0")&amp; " " &amp; TEXT('Hidrologia - 1'!F82,"0")&amp; " " &amp; TEXT('Hidrologia - 1'!G82,"0")&amp; " " &amp; TEXT('Hidrologia - 1'!H82,"0")&amp; " " &amp; TEXT('Hidrologia - 1'!I82,"0")&amp; " " &amp; TEXT('Hidrologia - 1'!J82,"0")&amp; " " &amp; TEXT('Hidrologia - 1'!K82,"0")&amp; " " &amp; TEXT('Hidrologia - 1'!L82,"0")&amp; " " &amp; TEXT('Hidrologia - 1'!M82,"0")&amp; " " &amp; TEXT('Hidrologia - 1'!N82,"0")&amp; " " &amp; TEXT('Hidrologia - 1'!O82,"0"),",",".")</f>
        <v>1119 840 731 539 877 685 323 270 327 386 421 631</v>
      </c>
    </row>
    <row r="180" spans="1:3" x14ac:dyDescent="0.25">
      <c r="A180" s="82" t="str">
        <f>"&lt;PrevisaoVAZAO Posto="""&amp;'Hidrologia - 1'!B83&amp;""" MesReferencia=""1""&gt; "&amp;C180&amp;" &lt;/PrevisaoVAZAO&gt;"</f>
        <v>&lt;PrevisaoVAZAO Posto="40" MesReferencia="1"&gt; 1312 976 835 635 1046 824 453 426 405 470 509 761 &lt;/PrevisaoVAZAO&gt;</v>
      </c>
      <c r="C180" s="83" t="str">
        <f>SUBSTITUTE(TEXT('Hidrologia - 1'!D83,"0") &amp; " " &amp; TEXT('Hidrologia - 1'!E83,"0")&amp; " " &amp; TEXT('Hidrologia - 1'!F83,"0")&amp; " " &amp; TEXT('Hidrologia - 1'!G83,"0")&amp; " " &amp; TEXT('Hidrologia - 1'!H83,"0")&amp; " " &amp; TEXT('Hidrologia - 1'!I83,"0")&amp; " " &amp; TEXT('Hidrologia - 1'!J83,"0")&amp; " " &amp; TEXT('Hidrologia - 1'!K83,"0")&amp; " " &amp; TEXT('Hidrologia - 1'!L83,"0")&amp; " " &amp; TEXT('Hidrologia - 1'!M83,"0")&amp; " " &amp; TEXT('Hidrologia - 1'!N83,"0")&amp; " " &amp; TEXT('Hidrologia - 1'!O83,"0"),",",".")</f>
        <v>1312 976 835 635 1046 824 453 426 405 470 509 761</v>
      </c>
    </row>
    <row r="181" spans="1:3" x14ac:dyDescent="0.25">
      <c r="A181" s="82" t="str">
        <f>"&lt;PrevisaoVAZAO Posto="""&amp;'Hidrologia - 1'!B84&amp;""" MesReferencia=""1""&gt; "&amp;C181&amp;" &lt;/PrevisaoVAZAO&gt;"</f>
        <v>&lt;PrevisaoVAZAO Posto="41" MesReferencia="1"&gt; 0 0 0 0 0 0 0 0 0 0 0 0 &lt;/PrevisaoVAZAO&gt;</v>
      </c>
      <c r="C181" s="83" t="str">
        <f>SUBSTITUTE(TEXT('Hidrologia - 1'!D84,"0") &amp; " " &amp; TEXT('Hidrologia - 1'!E84,"0")&amp; " " &amp; TEXT('Hidrologia - 1'!F84,"0")&amp; " " &amp; TEXT('Hidrologia - 1'!G84,"0")&amp; " " &amp; TEXT('Hidrologia - 1'!H84,"0")&amp; " " &amp; TEXT('Hidrologia - 1'!I84,"0")&amp; " " &amp; TEXT('Hidrologia - 1'!J84,"0")&amp; " " &amp; TEXT('Hidrologia - 1'!K84,"0")&amp; " " &amp; TEXT('Hidrologia - 1'!L84,"0")&amp; " " &amp; TEXT('Hidrologia - 1'!M84,"0")&amp; " " &amp; TEXT('Hidrologia - 1'!N84,"0")&amp; " " &amp; TEXT('Hidrologia - 1'!O84,"0"),",",".")</f>
        <v>0 0 0 0 0 0 0 0 0 0 0 0</v>
      </c>
    </row>
    <row r="182" spans="1:3" x14ac:dyDescent="0.25">
      <c r="A182" s="82" t="str">
        <f>"&lt;PrevisaoVAZAO Posto="""&amp;'Hidrologia - 1'!B85&amp;""" MesReferencia=""1""&gt; "&amp;C182&amp;" &lt;/PrevisaoVAZAO&gt;"</f>
        <v>&lt;PrevisaoVAZAO Posto="42" MesReferencia="1"&gt; 1385 1033 878 669 1114 879 483 453 429 501 543 814 &lt;/PrevisaoVAZAO&gt;</v>
      </c>
      <c r="C182" s="83" t="str">
        <f>SUBSTITUTE(TEXT('Hidrologia - 1'!D85,"0") &amp; " " &amp; TEXT('Hidrologia - 1'!E85,"0")&amp; " " &amp; TEXT('Hidrologia - 1'!F85,"0")&amp; " " &amp; TEXT('Hidrologia - 1'!G85,"0")&amp; " " &amp; TEXT('Hidrologia - 1'!H85,"0")&amp; " " &amp; TEXT('Hidrologia - 1'!I85,"0")&amp; " " &amp; TEXT('Hidrologia - 1'!J85,"0")&amp; " " &amp; TEXT('Hidrologia - 1'!K85,"0")&amp; " " &amp; TEXT('Hidrologia - 1'!L85,"0")&amp; " " &amp; TEXT('Hidrologia - 1'!M85,"0")&amp; " " &amp; TEXT('Hidrologia - 1'!N85,"0")&amp; " " &amp; TEXT('Hidrologia - 1'!O85,"0"),",",".")</f>
        <v>1385 1033 878 669 1114 879 483 453 429 501 543 814</v>
      </c>
    </row>
    <row r="183" spans="1:3" x14ac:dyDescent="0.25">
      <c r="A183" s="82" t="str">
        <f>"&lt;PrevisaoVAZAO Posto="""&amp;'Hidrologia - 1'!B86&amp;""" MesReferencia=""1""&gt; "&amp;C183&amp;" &lt;/PrevisaoVAZAO&gt;"</f>
        <v>&lt;PrevisaoVAZAO Posto="43" MesReferencia="1"&gt; 1401 1111 927 669 1151 933 521 473 458 534 575 852 &lt;/PrevisaoVAZAO&gt;</v>
      </c>
      <c r="C183" s="83" t="str">
        <f>SUBSTITUTE(TEXT('Hidrologia - 1'!D86,"0") &amp; " " &amp; TEXT('Hidrologia - 1'!E86,"0")&amp; " " &amp; TEXT('Hidrologia - 1'!F86,"0")&amp; " " &amp; TEXT('Hidrologia - 1'!G86,"0")&amp; " " &amp; TEXT('Hidrologia - 1'!H86,"0")&amp; " " &amp; TEXT('Hidrologia - 1'!I86,"0")&amp; " " &amp; TEXT('Hidrologia - 1'!J86,"0")&amp; " " &amp; TEXT('Hidrologia - 1'!K86,"0")&amp; " " &amp; TEXT('Hidrologia - 1'!L86,"0")&amp; " " &amp; TEXT('Hidrologia - 1'!M86,"0")&amp; " " &amp; TEXT('Hidrologia - 1'!N86,"0")&amp; " " &amp; TEXT('Hidrologia - 1'!O86,"0"),",",".")</f>
        <v>1401 1111 927 669 1151 933 521 473 458 534 575 852</v>
      </c>
    </row>
    <row r="184" spans="1:3" x14ac:dyDescent="0.25">
      <c r="A184" s="82" t="str">
        <f>"&lt;PrevisaoVAZAO Posto="""&amp;'Hidrologia - 1'!B87&amp;""" MesReferencia=""1""&gt; "&amp;C184&amp;" &lt;/PrevisaoVAZAO&gt;"</f>
        <v>&lt;PrevisaoVAZAO Posto="44" MesReferencia="1"&gt; 6946 6806 6127 4629 4811 3561 2478 2220 2930 3374 4463 7107 &lt;/PrevisaoVAZAO&gt;</v>
      </c>
      <c r="C184" s="83" t="str">
        <f>SUBSTITUTE(TEXT('Hidrologia - 1'!D87,"0") &amp; " " &amp; TEXT('Hidrologia - 1'!E87,"0")&amp; " " &amp; TEXT('Hidrologia - 1'!F87,"0")&amp; " " &amp; TEXT('Hidrologia - 1'!G87,"0")&amp; " " &amp; TEXT('Hidrologia - 1'!H87,"0")&amp; " " &amp; TEXT('Hidrologia - 1'!I87,"0")&amp; " " &amp; TEXT('Hidrologia - 1'!J87,"0")&amp; " " &amp; TEXT('Hidrologia - 1'!K87,"0")&amp; " " &amp; TEXT('Hidrologia - 1'!L87,"0")&amp; " " &amp; TEXT('Hidrologia - 1'!M87,"0")&amp; " " &amp; TEXT('Hidrologia - 1'!N87,"0")&amp; " " &amp; TEXT('Hidrologia - 1'!O87,"0"),",",".")</f>
        <v>6946 6806 6127 4629 4811 3561 2478 2220 2930 3374 4463 7107</v>
      </c>
    </row>
    <row r="185" spans="1:3" x14ac:dyDescent="0.25">
      <c r="A185" s="82" t="str">
        <f>"&lt;PrevisaoVAZAO Posto="""&amp;'Hidrologia - 1'!B88&amp;""" MesReferencia=""1""&gt; "&amp;C185&amp;" &lt;/PrevisaoVAZAO&gt;"</f>
        <v>&lt;PrevisaoVAZAO Posto="45" MesReferencia="1"&gt; 7594 7536 6776 5213 5284 3989 2862 2560 3198 3648 4759 7443 &lt;/PrevisaoVAZAO&gt;</v>
      </c>
      <c r="C185" s="83" t="str">
        <f>SUBSTITUTE(TEXT('Hidrologia - 1'!D88,"0") &amp; " " &amp; TEXT('Hidrologia - 1'!E88,"0")&amp; " " &amp; TEXT('Hidrologia - 1'!F88,"0")&amp; " " &amp; TEXT('Hidrologia - 1'!G88,"0")&amp; " " &amp; TEXT('Hidrologia - 1'!H88,"0")&amp; " " &amp; TEXT('Hidrologia - 1'!I88,"0")&amp; " " &amp; TEXT('Hidrologia - 1'!J88,"0")&amp; " " &amp; TEXT('Hidrologia - 1'!K88,"0")&amp; " " &amp; TEXT('Hidrologia - 1'!L88,"0")&amp; " " &amp; TEXT('Hidrologia - 1'!M88,"0")&amp; " " &amp; TEXT('Hidrologia - 1'!N88,"0")&amp; " " &amp; TEXT('Hidrologia - 1'!O88,"0"),",",".")</f>
        <v>7594 7536 6776 5213 5284 3989 2862 2560 3198 3648 4759 7443</v>
      </c>
    </row>
    <row r="186" spans="1:3" x14ac:dyDescent="0.25">
      <c r="A186" s="82" t="str">
        <f>"&lt;PrevisaoVAZAO Posto="""&amp;'Hidrologia - 1'!B89&amp;""" MesReferencia=""1""&gt; "&amp;C186&amp;" &lt;/PrevisaoVAZAO&gt;"</f>
        <v>&lt;PrevisaoVAZAO Posto="46" MesReferencia="1"&gt; 8648 9261 7930 6409 6772 5288 3708 3300 3811 4313 5423 8109 &lt;/PrevisaoVAZAO&gt;</v>
      </c>
      <c r="C186" s="83" t="str">
        <f>SUBSTITUTE(TEXT('Hidrologia - 1'!D89,"0") &amp; " " &amp; TEXT('Hidrologia - 1'!E89,"0")&amp; " " &amp; TEXT('Hidrologia - 1'!F89,"0")&amp; " " &amp; TEXT('Hidrologia - 1'!G89,"0")&amp; " " &amp; TEXT('Hidrologia - 1'!H89,"0")&amp; " " &amp; TEXT('Hidrologia - 1'!I89,"0")&amp; " " &amp; TEXT('Hidrologia - 1'!J89,"0")&amp; " " &amp; TEXT('Hidrologia - 1'!K89,"0")&amp; " " &amp; TEXT('Hidrologia - 1'!L89,"0")&amp; " " &amp; TEXT('Hidrologia - 1'!M89,"0")&amp; " " &amp; TEXT('Hidrologia - 1'!N89,"0")&amp; " " &amp; TEXT('Hidrologia - 1'!O89,"0"),",",".")</f>
        <v>8648 9261 7930 6409 6772 5288 3708 3300 3811 4313 5423 8109</v>
      </c>
    </row>
    <row r="187" spans="1:3" x14ac:dyDescent="0.25">
      <c r="A187" s="82" t="str">
        <f>"&lt;PrevisaoVAZAO Posto="""&amp;'Hidrologia - 1'!B90&amp;""" MesReferencia=""1""&gt; "&amp;C187&amp;" &lt;/PrevisaoVAZAO&gt;"</f>
        <v>&lt;PrevisaoVAZAO Posto="47" MesReferencia="1"&gt; 441 419 245 249 390 508 265 199 161 191 185 235 &lt;/PrevisaoVAZAO&gt;</v>
      </c>
      <c r="C187" s="83" t="str">
        <f>SUBSTITUTE(TEXT('Hidrologia - 1'!D90,"0") &amp; " " &amp; TEXT('Hidrologia - 1'!E90,"0")&amp; " " &amp; TEXT('Hidrologia - 1'!F90,"0")&amp; " " &amp; TEXT('Hidrologia - 1'!G90,"0")&amp; " " &amp; TEXT('Hidrologia - 1'!H90,"0")&amp; " " &amp; TEXT('Hidrologia - 1'!I90,"0")&amp; " " &amp; TEXT('Hidrologia - 1'!J90,"0")&amp; " " &amp; TEXT('Hidrologia - 1'!K90,"0")&amp; " " &amp; TEXT('Hidrologia - 1'!L90,"0")&amp; " " &amp; TEXT('Hidrologia - 1'!M90,"0")&amp; " " &amp; TEXT('Hidrologia - 1'!N90,"0")&amp; " " &amp; TEXT('Hidrologia - 1'!O90,"0"),",",".")</f>
        <v>441 419 245 249 390 508 265 199 161 191 185 235</v>
      </c>
    </row>
    <row r="188" spans="1:3" x14ac:dyDescent="0.25">
      <c r="A188" s="82" t="str">
        <f>"&lt;PrevisaoVAZAO Posto="""&amp;'Hidrologia - 1'!B91&amp;""" MesReferencia=""1""&gt; "&amp;C188&amp;" &lt;/PrevisaoVAZAO&gt;"</f>
        <v>&lt;PrevisaoVAZAO Posto="48" MesReferencia="1"&gt; 454 433 251 254 403 523 272 204 165 196 189 240 &lt;/PrevisaoVAZAO&gt;</v>
      </c>
      <c r="C188" s="83" t="str">
        <f>SUBSTITUTE(TEXT('Hidrologia - 1'!D91,"0") &amp; " " &amp; TEXT('Hidrologia - 1'!E91,"0")&amp; " " &amp; TEXT('Hidrologia - 1'!F91,"0")&amp; " " &amp; TEXT('Hidrologia - 1'!G91,"0")&amp; " " &amp; TEXT('Hidrologia - 1'!H91,"0")&amp; " " &amp; TEXT('Hidrologia - 1'!I91,"0")&amp; " " &amp; TEXT('Hidrologia - 1'!J91,"0")&amp; " " &amp; TEXT('Hidrologia - 1'!K91,"0")&amp; " " &amp; TEXT('Hidrologia - 1'!L91,"0")&amp; " " &amp; TEXT('Hidrologia - 1'!M91,"0")&amp; " " &amp; TEXT('Hidrologia - 1'!N91,"0")&amp; " " &amp; TEXT('Hidrologia - 1'!O91,"0"),",",".")</f>
        <v>454 433 251 254 403 523 272 204 165 196 189 240</v>
      </c>
    </row>
    <row r="189" spans="1:3" x14ac:dyDescent="0.25">
      <c r="A189" s="82" t="str">
        <f>"&lt;PrevisaoVAZAO Posto="""&amp;'Hidrologia - 1'!B92&amp;""" MesReferencia=""1""&gt; "&amp;C189&amp;" &lt;/PrevisaoVAZAO&gt;"</f>
        <v>&lt;PrevisaoVAZAO Posto="49" MesReferencia="1"&gt; 741 650 382 375 642 846 423 311 259 307 288 355 &lt;/PrevisaoVAZAO&gt;</v>
      </c>
      <c r="C189" s="83" t="str">
        <f>SUBSTITUTE(TEXT('Hidrologia - 1'!D92,"0") &amp; " " &amp; TEXT('Hidrologia - 1'!E92,"0")&amp; " " &amp; TEXT('Hidrologia - 1'!F92,"0")&amp; " " &amp; TEXT('Hidrologia - 1'!G92,"0")&amp; " " &amp; TEXT('Hidrologia - 1'!H92,"0")&amp; " " &amp; TEXT('Hidrologia - 1'!I92,"0")&amp; " " &amp; TEXT('Hidrologia - 1'!J92,"0")&amp; " " &amp; TEXT('Hidrologia - 1'!K92,"0")&amp; " " &amp; TEXT('Hidrologia - 1'!L92,"0")&amp; " " &amp; TEXT('Hidrologia - 1'!M92,"0")&amp; " " &amp; TEXT('Hidrologia - 1'!N92,"0")&amp; " " &amp; TEXT('Hidrologia - 1'!O92,"0"),",",".")</f>
        <v>741 650 382 375 642 846 423 311 259 307 288 355</v>
      </c>
    </row>
    <row r="190" spans="1:3" x14ac:dyDescent="0.25">
      <c r="A190" s="82" t="str">
        <f>"&lt;PrevisaoVAZAO Posto="""&amp;'Hidrologia - 1'!B93&amp;""" MesReferencia=""1""&gt; "&amp;C190&amp;" &lt;/PrevisaoVAZAO&gt;"</f>
        <v>&lt;PrevisaoVAZAO Posto="50" MesReferencia="1"&gt; 937 848 574 536 896 1091 548 410 343 401 383 470 &lt;/PrevisaoVAZAO&gt;</v>
      </c>
      <c r="C190" s="83" t="str">
        <f>SUBSTITUTE(TEXT('Hidrologia - 1'!D93,"0") &amp; " " &amp; TEXT('Hidrologia - 1'!E93,"0")&amp; " " &amp; TEXT('Hidrologia - 1'!F93,"0")&amp; " " &amp; TEXT('Hidrologia - 1'!G93,"0")&amp; " " &amp; TEXT('Hidrologia - 1'!H93,"0")&amp; " " &amp; TEXT('Hidrologia - 1'!I93,"0")&amp; " " &amp; TEXT('Hidrologia - 1'!J93,"0")&amp; " " &amp; TEXT('Hidrologia - 1'!K93,"0")&amp; " " &amp; TEXT('Hidrologia - 1'!L93,"0")&amp; " " &amp; TEXT('Hidrologia - 1'!M93,"0")&amp; " " &amp; TEXT('Hidrologia - 1'!N93,"0")&amp; " " &amp; TEXT('Hidrologia - 1'!O93,"0"),",",".")</f>
        <v>937 848 574 536 896 1091 548 410 343 401 383 470</v>
      </c>
    </row>
    <row r="191" spans="1:3" x14ac:dyDescent="0.25">
      <c r="A191" s="82" t="str">
        <f>"&lt;PrevisaoVAZAO Posto="""&amp;'Hidrologia - 1'!B94&amp;""" MesReferencia=""1""&gt; "&amp;C191&amp;" &lt;/PrevisaoVAZAO&gt;"</f>
        <v>&lt;PrevisaoVAZAO Posto="51" MesReferencia="1"&gt; 947 863 588 548 915 1111 558 418 349 408 391 478 &lt;/PrevisaoVAZAO&gt;</v>
      </c>
      <c r="C191" s="83" t="str">
        <f>SUBSTITUTE(TEXT('Hidrologia - 1'!D94,"0") &amp; " " &amp; TEXT('Hidrologia - 1'!E94,"0")&amp; " " &amp; TEXT('Hidrologia - 1'!F94,"0")&amp; " " &amp; TEXT('Hidrologia - 1'!G94,"0")&amp; " " &amp; TEXT('Hidrologia - 1'!H94,"0")&amp; " " &amp; TEXT('Hidrologia - 1'!I94,"0")&amp; " " &amp; TEXT('Hidrologia - 1'!J94,"0")&amp; " " &amp; TEXT('Hidrologia - 1'!K94,"0")&amp; " " &amp; TEXT('Hidrologia - 1'!L94,"0")&amp; " " &amp; TEXT('Hidrologia - 1'!M94,"0")&amp; " " &amp; TEXT('Hidrologia - 1'!N94,"0")&amp; " " &amp; TEXT('Hidrologia - 1'!O94,"0"),",",".")</f>
        <v>947 863 588 548 915 1111 558 418 349 408 391 478</v>
      </c>
    </row>
    <row r="192" spans="1:3" x14ac:dyDescent="0.25">
      <c r="A192" s="82" t="str">
        <f>"&lt;PrevisaoVAZAO Posto="""&amp;'Hidrologia - 1'!B95&amp;""" MesReferencia=""1""&gt; "&amp;C192&amp;" &lt;/PrevisaoVAZAO&gt;"</f>
        <v>&lt;PrevisaoVAZAO Posto="52" MesReferencia="1"&gt; 973 891 619 573 955 1153 579 435 362 424 406 497 &lt;/PrevisaoVAZAO&gt;</v>
      </c>
      <c r="C192" s="83" t="str">
        <f>SUBSTITUTE(TEXT('Hidrologia - 1'!D95,"0") &amp; " " &amp; TEXT('Hidrologia - 1'!E95,"0")&amp; " " &amp; TEXT('Hidrologia - 1'!F95,"0")&amp; " " &amp; TEXT('Hidrologia - 1'!G95,"0")&amp; " " &amp; TEXT('Hidrologia - 1'!H95,"0")&amp; " " &amp; TEXT('Hidrologia - 1'!I95,"0")&amp; " " &amp; TEXT('Hidrologia - 1'!J95,"0")&amp; " " &amp; TEXT('Hidrologia - 1'!K95,"0")&amp; " " &amp; TEXT('Hidrologia - 1'!L95,"0")&amp; " " &amp; TEXT('Hidrologia - 1'!M95,"0")&amp; " " &amp; TEXT('Hidrologia - 1'!N95,"0")&amp; " " &amp; TEXT('Hidrologia - 1'!O95,"0"),",",".")</f>
        <v>973 891 619 573 955 1153 579 435 362 424 406 497</v>
      </c>
    </row>
    <row r="193" spans="1:3" x14ac:dyDescent="0.25">
      <c r="A193" s="82" t="str">
        <f>"&lt;PrevisaoVAZAO Posto="""&amp;'Hidrologia - 1'!B96&amp;""" MesReferencia=""1""&gt; "&amp;C193&amp;" &lt;/PrevisaoVAZAO&gt;"</f>
        <v>&lt;PrevisaoVAZAO Posto="53" MesReferencia="1"&gt; 0 0 0 0 0 0 0 0 0 0 0 0 &lt;/PrevisaoVAZAO&gt;</v>
      </c>
      <c r="C193" s="83" t="str">
        <f>SUBSTITUTE(TEXT('Hidrologia - 1'!D96,"0") &amp; " " &amp; TEXT('Hidrologia - 1'!E96,"0")&amp; " " &amp; TEXT('Hidrologia - 1'!F96,"0")&amp; " " &amp; TEXT('Hidrologia - 1'!G96,"0")&amp; " " &amp; TEXT('Hidrologia - 1'!H96,"0")&amp; " " &amp; TEXT('Hidrologia - 1'!I96,"0")&amp; " " &amp; TEXT('Hidrologia - 1'!J96,"0")&amp; " " &amp; TEXT('Hidrologia - 1'!K96,"0")&amp; " " &amp; TEXT('Hidrologia - 1'!L96,"0")&amp; " " &amp; TEXT('Hidrologia - 1'!M96,"0")&amp; " " &amp; TEXT('Hidrologia - 1'!N96,"0")&amp; " " &amp; TEXT('Hidrologia - 1'!O96,"0"),",",".")</f>
        <v>0 0 0 0 0 0 0 0 0 0 0 0</v>
      </c>
    </row>
    <row r="194" spans="1:3" x14ac:dyDescent="0.25">
      <c r="A194" s="82" t="str">
        <f>"&lt;PrevisaoVAZAO Posto="""&amp;'Hidrologia - 1'!B97&amp;""" MesReferencia=""1""&gt; "&amp;C194&amp;" &lt;/PrevisaoVAZAO&gt;"</f>
        <v>&lt;PrevisaoVAZAO Posto="54" MesReferencia="1"&gt; 144 155 114 96 189 406 282 321 152 198 159 142 &lt;/PrevisaoVAZAO&gt;</v>
      </c>
      <c r="C194" s="83" t="str">
        <f>SUBSTITUTE(TEXT('Hidrologia - 1'!D97,"0") &amp; " " &amp; TEXT('Hidrologia - 1'!E97,"0")&amp; " " &amp; TEXT('Hidrologia - 1'!F97,"0")&amp; " " &amp; TEXT('Hidrologia - 1'!G97,"0")&amp; " " &amp; TEXT('Hidrologia - 1'!H97,"0")&amp; " " &amp; TEXT('Hidrologia - 1'!I97,"0")&amp; " " &amp; TEXT('Hidrologia - 1'!J97,"0")&amp; " " &amp; TEXT('Hidrologia - 1'!K97,"0")&amp; " " &amp; TEXT('Hidrologia - 1'!L97,"0")&amp; " " &amp; TEXT('Hidrologia - 1'!M97,"0")&amp; " " &amp; TEXT('Hidrologia - 1'!N97,"0")&amp; " " &amp; TEXT('Hidrologia - 1'!O97,"0"),",",".")</f>
        <v>144 155 114 96 189 406 282 321 152 198 159 142</v>
      </c>
    </row>
    <row r="195" spans="1:3" x14ac:dyDescent="0.25">
      <c r="A195" s="82" t="str">
        <f>"&lt;PrevisaoVAZAO Posto="""&amp;'Hidrologia - 1'!B98&amp;""" MesReferencia=""1""&gt; "&amp;C195&amp;" &lt;/PrevisaoVAZAO&gt;"</f>
        <v>&lt;PrevisaoVAZAO Posto="55" MesReferencia="1"&gt; 0 0 0 0 0 0 0 0 0 0 0 0 &lt;/PrevisaoVAZAO&gt;</v>
      </c>
      <c r="C195" s="83" t="str">
        <f>SUBSTITUTE(TEXT('Hidrologia - 1'!D98,"0") &amp; " " &amp; TEXT('Hidrologia - 1'!E98,"0")&amp; " " &amp; TEXT('Hidrologia - 1'!F98,"0")&amp; " " &amp; TEXT('Hidrologia - 1'!G98,"0")&amp; " " &amp; TEXT('Hidrologia - 1'!H98,"0")&amp; " " &amp; TEXT('Hidrologia - 1'!I98,"0")&amp; " " &amp; TEXT('Hidrologia - 1'!J98,"0")&amp; " " &amp; TEXT('Hidrologia - 1'!K98,"0")&amp; " " &amp; TEXT('Hidrologia - 1'!L98,"0")&amp; " " &amp; TEXT('Hidrologia - 1'!M98,"0")&amp; " " &amp; TEXT('Hidrologia - 1'!N98,"0")&amp; " " &amp; TEXT('Hidrologia - 1'!O98,"0"),",",".")</f>
        <v>0 0 0 0 0 0 0 0 0 0 0 0</v>
      </c>
    </row>
    <row r="196" spans="1:3" x14ac:dyDescent="0.25">
      <c r="A196" s="82" t="str">
        <f>"&lt;PrevisaoVAZAO Posto="""&amp;'Hidrologia - 1'!B99&amp;""" MesReferencia=""1""&gt; "&amp;C196&amp;" &lt;/PrevisaoVAZAO&gt;"</f>
        <v>&lt;PrevisaoVAZAO Posto="56" MesReferencia="1"&gt; 0 0 0 0 0 0 0 0 0 0 0 0 &lt;/PrevisaoVAZAO&gt;</v>
      </c>
      <c r="C196" s="83" t="str">
        <f>SUBSTITUTE(TEXT('Hidrologia - 1'!D99,"0") &amp; " " &amp; TEXT('Hidrologia - 1'!E99,"0")&amp; " " &amp; TEXT('Hidrologia - 1'!F99,"0")&amp; " " &amp; TEXT('Hidrologia - 1'!G99,"0")&amp; " " &amp; TEXT('Hidrologia - 1'!H99,"0")&amp; " " &amp; TEXT('Hidrologia - 1'!I99,"0")&amp; " " &amp; TEXT('Hidrologia - 1'!J99,"0")&amp; " " &amp; TEXT('Hidrologia - 1'!K99,"0")&amp; " " &amp; TEXT('Hidrologia - 1'!L99,"0")&amp; " " &amp; TEXT('Hidrologia - 1'!M99,"0")&amp; " " &amp; TEXT('Hidrologia - 1'!N99,"0")&amp; " " &amp; TEXT('Hidrologia - 1'!O99,"0"),",",".")</f>
        <v>0 0 0 0 0 0 0 0 0 0 0 0</v>
      </c>
    </row>
    <row r="197" spans="1:3" x14ac:dyDescent="0.25">
      <c r="A197" s="82" t="str">
        <f>"&lt;PrevisaoVAZAO Posto="""&amp;'Hidrologia - 1'!B100&amp;""" MesReferencia=""1""&gt; "&amp;C197&amp;" &lt;/PrevisaoVAZAO&gt;"</f>
        <v>&lt;PrevisaoVAZAO Posto="57" MesReferencia="1"&gt; 278 298 218 181 344 746 191 187 263 343 283 258 &lt;/PrevisaoVAZAO&gt;</v>
      </c>
      <c r="C197" s="83" t="str">
        <f>SUBSTITUTE(TEXT('Hidrologia - 1'!D100,"0") &amp; " " &amp; TEXT('Hidrologia - 1'!E100,"0")&amp; " " &amp; TEXT('Hidrologia - 1'!F100,"0")&amp; " " &amp; TEXT('Hidrologia - 1'!G100,"0")&amp; " " &amp; TEXT('Hidrologia - 1'!H100,"0")&amp; " " &amp; TEXT('Hidrologia - 1'!I100,"0")&amp; " " &amp; TEXT('Hidrologia - 1'!J100,"0")&amp; " " &amp; TEXT('Hidrologia - 1'!K100,"0")&amp; " " &amp; TEXT('Hidrologia - 1'!L100,"0")&amp; " " &amp; TEXT('Hidrologia - 1'!M100,"0")&amp; " " &amp; TEXT('Hidrologia - 1'!N100,"0")&amp; " " &amp; TEXT('Hidrologia - 1'!O100,"0"),",",".")</f>
        <v>278 298 218 181 344 746 191 187 263 343 283 258</v>
      </c>
    </row>
    <row r="198" spans="1:3" x14ac:dyDescent="0.25">
      <c r="A198" s="82" t="str">
        <f>"&lt;PrevisaoVAZAO Posto="""&amp;'Hidrologia - 1'!B101&amp;""" MesReferencia=""1""&gt; "&amp;C198&amp;" &lt;/PrevisaoVAZAO&gt;"</f>
        <v>&lt;PrevisaoVAZAO Posto="58" MesReferencia="1"&gt; 471 450 339 254 552 814 468 472 305 397 334 311 &lt;/PrevisaoVAZAO&gt;</v>
      </c>
      <c r="C198" s="83" t="str">
        <f>SUBSTITUTE(TEXT('Hidrologia - 1'!D101,"0") &amp; " " &amp; TEXT('Hidrologia - 1'!E101,"0")&amp; " " &amp; TEXT('Hidrologia - 1'!F101,"0")&amp; " " &amp; TEXT('Hidrologia - 1'!G101,"0")&amp; " " &amp; TEXT('Hidrologia - 1'!H101,"0")&amp; " " &amp; TEXT('Hidrologia - 1'!I101,"0")&amp; " " &amp; TEXT('Hidrologia - 1'!J101,"0")&amp; " " &amp; TEXT('Hidrologia - 1'!K101,"0")&amp; " " &amp; TEXT('Hidrologia - 1'!L101,"0")&amp; " " &amp; TEXT('Hidrologia - 1'!M101,"0")&amp; " " &amp; TEXT('Hidrologia - 1'!N101,"0")&amp; " " &amp; TEXT('Hidrologia - 1'!O101,"0"),",",".")</f>
        <v>471 450 339 254 552 814 468 472 305 397 334 311</v>
      </c>
    </row>
    <row r="199" spans="1:3" x14ac:dyDescent="0.25">
      <c r="A199" s="82" t="str">
        <f>"&lt;PrevisaoVAZAO Posto="""&amp;'Hidrologia - 1'!B102&amp;""" MesReferencia=""1""&gt; "&amp;C199&amp;" &lt;/PrevisaoVAZAO&gt;"</f>
        <v>&lt;PrevisaoVAZAO Posto="59" MesReferencia="1"&gt; 0 0 0 0 0 0 0 0 0 0 0 0 &lt;/PrevisaoVAZAO&gt;</v>
      </c>
      <c r="C199" s="83" t="str">
        <f>SUBSTITUTE(TEXT('Hidrologia - 1'!D102,"0") &amp; " " &amp; TEXT('Hidrologia - 1'!E102,"0")&amp; " " &amp; TEXT('Hidrologia - 1'!F102,"0")&amp; " " &amp; TEXT('Hidrologia - 1'!G102,"0")&amp; " " &amp; TEXT('Hidrologia - 1'!H102,"0")&amp; " " &amp; TEXT('Hidrologia - 1'!I102,"0")&amp; " " &amp; TEXT('Hidrologia - 1'!J102,"0")&amp; " " &amp; TEXT('Hidrologia - 1'!K102,"0")&amp; " " &amp; TEXT('Hidrologia - 1'!L102,"0")&amp; " " &amp; TEXT('Hidrologia - 1'!M102,"0")&amp; " " &amp; TEXT('Hidrologia - 1'!N102,"0")&amp; " " &amp; TEXT('Hidrologia - 1'!O102,"0"),",",".")</f>
        <v>0 0 0 0 0 0 0 0 0 0 0 0</v>
      </c>
    </row>
    <row r="200" spans="1:3" x14ac:dyDescent="0.25">
      <c r="A200" s="82" t="str">
        <f>"&lt;PrevisaoVAZAO Posto="""&amp;'Hidrologia - 1'!B103&amp;""" MesReferencia=""1""&gt; "&amp;C200&amp;" &lt;/PrevisaoVAZAO&gt;"</f>
        <v>&lt;PrevisaoVAZAO Posto="60" MesReferencia="1"&gt; 0 0 0 0 0 0 0 0 0 0 0 0 &lt;/PrevisaoVAZAO&gt;</v>
      </c>
      <c r="C200" s="83" t="str">
        <f>SUBSTITUTE(TEXT('Hidrologia - 1'!D103,"0") &amp; " " &amp; TEXT('Hidrologia - 1'!E103,"0")&amp; " " &amp; TEXT('Hidrologia - 1'!F103,"0")&amp; " " &amp; TEXT('Hidrologia - 1'!G103,"0")&amp; " " &amp; TEXT('Hidrologia - 1'!H103,"0")&amp; " " &amp; TEXT('Hidrologia - 1'!I103,"0")&amp; " " &amp; TEXT('Hidrologia - 1'!J103,"0")&amp; " " &amp; TEXT('Hidrologia - 1'!K103,"0")&amp; " " &amp; TEXT('Hidrologia - 1'!L103,"0")&amp; " " &amp; TEXT('Hidrologia - 1'!M103,"0")&amp; " " &amp; TEXT('Hidrologia - 1'!N103,"0")&amp; " " &amp; TEXT('Hidrologia - 1'!O103,"0"),",",".")</f>
        <v>0 0 0 0 0 0 0 0 0 0 0 0</v>
      </c>
    </row>
    <row r="201" spans="1:3" x14ac:dyDescent="0.25">
      <c r="A201" s="82" t="str">
        <f>"&lt;PrevisaoVAZAO Posto="""&amp;'Hidrologia - 1'!B104&amp;""" MesReferencia=""1""&gt; "&amp;C201&amp;" &lt;/PrevisaoVAZAO&gt;"</f>
        <v>&lt;PrevisaoVAZAO Posto="61" MesReferencia="1"&gt; 1875 1752 1268 1059 2011 2711 1075 851 894 1109 1014 1113 &lt;/PrevisaoVAZAO&gt;</v>
      </c>
      <c r="C201" s="83" t="str">
        <f>SUBSTITUTE(TEXT('Hidrologia - 1'!D104,"0") &amp; " " &amp; TEXT('Hidrologia - 1'!E104,"0")&amp; " " &amp; TEXT('Hidrologia - 1'!F104,"0")&amp; " " &amp; TEXT('Hidrologia - 1'!G104,"0")&amp; " " &amp; TEXT('Hidrologia - 1'!H104,"0")&amp; " " &amp; TEXT('Hidrologia - 1'!I104,"0")&amp; " " &amp; TEXT('Hidrologia - 1'!J104,"0")&amp; " " &amp; TEXT('Hidrologia - 1'!K104,"0")&amp; " " &amp; TEXT('Hidrologia - 1'!L104,"0")&amp; " " &amp; TEXT('Hidrologia - 1'!M104,"0")&amp; " " &amp; TEXT('Hidrologia - 1'!N104,"0")&amp; " " &amp; TEXT('Hidrologia - 1'!O104,"0"),",",".")</f>
        <v>1875 1752 1268 1059 2011 2711 1075 851 894 1109 1014 1113</v>
      </c>
    </row>
    <row r="202" spans="1:3" x14ac:dyDescent="0.25">
      <c r="A202" s="82" t="str">
        <f>"&lt;PrevisaoVAZAO Posto="""&amp;'Hidrologia - 1'!B105&amp;""" MesReferencia=""1""&gt; "&amp;C202&amp;" &lt;/PrevisaoVAZAO&gt;"</f>
        <v>&lt;PrevisaoVAZAO Posto="62" MesReferencia="1"&gt; 1920 1817 1317 1101 2084 2776 1141 902 941 1173 1073 1170 &lt;/PrevisaoVAZAO&gt;</v>
      </c>
      <c r="C202" s="83" t="str">
        <f>SUBSTITUTE(TEXT('Hidrologia - 1'!D105,"0") &amp; " " &amp; TEXT('Hidrologia - 1'!E105,"0")&amp; " " &amp; TEXT('Hidrologia - 1'!F105,"0")&amp; " " &amp; TEXT('Hidrologia - 1'!G105,"0")&amp; " " &amp; TEXT('Hidrologia - 1'!H105,"0")&amp; " " &amp; TEXT('Hidrologia - 1'!I105,"0")&amp; " " &amp; TEXT('Hidrologia - 1'!J105,"0")&amp; " " &amp; TEXT('Hidrologia - 1'!K105,"0")&amp; " " &amp; TEXT('Hidrologia - 1'!L105,"0")&amp; " " &amp; TEXT('Hidrologia - 1'!M105,"0")&amp; " " &amp; TEXT('Hidrologia - 1'!N105,"0")&amp; " " &amp; TEXT('Hidrologia - 1'!O105,"0"),",",".")</f>
        <v>1920 1817 1317 1101 2084 2776 1141 902 941 1173 1073 1170</v>
      </c>
    </row>
    <row r="203" spans="1:3" x14ac:dyDescent="0.25">
      <c r="A203" s="82" t="str">
        <f>"&lt;PrevisaoVAZAO Posto="""&amp;'Hidrologia - 1'!B106&amp;""" MesReferencia=""1""&gt; "&amp;C203&amp;" &lt;/PrevisaoVAZAO&gt;"</f>
        <v>&lt;PrevisaoVAZAO Posto="63" MesReferencia="1"&gt; 2079 1994 1470 1236 2301 2990 1254 1015 1055 1317 1215 1311 &lt;/PrevisaoVAZAO&gt;</v>
      </c>
      <c r="C203" s="83" t="str">
        <f>SUBSTITUTE(TEXT('Hidrologia - 1'!D106,"0") &amp; " " &amp; TEXT('Hidrologia - 1'!E106,"0")&amp; " " &amp; TEXT('Hidrologia - 1'!F106,"0")&amp; " " &amp; TEXT('Hidrologia - 1'!G106,"0")&amp; " " &amp; TEXT('Hidrologia - 1'!H106,"0")&amp; " " &amp; TEXT('Hidrologia - 1'!I106,"0")&amp; " " &amp; TEXT('Hidrologia - 1'!J106,"0")&amp; " " &amp; TEXT('Hidrologia - 1'!K106,"0")&amp; " " &amp; TEXT('Hidrologia - 1'!L106,"0")&amp; " " &amp; TEXT('Hidrologia - 1'!M106,"0")&amp; " " &amp; TEXT('Hidrologia - 1'!N106,"0")&amp; " " &amp; TEXT('Hidrologia - 1'!O106,"0"),",",".")</f>
        <v>2079 1994 1470 1236 2301 2990 1254 1015 1055 1317 1215 1311</v>
      </c>
    </row>
    <row r="204" spans="1:3" x14ac:dyDescent="0.25">
      <c r="A204" s="82" t="str">
        <f>"&lt;PrevisaoVAZAO Posto="""&amp;'Hidrologia - 1'!B107&amp;""" MesReferencia=""1""&gt; "&amp;C204&amp;" &lt;/PrevisaoVAZAO&gt;"</f>
        <v>&lt;PrevisaoVAZAO Posto="64" MesReferencia="1"&gt; 0 0 0 0 0 0 0 0 0 0 0 0 &lt;/PrevisaoVAZAO&gt;</v>
      </c>
      <c r="C204" s="83" t="str">
        <f>SUBSTITUTE(TEXT('Hidrologia - 1'!D107,"0") &amp; " " &amp; TEXT('Hidrologia - 1'!E107,"0")&amp; " " &amp; TEXT('Hidrologia - 1'!F107,"0")&amp; " " &amp; TEXT('Hidrologia - 1'!G107,"0")&amp; " " &amp; TEXT('Hidrologia - 1'!H107,"0")&amp; " " &amp; TEXT('Hidrologia - 1'!I107,"0")&amp; " " &amp; TEXT('Hidrologia - 1'!J107,"0")&amp; " " &amp; TEXT('Hidrologia - 1'!K107,"0")&amp; " " &amp; TEXT('Hidrologia - 1'!L107,"0")&amp; " " &amp; TEXT('Hidrologia - 1'!M107,"0")&amp; " " &amp; TEXT('Hidrologia - 1'!N107,"0")&amp; " " &amp; TEXT('Hidrologia - 1'!O107,"0"),",",".")</f>
        <v>0 0 0 0 0 0 0 0 0 0 0 0</v>
      </c>
    </row>
    <row r="205" spans="1:3" x14ac:dyDescent="0.25">
      <c r="A205" s="82" t="str">
        <f>"&lt;PrevisaoVAZAO Posto="""&amp;'Hidrologia - 1'!B108&amp;""" MesReferencia=""1""&gt; "&amp;C205&amp;" &lt;/PrevisaoVAZAO&gt;"</f>
        <v>&lt;PrevisaoVAZAO Posto="65" MesReferencia="1"&gt; 114 74 95 55 137 234 109 137 117 158 119 91 &lt;/PrevisaoVAZAO&gt;</v>
      </c>
      <c r="C205" s="83" t="str">
        <f>SUBSTITUTE(TEXT('Hidrologia - 1'!D108,"0") &amp; " " &amp; TEXT('Hidrologia - 1'!E108,"0")&amp; " " &amp; TEXT('Hidrologia - 1'!F108,"0")&amp; " " &amp; TEXT('Hidrologia - 1'!G108,"0")&amp; " " &amp; TEXT('Hidrologia - 1'!H108,"0")&amp; " " &amp; TEXT('Hidrologia - 1'!I108,"0")&amp; " " &amp; TEXT('Hidrologia - 1'!J108,"0")&amp; " " &amp; TEXT('Hidrologia - 1'!K108,"0")&amp; " " &amp; TEXT('Hidrologia - 1'!L108,"0")&amp; " " &amp; TEXT('Hidrologia - 1'!M108,"0")&amp; " " &amp; TEXT('Hidrologia - 1'!N108,"0")&amp; " " &amp; TEXT('Hidrologia - 1'!O108,"0"),",",".")</f>
        <v>114 74 95 55 137 234 109 137 117 158 119 91</v>
      </c>
    </row>
    <row r="206" spans="1:3" x14ac:dyDescent="0.25">
      <c r="A206" s="82" t="str">
        <f>"&lt;PrevisaoVAZAO Posto="""&amp;'Hidrologia - 1'!B109&amp;""" MesReferencia=""1""&gt; "&amp;C206&amp;" &lt;/PrevisaoVAZAO&gt;"</f>
        <v>&lt;PrevisaoVAZAO Posto="66" MesReferencia="1"&gt; 13111 15215 11859 10623 12884 13384 7172 6024 6371 7629 8407 11103 &lt;/PrevisaoVAZAO&gt;</v>
      </c>
      <c r="C206" s="83" t="str">
        <f>SUBSTITUTE(TEXT('Hidrologia - 1'!D109,"0") &amp; " " &amp; TEXT('Hidrologia - 1'!E109,"0")&amp; " " &amp; TEXT('Hidrologia - 1'!F109,"0")&amp; " " &amp; TEXT('Hidrologia - 1'!G109,"0")&amp; " " &amp; TEXT('Hidrologia - 1'!H109,"0")&amp; " " &amp; TEXT('Hidrologia - 1'!I109,"0")&amp; " " &amp; TEXT('Hidrologia - 1'!J109,"0")&amp; " " &amp; TEXT('Hidrologia - 1'!K109,"0")&amp; " " &amp; TEXT('Hidrologia - 1'!L109,"0")&amp; " " &amp; TEXT('Hidrologia - 1'!M109,"0")&amp; " " &amp; TEXT('Hidrologia - 1'!N109,"0")&amp; " " &amp; TEXT('Hidrologia - 1'!O109,"0"),",",".")</f>
        <v>13111 15215 11859 10623 12884 13384 7172 6024 6371 7629 8407 11103</v>
      </c>
    </row>
    <row r="207" spans="1:3" x14ac:dyDescent="0.25">
      <c r="A207" s="82" t="str">
        <f>"&lt;PrevisaoVAZAO Posto="""&amp;'Hidrologia - 1'!B110&amp;""" MesReferencia=""1""&gt; "&amp;C207&amp;" &lt;/PrevisaoVAZAO&gt;"</f>
        <v>&lt;PrevisaoVAZAO Posto="67" MesReferencia="1"&gt; 0 0 0 0 0 0 0 0 0 0 0 0 &lt;/PrevisaoVAZAO&gt;</v>
      </c>
      <c r="C207" s="83" t="str">
        <f>SUBSTITUTE(TEXT('Hidrologia - 1'!D110,"0") &amp; " " &amp; TEXT('Hidrologia - 1'!E110,"0")&amp; " " &amp; TEXT('Hidrologia - 1'!F110,"0")&amp; " " &amp; TEXT('Hidrologia - 1'!G110,"0")&amp; " " &amp; TEXT('Hidrologia - 1'!H110,"0")&amp; " " &amp; TEXT('Hidrologia - 1'!I110,"0")&amp; " " &amp; TEXT('Hidrologia - 1'!J110,"0")&amp; " " &amp; TEXT('Hidrologia - 1'!K110,"0")&amp; " " &amp; TEXT('Hidrologia - 1'!L110,"0")&amp; " " &amp; TEXT('Hidrologia - 1'!M110,"0")&amp; " " &amp; TEXT('Hidrologia - 1'!N110,"0")&amp; " " &amp; TEXT('Hidrologia - 1'!O110,"0"),",",".")</f>
        <v>0 0 0 0 0 0 0 0 0 0 0 0</v>
      </c>
    </row>
    <row r="208" spans="1:3" x14ac:dyDescent="0.25">
      <c r="A208" s="82" t="str">
        <f>"&lt;PrevisaoVAZAO Posto="""&amp;'Hidrologia - 1'!B111&amp;""" MesReferencia=""1""&gt; "&amp;C208&amp;" &lt;/PrevisaoVAZAO&gt;"</f>
        <v>&lt;PrevisaoVAZAO Posto="68" MesReferencia="1"&gt; 0 0 0 0 0 0 0 0 0 0 0 0 &lt;/PrevisaoVAZAO&gt;</v>
      </c>
      <c r="C208" s="83" t="str">
        <f>SUBSTITUTE(TEXT('Hidrologia - 1'!D111,"0") &amp; " " &amp; TEXT('Hidrologia - 1'!E111,"0")&amp; " " &amp; TEXT('Hidrologia - 1'!F111,"0")&amp; " " &amp; TEXT('Hidrologia - 1'!G111,"0")&amp; " " &amp; TEXT('Hidrologia - 1'!H111,"0")&amp; " " &amp; TEXT('Hidrologia - 1'!I111,"0")&amp; " " &amp; TEXT('Hidrologia - 1'!J111,"0")&amp; " " &amp; TEXT('Hidrologia - 1'!K111,"0")&amp; " " &amp; TEXT('Hidrologia - 1'!L111,"0")&amp; " " &amp; TEXT('Hidrologia - 1'!M111,"0")&amp; " " &amp; TEXT('Hidrologia - 1'!N111,"0")&amp; " " &amp; TEXT('Hidrologia - 1'!O111,"0"),",",".")</f>
        <v>0 0 0 0 0 0 0 0 0 0 0 0</v>
      </c>
    </row>
    <row r="209" spans="1:3" x14ac:dyDescent="0.25">
      <c r="A209" s="82" t="str">
        <f>"&lt;PrevisaoVAZAO Posto="""&amp;'Hidrologia - 1'!B112&amp;""" MesReferencia=""1""&gt; "&amp;C209&amp;" &lt;/PrevisaoVAZAO&gt;"</f>
        <v>&lt;PrevisaoVAZAO Posto="69" MesReferencia="1"&gt; 0 0 0 0 0 0 0 0 0 0 0 0 &lt;/PrevisaoVAZAO&gt;</v>
      </c>
      <c r="C209" s="83" t="str">
        <f>SUBSTITUTE(TEXT('Hidrologia - 1'!D112,"0") &amp; " " &amp; TEXT('Hidrologia - 1'!E112,"0")&amp; " " &amp; TEXT('Hidrologia - 1'!F112,"0")&amp; " " &amp; TEXT('Hidrologia - 1'!G112,"0")&amp; " " &amp; TEXT('Hidrologia - 1'!H112,"0")&amp; " " &amp; TEXT('Hidrologia - 1'!I112,"0")&amp; " " &amp; TEXT('Hidrologia - 1'!J112,"0")&amp; " " &amp; TEXT('Hidrologia - 1'!K112,"0")&amp; " " &amp; TEXT('Hidrologia - 1'!L112,"0")&amp; " " &amp; TEXT('Hidrologia - 1'!M112,"0")&amp; " " &amp; TEXT('Hidrologia - 1'!N112,"0")&amp; " " &amp; TEXT('Hidrologia - 1'!O112,"0"),",",".")</f>
        <v>0 0 0 0 0 0 0 0 0 0 0 0</v>
      </c>
    </row>
    <row r="210" spans="1:3" x14ac:dyDescent="0.25">
      <c r="A210" s="82" t="str">
        <f>"&lt;PrevisaoVAZAO Posto="""&amp;'Hidrologia - 1'!B113&amp;""" MesReferencia=""1""&gt; "&amp;C210&amp;" &lt;/PrevisaoVAZAO&gt;"</f>
        <v>&lt;PrevisaoVAZAO Posto="70" MesReferencia="1"&gt; 10 10 10 10 10 84 10 10 39 51 26 19 &lt;/PrevisaoVAZAO&gt;</v>
      </c>
      <c r="C210" s="83" t="str">
        <f>SUBSTITUTE(TEXT('Hidrologia - 1'!D113,"0") &amp; " " &amp; TEXT('Hidrologia - 1'!E113,"0")&amp; " " &amp; TEXT('Hidrologia - 1'!F113,"0")&amp; " " &amp; TEXT('Hidrologia - 1'!G113,"0")&amp; " " &amp; TEXT('Hidrologia - 1'!H113,"0")&amp; " " &amp; TEXT('Hidrologia - 1'!I113,"0")&amp; " " &amp; TEXT('Hidrologia - 1'!J113,"0")&amp; " " &amp; TEXT('Hidrologia - 1'!K113,"0")&amp; " " &amp; TEXT('Hidrologia - 1'!L113,"0")&amp; " " &amp; TEXT('Hidrologia - 1'!M113,"0")&amp; " " &amp; TEXT('Hidrologia - 1'!N113,"0")&amp; " " &amp; TEXT('Hidrologia - 1'!O113,"0"),",",".")</f>
        <v>10 10 10 10 10 84 10 10 39 51 26 19</v>
      </c>
    </row>
    <row r="211" spans="1:3" x14ac:dyDescent="0.25">
      <c r="A211" s="82" t="str">
        <f>"&lt;PrevisaoVAZAO Posto="""&amp;'Hidrologia - 1'!B114&amp;""" MesReferencia=""1""&gt; "&amp;C211&amp;" &lt;/PrevisaoVAZAO&gt;"</f>
        <v>&lt;PrevisaoVAZAO Posto="71" MesReferencia="1"&gt; 102 108 67 42 121 194 56 59 111 141 109 93 &lt;/PrevisaoVAZAO&gt;</v>
      </c>
      <c r="C211" s="83" t="str">
        <f>SUBSTITUTE(TEXT('Hidrologia - 1'!D114,"0") &amp; " " &amp; TEXT('Hidrologia - 1'!E114,"0")&amp; " " &amp; TEXT('Hidrologia - 1'!F114,"0")&amp; " " &amp; TEXT('Hidrologia - 1'!G114,"0")&amp; " " &amp; TEXT('Hidrologia - 1'!H114,"0")&amp; " " &amp; TEXT('Hidrologia - 1'!I114,"0")&amp; " " &amp; TEXT('Hidrologia - 1'!J114,"0")&amp; " " &amp; TEXT('Hidrologia - 1'!K114,"0")&amp; " " &amp; TEXT('Hidrologia - 1'!L114,"0")&amp; " " &amp; TEXT('Hidrologia - 1'!M114,"0")&amp; " " &amp; TEXT('Hidrologia - 1'!N114,"0")&amp; " " &amp; TEXT('Hidrologia - 1'!O114,"0"),",",".")</f>
        <v>102 108 67 42 121 194 56 59 111 141 109 93</v>
      </c>
    </row>
    <row r="212" spans="1:3" x14ac:dyDescent="0.25">
      <c r="A212" s="82" t="str">
        <f>"&lt;PrevisaoVAZAO Posto="""&amp;'Hidrologia - 1'!B115&amp;""" MesReferencia=""1""&gt; "&amp;C212&amp;" &lt;/PrevisaoVAZAO&gt;"</f>
        <v>&lt;PrevisaoVAZAO Posto="72" MesReferencia="1"&gt; 111 118 73 46 129 207 58 62 117 148 114 97 &lt;/PrevisaoVAZAO&gt;</v>
      </c>
      <c r="C212" s="83" t="str">
        <f>SUBSTITUTE(TEXT('Hidrologia - 1'!D115,"0") &amp; " " &amp; TEXT('Hidrologia - 1'!E115,"0")&amp; " " &amp; TEXT('Hidrologia - 1'!F115,"0")&amp; " " &amp; TEXT('Hidrologia - 1'!G115,"0")&amp; " " &amp; TEXT('Hidrologia - 1'!H115,"0")&amp; " " &amp; TEXT('Hidrologia - 1'!I115,"0")&amp; " " &amp; TEXT('Hidrologia - 1'!J115,"0")&amp; " " &amp; TEXT('Hidrologia - 1'!K115,"0")&amp; " " &amp; TEXT('Hidrologia - 1'!L115,"0")&amp; " " &amp; TEXT('Hidrologia - 1'!M115,"0")&amp; " " &amp; TEXT('Hidrologia - 1'!N115,"0")&amp; " " &amp; TEXT('Hidrologia - 1'!O115,"0"),",",".")</f>
        <v>111 118 73 46 129 207 58 62 117 148 114 97</v>
      </c>
    </row>
    <row r="213" spans="1:3" x14ac:dyDescent="0.25">
      <c r="A213" s="82" t="str">
        <f>"&lt;PrevisaoVAZAO Posto="""&amp;'Hidrologia - 1'!B116&amp;""" MesReferencia=""1""&gt; "&amp;C213&amp;" &lt;/PrevisaoVAZAO&gt;"</f>
        <v>&lt;PrevisaoVAZAO Posto="73" MesReferencia="1"&gt; 144 160 97 61 164 257 69 60 139 173 136 115 &lt;/PrevisaoVAZAO&gt;</v>
      </c>
      <c r="C213" s="83" t="str">
        <f>SUBSTITUTE(TEXT('Hidrologia - 1'!D116,"0") &amp; " " &amp; TEXT('Hidrologia - 1'!E116,"0")&amp; " " &amp; TEXT('Hidrologia - 1'!F116,"0")&amp; " " &amp; TEXT('Hidrologia - 1'!G116,"0")&amp; " " &amp; TEXT('Hidrologia - 1'!H116,"0")&amp; " " &amp; TEXT('Hidrologia - 1'!I116,"0")&amp; " " &amp; TEXT('Hidrologia - 1'!J116,"0")&amp; " " &amp; TEXT('Hidrologia - 1'!K116,"0")&amp; " " &amp; TEXT('Hidrologia - 1'!L116,"0")&amp; " " &amp; TEXT('Hidrologia - 1'!M116,"0")&amp; " " &amp; TEXT('Hidrologia - 1'!N116,"0")&amp; " " &amp; TEXT('Hidrologia - 1'!O116,"0"),",",".")</f>
        <v>144 160 97 61 164 257 69 60 139 173 136 115</v>
      </c>
    </row>
    <row r="214" spans="1:3" x14ac:dyDescent="0.25">
      <c r="A214" s="82" t="str">
        <f>"&lt;PrevisaoVAZAO Posto="""&amp;'Hidrologia - 1'!B117&amp;""" MesReferencia=""1""&gt; "&amp;C214&amp;" &lt;/PrevisaoVAZAO&gt;"</f>
        <v>&lt;PrevisaoVAZAO Posto="74" MesReferencia="1"&gt; 962 817 449 259 610 1151 267 441 730 936 698 587 &lt;/PrevisaoVAZAO&gt;</v>
      </c>
      <c r="C214" s="83" t="str">
        <f>SUBSTITUTE(TEXT('Hidrologia - 1'!D117,"0") &amp; " " &amp; TEXT('Hidrologia - 1'!E117,"0")&amp; " " &amp; TEXT('Hidrologia - 1'!F117,"0")&amp; " " &amp; TEXT('Hidrologia - 1'!G117,"0")&amp; " " &amp; TEXT('Hidrologia - 1'!H117,"0")&amp; " " &amp; TEXT('Hidrologia - 1'!I117,"0")&amp; " " &amp; TEXT('Hidrologia - 1'!J117,"0")&amp; " " &amp; TEXT('Hidrologia - 1'!K117,"0")&amp; " " &amp; TEXT('Hidrologia - 1'!L117,"0")&amp; " " &amp; TEXT('Hidrologia - 1'!M117,"0")&amp; " " &amp; TEXT('Hidrologia - 1'!N117,"0")&amp; " " &amp; TEXT('Hidrologia - 1'!O117,"0"),",",".")</f>
        <v>962 817 449 259 610 1151 267 441 730 936 698 587</v>
      </c>
    </row>
    <row r="215" spans="1:3" x14ac:dyDescent="0.25">
      <c r="A215" s="82" t="str">
        <f>"&lt;PrevisaoVAZAO Posto="""&amp;'Hidrologia - 1'!B118&amp;""" MesReferencia=""1""&gt; "&amp;C215&amp;" &lt;/PrevisaoVAZAO&gt;"</f>
        <v>&lt;PrevisaoVAZAO Posto="75" MesReferencia="1"&gt; 1266 1183 662 386 922 1604 377 562 942 1207 920 769 &lt;/PrevisaoVAZAO&gt;</v>
      </c>
      <c r="C215" s="83" t="str">
        <f>SUBSTITUTE(TEXT('Hidrologia - 1'!D118,"0") &amp; " " &amp; TEXT('Hidrologia - 1'!E118,"0")&amp; " " &amp; TEXT('Hidrologia - 1'!F118,"0")&amp; " " &amp; TEXT('Hidrologia - 1'!G118,"0")&amp; " " &amp; TEXT('Hidrologia - 1'!H118,"0")&amp; " " &amp; TEXT('Hidrologia - 1'!I118,"0")&amp; " " &amp; TEXT('Hidrologia - 1'!J118,"0")&amp; " " &amp; TEXT('Hidrologia - 1'!K118,"0")&amp; " " &amp; TEXT('Hidrologia - 1'!L118,"0")&amp; " " &amp; TEXT('Hidrologia - 1'!M118,"0")&amp; " " &amp; TEXT('Hidrologia - 1'!N118,"0")&amp; " " &amp; TEXT('Hidrologia - 1'!O118,"0"),",",".")</f>
        <v>1266 1183 662 386 922 1604 377 562 942 1207 920 769</v>
      </c>
    </row>
    <row r="216" spans="1:3" x14ac:dyDescent="0.25">
      <c r="A216" s="82" t="str">
        <f>"&lt;PrevisaoVAZAO Posto="""&amp;'Hidrologia - 1'!B119&amp;""" MesReferencia=""1""&gt; "&amp;C216&amp;" &lt;/PrevisaoVAZAO&gt;"</f>
        <v>&lt;PrevisaoVAZAO Posto="76" MesReferencia="1"&gt; 1132 1033 575 335 768 1430 318 512 842 1084 811 673 &lt;/PrevisaoVAZAO&gt;</v>
      </c>
      <c r="C216" s="83" t="str">
        <f>SUBSTITUTE(TEXT('Hidrologia - 1'!D119,"0") &amp; " " &amp; TEXT('Hidrologia - 1'!E119,"0")&amp; " " &amp; TEXT('Hidrologia - 1'!F119,"0")&amp; " " &amp; TEXT('Hidrologia - 1'!G119,"0")&amp; " " &amp; TEXT('Hidrologia - 1'!H119,"0")&amp; " " &amp; TEXT('Hidrologia - 1'!I119,"0")&amp; " " &amp; TEXT('Hidrologia - 1'!J119,"0")&amp; " " &amp; TEXT('Hidrologia - 1'!K119,"0")&amp; " " &amp; TEXT('Hidrologia - 1'!L119,"0")&amp; " " &amp; TEXT('Hidrologia - 1'!M119,"0")&amp; " " &amp; TEXT('Hidrologia - 1'!N119,"0")&amp; " " &amp; TEXT('Hidrologia - 1'!O119,"0"),",",".")</f>
        <v>1132 1033 575 335 768 1430 318 512 842 1084 811 673</v>
      </c>
    </row>
    <row r="217" spans="1:3" x14ac:dyDescent="0.25">
      <c r="A217" s="82" t="str">
        <f>"&lt;PrevisaoVAZAO Posto="""&amp;'Hidrologia - 1'!B120&amp;""" MesReferencia=""1""&gt; "&amp;C217&amp;" &lt;/PrevisaoVAZAO&gt;"</f>
        <v>&lt;PrevisaoVAZAO Posto="77" MesReferencia="1"&gt; 1405 1279 783 457 1064 1965 453 506 1109 1444 1081 886 &lt;/PrevisaoVAZAO&gt;</v>
      </c>
      <c r="C217" s="83" t="str">
        <f>SUBSTITUTE(TEXT('Hidrologia - 1'!D120,"0") &amp; " " &amp; TEXT('Hidrologia - 1'!E120,"0")&amp; " " &amp; TEXT('Hidrologia - 1'!F120,"0")&amp; " " &amp; TEXT('Hidrologia - 1'!G120,"0")&amp; " " &amp; TEXT('Hidrologia - 1'!H120,"0")&amp; " " &amp; TEXT('Hidrologia - 1'!I120,"0")&amp; " " &amp; TEXT('Hidrologia - 1'!J120,"0")&amp; " " &amp; TEXT('Hidrologia - 1'!K120,"0")&amp; " " &amp; TEXT('Hidrologia - 1'!L120,"0")&amp; " " &amp; TEXT('Hidrologia - 1'!M120,"0")&amp; " " &amp; TEXT('Hidrologia - 1'!N120,"0")&amp; " " &amp; TEXT('Hidrologia - 1'!O120,"0"),",",".")</f>
        <v>1405 1279 783 457 1064 1965 453 506 1109 1444 1081 886</v>
      </c>
    </row>
    <row r="218" spans="1:3" x14ac:dyDescent="0.25">
      <c r="A218" s="82" t="str">
        <f>"&lt;PrevisaoVAZAO Posto="""&amp;'Hidrologia - 1'!B121&amp;""" MesReferencia=""1""&gt; "&amp;C218&amp;" &lt;/PrevisaoVAZAO&gt;"</f>
        <v>&lt;PrevisaoVAZAO Posto="78" MesReferencia="1"&gt; 1458 1311 831 482 1101 2092 482 532 1154 1519 1139 929 &lt;/PrevisaoVAZAO&gt;</v>
      </c>
      <c r="C218" s="83" t="str">
        <f>SUBSTITUTE(TEXT('Hidrologia - 1'!D121,"0") &amp; " " &amp; TEXT('Hidrologia - 1'!E121,"0")&amp; " " &amp; TEXT('Hidrologia - 1'!F121,"0")&amp; " " &amp; TEXT('Hidrologia - 1'!G121,"0")&amp; " " &amp; TEXT('Hidrologia - 1'!H121,"0")&amp; " " &amp; TEXT('Hidrologia - 1'!I121,"0")&amp; " " &amp; TEXT('Hidrologia - 1'!J121,"0")&amp; " " &amp; TEXT('Hidrologia - 1'!K121,"0")&amp; " " &amp; TEXT('Hidrologia - 1'!L121,"0")&amp; " " &amp; TEXT('Hidrologia - 1'!M121,"0")&amp; " " &amp; TEXT('Hidrologia - 1'!N121,"0")&amp; " " &amp; TEXT('Hidrologia - 1'!O121,"0"),",",".")</f>
        <v>1458 1311 831 482 1101 2092 482 532 1154 1519 1139 929</v>
      </c>
    </row>
    <row r="219" spans="1:3" x14ac:dyDescent="0.25">
      <c r="A219" s="82" t="str">
        <f>"&lt;PrevisaoVAZAO Posto="""&amp;'Hidrologia - 1'!B122&amp;""" MesReferencia=""1""&gt; "&amp;C219&amp;" &lt;/PrevisaoVAZAO&gt;"</f>
        <v>&lt;PrevisaoVAZAO Posto="79" MesReferencia="1"&gt; 0 0 0 0 0 0 0 0 0 0 0 0 &lt;/PrevisaoVAZAO&gt;</v>
      </c>
      <c r="C219" s="83" t="str">
        <f>SUBSTITUTE(TEXT('Hidrologia - 1'!D122,"0") &amp; " " &amp; TEXT('Hidrologia - 1'!E122,"0")&amp; " " &amp; TEXT('Hidrologia - 1'!F122,"0")&amp; " " &amp; TEXT('Hidrologia - 1'!G122,"0")&amp; " " &amp; TEXT('Hidrologia - 1'!H122,"0")&amp; " " &amp; TEXT('Hidrologia - 1'!I122,"0")&amp; " " &amp; TEXT('Hidrologia - 1'!J122,"0")&amp; " " &amp; TEXT('Hidrologia - 1'!K122,"0")&amp; " " &amp; TEXT('Hidrologia - 1'!L122,"0")&amp; " " &amp; TEXT('Hidrologia - 1'!M122,"0")&amp; " " &amp; TEXT('Hidrologia - 1'!N122,"0")&amp; " " &amp; TEXT('Hidrologia - 1'!O122,"0"),",",".")</f>
        <v>0 0 0 0 0 0 0 0 0 0 0 0</v>
      </c>
    </row>
    <row r="220" spans="1:3" x14ac:dyDescent="0.25">
      <c r="A220" s="82" t="str">
        <f>"&lt;PrevisaoVAZAO Posto="""&amp;'Hidrologia - 1'!B123&amp;""" MesReferencia=""1""&gt; "&amp;C220&amp;" &lt;/PrevisaoVAZAO&gt;"</f>
        <v>&lt;PrevisaoVAZAO Posto="80" MesReferencia="1"&gt; 73 48 61 35 88 150 70 88 77 101 73 56 &lt;/PrevisaoVAZAO&gt;</v>
      </c>
      <c r="C220" s="83" t="str">
        <f>SUBSTITUTE(TEXT('Hidrologia - 1'!D123,"0") &amp; " " &amp; TEXT('Hidrologia - 1'!E123,"0")&amp; " " &amp; TEXT('Hidrologia - 1'!F123,"0")&amp; " " &amp; TEXT('Hidrologia - 1'!G123,"0")&amp; " " &amp; TEXT('Hidrologia - 1'!H123,"0")&amp; " " &amp; TEXT('Hidrologia - 1'!I123,"0")&amp; " " &amp; TEXT('Hidrologia - 1'!J123,"0")&amp; " " &amp; TEXT('Hidrologia - 1'!K123,"0")&amp; " " &amp; TEXT('Hidrologia - 1'!L123,"0")&amp; " " &amp; TEXT('Hidrologia - 1'!M123,"0")&amp; " " &amp; TEXT('Hidrologia - 1'!N123,"0")&amp; " " &amp; TEXT('Hidrologia - 1'!O123,"0"),",",".")</f>
        <v>73 48 61 35 88 150 70 88 77 101 73 56</v>
      </c>
    </row>
    <row r="221" spans="1:3" x14ac:dyDescent="0.25">
      <c r="A221" s="82" t="str">
        <f>"&lt;PrevisaoVAZAO Posto="""&amp;'Hidrologia - 1'!B124&amp;""" MesReferencia=""1""&gt; "&amp;C221&amp;" &lt;/PrevisaoVAZAO&gt;"</f>
        <v>&lt;PrevisaoVAZAO Posto="81" MesReferencia="1"&gt; 1917 1641 1182 685 1601 2965 1459 2023 1591 2124 1601 1300 &lt;/PrevisaoVAZAO&gt;</v>
      </c>
      <c r="C221" s="83" t="str">
        <f>SUBSTITUTE(TEXT('Hidrologia - 1'!D124,"0") &amp; " " &amp; TEXT('Hidrologia - 1'!E124,"0")&amp; " " &amp; TEXT('Hidrologia - 1'!F124,"0")&amp; " " &amp; TEXT('Hidrologia - 1'!G124,"0")&amp; " " &amp; TEXT('Hidrologia - 1'!H124,"0")&amp; " " &amp; TEXT('Hidrologia - 1'!I124,"0")&amp; " " &amp; TEXT('Hidrologia - 1'!J124,"0")&amp; " " &amp; TEXT('Hidrologia - 1'!K124,"0")&amp; " " &amp; TEXT('Hidrologia - 1'!L124,"0")&amp; " " &amp; TEXT('Hidrologia - 1'!M124,"0")&amp; " " &amp; TEXT('Hidrologia - 1'!N124,"0")&amp; " " &amp; TEXT('Hidrologia - 1'!O124,"0"),",",".")</f>
        <v>1917 1641 1182 685 1601 2965 1459 2023 1591 2124 1601 1300</v>
      </c>
    </row>
    <row r="222" spans="1:3" x14ac:dyDescent="0.25">
      <c r="A222" s="82" t="str">
        <f>"&lt;PrevisaoVAZAO Posto="""&amp;'Hidrologia - 1'!B125&amp;""" MesReferencia=""1""&gt; "&amp;C222&amp;" &lt;/PrevisaoVAZAO&gt;"</f>
        <v>&lt;PrevisaoVAZAO Posto="82" MesReferencia="1"&gt; 0 0 0 0 0 0 0 0 0 0 0 0 &lt;/PrevisaoVAZAO&gt;</v>
      </c>
      <c r="C222" s="83" t="str">
        <f>SUBSTITUTE(TEXT('Hidrologia - 1'!D125,"0") &amp; " " &amp; TEXT('Hidrologia - 1'!E125,"0")&amp; " " &amp; TEXT('Hidrologia - 1'!F125,"0")&amp; " " &amp; TEXT('Hidrologia - 1'!G125,"0")&amp; " " &amp; TEXT('Hidrologia - 1'!H125,"0")&amp; " " &amp; TEXT('Hidrologia - 1'!I125,"0")&amp; " " &amp; TEXT('Hidrologia - 1'!J125,"0")&amp; " " &amp; TEXT('Hidrologia - 1'!K125,"0")&amp; " " &amp; TEXT('Hidrologia - 1'!L125,"0")&amp; " " &amp; TEXT('Hidrologia - 1'!M125,"0")&amp; " " &amp; TEXT('Hidrologia - 1'!N125,"0")&amp; " " &amp; TEXT('Hidrologia - 1'!O125,"0"),",",".")</f>
        <v>0 0 0 0 0 0 0 0 0 0 0 0</v>
      </c>
    </row>
    <row r="223" spans="1:3" x14ac:dyDescent="0.25">
      <c r="A223" s="82" t="str">
        <f>"&lt;PrevisaoVAZAO Posto="""&amp;'Hidrologia - 1'!B126&amp;""" MesReferencia=""1""&gt; "&amp;C223&amp;" &lt;/PrevisaoVAZAO&gt;"</f>
        <v>&lt;PrevisaoVAZAO Posto="83" MesReferencia="1"&gt; 78 51 65 37 94 161 75 94 83 108 79 60 &lt;/PrevisaoVAZAO&gt;</v>
      </c>
      <c r="C223" s="83" t="str">
        <f>SUBSTITUTE(TEXT('Hidrologia - 1'!D126,"0") &amp; " " &amp; TEXT('Hidrologia - 1'!E126,"0")&amp; " " &amp; TEXT('Hidrologia - 1'!F126,"0")&amp; " " &amp; TEXT('Hidrologia - 1'!G126,"0")&amp; " " &amp; TEXT('Hidrologia - 1'!H126,"0")&amp; " " &amp; TEXT('Hidrologia - 1'!I126,"0")&amp; " " &amp; TEXT('Hidrologia - 1'!J126,"0")&amp; " " &amp; TEXT('Hidrologia - 1'!K126,"0")&amp; " " &amp; TEXT('Hidrologia - 1'!L126,"0")&amp; " " &amp; TEXT('Hidrologia - 1'!M126,"0")&amp; " " &amp; TEXT('Hidrologia - 1'!N126,"0")&amp; " " &amp; TEXT('Hidrologia - 1'!O126,"0"),",",".")</f>
        <v>78 51 65 37 94 161 75 94 83 108 79 60</v>
      </c>
    </row>
    <row r="224" spans="1:3" x14ac:dyDescent="0.25">
      <c r="A224" s="82" t="str">
        <f>"&lt;PrevisaoVAZAO Posto="""&amp;'Hidrologia - 1'!B127&amp;""" MesReferencia=""1""&gt; "&amp;C224&amp;" &lt;/PrevisaoVAZAO&gt;"</f>
        <v>&lt;PrevisaoVAZAO Posto="84" MesReferencia="1"&gt; 0 0 0 0 0 0 0 0 0 0 0 0 &lt;/PrevisaoVAZAO&gt;</v>
      </c>
      <c r="C224" s="83" t="str">
        <f>SUBSTITUTE(TEXT('Hidrologia - 1'!D127,"0") &amp; " " &amp; TEXT('Hidrologia - 1'!E127,"0")&amp; " " &amp; TEXT('Hidrologia - 1'!F127,"0")&amp; " " &amp; TEXT('Hidrologia - 1'!G127,"0")&amp; " " &amp; TEXT('Hidrologia - 1'!H127,"0")&amp; " " &amp; TEXT('Hidrologia - 1'!I127,"0")&amp; " " &amp; TEXT('Hidrologia - 1'!J127,"0")&amp; " " &amp; TEXT('Hidrologia - 1'!K127,"0")&amp; " " &amp; TEXT('Hidrologia - 1'!L127,"0")&amp; " " &amp; TEXT('Hidrologia - 1'!M127,"0")&amp; " " &amp; TEXT('Hidrologia - 1'!N127,"0")&amp; " " &amp; TEXT('Hidrologia - 1'!O127,"0"),",",".")</f>
        <v>0 0 0 0 0 0 0 0 0 0 0 0</v>
      </c>
    </row>
    <row r="225" spans="1:3" x14ac:dyDescent="0.25">
      <c r="A225" s="82" t="str">
        <f>"&lt;PrevisaoVAZAO Posto="""&amp;'Hidrologia - 1'!B128&amp;""" MesReferencia=""1""&gt; "&amp;C225&amp;" &lt;/PrevisaoVAZAO&gt;"</f>
        <v>&lt;PrevisaoVAZAO Posto="85" MesReferencia="1"&gt; 151 71 35 65 290 495 251 142 247 213 128 108 &lt;/PrevisaoVAZAO&gt;</v>
      </c>
      <c r="C225" s="83" t="str">
        <f>SUBSTITUTE(TEXT('Hidrologia - 1'!D128,"0") &amp; " " &amp; TEXT('Hidrologia - 1'!E128,"0")&amp; " " &amp; TEXT('Hidrologia - 1'!F128,"0")&amp; " " &amp; TEXT('Hidrologia - 1'!G128,"0")&amp; " " &amp; TEXT('Hidrologia - 1'!H128,"0")&amp; " " &amp; TEXT('Hidrologia - 1'!I128,"0")&amp; " " &amp; TEXT('Hidrologia - 1'!J128,"0")&amp; " " &amp; TEXT('Hidrologia - 1'!K128,"0")&amp; " " &amp; TEXT('Hidrologia - 1'!L128,"0")&amp; " " &amp; TEXT('Hidrologia - 1'!M128,"0")&amp; " " &amp; TEXT('Hidrologia - 1'!N128,"0")&amp; " " &amp; TEXT('Hidrologia - 1'!O128,"0"),",",".")</f>
        <v>151 71 35 65 290 495 251 142 247 213 128 108</v>
      </c>
    </row>
    <row r="226" spans="1:3" x14ac:dyDescent="0.25">
      <c r="A226" s="82" t="str">
        <f>"&lt;PrevisaoVAZAO Posto="""&amp;'Hidrologia - 1'!B129&amp;""" MesReferencia=""1""&gt; "&amp;C226&amp;" &lt;/PrevisaoVAZAO&gt;"</f>
        <v>&lt;PrevisaoVAZAO Posto="86" MesReferencia="1"&gt; 0 0 0 0 0 0 0 0 0 0 0 0 &lt;/PrevisaoVAZAO&gt;</v>
      </c>
      <c r="C226" s="83" t="str">
        <f>SUBSTITUTE(TEXT('Hidrologia - 1'!D129,"0") &amp; " " &amp; TEXT('Hidrologia - 1'!E129,"0")&amp; " " &amp; TEXT('Hidrologia - 1'!F129,"0")&amp; " " &amp; TEXT('Hidrologia - 1'!G129,"0")&amp; " " &amp; TEXT('Hidrologia - 1'!H129,"0")&amp; " " &amp; TEXT('Hidrologia - 1'!I129,"0")&amp; " " &amp; TEXT('Hidrologia - 1'!J129,"0")&amp; " " &amp; TEXT('Hidrologia - 1'!K129,"0")&amp; " " &amp; TEXT('Hidrologia - 1'!L129,"0")&amp; " " &amp; TEXT('Hidrologia - 1'!M129,"0")&amp; " " &amp; TEXT('Hidrologia - 1'!N129,"0")&amp; " " &amp; TEXT('Hidrologia - 1'!O129,"0"),",",".")</f>
        <v>0 0 0 0 0 0 0 0 0 0 0 0</v>
      </c>
    </row>
    <row r="227" spans="1:3" x14ac:dyDescent="0.25">
      <c r="A227" s="82" t="str">
        <f>"&lt;PrevisaoVAZAO Posto="""&amp;'Hidrologia - 1'!B130&amp;""" MesReferencia=""1""&gt; "&amp;C227&amp;" &lt;/PrevisaoVAZAO&gt;"</f>
        <v>&lt;PrevisaoVAZAO Posto="87" MesReferencia="1"&gt; 0 0 0 0 0 0 0 0 0 0 0 0 &lt;/PrevisaoVAZAO&gt;</v>
      </c>
      <c r="C227" s="83" t="str">
        <f>SUBSTITUTE(TEXT('Hidrologia - 1'!D130,"0") &amp; " " &amp; TEXT('Hidrologia - 1'!E130,"0")&amp; " " &amp; TEXT('Hidrologia - 1'!F130,"0")&amp; " " &amp; TEXT('Hidrologia - 1'!G130,"0")&amp; " " &amp; TEXT('Hidrologia - 1'!H130,"0")&amp; " " &amp; TEXT('Hidrologia - 1'!I130,"0")&amp; " " &amp; TEXT('Hidrologia - 1'!J130,"0")&amp; " " &amp; TEXT('Hidrologia - 1'!K130,"0")&amp; " " &amp; TEXT('Hidrologia - 1'!L130,"0")&amp; " " &amp; TEXT('Hidrologia - 1'!M130,"0")&amp; " " &amp; TEXT('Hidrologia - 1'!N130,"0")&amp; " " &amp; TEXT('Hidrologia - 1'!O130,"0"),",",".")</f>
        <v>0 0 0 0 0 0 0 0 0 0 0 0</v>
      </c>
    </row>
    <row r="228" spans="1:3" x14ac:dyDescent="0.25">
      <c r="A228" s="82" t="str">
        <f>"&lt;PrevisaoVAZAO Posto="""&amp;'Hidrologia - 1'!B131&amp;""" MesReferencia=""1""&gt; "&amp;C228&amp;" &lt;/PrevisaoVAZAO&gt;"</f>
        <v>&lt;PrevisaoVAZAO Posto="88" MesReferencia="1"&gt; 326 152 109 82 337 1057 176 247 335 357 233 171 &lt;/PrevisaoVAZAO&gt;</v>
      </c>
      <c r="C228" s="83" t="str">
        <f>SUBSTITUTE(TEXT('Hidrologia - 1'!D131,"0") &amp; " " &amp; TEXT('Hidrologia - 1'!E131,"0")&amp; " " &amp; TEXT('Hidrologia - 1'!F131,"0")&amp; " " &amp; TEXT('Hidrologia - 1'!G131,"0")&amp; " " &amp; TEXT('Hidrologia - 1'!H131,"0")&amp; " " &amp; TEXT('Hidrologia - 1'!I131,"0")&amp; " " &amp; TEXT('Hidrologia - 1'!J131,"0")&amp; " " &amp; TEXT('Hidrologia - 1'!K131,"0")&amp; " " &amp; TEXT('Hidrologia - 1'!L131,"0")&amp; " " &amp; TEXT('Hidrologia - 1'!M131,"0")&amp; " " &amp; TEXT('Hidrologia - 1'!N131,"0")&amp; " " &amp; TEXT('Hidrologia - 1'!O131,"0"),",",".")</f>
        <v>326 152 109 82 337 1057 176 247 335 357 233 171</v>
      </c>
    </row>
    <row r="229" spans="1:3" x14ac:dyDescent="0.25">
      <c r="A229" s="82" t="str">
        <f>"&lt;PrevisaoVAZAO Posto="""&amp;'Hidrologia - 1'!B132&amp;""" MesReferencia=""1""&gt; "&amp;C229&amp;" &lt;/PrevisaoVAZAO&gt;"</f>
        <v>&lt;PrevisaoVAZAO Posto="89" MesReferencia="1"&gt; 380 179 129 98 416 1259 158 216 416 442 287 206 &lt;/PrevisaoVAZAO&gt;</v>
      </c>
      <c r="C229" s="83" t="str">
        <f>SUBSTITUTE(TEXT('Hidrologia - 1'!D132,"0") &amp; " " &amp; TEXT('Hidrologia - 1'!E132,"0")&amp; " " &amp; TEXT('Hidrologia - 1'!F132,"0")&amp; " " &amp; TEXT('Hidrologia - 1'!G132,"0")&amp; " " &amp; TEXT('Hidrologia - 1'!H132,"0")&amp; " " &amp; TEXT('Hidrologia - 1'!I132,"0")&amp; " " &amp; TEXT('Hidrologia - 1'!J132,"0")&amp; " " &amp; TEXT('Hidrologia - 1'!K132,"0")&amp; " " &amp; TEXT('Hidrologia - 1'!L132,"0")&amp; " " &amp; TEXT('Hidrologia - 1'!M132,"0")&amp; " " &amp; TEXT('Hidrologia - 1'!N132,"0")&amp; " " &amp; TEXT('Hidrologia - 1'!O132,"0"),",",".")</f>
        <v>380 179 129 98 416 1259 158 216 416 442 287 206</v>
      </c>
    </row>
    <row r="230" spans="1:3" x14ac:dyDescent="0.25">
      <c r="A230" s="82" t="str">
        <f>"&lt;PrevisaoVAZAO Posto="""&amp;'Hidrologia - 1'!B133&amp;""" MesReferencia=""1""&gt; "&amp;C230&amp;" &lt;/PrevisaoVAZAO&gt;"</f>
        <v>&lt;PrevisaoVAZAO Posto="90" MesReferencia="1"&gt; 0 0 0 0 0 0 0 0 0 0 0 0 &lt;/PrevisaoVAZAO&gt;</v>
      </c>
      <c r="C230" s="83" t="str">
        <f>SUBSTITUTE(TEXT('Hidrologia - 1'!D133,"0") &amp; " " &amp; TEXT('Hidrologia - 1'!E133,"0")&amp; " " &amp; TEXT('Hidrologia - 1'!F133,"0")&amp; " " &amp; TEXT('Hidrologia - 1'!G133,"0")&amp; " " &amp; TEXT('Hidrologia - 1'!H133,"0")&amp; " " &amp; TEXT('Hidrologia - 1'!I133,"0")&amp; " " &amp; TEXT('Hidrologia - 1'!J133,"0")&amp; " " &amp; TEXT('Hidrologia - 1'!K133,"0")&amp; " " &amp; TEXT('Hidrologia - 1'!L133,"0")&amp; " " &amp; TEXT('Hidrologia - 1'!M133,"0")&amp; " " &amp; TEXT('Hidrologia - 1'!N133,"0")&amp; " " &amp; TEXT('Hidrologia - 1'!O133,"0"),",",".")</f>
        <v>0 0 0 0 0 0 0 0 0 0 0 0</v>
      </c>
    </row>
    <row r="231" spans="1:3" x14ac:dyDescent="0.25">
      <c r="A231" s="82" t="str">
        <f>"&lt;PrevisaoVAZAO Posto="""&amp;'Hidrologia - 1'!B134&amp;""" MesReferencia=""1""&gt; "&amp;C231&amp;" &lt;/PrevisaoVAZAO&gt;"</f>
        <v>&lt;PrevisaoVAZAO Posto="91" MesReferencia="1"&gt; 0 0 0 0 0 0 0 0 0 0 0 0 &lt;/PrevisaoVAZAO&gt;</v>
      </c>
      <c r="C231" s="83" t="str">
        <f>SUBSTITUTE(TEXT('Hidrologia - 1'!D134,"0") &amp; " " &amp; TEXT('Hidrologia - 1'!E134,"0")&amp; " " &amp; TEXT('Hidrologia - 1'!F134,"0")&amp; " " &amp; TEXT('Hidrologia - 1'!G134,"0")&amp; " " &amp; TEXT('Hidrologia - 1'!H134,"0")&amp; " " &amp; TEXT('Hidrologia - 1'!I134,"0")&amp; " " &amp; TEXT('Hidrologia - 1'!J134,"0")&amp; " " &amp; TEXT('Hidrologia - 1'!K134,"0")&amp; " " &amp; TEXT('Hidrologia - 1'!L134,"0")&amp; " " &amp; TEXT('Hidrologia - 1'!M134,"0")&amp; " " &amp; TEXT('Hidrologia - 1'!N134,"0")&amp; " " &amp; TEXT('Hidrologia - 1'!O134,"0"),",",".")</f>
        <v>0 0 0 0 0 0 0 0 0 0 0 0</v>
      </c>
    </row>
    <row r="232" spans="1:3" x14ac:dyDescent="0.25">
      <c r="A232" s="82" t="str">
        <f>"&lt;PrevisaoVAZAO Posto="""&amp;'Hidrologia - 1'!B135&amp;""" MesReferencia=""1""&gt; "&amp;C232&amp;" &lt;/PrevisaoVAZAO&gt;"</f>
        <v>&lt;PrevisaoVAZAO Posto="92" MesReferencia="1"&gt; 1158 643 451 499 2054 4167 477 855 1584 1594 997 733 &lt;/PrevisaoVAZAO&gt;</v>
      </c>
      <c r="C232" s="83" t="str">
        <f>SUBSTITUTE(TEXT('Hidrologia - 1'!D135,"0") &amp; " " &amp; TEXT('Hidrologia - 1'!E135,"0")&amp; " " &amp; TEXT('Hidrologia - 1'!F135,"0")&amp; " " &amp; TEXT('Hidrologia - 1'!G135,"0")&amp; " " &amp; TEXT('Hidrologia - 1'!H135,"0")&amp; " " &amp; TEXT('Hidrologia - 1'!I135,"0")&amp; " " &amp; TEXT('Hidrologia - 1'!J135,"0")&amp; " " &amp; TEXT('Hidrologia - 1'!K135,"0")&amp; " " &amp; TEXT('Hidrologia - 1'!L135,"0")&amp; " " &amp; TEXT('Hidrologia - 1'!M135,"0")&amp; " " &amp; TEXT('Hidrologia - 1'!N135,"0")&amp; " " &amp; TEXT('Hidrologia - 1'!O135,"0"),",",".")</f>
        <v>1158 643 451 499 2054 4167 477 855 1584 1594 997 733</v>
      </c>
    </row>
    <row r="233" spans="1:3" x14ac:dyDescent="0.25">
      <c r="A233" s="82" t="str">
        <f>"&lt;PrevisaoVAZAO Posto="""&amp;'Hidrologia - 1'!B136&amp;""" MesReferencia=""1""&gt; "&amp;C233&amp;" &lt;/PrevisaoVAZAO&gt;"</f>
        <v>&lt;PrevisaoVAZAO Posto="93" MesReferencia="1"&gt; 32 31 32 94 195 242 53 51 79 85 59 46 &lt;/PrevisaoVAZAO&gt;</v>
      </c>
      <c r="C233" s="83" t="str">
        <f>SUBSTITUTE(TEXT('Hidrologia - 1'!D136,"0") &amp; " " &amp; TEXT('Hidrologia - 1'!E136,"0")&amp; " " &amp; TEXT('Hidrologia - 1'!F136,"0")&amp; " " &amp; TEXT('Hidrologia - 1'!G136,"0")&amp; " " &amp; TEXT('Hidrologia - 1'!H136,"0")&amp; " " &amp; TEXT('Hidrologia - 1'!I136,"0")&amp; " " &amp; TEXT('Hidrologia - 1'!J136,"0")&amp; " " &amp; TEXT('Hidrologia - 1'!K136,"0")&amp; " " &amp; TEXT('Hidrologia - 1'!L136,"0")&amp; " " &amp; TEXT('Hidrologia - 1'!M136,"0")&amp; " " &amp; TEXT('Hidrologia - 1'!N136,"0")&amp; " " &amp; TEXT('Hidrologia - 1'!O136,"0"),",",".")</f>
        <v>32 31 32 94 195 242 53 51 79 85 59 46</v>
      </c>
    </row>
    <row r="234" spans="1:3" x14ac:dyDescent="0.25">
      <c r="A234" s="82" t="str">
        <f>"&lt;PrevisaoVAZAO Posto="""&amp;'Hidrologia - 1'!B137&amp;""" MesReferencia=""1""&gt; "&amp;C234&amp;" &lt;/PrevisaoVAZAO&gt;"</f>
        <v>&lt;PrevisaoVAZAO Posto="94" MesReferencia="1"&gt; 1331 788 593 735 2471 5510 598 1056 1911 1940 1247 923 &lt;/PrevisaoVAZAO&gt;</v>
      </c>
      <c r="C234" s="83" t="str">
        <f>SUBSTITUTE(TEXT('Hidrologia - 1'!D137,"0") &amp; " " &amp; TEXT('Hidrologia - 1'!E137,"0")&amp; " " &amp; TEXT('Hidrologia - 1'!F137,"0")&amp; " " &amp; TEXT('Hidrologia - 1'!G137,"0")&amp; " " &amp; TEXT('Hidrologia - 1'!H137,"0")&amp; " " &amp; TEXT('Hidrologia - 1'!I137,"0")&amp; " " &amp; TEXT('Hidrologia - 1'!J137,"0")&amp; " " &amp; TEXT('Hidrologia - 1'!K137,"0")&amp; " " &amp; TEXT('Hidrologia - 1'!L137,"0")&amp; " " &amp; TEXT('Hidrologia - 1'!M137,"0")&amp; " " &amp; TEXT('Hidrologia - 1'!N137,"0")&amp; " " &amp; TEXT('Hidrologia - 1'!O137,"0"),",",".")</f>
        <v>1331 788 593 735 2471 5510 598 1056 1911 1940 1247 923</v>
      </c>
    </row>
    <row r="235" spans="1:3" x14ac:dyDescent="0.25">
      <c r="A235" s="82" t="str">
        <f>"&lt;PrevisaoVAZAO Posto="""&amp;'Hidrologia - 1'!B138&amp;""" MesReferencia=""1""&gt; "&amp;C235&amp;" &lt;/PrevisaoVAZAO&gt;"</f>
        <v>&lt;PrevisaoVAZAO Posto="95" MesReferencia="1"&gt; 0 0 0 0 0 0 0 0 0 0 0 0 &lt;/PrevisaoVAZAO&gt;</v>
      </c>
      <c r="C235" s="83" t="str">
        <f>SUBSTITUTE(TEXT('Hidrologia - 1'!D138,"0") &amp; " " &amp; TEXT('Hidrologia - 1'!E138,"0")&amp; " " &amp; TEXT('Hidrologia - 1'!F138,"0")&amp; " " &amp; TEXT('Hidrologia - 1'!G138,"0")&amp; " " &amp; TEXT('Hidrologia - 1'!H138,"0")&amp; " " &amp; TEXT('Hidrologia - 1'!I138,"0")&amp; " " &amp; TEXT('Hidrologia - 1'!J138,"0")&amp; " " &amp; TEXT('Hidrologia - 1'!K138,"0")&amp; " " &amp; TEXT('Hidrologia - 1'!L138,"0")&amp; " " &amp; TEXT('Hidrologia - 1'!M138,"0")&amp; " " &amp; TEXT('Hidrologia - 1'!N138,"0")&amp; " " &amp; TEXT('Hidrologia - 1'!O138,"0"),",",".")</f>
        <v>0 0 0 0 0 0 0 0 0 0 0 0</v>
      </c>
    </row>
    <row r="236" spans="1:3" x14ac:dyDescent="0.25">
      <c r="A236" s="82" t="str">
        <f>"&lt;PrevisaoVAZAO Posto="""&amp;'Hidrologia - 1'!B139&amp;""" MesReferencia=""1""&gt; "&amp;C236&amp;" &lt;/PrevisaoVAZAO&gt;"</f>
        <v>&lt;PrevisaoVAZAO Posto="96" MesReferencia="1"&gt; 0 0 0 0 0 0 0 0 0 0 0 0 &lt;/PrevisaoVAZAO&gt;</v>
      </c>
      <c r="C236" s="83" t="str">
        <f>SUBSTITUTE(TEXT('Hidrologia - 1'!D139,"0") &amp; " " &amp; TEXT('Hidrologia - 1'!E139,"0")&amp; " " &amp; TEXT('Hidrologia - 1'!F139,"0")&amp; " " &amp; TEXT('Hidrologia - 1'!G139,"0")&amp; " " &amp; TEXT('Hidrologia - 1'!H139,"0")&amp; " " &amp; TEXT('Hidrologia - 1'!I139,"0")&amp; " " &amp; TEXT('Hidrologia - 1'!J139,"0")&amp; " " &amp; TEXT('Hidrologia - 1'!K139,"0")&amp; " " &amp; TEXT('Hidrologia - 1'!L139,"0")&amp; " " &amp; TEXT('Hidrologia - 1'!M139,"0")&amp; " " &amp; TEXT('Hidrologia - 1'!N139,"0")&amp; " " &amp; TEXT('Hidrologia - 1'!O139,"0"),",",".")</f>
        <v>0 0 0 0 0 0 0 0 0 0 0 0</v>
      </c>
    </row>
    <row r="237" spans="1:3" x14ac:dyDescent="0.25">
      <c r="A237" s="82" t="str">
        <f>"&lt;PrevisaoVAZAO Posto="""&amp;'Hidrologia - 1'!B140&amp;""" MesReferencia=""1""&gt; "&amp;C237&amp;" &lt;/PrevisaoVAZAO&gt;"</f>
        <v>&lt;PrevisaoVAZAO Posto="97" MesReferencia="1"&gt; 236 87 143 185 504 784 104 272 474 397 227 183 &lt;/PrevisaoVAZAO&gt;</v>
      </c>
      <c r="C237" s="83" t="str">
        <f>SUBSTITUTE(TEXT('Hidrologia - 1'!D140,"0") &amp; " " &amp; TEXT('Hidrologia - 1'!E140,"0")&amp; " " &amp; TEXT('Hidrologia - 1'!F140,"0")&amp; " " &amp; TEXT('Hidrologia - 1'!G140,"0")&amp; " " &amp; TEXT('Hidrologia - 1'!H140,"0")&amp; " " &amp; TEXT('Hidrologia - 1'!I140,"0")&amp; " " &amp; TEXT('Hidrologia - 1'!J140,"0")&amp; " " &amp; TEXT('Hidrologia - 1'!K140,"0")&amp; " " &amp; TEXT('Hidrologia - 1'!L140,"0")&amp; " " &amp; TEXT('Hidrologia - 1'!M140,"0")&amp; " " &amp; TEXT('Hidrologia - 1'!N140,"0")&amp; " " &amp; TEXT('Hidrologia - 1'!O140,"0"),",",".")</f>
        <v>236 87 143 185 504 784 104 272 474 397 227 183</v>
      </c>
    </row>
    <row r="238" spans="1:3" x14ac:dyDescent="0.25">
      <c r="A238" s="82" t="str">
        <f>"&lt;PrevisaoVAZAO Posto="""&amp;'Hidrologia - 1'!B141&amp;""" MesReferencia=""1""&gt; "&amp;C238&amp;" &lt;/PrevisaoVAZAO&gt;"</f>
        <v>&lt;PrevisaoVAZAO Posto="98" MesReferencia="1"&gt; 170 52 82 106 284 467 54 145 255 210 124 99 &lt;/PrevisaoVAZAO&gt;</v>
      </c>
      <c r="C238" s="83" t="str">
        <f>SUBSTITUTE(TEXT('Hidrologia - 1'!D141,"0") &amp; " " &amp; TEXT('Hidrologia - 1'!E141,"0")&amp; " " &amp; TEXT('Hidrologia - 1'!F141,"0")&amp; " " &amp; TEXT('Hidrologia - 1'!G141,"0")&amp; " " &amp; TEXT('Hidrologia - 1'!H141,"0")&amp; " " &amp; TEXT('Hidrologia - 1'!I141,"0")&amp; " " &amp; TEXT('Hidrologia - 1'!J141,"0")&amp; " " &amp; TEXT('Hidrologia - 1'!K141,"0")&amp; " " &amp; TEXT('Hidrologia - 1'!L141,"0")&amp; " " &amp; TEXT('Hidrologia - 1'!M141,"0")&amp; " " &amp; TEXT('Hidrologia - 1'!N141,"0")&amp; " " &amp; TEXT('Hidrologia - 1'!O141,"0"),",",".")</f>
        <v>170 52 82 106 284 467 54 145 255 210 124 99</v>
      </c>
    </row>
    <row r="239" spans="1:3" x14ac:dyDescent="0.25">
      <c r="A239" s="82" t="str">
        <f>"&lt;PrevisaoVAZAO Posto="""&amp;'Hidrologia - 1'!B142&amp;""" MesReferencia=""1""&gt; "&amp;C239&amp;" &lt;/PrevisaoVAZAO&gt;"</f>
        <v>&lt;PrevisaoVAZAO Posto="99" MesReferencia="1"&gt; 88 105 90 80 69 63 54 52 47 51 58 70 &lt;/PrevisaoVAZAO&gt;</v>
      </c>
      <c r="C239" s="83" t="str">
        <f>SUBSTITUTE(TEXT('Hidrologia - 1'!D142,"0") &amp; " " &amp; TEXT('Hidrologia - 1'!E142,"0")&amp; " " &amp; TEXT('Hidrologia - 1'!F142,"0")&amp; " " &amp; TEXT('Hidrologia - 1'!G142,"0")&amp; " " &amp; TEXT('Hidrologia - 1'!H142,"0")&amp; " " &amp; TEXT('Hidrologia - 1'!I142,"0")&amp; " " &amp; TEXT('Hidrologia - 1'!J142,"0")&amp; " " &amp; TEXT('Hidrologia - 1'!K142,"0")&amp; " " &amp; TEXT('Hidrologia - 1'!L142,"0")&amp; " " &amp; TEXT('Hidrologia - 1'!M142,"0")&amp; " " &amp; TEXT('Hidrologia - 1'!N142,"0")&amp; " " &amp; TEXT('Hidrologia - 1'!O142,"0"),",",".")</f>
        <v>88 105 90 80 69 63 54 52 47 51 58 70</v>
      </c>
    </row>
    <row r="240" spans="1:3" x14ac:dyDescent="0.25">
      <c r="A240" s="82" t="str">
        <f>"&lt;PrevisaoVAZAO Posto="""&amp;'Hidrologia - 1'!B143&amp;""" MesReferencia=""1""&gt; "&amp;C240&amp;" &lt;/PrevisaoVAZAO&gt;"</f>
        <v>&lt;PrevisaoVAZAO Posto="100" MesReferencia="1"&gt; 5 6 6 5 4 4 4 3 4 5 5 5 &lt;/PrevisaoVAZAO&gt;</v>
      </c>
      <c r="C240" s="83" t="str">
        <f>SUBSTITUTE(TEXT('Hidrologia - 1'!D143,"0") &amp; " " &amp; TEXT('Hidrologia - 1'!E143,"0")&amp; " " &amp; TEXT('Hidrologia - 1'!F143,"0")&amp; " " &amp; TEXT('Hidrologia - 1'!G143,"0")&amp; " " &amp; TEXT('Hidrologia - 1'!H143,"0")&amp; " " &amp; TEXT('Hidrologia - 1'!I143,"0")&amp; " " &amp; TEXT('Hidrologia - 1'!J143,"0")&amp; " " &amp; TEXT('Hidrologia - 1'!K143,"0")&amp; " " &amp; TEXT('Hidrologia - 1'!L143,"0")&amp; " " &amp; TEXT('Hidrologia - 1'!M143,"0")&amp; " " &amp; TEXT('Hidrologia - 1'!N143,"0")&amp; " " &amp; TEXT('Hidrologia - 1'!O143,"0"),",",".")</f>
        <v>5 6 6 5 4 4 4 3 4 5 5 5</v>
      </c>
    </row>
    <row r="241" spans="1:3" x14ac:dyDescent="0.25">
      <c r="A241" s="82" t="str">
        <f>"&lt;PrevisaoVAZAO Posto="""&amp;'Hidrologia - 1'!B144&amp;""" MesReferencia=""1""&gt; "&amp;C241&amp;" &lt;/PrevisaoVAZAO&gt;"</f>
        <v>&lt;PrevisaoVAZAO Posto="101" MesReferencia="1"&gt; 161 78 62 39 150 385 60 81 162 174 116 97 &lt;/PrevisaoVAZAO&gt;</v>
      </c>
      <c r="C241" s="83" t="str">
        <f>SUBSTITUTE(TEXT('Hidrologia - 1'!D144,"0") &amp; " " &amp; TEXT('Hidrologia - 1'!E144,"0")&amp; " " &amp; TEXT('Hidrologia - 1'!F144,"0")&amp; " " &amp; TEXT('Hidrologia - 1'!G144,"0")&amp; " " &amp; TEXT('Hidrologia - 1'!H144,"0")&amp; " " &amp; TEXT('Hidrologia - 1'!I144,"0")&amp; " " &amp; TEXT('Hidrologia - 1'!J144,"0")&amp; " " &amp; TEXT('Hidrologia - 1'!K144,"0")&amp; " " &amp; TEXT('Hidrologia - 1'!L144,"0")&amp; " " &amp; TEXT('Hidrologia - 1'!M144,"0")&amp; " " &amp; TEXT('Hidrologia - 1'!N144,"0")&amp; " " &amp; TEXT('Hidrologia - 1'!O144,"0"),",",".")</f>
        <v>161 78 62 39 150 385 60 81 162 174 116 97</v>
      </c>
    </row>
    <row r="242" spans="1:3" x14ac:dyDescent="0.25">
      <c r="A242" s="82" t="str">
        <f>"&lt;PrevisaoVAZAO Posto="""&amp;'Hidrologia - 1'!B145&amp;""" MesReferencia=""1""&gt; "&amp;C242&amp;" &lt;/PrevisaoVAZAO&gt;"</f>
        <v>&lt;PrevisaoVAZAO Posto="102" MesReferencia="1"&gt; 448 173 263 595 890 1105 244 228 328 367 271 218 &lt;/PrevisaoVAZAO&gt;</v>
      </c>
      <c r="C242" s="83" t="str">
        <f>SUBSTITUTE(TEXT('Hidrologia - 1'!D145,"0") &amp; " " &amp; TEXT('Hidrologia - 1'!E145,"0")&amp; " " &amp; TEXT('Hidrologia - 1'!F145,"0")&amp; " " &amp; TEXT('Hidrologia - 1'!G145,"0")&amp; " " &amp; TEXT('Hidrologia - 1'!H145,"0")&amp; " " &amp; TEXT('Hidrologia - 1'!I145,"0")&amp; " " &amp; TEXT('Hidrologia - 1'!J145,"0")&amp; " " &amp; TEXT('Hidrologia - 1'!K145,"0")&amp; " " &amp; TEXT('Hidrologia - 1'!L145,"0")&amp; " " &amp; TEXT('Hidrologia - 1'!M145,"0")&amp; " " &amp; TEXT('Hidrologia - 1'!N145,"0")&amp; " " &amp; TEXT('Hidrologia - 1'!O145,"0"),",",".")</f>
        <v>448 173 263 595 890 1105 244 228 328 367 271 218</v>
      </c>
    </row>
    <row r="243" spans="1:3" x14ac:dyDescent="0.25">
      <c r="A243" s="82" t="str">
        <f>"&lt;PrevisaoVAZAO Posto="""&amp;'Hidrologia - 1'!B146&amp;""" MesReferencia=""1""&gt; "&amp;C243&amp;" &lt;/PrevisaoVAZAO&gt;"</f>
        <v>&lt;PrevisaoVAZAO Posto="103" MesReferencia="1"&gt; 467 180 273 599 912 1167 254 237 339 381 283 227 &lt;/PrevisaoVAZAO&gt;</v>
      </c>
      <c r="C243" s="83" t="str">
        <f>SUBSTITUTE(TEXT('Hidrologia - 1'!D146,"0") &amp; " " &amp; TEXT('Hidrologia - 1'!E146,"0")&amp; " " &amp; TEXT('Hidrologia - 1'!F146,"0")&amp; " " &amp; TEXT('Hidrologia - 1'!G146,"0")&amp; " " &amp; TEXT('Hidrologia - 1'!H146,"0")&amp; " " &amp; TEXT('Hidrologia - 1'!I146,"0")&amp; " " &amp; TEXT('Hidrologia - 1'!J146,"0")&amp; " " &amp; TEXT('Hidrologia - 1'!K146,"0")&amp; " " &amp; TEXT('Hidrologia - 1'!L146,"0")&amp; " " &amp; TEXT('Hidrologia - 1'!M146,"0")&amp; " " &amp; TEXT('Hidrologia - 1'!N146,"0")&amp; " " &amp; TEXT('Hidrologia - 1'!O146,"0"),",",".")</f>
        <v>467 180 273 599 912 1167 254 237 339 381 283 227</v>
      </c>
    </row>
    <row r="244" spans="1:3" x14ac:dyDescent="0.25">
      <c r="A244" s="82" t="str">
        <f>"&lt;PrevisaoVAZAO Posto="""&amp;'Hidrologia - 1'!B147&amp;""" MesReferencia=""1""&gt; "&amp;C244&amp;" &lt;/PrevisaoVAZAO&gt;"</f>
        <v>&lt;PrevisaoVAZAO Posto="104" MesReferencia="1"&gt; 73 39 54 53 49 44 30 26 21 26 27 35 &lt;/PrevisaoVAZAO&gt;</v>
      </c>
      <c r="C244" s="83" t="str">
        <f>SUBSTITUTE(TEXT('Hidrologia - 1'!D147,"0") &amp; " " &amp; TEXT('Hidrologia - 1'!E147,"0")&amp; " " &amp; TEXT('Hidrologia - 1'!F147,"0")&amp; " " &amp; TEXT('Hidrologia - 1'!G147,"0")&amp; " " &amp; TEXT('Hidrologia - 1'!H147,"0")&amp; " " &amp; TEXT('Hidrologia - 1'!I147,"0")&amp; " " &amp; TEXT('Hidrologia - 1'!J147,"0")&amp; " " &amp; TEXT('Hidrologia - 1'!K147,"0")&amp; " " &amp; TEXT('Hidrologia - 1'!L147,"0")&amp; " " &amp; TEXT('Hidrologia - 1'!M147,"0")&amp; " " &amp; TEXT('Hidrologia - 1'!N147,"0")&amp; " " &amp; TEXT('Hidrologia - 1'!O147,"0"),",",".")</f>
        <v>73 39 54 53 49 44 30 26 21 26 27 35</v>
      </c>
    </row>
    <row r="245" spans="1:3" x14ac:dyDescent="0.25">
      <c r="A245" s="82" t="str">
        <f>"&lt;PrevisaoVAZAO Posto="""&amp;'Hidrologia - 1'!B148&amp;""" MesReferencia=""1""&gt; "&amp;C245&amp;" &lt;/PrevisaoVAZAO&gt;"</f>
        <v>&lt;PrevisaoVAZAO Posto="105" MesReferencia="1"&gt; 0 0 0 0 0 0 0 0 0 0 0 0 &lt;/PrevisaoVAZAO&gt;</v>
      </c>
      <c r="C245" s="83" t="str">
        <f>SUBSTITUTE(TEXT('Hidrologia - 1'!D148,"0") &amp; " " &amp; TEXT('Hidrologia - 1'!E148,"0")&amp; " " &amp; TEXT('Hidrologia - 1'!F148,"0")&amp; " " &amp; TEXT('Hidrologia - 1'!G148,"0")&amp; " " &amp; TEXT('Hidrologia - 1'!H148,"0")&amp; " " &amp; TEXT('Hidrologia - 1'!I148,"0")&amp; " " &amp; TEXT('Hidrologia - 1'!J148,"0")&amp; " " &amp; TEXT('Hidrologia - 1'!K148,"0")&amp; " " &amp; TEXT('Hidrologia - 1'!L148,"0")&amp; " " &amp; TEXT('Hidrologia - 1'!M148,"0")&amp; " " &amp; TEXT('Hidrologia - 1'!N148,"0")&amp; " " &amp; TEXT('Hidrologia - 1'!O148,"0"),",",".")</f>
        <v>0 0 0 0 0 0 0 0 0 0 0 0</v>
      </c>
    </row>
    <row r="246" spans="1:3" x14ac:dyDescent="0.25">
      <c r="A246" s="82" t="str">
        <f>"&lt;PrevisaoVAZAO Posto="""&amp;'Hidrologia - 1'!B149&amp;""" MesReferencia=""1""&gt; "&amp;C246&amp;" &lt;/PrevisaoVAZAO&gt;"</f>
        <v>&lt;PrevisaoVAZAO Posto="106" MesReferencia="1"&gt; 0 0 0 0 0 0 0 0 0 0 0 0 &lt;/PrevisaoVAZAO&gt;</v>
      </c>
      <c r="C246" s="83" t="str">
        <f>SUBSTITUTE(TEXT('Hidrologia - 1'!D149,"0") &amp; " " &amp; TEXT('Hidrologia - 1'!E149,"0")&amp; " " &amp; TEXT('Hidrologia - 1'!F149,"0")&amp; " " &amp; TEXT('Hidrologia - 1'!G149,"0")&amp; " " &amp; TEXT('Hidrologia - 1'!H149,"0")&amp; " " &amp; TEXT('Hidrologia - 1'!I149,"0")&amp; " " &amp; TEXT('Hidrologia - 1'!J149,"0")&amp; " " &amp; TEXT('Hidrologia - 1'!K149,"0")&amp; " " &amp; TEXT('Hidrologia - 1'!L149,"0")&amp; " " &amp; TEXT('Hidrologia - 1'!M149,"0")&amp; " " &amp; TEXT('Hidrologia - 1'!N149,"0")&amp; " " &amp; TEXT('Hidrologia - 1'!O149,"0"),",",".")</f>
        <v>0 0 0 0 0 0 0 0 0 0 0 0</v>
      </c>
    </row>
    <row r="247" spans="1:3" x14ac:dyDescent="0.25">
      <c r="A247" s="82" t="str">
        <f>"&lt;PrevisaoVAZAO Posto="""&amp;'Hidrologia - 1'!B150&amp;""" MesReferencia=""1""&gt; "&amp;C247&amp;" &lt;/PrevisaoVAZAO&gt;"</f>
        <v>&lt;PrevisaoVAZAO Posto="107" MesReferencia="1"&gt; 0 0 0 0 0 0 0 0 0 0 0 0 &lt;/PrevisaoVAZAO&gt;</v>
      </c>
      <c r="C247" s="83" t="str">
        <f>SUBSTITUTE(TEXT('Hidrologia - 1'!D150,"0") &amp; " " &amp; TEXT('Hidrologia - 1'!E150,"0")&amp; " " &amp; TEXT('Hidrologia - 1'!F150,"0")&amp; " " &amp; TEXT('Hidrologia - 1'!G150,"0")&amp; " " &amp; TEXT('Hidrologia - 1'!H150,"0")&amp; " " &amp; TEXT('Hidrologia - 1'!I150,"0")&amp; " " &amp; TEXT('Hidrologia - 1'!J150,"0")&amp; " " &amp; TEXT('Hidrologia - 1'!K150,"0")&amp; " " &amp; TEXT('Hidrologia - 1'!L150,"0")&amp; " " &amp; TEXT('Hidrologia - 1'!M150,"0")&amp; " " &amp; TEXT('Hidrologia - 1'!N150,"0")&amp; " " &amp; TEXT('Hidrologia - 1'!O150,"0"),",",".")</f>
        <v>0 0 0 0 0 0 0 0 0 0 0 0</v>
      </c>
    </row>
    <row r="248" spans="1:3" x14ac:dyDescent="0.25">
      <c r="A248" s="82" t="str">
        <f>"&lt;PrevisaoVAZAO Posto="""&amp;'Hidrologia - 1'!B151&amp;""" MesReferencia=""1""&gt; "&amp;C248&amp;" &lt;/PrevisaoVAZAO&gt;"</f>
        <v>&lt;PrevisaoVAZAO Posto="108" MesReferencia="1"&gt; 0 0 0 0 0 0 0 0 0 0 0 0 &lt;/PrevisaoVAZAO&gt;</v>
      </c>
      <c r="C248" s="83" t="str">
        <f>SUBSTITUTE(TEXT('Hidrologia - 1'!D151,"0") &amp; " " &amp; TEXT('Hidrologia - 1'!E151,"0")&amp; " " &amp; TEXT('Hidrologia - 1'!F151,"0")&amp; " " &amp; TEXT('Hidrologia - 1'!G151,"0")&amp; " " &amp; TEXT('Hidrologia - 1'!H151,"0")&amp; " " &amp; TEXT('Hidrologia - 1'!I151,"0")&amp; " " &amp; TEXT('Hidrologia - 1'!J151,"0")&amp; " " &amp; TEXT('Hidrologia - 1'!K151,"0")&amp; " " &amp; TEXT('Hidrologia - 1'!L151,"0")&amp; " " &amp; TEXT('Hidrologia - 1'!M151,"0")&amp; " " &amp; TEXT('Hidrologia - 1'!N151,"0")&amp; " " &amp; TEXT('Hidrologia - 1'!O151,"0"),",",".")</f>
        <v>0 0 0 0 0 0 0 0 0 0 0 0</v>
      </c>
    </row>
    <row r="249" spans="1:3" x14ac:dyDescent="0.25">
      <c r="A249" s="82" t="str">
        <f>"&lt;PrevisaoVAZAO Posto="""&amp;'Hidrologia - 1'!B152&amp;""" MesReferencia=""1""&gt; "&amp;C249&amp;" &lt;/PrevisaoVAZAO&gt;"</f>
        <v>&lt;PrevisaoVAZAO Posto="109" MesReferencia="1"&gt; 35 16 28 29 24 20 15 13 12 15 15 21 &lt;/PrevisaoVAZAO&gt;</v>
      </c>
      <c r="C249" s="83" t="str">
        <f>SUBSTITUTE(TEXT('Hidrologia - 1'!D152,"0") &amp; " " &amp; TEXT('Hidrologia - 1'!E152,"0")&amp; " " &amp; TEXT('Hidrologia - 1'!F152,"0")&amp; " " &amp; TEXT('Hidrologia - 1'!G152,"0")&amp; " " &amp; TEXT('Hidrologia - 1'!H152,"0")&amp; " " &amp; TEXT('Hidrologia - 1'!I152,"0")&amp; " " &amp; TEXT('Hidrologia - 1'!J152,"0")&amp; " " &amp; TEXT('Hidrologia - 1'!K152,"0")&amp; " " &amp; TEXT('Hidrologia - 1'!L152,"0")&amp; " " &amp; TEXT('Hidrologia - 1'!M152,"0")&amp; " " &amp; TEXT('Hidrologia - 1'!N152,"0")&amp; " " &amp; TEXT('Hidrologia - 1'!O152,"0"),",",".")</f>
        <v>35 16 28 29 24 20 15 13 12 15 15 21</v>
      </c>
    </row>
    <row r="250" spans="1:3" x14ac:dyDescent="0.25">
      <c r="A250" s="82" t="str">
        <f>"&lt;PrevisaoVAZAO Posto="""&amp;'Hidrologia - 1'!B153&amp;""" MesReferencia=""1""&gt; "&amp;C250&amp;" &lt;/PrevisaoVAZAO&gt;"</f>
        <v>&lt;PrevisaoVAZAO Posto="110" MesReferencia="1"&gt; 58 43 51 84 113 111 36 32 43 46 32 25 &lt;/PrevisaoVAZAO&gt;</v>
      </c>
      <c r="C250" s="83" t="str">
        <f>SUBSTITUTE(TEXT('Hidrologia - 1'!D153,"0") &amp; " " &amp; TEXT('Hidrologia - 1'!E153,"0")&amp; " " &amp; TEXT('Hidrologia - 1'!F153,"0")&amp; " " &amp; TEXT('Hidrologia - 1'!G153,"0")&amp; " " &amp; TEXT('Hidrologia - 1'!H153,"0")&amp; " " &amp; TEXT('Hidrologia - 1'!I153,"0")&amp; " " &amp; TEXT('Hidrologia - 1'!J153,"0")&amp; " " &amp; TEXT('Hidrologia - 1'!K153,"0")&amp; " " &amp; TEXT('Hidrologia - 1'!L153,"0")&amp; " " &amp; TEXT('Hidrologia - 1'!M153,"0")&amp; " " &amp; TEXT('Hidrologia - 1'!N153,"0")&amp; " " &amp; TEXT('Hidrologia - 1'!O153,"0"),",",".")</f>
        <v>58 43 51 84 113 111 36 32 43 46 32 25</v>
      </c>
    </row>
    <row r="251" spans="1:3" x14ac:dyDescent="0.25">
      <c r="A251" s="82" t="str">
        <f>"&lt;PrevisaoVAZAO Posto="""&amp;'Hidrologia - 1'!B154&amp;""" MesReferencia=""1""&gt; "&amp;C251&amp;" &lt;/PrevisaoVAZAO&gt;"</f>
        <v>&lt;PrevisaoVAZAO Posto="111" MesReferencia="1"&gt; 287 180 204 371 645 863 247 224 313 313 221 177 &lt;/PrevisaoVAZAO&gt;</v>
      </c>
      <c r="C251" s="83" t="str">
        <f>SUBSTITUTE(TEXT('Hidrologia - 1'!D154,"0") &amp; " " &amp; TEXT('Hidrologia - 1'!E154,"0")&amp; " " &amp; TEXT('Hidrologia - 1'!F154,"0")&amp; " " &amp; TEXT('Hidrologia - 1'!G154,"0")&amp; " " &amp; TEXT('Hidrologia - 1'!H154,"0")&amp; " " &amp; TEXT('Hidrologia - 1'!I154,"0")&amp; " " &amp; TEXT('Hidrologia - 1'!J154,"0")&amp; " " &amp; TEXT('Hidrologia - 1'!K154,"0")&amp; " " &amp; TEXT('Hidrologia - 1'!L154,"0")&amp; " " &amp; TEXT('Hidrologia - 1'!M154,"0")&amp; " " &amp; TEXT('Hidrologia - 1'!N154,"0")&amp; " " &amp; TEXT('Hidrologia - 1'!O154,"0"),",",".")</f>
        <v>287 180 204 371 645 863 247 224 313 313 221 177</v>
      </c>
    </row>
    <row r="252" spans="1:3" x14ac:dyDescent="0.25">
      <c r="A252" s="82" t="str">
        <f>"&lt;PrevisaoVAZAO Posto="""&amp;'Hidrologia - 1'!B155&amp;""" MesReferencia=""1""&gt; "&amp;C252&amp;" &lt;/PrevisaoVAZAO&gt;"</f>
        <v>&lt;PrevisaoVAZAO Posto="112" MesReferencia="1"&gt; 289 181 206 373 651 871 249 226 315 316 222 178 &lt;/PrevisaoVAZAO&gt;</v>
      </c>
      <c r="C252" s="83" t="str">
        <f>SUBSTITUTE(TEXT('Hidrologia - 1'!D155,"0") &amp; " " &amp; TEXT('Hidrologia - 1'!E155,"0")&amp; " " &amp; TEXT('Hidrologia - 1'!F155,"0")&amp; " " &amp; TEXT('Hidrologia - 1'!G155,"0")&amp; " " &amp; TEXT('Hidrologia - 1'!H155,"0")&amp; " " &amp; TEXT('Hidrologia - 1'!I155,"0")&amp; " " &amp; TEXT('Hidrologia - 1'!J155,"0")&amp; " " &amp; TEXT('Hidrologia - 1'!K155,"0")&amp; " " &amp; TEXT('Hidrologia - 1'!L155,"0")&amp; " " &amp; TEXT('Hidrologia - 1'!M155,"0")&amp; " " &amp; TEXT('Hidrologia - 1'!N155,"0")&amp; " " &amp; TEXT('Hidrologia - 1'!O155,"0"),",",".")</f>
        <v>289 181 206 373 651 871 249 226 315 316 222 178</v>
      </c>
    </row>
    <row r="253" spans="1:3" x14ac:dyDescent="0.25">
      <c r="A253" s="82" t="str">
        <f>"&lt;PrevisaoVAZAO Posto="""&amp;'Hidrologia - 1'!B156&amp;""" MesReferencia=""1""&gt; "&amp;C253&amp;" &lt;/PrevisaoVAZAO&gt;"</f>
        <v>&lt;PrevisaoVAZAO Posto="113" MesReferencia="1"&gt; 326 195 255 427 817 1022 320 285 400 401 287 223 &lt;/PrevisaoVAZAO&gt;</v>
      </c>
      <c r="C253" s="83" t="str">
        <f>SUBSTITUTE(TEXT('Hidrologia - 1'!D156,"0") &amp; " " &amp; TEXT('Hidrologia - 1'!E156,"0")&amp; " " &amp; TEXT('Hidrologia - 1'!F156,"0")&amp; " " &amp; TEXT('Hidrologia - 1'!G156,"0")&amp; " " &amp; TEXT('Hidrologia - 1'!H156,"0")&amp; " " &amp; TEXT('Hidrologia - 1'!I156,"0")&amp; " " &amp; TEXT('Hidrologia - 1'!J156,"0")&amp; " " &amp; TEXT('Hidrologia - 1'!K156,"0")&amp; " " &amp; TEXT('Hidrologia - 1'!L156,"0")&amp; " " &amp; TEXT('Hidrologia - 1'!M156,"0")&amp; " " &amp; TEXT('Hidrologia - 1'!N156,"0")&amp; " " &amp; TEXT('Hidrologia - 1'!O156,"0"),",",".")</f>
        <v>326 195 255 427 817 1022 320 285 400 401 287 223</v>
      </c>
    </row>
    <row r="254" spans="1:3" x14ac:dyDescent="0.25">
      <c r="A254" s="82" t="str">
        <f>"&lt;PrevisaoVAZAO Posto="""&amp;'Hidrologia - 1'!B157&amp;""" MesReferencia=""1""&gt; "&amp;C254&amp;" &lt;/PrevisaoVAZAO&gt;"</f>
        <v>&lt;PrevisaoVAZAO Posto="114" MesReferencia="1"&gt; 364 210 309 490 1007 1184 407 352 486 485 343 269 &lt;/PrevisaoVAZAO&gt;</v>
      </c>
      <c r="C254" s="83" t="str">
        <f>SUBSTITUTE(TEXT('Hidrologia - 1'!D157,"0") &amp; " " &amp; TEXT('Hidrologia - 1'!E157,"0")&amp; " " &amp; TEXT('Hidrologia - 1'!F157,"0")&amp; " " &amp; TEXT('Hidrologia - 1'!G157,"0")&amp; " " &amp; TEXT('Hidrologia - 1'!H157,"0")&amp; " " &amp; TEXT('Hidrologia - 1'!I157,"0")&amp; " " &amp; TEXT('Hidrologia - 1'!J157,"0")&amp; " " &amp; TEXT('Hidrologia - 1'!K157,"0")&amp; " " &amp; TEXT('Hidrologia - 1'!L157,"0")&amp; " " &amp; TEXT('Hidrologia - 1'!M157,"0")&amp; " " &amp; TEXT('Hidrologia - 1'!N157,"0")&amp; " " &amp; TEXT('Hidrologia - 1'!O157,"0"),",",".")</f>
        <v>364 210 309 490 1007 1184 407 352 486 485 343 269</v>
      </c>
    </row>
    <row r="255" spans="1:3" x14ac:dyDescent="0.25">
      <c r="A255" s="82" t="str">
        <f>"&lt;PrevisaoVAZAO Posto="""&amp;'Hidrologia - 1'!B158&amp;""" MesReferencia=""1""&gt; "&amp;C255&amp;" &lt;/PrevisaoVAZAO&gt;"</f>
        <v>&lt;PrevisaoVAZAO Posto="115" MesReferencia="1"&gt; 33 28 27 24 20 29 15 12 18 20 19 21 &lt;/PrevisaoVAZAO&gt;</v>
      </c>
      <c r="C255" s="83" t="str">
        <f>SUBSTITUTE(TEXT('Hidrologia - 1'!D158,"0") &amp; " " &amp; TEXT('Hidrologia - 1'!E158,"0")&amp; " " &amp; TEXT('Hidrologia - 1'!F158,"0")&amp; " " &amp; TEXT('Hidrologia - 1'!G158,"0")&amp; " " &amp; TEXT('Hidrologia - 1'!H158,"0")&amp; " " &amp; TEXT('Hidrologia - 1'!I158,"0")&amp; " " &amp; TEXT('Hidrologia - 1'!J158,"0")&amp; " " &amp; TEXT('Hidrologia - 1'!K158,"0")&amp; " " &amp; TEXT('Hidrologia - 1'!L158,"0")&amp; " " &amp; TEXT('Hidrologia - 1'!M158,"0")&amp; " " &amp; TEXT('Hidrologia - 1'!N158,"0")&amp; " " &amp; TEXT('Hidrologia - 1'!O158,"0"),",",".")</f>
        <v>33 28 27 24 20 29 15 12 18 20 19 21</v>
      </c>
    </row>
    <row r="256" spans="1:3" x14ac:dyDescent="0.25">
      <c r="A256" s="82" t="str">
        <f>"&lt;PrevisaoVAZAO Posto="""&amp;'Hidrologia - 1'!B159&amp;""" MesReferencia=""1""&gt; "&amp;C256&amp;" &lt;/PrevisaoVAZAO&gt;"</f>
        <v>&lt;PrevisaoVAZAO Posto="116" MesReferencia="1"&gt; 8 4 6 6 6 4 3 3 3 3 3 5 &lt;/PrevisaoVAZAO&gt;</v>
      </c>
      <c r="C256" s="83" t="str">
        <f>SUBSTITUTE(TEXT('Hidrologia - 1'!D159,"0") &amp; " " &amp; TEXT('Hidrologia - 1'!E159,"0")&amp; " " &amp; TEXT('Hidrologia - 1'!F159,"0")&amp; " " &amp; TEXT('Hidrologia - 1'!G159,"0")&amp; " " &amp; TEXT('Hidrologia - 1'!H159,"0")&amp; " " &amp; TEXT('Hidrologia - 1'!I159,"0")&amp; " " &amp; TEXT('Hidrologia - 1'!J159,"0")&amp; " " &amp; TEXT('Hidrologia - 1'!K159,"0")&amp; " " &amp; TEXT('Hidrologia - 1'!L159,"0")&amp; " " &amp; TEXT('Hidrologia - 1'!M159,"0")&amp; " " &amp; TEXT('Hidrologia - 1'!N159,"0")&amp; " " &amp; TEXT('Hidrologia - 1'!O159,"0"),",",".")</f>
        <v>8 4 6 6 6 4 3 3 3 3 3 5</v>
      </c>
    </row>
    <row r="257" spans="1:3" x14ac:dyDescent="0.25">
      <c r="A257" s="82" t="str">
        <f>"&lt;PrevisaoVAZAO Posto="""&amp;'Hidrologia - 1'!B160&amp;""" MesReferencia=""1""&gt; "&amp;C257&amp;" &lt;/PrevisaoVAZAO&gt;"</f>
        <v>&lt;PrevisaoVAZAO Posto="117" MesReferencia="1"&gt; 38 23 26 24 25 24 15 13 9 11 11 15 &lt;/PrevisaoVAZAO&gt;</v>
      </c>
      <c r="C257" s="83" t="str">
        <f>SUBSTITUTE(TEXT('Hidrologia - 1'!D160,"0") &amp; " " &amp; TEXT('Hidrologia - 1'!E160,"0")&amp; " " &amp; TEXT('Hidrologia - 1'!F160,"0")&amp; " " &amp; TEXT('Hidrologia - 1'!G160,"0")&amp; " " &amp; TEXT('Hidrologia - 1'!H160,"0")&amp; " " &amp; TEXT('Hidrologia - 1'!I160,"0")&amp; " " &amp; TEXT('Hidrologia - 1'!J160,"0")&amp; " " &amp; TEXT('Hidrologia - 1'!K160,"0")&amp; " " &amp; TEXT('Hidrologia - 1'!L160,"0")&amp; " " &amp; TEXT('Hidrologia - 1'!M160,"0")&amp; " " &amp; TEXT('Hidrologia - 1'!N160,"0")&amp; " " &amp; TEXT('Hidrologia - 1'!O160,"0"),",",".")</f>
        <v>38 23 26 24 25 24 15 13 9 11 11 15</v>
      </c>
    </row>
    <row r="258" spans="1:3" x14ac:dyDescent="0.25">
      <c r="A258" s="82" t="str">
        <f>"&lt;PrevisaoVAZAO Posto="""&amp;'Hidrologia - 1'!B161&amp;""" MesReferencia=""1""&gt; "&amp;C258&amp;" &lt;/PrevisaoVAZAO&gt;"</f>
        <v>&lt;PrevisaoVAZAO Posto="118" MesReferencia="1"&gt; 35 16 28 29 24 20 15 13 12 15 15 21 &lt;/PrevisaoVAZAO&gt;</v>
      </c>
      <c r="C258" s="83" t="str">
        <f>SUBSTITUTE(TEXT('Hidrologia - 1'!D161,"0") &amp; " " &amp; TEXT('Hidrologia - 1'!E161,"0")&amp; " " &amp; TEXT('Hidrologia - 1'!F161,"0")&amp; " " &amp; TEXT('Hidrologia - 1'!G161,"0")&amp; " " &amp; TEXT('Hidrologia - 1'!H161,"0")&amp; " " &amp; TEXT('Hidrologia - 1'!I161,"0")&amp; " " &amp; TEXT('Hidrologia - 1'!J161,"0")&amp; " " &amp; TEXT('Hidrologia - 1'!K161,"0")&amp; " " &amp; TEXT('Hidrologia - 1'!L161,"0")&amp; " " &amp; TEXT('Hidrologia - 1'!M161,"0")&amp; " " &amp; TEXT('Hidrologia - 1'!N161,"0")&amp; " " &amp; TEXT('Hidrologia - 1'!O161,"0"),",",".")</f>
        <v>35 16 28 29 24 20 15 13 12 15 15 21</v>
      </c>
    </row>
    <row r="259" spans="1:3" x14ac:dyDescent="0.25">
      <c r="A259" s="82" t="str">
        <f>"&lt;PrevisaoVAZAO Posto="""&amp;'Hidrologia - 1'!B162&amp;""" MesReferencia=""1""&gt; "&amp;C259&amp;" &lt;/PrevisaoVAZAO&gt;"</f>
        <v>&lt;PrevisaoVAZAO Posto="119" MesReferencia="1"&gt; 43 20 34 35 30 24 18 16 15 19 19 25 &lt;/PrevisaoVAZAO&gt;</v>
      </c>
      <c r="C259" s="83" t="str">
        <f>SUBSTITUTE(TEXT('Hidrologia - 1'!D162,"0") &amp; " " &amp; TEXT('Hidrologia - 1'!E162,"0")&amp; " " &amp; TEXT('Hidrologia - 1'!F162,"0")&amp; " " &amp; TEXT('Hidrologia - 1'!G162,"0")&amp; " " &amp; TEXT('Hidrologia - 1'!H162,"0")&amp; " " &amp; TEXT('Hidrologia - 1'!I162,"0")&amp; " " &amp; TEXT('Hidrologia - 1'!J162,"0")&amp; " " &amp; TEXT('Hidrologia - 1'!K162,"0")&amp; " " &amp; TEXT('Hidrologia - 1'!L162,"0")&amp; " " &amp; TEXT('Hidrologia - 1'!M162,"0")&amp; " " &amp; TEXT('Hidrologia - 1'!N162,"0")&amp; " " &amp; TEXT('Hidrologia - 1'!O162,"0"),",",".")</f>
        <v>43 20 34 35 30 24 18 16 15 19 19 25</v>
      </c>
    </row>
    <row r="260" spans="1:3" x14ac:dyDescent="0.25">
      <c r="A260" s="82" t="str">
        <f>"&lt;PrevisaoVAZAO Posto="""&amp;'Hidrologia - 1'!B163&amp;""" MesReferencia=""1""&gt; "&amp;C260&amp;" &lt;/PrevisaoVAZAO&gt;"</f>
        <v>&lt;PrevisaoVAZAO Posto="120" MesReferencia="1"&gt; 46 21 31 18 24 17 12 12 18 20 23 34 &lt;/PrevisaoVAZAO&gt;</v>
      </c>
      <c r="C260" s="83" t="str">
        <f>SUBSTITUTE(TEXT('Hidrologia - 1'!D163,"0") &amp; " " &amp; TEXT('Hidrologia - 1'!E163,"0")&amp; " " &amp; TEXT('Hidrologia - 1'!F163,"0")&amp; " " &amp; TEXT('Hidrologia - 1'!G163,"0")&amp; " " &amp; TEXT('Hidrologia - 1'!H163,"0")&amp; " " &amp; TEXT('Hidrologia - 1'!I163,"0")&amp; " " &amp; TEXT('Hidrologia - 1'!J163,"0")&amp; " " &amp; TEXT('Hidrologia - 1'!K163,"0")&amp; " " &amp; TEXT('Hidrologia - 1'!L163,"0")&amp; " " &amp; TEXT('Hidrologia - 1'!M163,"0")&amp; " " &amp; TEXT('Hidrologia - 1'!N163,"0")&amp; " " &amp; TEXT('Hidrologia - 1'!O163,"0"),",",".")</f>
        <v>46 21 31 18 24 17 12 12 18 20 23 34</v>
      </c>
    </row>
    <row r="261" spans="1:3" x14ac:dyDescent="0.25">
      <c r="A261" s="82" t="str">
        <f>"&lt;PrevisaoVAZAO Posto="""&amp;'Hidrologia - 1'!B164&amp;""" MesReferencia=""1""&gt; "&amp;C261&amp;" &lt;/PrevisaoVAZAO&gt;"</f>
        <v>&lt;PrevisaoVAZAO Posto="121" MesReferencia="1"&gt; 106 56 91 49 50 43 33 33 45 51 58 79 &lt;/PrevisaoVAZAO&gt;</v>
      </c>
      <c r="C261" s="83" t="str">
        <f>SUBSTITUTE(TEXT('Hidrologia - 1'!D164,"0") &amp; " " &amp; TEXT('Hidrologia - 1'!E164,"0")&amp; " " &amp; TEXT('Hidrologia - 1'!F164,"0")&amp; " " &amp; TEXT('Hidrologia - 1'!G164,"0")&amp; " " &amp; TEXT('Hidrologia - 1'!H164,"0")&amp; " " &amp; TEXT('Hidrologia - 1'!I164,"0")&amp; " " &amp; TEXT('Hidrologia - 1'!J164,"0")&amp; " " &amp; TEXT('Hidrologia - 1'!K164,"0")&amp; " " &amp; TEXT('Hidrologia - 1'!L164,"0")&amp; " " &amp; TEXT('Hidrologia - 1'!M164,"0")&amp; " " &amp; TEXT('Hidrologia - 1'!N164,"0")&amp; " " &amp; TEXT('Hidrologia - 1'!O164,"0"),",",".")</f>
        <v>106 56 91 49 50 43 33 33 45 51 58 79</v>
      </c>
    </row>
    <row r="262" spans="1:3" x14ac:dyDescent="0.25">
      <c r="A262" s="82" t="str">
        <f>"&lt;PrevisaoVAZAO Posto="""&amp;'Hidrologia - 1'!B165&amp;""" MesReferencia=""1""&gt; "&amp;C262&amp;" &lt;/PrevisaoVAZAO&gt;"</f>
        <v>&lt;PrevisaoVAZAO Posto="122" MesReferencia="1"&gt; 124 66 108 57 58 49 39 39 51 58 66 90 &lt;/PrevisaoVAZAO&gt;</v>
      </c>
      <c r="C262" s="83" t="str">
        <f>SUBSTITUTE(TEXT('Hidrologia - 1'!D165,"0") &amp; " " &amp; TEXT('Hidrologia - 1'!E165,"0")&amp; " " &amp; TEXT('Hidrologia - 1'!F165,"0")&amp; " " &amp; TEXT('Hidrologia - 1'!G165,"0")&amp; " " &amp; TEXT('Hidrologia - 1'!H165,"0")&amp; " " &amp; TEXT('Hidrologia - 1'!I165,"0")&amp; " " &amp; TEXT('Hidrologia - 1'!J165,"0")&amp; " " &amp; TEXT('Hidrologia - 1'!K165,"0")&amp; " " &amp; TEXT('Hidrologia - 1'!L165,"0")&amp; " " &amp; TEXT('Hidrologia - 1'!M165,"0")&amp; " " &amp; TEXT('Hidrologia - 1'!N165,"0")&amp; " " &amp; TEXT('Hidrologia - 1'!O165,"0"),",",".")</f>
        <v>124 66 108 57 58 49 39 39 51 58 66 90</v>
      </c>
    </row>
    <row r="263" spans="1:3" x14ac:dyDescent="0.25">
      <c r="A263" s="82" t="str">
        <f>"&lt;PrevisaoVAZAO Posto="""&amp;'Hidrologia - 1'!B166&amp;""" MesReferencia=""1""&gt; "&amp;C263&amp;" &lt;/PrevisaoVAZAO&gt;"</f>
        <v>&lt;PrevisaoVAZAO Posto="123" MesReferencia="1"&gt; 355 202 313 152 166 128 90 90 125 148 185 269 &lt;/PrevisaoVAZAO&gt;</v>
      </c>
      <c r="C263" s="83" t="str">
        <f>SUBSTITUTE(TEXT('Hidrologia - 1'!D166,"0") &amp; " " &amp; TEXT('Hidrologia - 1'!E166,"0")&amp; " " &amp; TEXT('Hidrologia - 1'!F166,"0")&amp; " " &amp; TEXT('Hidrologia - 1'!G166,"0")&amp; " " &amp; TEXT('Hidrologia - 1'!H166,"0")&amp; " " &amp; TEXT('Hidrologia - 1'!I166,"0")&amp; " " &amp; TEXT('Hidrologia - 1'!J166,"0")&amp; " " &amp; TEXT('Hidrologia - 1'!K166,"0")&amp; " " &amp; TEXT('Hidrologia - 1'!L166,"0")&amp; " " &amp; TEXT('Hidrologia - 1'!M166,"0")&amp; " " &amp; TEXT('Hidrologia - 1'!N166,"0")&amp; " " &amp; TEXT('Hidrologia - 1'!O166,"0"),",",".")</f>
        <v>355 202 313 152 166 128 90 90 125 148 185 269</v>
      </c>
    </row>
    <row r="264" spans="1:3" x14ac:dyDescent="0.25">
      <c r="A264" s="82" t="str">
        <f>"&lt;PrevisaoVAZAO Posto="""&amp;'Hidrologia - 1'!B167&amp;""" MesReferencia=""1""&gt; "&amp;C264&amp;" &lt;/PrevisaoVAZAO&gt;"</f>
        <v>&lt;PrevisaoVAZAO Posto="124" MesReferencia="1"&gt; 0 0 0 0 0 0 0 0 0 0 0 0 &lt;/PrevisaoVAZAO&gt;</v>
      </c>
      <c r="C264" s="83" t="str">
        <f>SUBSTITUTE(TEXT('Hidrologia - 1'!D167,"0") &amp; " " &amp; TEXT('Hidrologia - 1'!E167,"0")&amp; " " &amp; TEXT('Hidrologia - 1'!F167,"0")&amp; " " &amp; TEXT('Hidrologia - 1'!G167,"0")&amp; " " &amp; TEXT('Hidrologia - 1'!H167,"0")&amp; " " &amp; TEXT('Hidrologia - 1'!I167,"0")&amp; " " &amp; TEXT('Hidrologia - 1'!J167,"0")&amp; " " &amp; TEXT('Hidrologia - 1'!K167,"0")&amp; " " &amp; TEXT('Hidrologia - 1'!L167,"0")&amp; " " &amp; TEXT('Hidrologia - 1'!M167,"0")&amp; " " &amp; TEXT('Hidrologia - 1'!N167,"0")&amp; " " &amp; TEXT('Hidrologia - 1'!O167,"0"),",",".")</f>
        <v>0 0 0 0 0 0 0 0 0 0 0 0</v>
      </c>
    </row>
    <row r="265" spans="1:3" x14ac:dyDescent="0.25">
      <c r="A265" s="82" t="str">
        <f>"&lt;PrevisaoVAZAO Posto="""&amp;'Hidrologia - 1'!B168&amp;""" MesReferencia=""1""&gt; "&amp;C265&amp;" &lt;/PrevisaoVAZAO&gt;"</f>
        <v>&lt;PrevisaoVAZAO Posto="125" MesReferencia="1"&gt; 463 256 377 188 200 157 118 117 154 184 240 351 &lt;/PrevisaoVAZAO&gt;</v>
      </c>
      <c r="C265" s="83" t="str">
        <f>SUBSTITUTE(TEXT('Hidrologia - 1'!D168,"0") &amp; " " &amp; TEXT('Hidrologia - 1'!E168,"0")&amp; " " &amp; TEXT('Hidrologia - 1'!F168,"0")&amp; " " &amp; TEXT('Hidrologia - 1'!G168,"0")&amp; " " &amp; TEXT('Hidrologia - 1'!H168,"0")&amp; " " &amp; TEXT('Hidrologia - 1'!I168,"0")&amp; " " &amp; TEXT('Hidrologia - 1'!J168,"0")&amp; " " &amp; TEXT('Hidrologia - 1'!K168,"0")&amp; " " &amp; TEXT('Hidrologia - 1'!L168,"0")&amp; " " &amp; TEXT('Hidrologia - 1'!M168,"0")&amp; " " &amp; TEXT('Hidrologia - 1'!N168,"0")&amp; " " &amp; TEXT('Hidrologia - 1'!O168,"0"),",",".")</f>
        <v>463 256 377 188 200 157 118 117 154 184 240 351</v>
      </c>
    </row>
    <row r="266" spans="1:3" x14ac:dyDescent="0.25">
      <c r="A266" s="82" t="str">
        <f>"&lt;PrevisaoVAZAO Posto="""&amp;'Hidrologia - 1'!B169&amp;""" MesReferencia=""1""&gt; "&amp;C266&amp;" &lt;/PrevisaoVAZAO&gt;"</f>
        <v>&lt;PrevisaoVAZAO Posto="126" MesReferencia="1"&gt; 340 234 340 147 133 89 75 57 93 127 210 303 &lt;/PrevisaoVAZAO&gt;</v>
      </c>
      <c r="C266" s="83" t="str">
        <f>SUBSTITUTE(TEXT('Hidrologia - 1'!D169,"0") &amp; " " &amp; TEXT('Hidrologia - 1'!E169,"0")&amp; " " &amp; TEXT('Hidrologia - 1'!F169,"0")&amp; " " &amp; TEXT('Hidrologia - 1'!G169,"0")&amp; " " &amp; TEXT('Hidrologia - 1'!H169,"0")&amp; " " &amp; TEXT('Hidrologia - 1'!I169,"0")&amp; " " &amp; TEXT('Hidrologia - 1'!J169,"0")&amp; " " &amp; TEXT('Hidrologia - 1'!K169,"0")&amp; " " &amp; TEXT('Hidrologia - 1'!L169,"0")&amp; " " &amp; TEXT('Hidrologia - 1'!M169,"0")&amp; " " &amp; TEXT('Hidrologia - 1'!N169,"0")&amp; " " &amp; TEXT('Hidrologia - 1'!O169,"0"),",",".")</f>
        <v>340 234 340 147 133 89 75 57 93 127 210 303</v>
      </c>
    </row>
    <row r="267" spans="1:3" x14ac:dyDescent="0.25">
      <c r="A267" s="82" t="str">
        <f>"&lt;PrevisaoVAZAO Posto="""&amp;'Hidrologia - 1'!B170&amp;""" MesReferencia=""1""&gt; "&amp;C267&amp;" &lt;/PrevisaoVAZAO&gt;"</f>
        <v>&lt;PrevisaoVAZAO Posto="127" MesReferencia="1"&gt; 569 324 430 237 223 179 165 147 186 219 313 515 &lt;/PrevisaoVAZAO&gt;</v>
      </c>
      <c r="C267" s="83" t="str">
        <f>SUBSTITUTE(TEXT('Hidrologia - 1'!D170,"0") &amp; " " &amp; TEXT('Hidrologia - 1'!E170,"0")&amp; " " &amp; TEXT('Hidrologia - 1'!F170,"0")&amp; " " &amp; TEXT('Hidrologia - 1'!G170,"0")&amp; " " &amp; TEXT('Hidrologia - 1'!H170,"0")&amp; " " &amp; TEXT('Hidrologia - 1'!I170,"0")&amp; " " &amp; TEXT('Hidrologia - 1'!J170,"0")&amp; " " &amp; TEXT('Hidrologia - 1'!K170,"0")&amp; " " &amp; TEXT('Hidrologia - 1'!L170,"0")&amp; " " &amp; TEXT('Hidrologia - 1'!M170,"0")&amp; " " &amp; TEXT('Hidrologia - 1'!N170,"0")&amp; " " &amp; TEXT('Hidrologia - 1'!O170,"0"),",",".")</f>
        <v>569 324 430 237 223 179 165 147 186 219 313 515</v>
      </c>
    </row>
    <row r="268" spans="1:3" x14ac:dyDescent="0.25">
      <c r="A268" s="82" t="str">
        <f>"&lt;PrevisaoVAZAO Posto="""&amp;'Hidrologia - 1'!B171&amp;""" MesReferencia=""1""&gt; "&amp;C268&amp;" &lt;/PrevisaoVAZAO&gt;"</f>
        <v>&lt;PrevisaoVAZAO Posto="128" MesReferencia="1"&gt; 0 0 0 0 0 0 0 0 0 0 0 0 &lt;/PrevisaoVAZAO&gt;</v>
      </c>
      <c r="C268" s="83" t="str">
        <f>SUBSTITUTE(TEXT('Hidrologia - 1'!D171,"0") &amp; " " &amp; TEXT('Hidrologia - 1'!E171,"0")&amp; " " &amp; TEXT('Hidrologia - 1'!F171,"0")&amp; " " &amp; TEXT('Hidrologia - 1'!G171,"0")&amp; " " &amp; TEXT('Hidrologia - 1'!H171,"0")&amp; " " &amp; TEXT('Hidrologia - 1'!I171,"0")&amp; " " &amp; TEXT('Hidrologia - 1'!J171,"0")&amp; " " &amp; TEXT('Hidrologia - 1'!K171,"0")&amp; " " &amp; TEXT('Hidrologia - 1'!L171,"0")&amp; " " &amp; TEXT('Hidrologia - 1'!M171,"0")&amp; " " &amp; TEXT('Hidrologia - 1'!N171,"0")&amp; " " &amp; TEXT('Hidrologia - 1'!O171,"0"),",",".")</f>
        <v>0 0 0 0 0 0 0 0 0 0 0 0</v>
      </c>
    </row>
    <row r="269" spans="1:3" x14ac:dyDescent="0.25">
      <c r="A269" s="82" t="str">
        <f>"&lt;PrevisaoVAZAO Posto="""&amp;'Hidrologia - 1'!B172&amp;""" MesReferencia=""1""&gt; "&amp;C269&amp;" &lt;/PrevisaoVAZAO&gt;"</f>
        <v>&lt;PrevisaoVAZAO Posto="129" MesReferencia="1"&gt; 748 494 607 371 354 288 248 229 290 342 467 699 &lt;/PrevisaoVAZAO&gt;</v>
      </c>
      <c r="C269" s="83" t="str">
        <f>SUBSTITUTE(TEXT('Hidrologia - 1'!D172,"0") &amp; " " &amp; TEXT('Hidrologia - 1'!E172,"0")&amp; " " &amp; TEXT('Hidrologia - 1'!F172,"0")&amp; " " &amp; TEXT('Hidrologia - 1'!G172,"0")&amp; " " &amp; TEXT('Hidrologia - 1'!H172,"0")&amp; " " &amp; TEXT('Hidrologia - 1'!I172,"0")&amp; " " &amp; TEXT('Hidrologia - 1'!J172,"0")&amp; " " &amp; TEXT('Hidrologia - 1'!K172,"0")&amp; " " &amp; TEXT('Hidrologia - 1'!L172,"0")&amp; " " &amp; TEXT('Hidrologia - 1'!M172,"0")&amp; " " &amp; TEXT('Hidrologia - 1'!N172,"0")&amp; " " &amp; TEXT('Hidrologia - 1'!O172,"0"),",",".")</f>
        <v>748 494 607 371 354 288 248 229 290 342 467 699</v>
      </c>
    </row>
    <row r="270" spans="1:3" x14ac:dyDescent="0.25">
      <c r="A270" s="82" t="str">
        <f>"&lt;PrevisaoVAZAO Posto="""&amp;'Hidrologia - 1'!B173&amp;""" MesReferencia=""1""&gt; "&amp;C270&amp;" &lt;/PrevisaoVAZAO&gt;"</f>
        <v>&lt;PrevisaoVAZAO Posto="130" MesReferencia="1"&gt; 823 563 659 407 398 319 256 237 319 379 517 781 &lt;/PrevisaoVAZAO&gt;</v>
      </c>
      <c r="C270" s="83" t="str">
        <f>SUBSTITUTE(TEXT('Hidrologia - 1'!D173,"0") &amp; " " &amp; TEXT('Hidrologia - 1'!E173,"0")&amp; " " &amp; TEXT('Hidrologia - 1'!F173,"0")&amp; " " &amp; TEXT('Hidrologia - 1'!G173,"0")&amp; " " &amp; TEXT('Hidrologia - 1'!H173,"0")&amp; " " &amp; TEXT('Hidrologia - 1'!I173,"0")&amp; " " &amp; TEXT('Hidrologia - 1'!J173,"0")&amp; " " &amp; TEXT('Hidrologia - 1'!K173,"0")&amp; " " &amp; TEXT('Hidrologia - 1'!L173,"0")&amp; " " &amp; TEXT('Hidrologia - 1'!M173,"0")&amp; " " &amp; TEXT('Hidrologia - 1'!N173,"0")&amp; " " &amp; TEXT('Hidrologia - 1'!O173,"0"),",",".")</f>
        <v>823 563 659 407 398 319 256 237 319 379 517 781</v>
      </c>
    </row>
    <row r="271" spans="1:3" x14ac:dyDescent="0.25">
      <c r="A271" s="82" t="str">
        <f>"&lt;PrevisaoVAZAO Posto="""&amp;'Hidrologia - 1'!B174&amp;""" MesReferencia=""1""&gt; "&amp;C271&amp;" &lt;/PrevisaoVAZAO&gt;"</f>
        <v>&lt;PrevisaoVAZAO Posto="131" MesReferencia="1"&gt; 144 144 144 123 123 102 77 76 96 111 130 141 &lt;/PrevisaoVAZAO&gt;</v>
      </c>
      <c r="C271" s="83" t="str">
        <f>SUBSTITUTE(TEXT('Hidrologia - 1'!D174,"0") &amp; " " &amp; TEXT('Hidrologia - 1'!E174,"0")&amp; " " &amp; TEXT('Hidrologia - 1'!F174,"0")&amp; " " &amp; TEXT('Hidrologia - 1'!G174,"0")&amp; " " &amp; TEXT('Hidrologia - 1'!H174,"0")&amp; " " &amp; TEXT('Hidrologia - 1'!I174,"0")&amp; " " &amp; TEXT('Hidrologia - 1'!J174,"0")&amp; " " &amp; TEXT('Hidrologia - 1'!K174,"0")&amp; " " &amp; TEXT('Hidrologia - 1'!L174,"0")&amp; " " &amp; TEXT('Hidrologia - 1'!M174,"0")&amp; " " &amp; TEXT('Hidrologia - 1'!N174,"0")&amp; " " &amp; TEXT('Hidrologia - 1'!O174,"0"),",",".")</f>
        <v>144 144 144 123 123 102 77 76 96 111 130 141</v>
      </c>
    </row>
    <row r="272" spans="1:3" x14ac:dyDescent="0.25">
      <c r="A272" s="82" t="str">
        <f>"&lt;PrevisaoVAZAO Posto="""&amp;'Hidrologia - 1'!B175&amp;""" MesReferencia=""1""&gt; "&amp;C272&amp;" &lt;/PrevisaoVAZAO&gt;"</f>
        <v>&lt;PrevisaoVAZAO Posto="132" MesReferencia="1"&gt; 18 10 17 15 11 10 8 8 9 11 16 25 &lt;/PrevisaoVAZAO&gt;</v>
      </c>
      <c r="C272" s="83" t="str">
        <f>SUBSTITUTE(TEXT('Hidrologia - 1'!D175,"0") &amp; " " &amp; TEXT('Hidrologia - 1'!E175,"0")&amp; " " &amp; TEXT('Hidrologia - 1'!F175,"0")&amp; " " &amp; TEXT('Hidrologia - 1'!G175,"0")&amp; " " &amp; TEXT('Hidrologia - 1'!H175,"0")&amp; " " &amp; TEXT('Hidrologia - 1'!I175,"0")&amp; " " &amp; TEXT('Hidrologia - 1'!J175,"0")&amp; " " &amp; TEXT('Hidrologia - 1'!K175,"0")&amp; " " &amp; TEXT('Hidrologia - 1'!L175,"0")&amp; " " &amp; TEXT('Hidrologia - 1'!M175,"0")&amp; " " &amp; TEXT('Hidrologia - 1'!N175,"0")&amp; " " &amp; TEXT('Hidrologia - 1'!O175,"0"),",",".")</f>
        <v>18 10 17 15 11 10 8 8 9 11 16 25</v>
      </c>
    </row>
    <row r="273" spans="1:3" x14ac:dyDescent="0.25">
      <c r="A273" s="82" t="str">
        <f>"&lt;PrevisaoVAZAO Posto="""&amp;'Hidrologia - 1'!B176&amp;""" MesReferencia=""1""&gt; "&amp;C273&amp;" &lt;/PrevisaoVAZAO&gt;"</f>
        <v>&lt;PrevisaoVAZAO Posto="133" MesReferencia="1"&gt; 0 0 0 0 0 0 0 0 0 0 0 0 &lt;/PrevisaoVAZAO&gt;</v>
      </c>
      <c r="C273" s="83" t="str">
        <f>SUBSTITUTE(TEXT('Hidrologia - 1'!D176,"0") &amp; " " &amp; TEXT('Hidrologia - 1'!E176,"0")&amp; " " &amp; TEXT('Hidrologia - 1'!F176,"0")&amp; " " &amp; TEXT('Hidrologia - 1'!G176,"0")&amp; " " &amp; TEXT('Hidrologia - 1'!H176,"0")&amp; " " &amp; TEXT('Hidrologia - 1'!I176,"0")&amp; " " &amp; TEXT('Hidrologia - 1'!J176,"0")&amp; " " &amp; TEXT('Hidrologia - 1'!K176,"0")&amp; " " &amp; TEXT('Hidrologia - 1'!L176,"0")&amp; " " &amp; TEXT('Hidrologia - 1'!M176,"0")&amp; " " &amp; TEXT('Hidrologia - 1'!N176,"0")&amp; " " &amp; TEXT('Hidrologia - 1'!O176,"0"),",",".")</f>
        <v>0 0 0 0 0 0 0 0 0 0 0 0</v>
      </c>
    </row>
    <row r="274" spans="1:3" x14ac:dyDescent="0.25">
      <c r="A274" s="82" t="str">
        <f>"&lt;PrevisaoVAZAO Posto="""&amp;'Hidrologia - 1'!B177&amp;""" MesReferencia=""1""&gt; "&amp;C274&amp;" &lt;/PrevisaoVAZAO&gt;"</f>
        <v>&lt;PrevisaoVAZAO Posto="134" MesReferencia="1"&gt; 62 88 77 51 57 39 31 26 67 85 160 254 &lt;/PrevisaoVAZAO&gt;</v>
      </c>
      <c r="C274" s="83" t="str">
        <f>SUBSTITUTE(TEXT('Hidrologia - 1'!D177,"0") &amp; " " &amp; TEXT('Hidrologia - 1'!E177,"0")&amp; " " &amp; TEXT('Hidrologia - 1'!F177,"0")&amp; " " &amp; TEXT('Hidrologia - 1'!G177,"0")&amp; " " &amp; TEXT('Hidrologia - 1'!H177,"0")&amp; " " &amp; TEXT('Hidrologia - 1'!I177,"0")&amp; " " &amp; TEXT('Hidrologia - 1'!J177,"0")&amp; " " &amp; TEXT('Hidrologia - 1'!K177,"0")&amp; " " &amp; TEXT('Hidrologia - 1'!L177,"0")&amp; " " &amp; TEXT('Hidrologia - 1'!M177,"0")&amp; " " &amp; TEXT('Hidrologia - 1'!N177,"0")&amp; " " &amp; TEXT('Hidrologia - 1'!O177,"0"),",",".")</f>
        <v>62 88 77 51 57 39 31 26 67 85 160 254</v>
      </c>
    </row>
    <row r="275" spans="1:3" x14ac:dyDescent="0.25">
      <c r="A275" s="82" t="str">
        <f>"&lt;PrevisaoVAZAO Posto="""&amp;'Hidrologia - 1'!B178&amp;""" MesReferencia=""1""&gt; "&amp;C275&amp;" &lt;/PrevisaoVAZAO&gt;"</f>
        <v>&lt;PrevisaoVAZAO Posto="135" MesReferencia="1"&gt; 0 0 0 0 0 0 0 0 0 0 0 0 &lt;/PrevisaoVAZAO&gt;</v>
      </c>
      <c r="C275" s="83" t="str">
        <f>SUBSTITUTE(TEXT('Hidrologia - 1'!D178,"0") &amp; " " &amp; TEXT('Hidrologia - 1'!E178,"0")&amp; " " &amp; TEXT('Hidrologia - 1'!F178,"0")&amp; " " &amp; TEXT('Hidrologia - 1'!G178,"0")&amp; " " &amp; TEXT('Hidrologia - 1'!H178,"0")&amp; " " &amp; TEXT('Hidrologia - 1'!I178,"0")&amp; " " &amp; TEXT('Hidrologia - 1'!J178,"0")&amp; " " &amp; TEXT('Hidrologia - 1'!K178,"0")&amp; " " &amp; TEXT('Hidrologia - 1'!L178,"0")&amp; " " &amp; TEXT('Hidrologia - 1'!M178,"0")&amp; " " &amp; TEXT('Hidrologia - 1'!N178,"0")&amp; " " &amp; TEXT('Hidrologia - 1'!O178,"0"),",",".")</f>
        <v>0 0 0 0 0 0 0 0 0 0 0 0</v>
      </c>
    </row>
    <row r="276" spans="1:3" x14ac:dyDescent="0.25">
      <c r="A276" s="82" t="str">
        <f>"&lt;PrevisaoVAZAO Posto="""&amp;'Hidrologia - 1'!B179&amp;""" MesReferencia=""1""&gt; "&amp;C276&amp;" &lt;/PrevisaoVAZAO&gt;"</f>
        <v>&lt;PrevisaoVAZAO Posto="136" MesReferencia="1"&gt; 0 0 0 0 0 0 0 0 0 0 0 0 &lt;/PrevisaoVAZAO&gt;</v>
      </c>
      <c r="C276" s="83" t="str">
        <f>SUBSTITUTE(TEXT('Hidrologia - 1'!D179,"0") &amp; " " &amp; TEXT('Hidrologia - 1'!E179,"0")&amp; " " &amp; TEXT('Hidrologia - 1'!F179,"0")&amp; " " &amp; TEXT('Hidrologia - 1'!G179,"0")&amp; " " &amp; TEXT('Hidrologia - 1'!H179,"0")&amp; " " &amp; TEXT('Hidrologia - 1'!I179,"0")&amp; " " &amp; TEXT('Hidrologia - 1'!J179,"0")&amp; " " &amp; TEXT('Hidrologia - 1'!K179,"0")&amp; " " &amp; TEXT('Hidrologia - 1'!L179,"0")&amp; " " &amp; TEXT('Hidrologia - 1'!M179,"0")&amp; " " &amp; TEXT('Hidrologia - 1'!N179,"0")&amp; " " &amp; TEXT('Hidrologia - 1'!O179,"0"),",",".")</f>
        <v>0 0 0 0 0 0 0 0 0 0 0 0</v>
      </c>
    </row>
    <row r="277" spans="1:3" x14ac:dyDescent="0.25">
      <c r="A277" s="82" t="str">
        <f>"&lt;PrevisaoVAZAO Posto="""&amp;'Hidrologia - 1'!B180&amp;""" MesReferencia=""1""&gt; "&amp;C277&amp;" &lt;/PrevisaoVAZAO&gt;"</f>
        <v>&lt;PrevisaoVAZAO Posto="137" MesReferencia="1"&gt; 0 0 0 0 0 0 0 0 0 0 0 0 &lt;/PrevisaoVAZAO&gt;</v>
      </c>
      <c r="C277" s="83" t="str">
        <f>SUBSTITUTE(TEXT('Hidrologia - 1'!D180,"0") &amp; " " &amp; TEXT('Hidrologia - 1'!E180,"0")&amp; " " &amp; TEXT('Hidrologia - 1'!F180,"0")&amp; " " &amp; TEXT('Hidrologia - 1'!G180,"0")&amp; " " &amp; TEXT('Hidrologia - 1'!H180,"0")&amp; " " &amp; TEXT('Hidrologia - 1'!I180,"0")&amp; " " &amp; TEXT('Hidrologia - 1'!J180,"0")&amp; " " &amp; TEXT('Hidrologia - 1'!K180,"0")&amp; " " &amp; TEXT('Hidrologia - 1'!L180,"0")&amp; " " &amp; TEXT('Hidrologia - 1'!M180,"0")&amp; " " &amp; TEXT('Hidrologia - 1'!N180,"0")&amp; " " &amp; TEXT('Hidrologia - 1'!O180,"0"),",",".")</f>
        <v>0 0 0 0 0 0 0 0 0 0 0 0</v>
      </c>
    </row>
    <row r="278" spans="1:3" x14ac:dyDescent="0.25">
      <c r="A278" s="82" t="str">
        <f>"&lt;PrevisaoVAZAO Posto="""&amp;'Hidrologia - 1'!B181&amp;""" MesReferencia=""1""&gt; "&amp;C278&amp;" &lt;/PrevisaoVAZAO&gt;"</f>
        <v>&lt;PrevisaoVAZAO Posto="138" MesReferencia="1"&gt; 0 0 0 0 0 0 0 0 0 0 0 0 &lt;/PrevisaoVAZAO&gt;</v>
      </c>
      <c r="C278" s="83" t="str">
        <f>SUBSTITUTE(TEXT('Hidrologia - 1'!D181,"0") &amp; " " &amp; TEXT('Hidrologia - 1'!E181,"0")&amp; " " &amp; TEXT('Hidrologia - 1'!F181,"0")&amp; " " &amp; TEXT('Hidrologia - 1'!G181,"0")&amp; " " &amp; TEXT('Hidrologia - 1'!H181,"0")&amp; " " &amp; TEXT('Hidrologia - 1'!I181,"0")&amp; " " &amp; TEXT('Hidrologia - 1'!J181,"0")&amp; " " &amp; TEXT('Hidrologia - 1'!K181,"0")&amp; " " &amp; TEXT('Hidrologia - 1'!L181,"0")&amp; " " &amp; TEXT('Hidrologia - 1'!M181,"0")&amp; " " &amp; TEXT('Hidrologia - 1'!N181,"0")&amp; " " &amp; TEXT('Hidrologia - 1'!O181,"0"),",",".")</f>
        <v>0 0 0 0 0 0 0 0 0 0 0 0</v>
      </c>
    </row>
    <row r="279" spans="1:3" x14ac:dyDescent="0.25">
      <c r="A279" s="82" t="str">
        <f>"&lt;PrevisaoVAZAO Posto="""&amp;'Hidrologia - 1'!B182&amp;""" MesReferencia=""1""&gt; "&amp;C279&amp;" &lt;/PrevisaoVAZAO&gt;"</f>
        <v>&lt;PrevisaoVAZAO Posto="139" MesReferencia="1"&gt; 0 0 0 0 0 0 0 0 0 0 0 0 &lt;/PrevisaoVAZAO&gt;</v>
      </c>
      <c r="C279" s="83" t="str">
        <f>SUBSTITUTE(TEXT('Hidrologia - 1'!D182,"0") &amp; " " &amp; TEXT('Hidrologia - 1'!E182,"0")&amp; " " &amp; TEXT('Hidrologia - 1'!F182,"0")&amp; " " &amp; TEXT('Hidrologia - 1'!G182,"0")&amp; " " &amp; TEXT('Hidrologia - 1'!H182,"0")&amp; " " &amp; TEXT('Hidrologia - 1'!I182,"0")&amp; " " &amp; TEXT('Hidrologia - 1'!J182,"0")&amp; " " &amp; TEXT('Hidrologia - 1'!K182,"0")&amp; " " &amp; TEXT('Hidrologia - 1'!L182,"0")&amp; " " &amp; TEXT('Hidrologia - 1'!M182,"0")&amp; " " &amp; TEXT('Hidrologia - 1'!N182,"0")&amp; " " &amp; TEXT('Hidrologia - 1'!O182,"0"),",",".")</f>
        <v>0 0 0 0 0 0 0 0 0 0 0 0</v>
      </c>
    </row>
    <row r="280" spans="1:3" x14ac:dyDescent="0.25">
      <c r="A280" s="82" t="str">
        <f>"&lt;PrevisaoVAZAO Posto="""&amp;'Hidrologia - 1'!B183&amp;""" MesReferencia=""1""&gt; "&amp;C280&amp;" &lt;/PrevisaoVAZAO&gt;"</f>
        <v>&lt;PrevisaoVAZAO Posto="140" MesReferencia="1"&gt; 0 0 0 0 0 0 0 0 0 0 0 0 &lt;/PrevisaoVAZAO&gt;</v>
      </c>
      <c r="C280" s="83" t="str">
        <f>SUBSTITUTE(TEXT('Hidrologia - 1'!D183,"0") &amp; " " &amp; TEXT('Hidrologia - 1'!E183,"0")&amp; " " &amp; TEXT('Hidrologia - 1'!F183,"0")&amp; " " &amp; TEXT('Hidrologia - 1'!G183,"0")&amp; " " &amp; TEXT('Hidrologia - 1'!H183,"0")&amp; " " &amp; TEXT('Hidrologia - 1'!I183,"0")&amp; " " &amp; TEXT('Hidrologia - 1'!J183,"0")&amp; " " &amp; TEXT('Hidrologia - 1'!K183,"0")&amp; " " &amp; TEXT('Hidrologia - 1'!L183,"0")&amp; " " &amp; TEXT('Hidrologia - 1'!M183,"0")&amp; " " &amp; TEXT('Hidrologia - 1'!N183,"0")&amp; " " &amp; TEXT('Hidrologia - 1'!O183,"0"),",",".")</f>
        <v>0 0 0 0 0 0 0 0 0 0 0 0</v>
      </c>
    </row>
    <row r="281" spans="1:3" x14ac:dyDescent="0.25">
      <c r="A281" s="82" t="str">
        <f>"&lt;PrevisaoVAZAO Posto="""&amp;'Hidrologia - 1'!B184&amp;""" MesReferencia=""1""&gt; "&amp;C281&amp;" &lt;/PrevisaoVAZAO&gt;"</f>
        <v>&lt;PrevisaoVAZAO Posto="141" MesReferencia="1"&gt; 252 303 245 182 184 153 165 157 288 346 556 898 &lt;/PrevisaoVAZAO&gt;</v>
      </c>
      <c r="C281" s="83" t="str">
        <f>SUBSTITUTE(TEXT('Hidrologia - 1'!D184,"0") &amp; " " &amp; TEXT('Hidrologia - 1'!E184,"0")&amp; " " &amp; TEXT('Hidrologia - 1'!F184,"0")&amp; " " &amp; TEXT('Hidrologia - 1'!G184,"0")&amp; " " &amp; TEXT('Hidrologia - 1'!H184,"0")&amp; " " &amp; TEXT('Hidrologia - 1'!I184,"0")&amp; " " &amp; TEXT('Hidrologia - 1'!J184,"0")&amp; " " &amp; TEXT('Hidrologia - 1'!K184,"0")&amp; " " &amp; TEXT('Hidrologia - 1'!L184,"0")&amp; " " &amp; TEXT('Hidrologia - 1'!M184,"0")&amp; " " &amp; TEXT('Hidrologia - 1'!N184,"0")&amp; " " &amp; TEXT('Hidrologia - 1'!O184,"0"),",",".")</f>
        <v>252 303 245 182 184 153 165 157 288 346 556 898</v>
      </c>
    </row>
    <row r="282" spans="1:3" x14ac:dyDescent="0.25">
      <c r="A282" s="82" t="str">
        <f>"&lt;PrevisaoVAZAO Posto="""&amp;'Hidrologia - 1'!B185&amp;""" MesReferencia=""1""&gt; "&amp;C282&amp;" &lt;/PrevisaoVAZAO&gt;"</f>
        <v>&lt;PrevisaoVAZAO Posto="142" MesReferencia="1"&gt; 0 0 0 0 0 0 0 0 0 0 0 0 &lt;/PrevisaoVAZAO&gt;</v>
      </c>
      <c r="C282" s="83" t="str">
        <f>SUBSTITUTE(TEXT('Hidrologia - 1'!D185,"0") &amp; " " &amp; TEXT('Hidrologia - 1'!E185,"0")&amp; " " &amp; TEXT('Hidrologia - 1'!F185,"0")&amp; " " &amp; TEXT('Hidrologia - 1'!G185,"0")&amp; " " &amp; TEXT('Hidrologia - 1'!H185,"0")&amp; " " &amp; TEXT('Hidrologia - 1'!I185,"0")&amp; " " &amp; TEXT('Hidrologia - 1'!J185,"0")&amp; " " &amp; TEXT('Hidrologia - 1'!K185,"0")&amp; " " &amp; TEXT('Hidrologia - 1'!L185,"0")&amp; " " &amp; TEXT('Hidrologia - 1'!M185,"0")&amp; " " &amp; TEXT('Hidrologia - 1'!N185,"0")&amp; " " &amp; TEXT('Hidrologia - 1'!O185,"0"),",",".")</f>
        <v>0 0 0 0 0 0 0 0 0 0 0 0</v>
      </c>
    </row>
    <row r="283" spans="1:3" x14ac:dyDescent="0.25">
      <c r="A283" s="82" t="str">
        <f>"&lt;PrevisaoVAZAO Posto="""&amp;'Hidrologia - 1'!B186&amp;""" MesReferencia=""1""&gt; "&amp;C283&amp;" &lt;/PrevisaoVAZAO&gt;"</f>
        <v>&lt;PrevisaoVAZAO Posto="143" MesReferencia="1"&gt; 0 0 0 0 0 0 0 0 0 0 0 0 &lt;/PrevisaoVAZAO&gt;</v>
      </c>
      <c r="C283" s="83" t="str">
        <f>SUBSTITUTE(TEXT('Hidrologia - 1'!D186,"0") &amp; " " &amp; TEXT('Hidrologia - 1'!E186,"0")&amp; " " &amp; TEXT('Hidrologia - 1'!F186,"0")&amp; " " &amp; TEXT('Hidrologia - 1'!G186,"0")&amp; " " &amp; TEXT('Hidrologia - 1'!H186,"0")&amp; " " &amp; TEXT('Hidrologia - 1'!I186,"0")&amp; " " &amp; TEXT('Hidrologia - 1'!J186,"0")&amp; " " &amp; TEXT('Hidrologia - 1'!K186,"0")&amp; " " &amp; TEXT('Hidrologia - 1'!L186,"0")&amp; " " &amp; TEXT('Hidrologia - 1'!M186,"0")&amp; " " &amp; TEXT('Hidrologia - 1'!N186,"0")&amp; " " &amp; TEXT('Hidrologia - 1'!O186,"0"),",",".")</f>
        <v>0 0 0 0 0 0 0 0 0 0 0 0</v>
      </c>
    </row>
    <row r="284" spans="1:3" x14ac:dyDescent="0.25">
      <c r="A284" s="82" t="str">
        <f>"&lt;PrevisaoVAZAO Posto="""&amp;'Hidrologia - 1'!B187&amp;""" MesReferencia=""1""&gt; "&amp;C284&amp;" &lt;/PrevisaoVAZAO&gt;"</f>
        <v>&lt;PrevisaoVAZAO Posto="144" MesReferencia="1"&gt; 390 503 360 297 283 222 168 156 447 561 959 1625 &lt;/PrevisaoVAZAO&gt;</v>
      </c>
      <c r="C284" s="83" t="str">
        <f>SUBSTITUTE(TEXT('Hidrologia - 1'!D187,"0") &amp; " " &amp; TEXT('Hidrologia - 1'!E187,"0")&amp; " " &amp; TEXT('Hidrologia - 1'!F187,"0")&amp; " " &amp; TEXT('Hidrologia - 1'!G187,"0")&amp; " " &amp; TEXT('Hidrologia - 1'!H187,"0")&amp; " " &amp; TEXT('Hidrologia - 1'!I187,"0")&amp; " " &amp; TEXT('Hidrologia - 1'!J187,"0")&amp; " " &amp; TEXT('Hidrologia - 1'!K187,"0")&amp; " " &amp; TEXT('Hidrologia - 1'!L187,"0")&amp; " " &amp; TEXT('Hidrologia - 1'!M187,"0")&amp; " " &amp; TEXT('Hidrologia - 1'!N187,"0")&amp; " " &amp; TEXT('Hidrologia - 1'!O187,"0"),",",".")</f>
        <v>390 503 360 297 283 222 168 156 447 561 959 1625</v>
      </c>
    </row>
    <row r="285" spans="1:3" x14ac:dyDescent="0.25">
      <c r="A285" s="82" t="str">
        <f>"&lt;PrevisaoVAZAO Posto="""&amp;'Hidrologia - 1'!B188&amp;""" MesReferencia=""1""&gt; "&amp;C285&amp;" &lt;/PrevisaoVAZAO&gt;"</f>
        <v>&lt;PrevisaoVAZAO Posto="145" MesReferencia="1"&gt; 120 138 142 119 95 73 58 51 53 57 66 88 &lt;/PrevisaoVAZAO&gt;</v>
      </c>
      <c r="C285" s="83" t="str">
        <f>SUBSTITUTE(TEXT('Hidrologia - 1'!D188,"0") &amp; " " &amp; TEXT('Hidrologia - 1'!E188,"0")&amp; " " &amp; TEXT('Hidrologia - 1'!F188,"0")&amp; " " &amp; TEXT('Hidrologia - 1'!G188,"0")&amp; " " &amp; TEXT('Hidrologia - 1'!H188,"0")&amp; " " &amp; TEXT('Hidrologia - 1'!I188,"0")&amp; " " &amp; TEXT('Hidrologia - 1'!J188,"0")&amp; " " &amp; TEXT('Hidrologia - 1'!K188,"0")&amp; " " &amp; TEXT('Hidrologia - 1'!L188,"0")&amp; " " &amp; TEXT('Hidrologia - 1'!M188,"0")&amp; " " &amp; TEXT('Hidrologia - 1'!N188,"0")&amp; " " &amp; TEXT('Hidrologia - 1'!O188,"0"),",",".")</f>
        <v>120 138 142 119 95 73 58 51 53 57 66 88</v>
      </c>
    </row>
    <row r="286" spans="1:3" x14ac:dyDescent="0.25">
      <c r="A286" s="82" t="str">
        <f>"&lt;PrevisaoVAZAO Posto="""&amp;'Hidrologia - 1'!B189&amp;""" MesReferencia=""1""&gt; "&amp;C286&amp;" &lt;/PrevisaoVAZAO&gt;"</f>
        <v>&lt;PrevisaoVAZAO Posto="146" MesReferencia="1"&gt; 0 0 0 0 0 0 0 0 0 0 0 0 &lt;/PrevisaoVAZAO&gt;</v>
      </c>
      <c r="C286" s="83" t="str">
        <f>SUBSTITUTE(TEXT('Hidrologia - 1'!D189,"0") &amp; " " &amp; TEXT('Hidrologia - 1'!E189,"0")&amp; " " &amp; TEXT('Hidrologia - 1'!F189,"0")&amp; " " &amp; TEXT('Hidrologia - 1'!G189,"0")&amp; " " &amp; TEXT('Hidrologia - 1'!H189,"0")&amp; " " &amp; TEXT('Hidrologia - 1'!I189,"0")&amp; " " &amp; TEXT('Hidrologia - 1'!J189,"0")&amp; " " &amp; TEXT('Hidrologia - 1'!K189,"0")&amp; " " &amp; TEXT('Hidrologia - 1'!L189,"0")&amp; " " &amp; TEXT('Hidrologia - 1'!M189,"0")&amp; " " &amp; TEXT('Hidrologia - 1'!N189,"0")&amp; " " &amp; TEXT('Hidrologia - 1'!O189,"0"),",",".")</f>
        <v>0 0 0 0 0 0 0 0 0 0 0 0</v>
      </c>
    </row>
    <row r="287" spans="1:3" x14ac:dyDescent="0.25">
      <c r="A287" s="82" t="str">
        <f>"&lt;PrevisaoVAZAO Posto="""&amp;'Hidrologia - 1'!B190&amp;""" MesReferencia=""1""&gt; "&amp;C287&amp;" &lt;/PrevisaoVAZAO&gt;"</f>
        <v>&lt;PrevisaoVAZAO Posto="147" MesReferencia="1"&gt; 0 0 0 0 0 0 0 0 0 0 0 0 &lt;/PrevisaoVAZAO&gt;</v>
      </c>
      <c r="C287" s="83" t="str">
        <f>SUBSTITUTE(TEXT('Hidrologia - 1'!D190,"0") &amp; " " &amp; TEXT('Hidrologia - 1'!E190,"0")&amp; " " &amp; TEXT('Hidrologia - 1'!F190,"0")&amp; " " &amp; TEXT('Hidrologia - 1'!G190,"0")&amp; " " &amp; TEXT('Hidrologia - 1'!H190,"0")&amp; " " &amp; TEXT('Hidrologia - 1'!I190,"0")&amp; " " &amp; TEXT('Hidrologia - 1'!J190,"0")&amp; " " &amp; TEXT('Hidrologia - 1'!K190,"0")&amp; " " &amp; TEXT('Hidrologia - 1'!L190,"0")&amp; " " &amp; TEXT('Hidrologia - 1'!M190,"0")&amp; " " &amp; TEXT('Hidrologia - 1'!N190,"0")&amp; " " &amp; TEXT('Hidrologia - 1'!O190,"0"),",",".")</f>
        <v>0 0 0 0 0 0 0 0 0 0 0 0</v>
      </c>
    </row>
    <row r="288" spans="1:3" x14ac:dyDescent="0.25">
      <c r="A288" s="82" t="str">
        <f>"&lt;PrevisaoVAZAO Posto="""&amp;'Hidrologia - 1'!B191&amp;""" MesReferencia=""1""&gt; "&amp;C288&amp;" &lt;/PrevisaoVAZAO&gt;"</f>
        <v>&lt;PrevisaoVAZAO Posto="148" MesReferencia="1"&gt; 344 436 321 258 250 198 153 144 390 487 826 1394 &lt;/PrevisaoVAZAO&gt;</v>
      </c>
      <c r="C288" s="83" t="str">
        <f>SUBSTITUTE(TEXT('Hidrologia - 1'!D191,"0") &amp; " " &amp; TEXT('Hidrologia - 1'!E191,"0")&amp; " " &amp; TEXT('Hidrologia - 1'!F191,"0")&amp; " " &amp; TEXT('Hidrologia - 1'!G191,"0")&amp; " " &amp; TEXT('Hidrologia - 1'!H191,"0")&amp; " " &amp; TEXT('Hidrologia - 1'!I191,"0")&amp; " " &amp; TEXT('Hidrologia - 1'!J191,"0")&amp; " " &amp; TEXT('Hidrologia - 1'!K191,"0")&amp; " " &amp; TEXT('Hidrologia - 1'!L191,"0")&amp; " " &amp; TEXT('Hidrologia - 1'!M191,"0")&amp; " " &amp; TEXT('Hidrologia - 1'!N191,"0")&amp; " " &amp; TEXT('Hidrologia - 1'!O191,"0"),",",".")</f>
        <v>344 436 321 258 250 198 153 144 390 487 826 1394</v>
      </c>
    </row>
    <row r="289" spans="1:3" x14ac:dyDescent="0.25">
      <c r="A289" s="82" t="str">
        <f>"&lt;PrevisaoVAZAO Posto="""&amp;'Hidrologia - 1'!B192&amp;""" MesReferencia=""1""&gt; "&amp;C289&amp;" &lt;/PrevisaoVAZAO&gt;"</f>
        <v>&lt;PrevisaoVAZAO Posto="149" MesReferencia="1"&gt; 80 78 74 54 55 57 48 46 84 99 145 228 &lt;/PrevisaoVAZAO&gt;</v>
      </c>
      <c r="C289" s="83" t="str">
        <f>SUBSTITUTE(TEXT('Hidrologia - 1'!D192,"0") &amp; " " &amp; TEXT('Hidrologia - 1'!E192,"0")&amp; " " &amp; TEXT('Hidrologia - 1'!F192,"0")&amp; " " &amp; TEXT('Hidrologia - 1'!G192,"0")&amp; " " &amp; TEXT('Hidrologia - 1'!H192,"0")&amp; " " &amp; TEXT('Hidrologia - 1'!I192,"0")&amp; " " &amp; TEXT('Hidrologia - 1'!J192,"0")&amp; " " &amp; TEXT('Hidrologia - 1'!K192,"0")&amp; " " &amp; TEXT('Hidrologia - 1'!L192,"0")&amp; " " &amp; TEXT('Hidrologia - 1'!M192,"0")&amp; " " &amp; TEXT('Hidrologia - 1'!N192,"0")&amp; " " &amp; TEXT('Hidrologia - 1'!O192,"0"),",",".")</f>
        <v>80 78 74 54 55 57 48 46 84 99 145 228</v>
      </c>
    </row>
    <row r="290" spans="1:3" x14ac:dyDescent="0.25">
      <c r="A290" s="82" t="str">
        <f>"&lt;PrevisaoVAZAO Posto="""&amp;'Hidrologia - 1'!B193&amp;""" MesReferencia=""1""&gt; "&amp;C290&amp;" &lt;/PrevisaoVAZAO&gt;"</f>
        <v>&lt;PrevisaoVAZAO Posto="150" MesReferencia="1"&gt; 0 0 0 0 0 0 0 0 0 0 0 0 &lt;/PrevisaoVAZAO&gt;</v>
      </c>
      <c r="C290" s="83" t="str">
        <f>SUBSTITUTE(TEXT('Hidrologia - 1'!D193,"0") &amp; " " &amp; TEXT('Hidrologia - 1'!E193,"0")&amp; " " &amp; TEXT('Hidrologia - 1'!F193,"0")&amp; " " &amp; TEXT('Hidrologia - 1'!G193,"0")&amp; " " &amp; TEXT('Hidrologia - 1'!H193,"0")&amp; " " &amp; TEXT('Hidrologia - 1'!I193,"0")&amp; " " &amp; TEXT('Hidrologia - 1'!J193,"0")&amp; " " &amp; TEXT('Hidrologia - 1'!K193,"0")&amp; " " &amp; TEXT('Hidrologia - 1'!L193,"0")&amp; " " &amp; TEXT('Hidrologia - 1'!M193,"0")&amp; " " &amp; TEXT('Hidrologia - 1'!N193,"0")&amp; " " &amp; TEXT('Hidrologia - 1'!O193,"0"),",",".")</f>
        <v>0 0 0 0 0 0 0 0 0 0 0 0</v>
      </c>
    </row>
    <row r="291" spans="1:3" x14ac:dyDescent="0.25">
      <c r="A291" s="82" t="str">
        <f>"&lt;PrevisaoVAZAO Posto="""&amp;'Hidrologia - 1'!B194&amp;""" MesReferencia=""1""&gt; "&amp;C291&amp;" &lt;/PrevisaoVAZAO&gt;"</f>
        <v>&lt;PrevisaoVAZAO Posto="151" MesReferencia="1"&gt; 0 0 0 0 0 0 0 0 0 0 0 0 &lt;/PrevisaoVAZAO&gt;</v>
      </c>
      <c r="C291" s="83" t="str">
        <f>SUBSTITUTE(TEXT('Hidrologia - 1'!D194,"0") &amp; " " &amp; TEXT('Hidrologia - 1'!E194,"0")&amp; " " &amp; TEXT('Hidrologia - 1'!F194,"0")&amp; " " &amp; TEXT('Hidrologia - 1'!G194,"0")&amp; " " &amp; TEXT('Hidrologia - 1'!H194,"0")&amp; " " &amp; TEXT('Hidrologia - 1'!I194,"0")&amp; " " &amp; TEXT('Hidrologia - 1'!J194,"0")&amp; " " &amp; TEXT('Hidrologia - 1'!K194,"0")&amp; " " &amp; TEXT('Hidrologia - 1'!L194,"0")&amp; " " &amp; TEXT('Hidrologia - 1'!M194,"0")&amp; " " &amp; TEXT('Hidrologia - 1'!N194,"0")&amp; " " &amp; TEXT('Hidrologia - 1'!O194,"0"),",",".")</f>
        <v>0 0 0 0 0 0 0 0 0 0 0 0</v>
      </c>
    </row>
    <row r="292" spans="1:3" x14ac:dyDescent="0.25">
      <c r="A292" s="82" t="str">
        <f>"&lt;PrevisaoVAZAO Posto="""&amp;'Hidrologia - 1'!B195&amp;""" MesReferencia=""1""&gt; "&amp;C292&amp;" &lt;/PrevisaoVAZAO&gt;"</f>
        <v>&lt;PrevisaoVAZAO Posto="152" MesReferencia="1"&gt; 0 0 0 0 0 0 0 0 0 0 0 0 &lt;/PrevisaoVAZAO&gt;</v>
      </c>
      <c r="C292" s="83" t="str">
        <f>SUBSTITUTE(TEXT('Hidrologia - 1'!D195,"0") &amp; " " &amp; TEXT('Hidrologia - 1'!E195,"0")&amp; " " &amp; TEXT('Hidrologia - 1'!F195,"0")&amp; " " &amp; TEXT('Hidrologia - 1'!G195,"0")&amp; " " &amp; TEXT('Hidrologia - 1'!H195,"0")&amp; " " &amp; TEXT('Hidrologia - 1'!I195,"0")&amp; " " &amp; TEXT('Hidrologia - 1'!J195,"0")&amp; " " &amp; TEXT('Hidrologia - 1'!K195,"0")&amp; " " &amp; TEXT('Hidrologia - 1'!L195,"0")&amp; " " &amp; TEXT('Hidrologia - 1'!M195,"0")&amp; " " &amp; TEXT('Hidrologia - 1'!N195,"0")&amp; " " &amp; TEXT('Hidrologia - 1'!O195,"0"),",",".")</f>
        <v>0 0 0 0 0 0 0 0 0 0 0 0</v>
      </c>
    </row>
    <row r="293" spans="1:3" x14ac:dyDescent="0.25">
      <c r="A293" s="82" t="str">
        <f>"&lt;PrevisaoVAZAO Posto="""&amp;'Hidrologia - 1'!B196&amp;""" MesReferencia=""1""&gt; "&amp;C293&amp;" &lt;/PrevisaoVAZAO&gt;"</f>
        <v>&lt;PrevisaoVAZAO Posto="153" MesReferencia="1"&gt; 0 0 0 0 0 0 0 0 0 0 0 0 &lt;/PrevisaoVAZAO&gt;</v>
      </c>
      <c r="C293" s="83" t="str">
        <f>SUBSTITUTE(TEXT('Hidrologia - 1'!D196,"0") &amp; " " &amp; TEXT('Hidrologia - 1'!E196,"0")&amp; " " &amp; TEXT('Hidrologia - 1'!F196,"0")&amp; " " &amp; TEXT('Hidrologia - 1'!G196,"0")&amp; " " &amp; TEXT('Hidrologia - 1'!H196,"0")&amp; " " &amp; TEXT('Hidrologia - 1'!I196,"0")&amp; " " &amp; TEXT('Hidrologia - 1'!J196,"0")&amp; " " &amp; TEXT('Hidrologia - 1'!K196,"0")&amp; " " &amp; TEXT('Hidrologia - 1'!L196,"0")&amp; " " &amp; TEXT('Hidrologia - 1'!M196,"0")&amp; " " &amp; TEXT('Hidrologia - 1'!N196,"0")&amp; " " &amp; TEXT('Hidrologia - 1'!O196,"0"),",",".")</f>
        <v>0 0 0 0 0 0 0 0 0 0 0 0</v>
      </c>
    </row>
    <row r="294" spans="1:3" x14ac:dyDescent="0.25">
      <c r="A294" s="82" t="str">
        <f>"&lt;PrevisaoVAZAO Posto="""&amp;'Hidrologia - 1'!B197&amp;""" MesReferencia=""1""&gt; "&amp;C294&amp;" &lt;/PrevisaoVAZAO&gt;"</f>
        <v>&lt;PrevisaoVAZAO Posto="154" MesReferencia="1"&gt; 0 0 0 0 0 0 0 0 0 0 0 0 &lt;/PrevisaoVAZAO&gt;</v>
      </c>
      <c r="C294" s="83" t="str">
        <f>SUBSTITUTE(TEXT('Hidrologia - 1'!D197,"0") &amp; " " &amp; TEXT('Hidrologia - 1'!E197,"0")&amp; " " &amp; TEXT('Hidrologia - 1'!F197,"0")&amp; " " &amp; TEXT('Hidrologia - 1'!G197,"0")&amp; " " &amp; TEXT('Hidrologia - 1'!H197,"0")&amp; " " &amp; TEXT('Hidrologia - 1'!I197,"0")&amp; " " &amp; TEXT('Hidrologia - 1'!J197,"0")&amp; " " &amp; TEXT('Hidrologia - 1'!K197,"0")&amp; " " &amp; TEXT('Hidrologia - 1'!L197,"0")&amp; " " &amp; TEXT('Hidrologia - 1'!M197,"0")&amp; " " &amp; TEXT('Hidrologia - 1'!N197,"0")&amp; " " &amp; TEXT('Hidrologia - 1'!O197,"0"),",",".")</f>
        <v>0 0 0 0 0 0 0 0 0 0 0 0</v>
      </c>
    </row>
    <row r="295" spans="1:3" x14ac:dyDescent="0.25">
      <c r="A295" s="82" t="str">
        <f>"&lt;PrevisaoVAZAO Posto="""&amp;'Hidrologia - 1'!B198&amp;""" MesReferencia=""1""&gt; "&amp;C295&amp;" &lt;/PrevisaoVAZAO&gt;"</f>
        <v>&lt;PrevisaoVAZAO Posto="155" MesReferencia="1"&gt; 71 58 52 37 31 26 38 36 60 76 130 248 &lt;/PrevisaoVAZAO&gt;</v>
      </c>
      <c r="C295" s="83" t="str">
        <f>SUBSTITUTE(TEXT('Hidrologia - 1'!D198,"0") &amp; " " &amp; TEXT('Hidrologia - 1'!E198,"0")&amp; " " &amp; TEXT('Hidrologia - 1'!F198,"0")&amp; " " &amp; TEXT('Hidrologia - 1'!G198,"0")&amp; " " &amp; TEXT('Hidrologia - 1'!H198,"0")&amp; " " &amp; TEXT('Hidrologia - 1'!I198,"0")&amp; " " &amp; TEXT('Hidrologia - 1'!J198,"0")&amp; " " &amp; TEXT('Hidrologia - 1'!K198,"0")&amp; " " &amp; TEXT('Hidrologia - 1'!L198,"0")&amp; " " &amp; TEXT('Hidrologia - 1'!M198,"0")&amp; " " &amp; TEXT('Hidrologia - 1'!N198,"0")&amp; " " &amp; TEXT('Hidrologia - 1'!O198,"0"),",",".")</f>
        <v>71 58 52 37 31 26 38 36 60 76 130 248</v>
      </c>
    </row>
    <row r="296" spans="1:3" x14ac:dyDescent="0.25">
      <c r="A296" s="82" t="str">
        <f>"&lt;PrevisaoVAZAO Posto="""&amp;'Hidrologia - 1'!B199&amp;""" MesReferencia=""1""&gt; "&amp;C296&amp;" &lt;/PrevisaoVAZAO&gt;"</f>
        <v>&lt;PrevisaoVAZAO Posto="156" MesReferencia="1"&gt; 368 379 247 166 183 111 73 89 216 293 588 1097 &lt;/PrevisaoVAZAO&gt;</v>
      </c>
      <c r="C296" s="83" t="str">
        <f>SUBSTITUTE(TEXT('Hidrologia - 1'!D199,"0") &amp; " " &amp; TEXT('Hidrologia - 1'!E199,"0")&amp; " " &amp; TEXT('Hidrologia - 1'!F199,"0")&amp; " " &amp; TEXT('Hidrologia - 1'!G199,"0")&amp; " " &amp; TEXT('Hidrologia - 1'!H199,"0")&amp; " " &amp; TEXT('Hidrologia - 1'!I199,"0")&amp; " " &amp; TEXT('Hidrologia - 1'!J199,"0")&amp; " " &amp; TEXT('Hidrologia - 1'!K199,"0")&amp; " " &amp; TEXT('Hidrologia - 1'!L199,"0")&amp; " " &amp; TEXT('Hidrologia - 1'!M199,"0")&amp; " " &amp; TEXT('Hidrologia - 1'!N199,"0")&amp; " " &amp; TEXT('Hidrologia - 1'!O199,"0"),",",".")</f>
        <v>368 379 247 166 183 111 73 89 216 293 588 1097</v>
      </c>
    </row>
    <row r="297" spans="1:3" x14ac:dyDescent="0.25">
      <c r="A297" s="82" t="str">
        <f>"&lt;PrevisaoVAZAO Posto="""&amp;'Hidrologia - 1'!B200&amp;""" MesReferencia=""1""&gt; "&amp;C297&amp;" &lt;/PrevisaoVAZAO&gt;"</f>
        <v>&lt;PrevisaoVAZAO Posto="157" MesReferencia="1"&gt; 0 0 0 0 0 0 0 0 0 0 0 0 &lt;/PrevisaoVAZAO&gt;</v>
      </c>
      <c r="C297" s="83" t="str">
        <f>SUBSTITUTE(TEXT('Hidrologia - 1'!D200,"0") &amp; " " &amp; TEXT('Hidrologia - 1'!E200,"0")&amp; " " &amp; TEXT('Hidrologia - 1'!F200,"0")&amp; " " &amp; TEXT('Hidrologia - 1'!G200,"0")&amp; " " &amp; TEXT('Hidrologia - 1'!H200,"0")&amp; " " &amp; TEXT('Hidrologia - 1'!I200,"0")&amp; " " &amp; TEXT('Hidrologia - 1'!J200,"0")&amp; " " &amp; TEXT('Hidrologia - 1'!K200,"0")&amp; " " &amp; TEXT('Hidrologia - 1'!L200,"0")&amp; " " &amp; TEXT('Hidrologia - 1'!M200,"0")&amp; " " &amp; TEXT('Hidrologia - 1'!N200,"0")&amp; " " &amp; TEXT('Hidrologia - 1'!O200,"0"),",",".")</f>
        <v>0 0 0 0 0 0 0 0 0 0 0 0</v>
      </c>
    </row>
    <row r="298" spans="1:3" x14ac:dyDescent="0.25">
      <c r="A298" s="82" t="str">
        <f>"&lt;PrevisaoVAZAO Posto="""&amp;'Hidrologia - 1'!B201&amp;""" MesReferencia=""1""&gt; "&amp;C298&amp;" &lt;/PrevisaoVAZAO&gt;"</f>
        <v>&lt;PrevisaoVAZAO Posto="158" MesReferencia="1"&gt; 20 37 29 22 17 11 10 9 27 32 51 78 &lt;/PrevisaoVAZAO&gt;</v>
      </c>
      <c r="C298" s="83" t="str">
        <f>SUBSTITUTE(TEXT('Hidrologia - 1'!D201,"0") &amp; " " &amp; TEXT('Hidrologia - 1'!E201,"0")&amp; " " &amp; TEXT('Hidrologia - 1'!F201,"0")&amp; " " &amp; TEXT('Hidrologia - 1'!G201,"0")&amp; " " &amp; TEXT('Hidrologia - 1'!H201,"0")&amp; " " &amp; TEXT('Hidrologia - 1'!I201,"0")&amp; " " &amp; TEXT('Hidrologia - 1'!J201,"0")&amp; " " &amp; TEXT('Hidrologia - 1'!K201,"0")&amp; " " &amp; TEXT('Hidrologia - 1'!L201,"0")&amp; " " &amp; TEXT('Hidrologia - 1'!M201,"0")&amp; " " &amp; TEXT('Hidrologia - 1'!N201,"0")&amp; " " &amp; TEXT('Hidrologia - 1'!O201,"0"),",",".")</f>
        <v>20 37 29 22 17 11 10 9 27 32 51 78</v>
      </c>
    </row>
    <row r="299" spans="1:3" x14ac:dyDescent="0.25">
      <c r="A299" s="82" t="str">
        <f>"&lt;PrevisaoVAZAO Posto="""&amp;'Hidrologia - 1'!B202&amp;""" MesReferencia=""1""&gt; "&amp;C299&amp;" &lt;/PrevisaoVAZAO&gt;"</f>
        <v>&lt;PrevisaoVAZAO Posto="159" MesReferencia="1"&gt; 0 0 0 0 0 0 0 0 0 0 0 0 &lt;/PrevisaoVAZAO&gt;</v>
      </c>
      <c r="C299" s="83" t="str">
        <f>SUBSTITUTE(TEXT('Hidrologia - 1'!D202,"0") &amp; " " &amp; TEXT('Hidrologia - 1'!E202,"0")&amp; " " &amp; TEXT('Hidrologia - 1'!F202,"0")&amp; " " &amp; TEXT('Hidrologia - 1'!G202,"0")&amp; " " &amp; TEXT('Hidrologia - 1'!H202,"0")&amp; " " &amp; TEXT('Hidrologia - 1'!I202,"0")&amp; " " &amp; TEXT('Hidrologia - 1'!J202,"0")&amp; " " &amp; TEXT('Hidrologia - 1'!K202,"0")&amp; " " &amp; TEXT('Hidrologia - 1'!L202,"0")&amp; " " &amp; TEXT('Hidrologia - 1'!M202,"0")&amp; " " &amp; TEXT('Hidrologia - 1'!N202,"0")&amp; " " &amp; TEXT('Hidrologia - 1'!O202,"0"),",",".")</f>
        <v>0 0 0 0 0 0 0 0 0 0 0 0</v>
      </c>
    </row>
    <row r="300" spans="1:3" x14ac:dyDescent="0.25">
      <c r="A300" s="82" t="str">
        <f>"&lt;PrevisaoVAZAO Posto="""&amp;'Hidrologia - 1'!B203&amp;""" MesReferencia=""1""&gt; "&amp;C300&amp;" &lt;/PrevisaoVAZAO&gt;"</f>
        <v>&lt;PrevisaoVAZAO Posto="160" MesReferencia="1"&gt; 12 6 6 7 7 7 4 5 6 7 7 9 &lt;/PrevisaoVAZAO&gt;</v>
      </c>
      <c r="C300" s="83" t="str">
        <f>SUBSTITUTE(TEXT('Hidrologia - 1'!D203,"0") &amp; " " &amp; TEXT('Hidrologia - 1'!E203,"0")&amp; " " &amp; TEXT('Hidrologia - 1'!F203,"0")&amp; " " &amp; TEXT('Hidrologia - 1'!G203,"0")&amp; " " &amp; TEXT('Hidrologia - 1'!H203,"0")&amp; " " &amp; TEXT('Hidrologia - 1'!I203,"0")&amp; " " &amp; TEXT('Hidrologia - 1'!J203,"0")&amp; " " &amp; TEXT('Hidrologia - 1'!K203,"0")&amp; " " &amp; TEXT('Hidrologia - 1'!L203,"0")&amp; " " &amp; TEXT('Hidrologia - 1'!M203,"0")&amp; " " &amp; TEXT('Hidrologia - 1'!N203,"0")&amp; " " &amp; TEXT('Hidrologia - 1'!O203,"0"),",",".")</f>
        <v>12 6 6 7 7 7 4 5 6 7 7 9</v>
      </c>
    </row>
    <row r="301" spans="1:3" x14ac:dyDescent="0.25">
      <c r="A301" s="82" t="str">
        <f>"&lt;PrevisaoVAZAO Posto="""&amp;'Hidrologia - 1'!B204&amp;""" MesReferencia=""1""&gt; "&amp;C301&amp;" &lt;/PrevisaoVAZAO&gt;"</f>
        <v>&lt;PrevisaoVAZAO Posto="161" MesReferencia="1"&gt; 273 133 136 129 138 115 47 42 71 90 99 131 &lt;/PrevisaoVAZAO&gt;</v>
      </c>
      <c r="C301" s="83" t="str">
        <f>SUBSTITUTE(TEXT('Hidrologia - 1'!D204,"0") &amp; " " &amp; TEXT('Hidrologia - 1'!E204,"0")&amp; " " &amp; TEXT('Hidrologia - 1'!F204,"0")&amp; " " &amp; TEXT('Hidrologia - 1'!G204,"0")&amp; " " &amp; TEXT('Hidrologia - 1'!H204,"0")&amp; " " &amp; TEXT('Hidrologia - 1'!I204,"0")&amp; " " &amp; TEXT('Hidrologia - 1'!J204,"0")&amp; " " &amp; TEXT('Hidrologia - 1'!K204,"0")&amp; " " &amp; TEXT('Hidrologia - 1'!L204,"0")&amp; " " &amp; TEXT('Hidrologia - 1'!M204,"0")&amp; " " &amp; TEXT('Hidrologia - 1'!N204,"0")&amp; " " &amp; TEXT('Hidrologia - 1'!O204,"0"),",",".")</f>
        <v>273 133 136 129 138 115 47 42 71 90 99 131</v>
      </c>
    </row>
    <row r="302" spans="1:3" x14ac:dyDescent="0.25">
      <c r="A302" s="82" t="str">
        <f>"&lt;PrevisaoVAZAO Posto="""&amp;'Hidrologia - 1'!B205&amp;""" MesReferencia=""1""&gt; "&amp;C302&amp;" &lt;/PrevisaoVAZAO&gt;"</f>
        <v>&lt;PrevisaoVAZAO Posto="162" MesReferencia="1"&gt; 0 0 0 0 0 0 0 0 0 0 0 0 &lt;/PrevisaoVAZAO&gt;</v>
      </c>
      <c r="C302" s="83" t="str">
        <f>SUBSTITUTE(TEXT('Hidrologia - 1'!D205,"0") &amp; " " &amp; TEXT('Hidrologia - 1'!E205,"0")&amp; " " &amp; TEXT('Hidrologia - 1'!F205,"0")&amp; " " &amp; TEXT('Hidrologia - 1'!G205,"0")&amp; " " &amp; TEXT('Hidrologia - 1'!H205,"0")&amp; " " &amp; TEXT('Hidrologia - 1'!I205,"0")&amp; " " &amp; TEXT('Hidrologia - 1'!J205,"0")&amp; " " &amp; TEXT('Hidrologia - 1'!K205,"0")&amp; " " &amp; TEXT('Hidrologia - 1'!L205,"0")&amp; " " &amp; TEXT('Hidrologia - 1'!M205,"0")&amp; " " &amp; TEXT('Hidrologia - 1'!N205,"0")&amp; " " &amp; TEXT('Hidrologia - 1'!O205,"0"),",",".")</f>
        <v>0 0 0 0 0 0 0 0 0 0 0 0</v>
      </c>
    </row>
    <row r="303" spans="1:3" x14ac:dyDescent="0.25">
      <c r="A303" s="82" t="str">
        <f>"&lt;PrevisaoVAZAO Posto="""&amp;'Hidrologia - 1'!B206&amp;""" MesReferencia=""1""&gt; "&amp;C303&amp;" &lt;/PrevisaoVAZAO&gt;"</f>
        <v>&lt;PrevisaoVAZAO Posto="163" MesReferencia="1"&gt; 0 0 0 0 0 0 0 0 0 0 0 0 &lt;/PrevisaoVAZAO&gt;</v>
      </c>
      <c r="C303" s="83" t="str">
        <f>SUBSTITUTE(TEXT('Hidrologia - 1'!D206,"0") &amp; " " &amp; TEXT('Hidrologia - 1'!E206,"0")&amp; " " &amp; TEXT('Hidrologia - 1'!F206,"0")&amp; " " &amp; TEXT('Hidrologia - 1'!G206,"0")&amp; " " &amp; TEXT('Hidrologia - 1'!H206,"0")&amp; " " &amp; TEXT('Hidrologia - 1'!I206,"0")&amp; " " &amp; TEXT('Hidrologia - 1'!J206,"0")&amp; " " &amp; TEXT('Hidrologia - 1'!K206,"0")&amp; " " &amp; TEXT('Hidrologia - 1'!L206,"0")&amp; " " &amp; TEXT('Hidrologia - 1'!M206,"0")&amp; " " &amp; TEXT('Hidrologia - 1'!N206,"0")&amp; " " &amp; TEXT('Hidrologia - 1'!O206,"0"),",",".")</f>
        <v>0 0 0 0 0 0 0 0 0 0 0 0</v>
      </c>
    </row>
    <row r="304" spans="1:3" x14ac:dyDescent="0.25">
      <c r="A304" s="82" t="str">
        <f>"&lt;PrevisaoVAZAO Posto="""&amp;'Hidrologia - 1'!B207&amp;""" MesReferencia=""1""&gt; "&amp;C304&amp;" &lt;/PrevisaoVAZAO&gt;"</f>
        <v>&lt;PrevisaoVAZAO Posto="164" MesReferencia="1"&gt; 200 94 82 76 89 71 18 16 50 64 72 96 &lt;/PrevisaoVAZAO&gt;</v>
      </c>
      <c r="C304" s="83" t="str">
        <f>SUBSTITUTE(TEXT('Hidrologia - 1'!D207,"0") &amp; " " &amp; TEXT('Hidrologia - 1'!E207,"0")&amp; " " &amp; TEXT('Hidrologia - 1'!F207,"0")&amp; " " &amp; TEXT('Hidrologia - 1'!G207,"0")&amp; " " &amp; TEXT('Hidrologia - 1'!H207,"0")&amp; " " &amp; TEXT('Hidrologia - 1'!I207,"0")&amp; " " &amp; TEXT('Hidrologia - 1'!J207,"0")&amp; " " &amp; TEXT('Hidrologia - 1'!K207,"0")&amp; " " &amp; TEXT('Hidrologia - 1'!L207,"0")&amp; " " &amp; TEXT('Hidrologia - 1'!M207,"0")&amp; " " &amp; TEXT('Hidrologia - 1'!N207,"0")&amp; " " &amp; TEXT('Hidrologia - 1'!O207,"0"),",",".")</f>
        <v>200 94 82 76 89 71 18 16 50 64 72 96</v>
      </c>
    </row>
    <row r="305" spans="1:3" x14ac:dyDescent="0.25">
      <c r="A305" s="82" t="str">
        <f>"&lt;PrevisaoVAZAO Posto="""&amp;'Hidrologia - 1'!B208&amp;""" MesReferencia=""1""&gt; "&amp;C305&amp;" &lt;/PrevisaoVAZAO&gt;"</f>
        <v>&lt;PrevisaoVAZAO Posto="165" MesReferencia="1"&gt; 0 0 0 0 0 0 0 0 0 0 0 0 &lt;/PrevisaoVAZAO&gt;</v>
      </c>
      <c r="C305" s="83" t="str">
        <f>SUBSTITUTE(TEXT('Hidrologia - 1'!D208,"0") &amp; " " &amp; TEXT('Hidrologia - 1'!E208,"0")&amp; " " &amp; TEXT('Hidrologia - 1'!F208,"0")&amp; " " &amp; TEXT('Hidrologia - 1'!G208,"0")&amp; " " &amp; TEXT('Hidrologia - 1'!H208,"0")&amp; " " &amp; TEXT('Hidrologia - 1'!I208,"0")&amp; " " &amp; TEXT('Hidrologia - 1'!J208,"0")&amp; " " &amp; TEXT('Hidrologia - 1'!K208,"0")&amp; " " &amp; TEXT('Hidrologia - 1'!L208,"0")&amp; " " &amp; TEXT('Hidrologia - 1'!M208,"0")&amp; " " &amp; TEXT('Hidrologia - 1'!N208,"0")&amp; " " &amp; TEXT('Hidrologia - 1'!O208,"0"),",",".")</f>
        <v>0 0 0 0 0 0 0 0 0 0 0 0</v>
      </c>
    </row>
    <row r="306" spans="1:3" x14ac:dyDescent="0.25">
      <c r="A306" s="82" t="str">
        <f>"&lt;PrevisaoVAZAO Posto="""&amp;'Hidrologia - 1'!B209&amp;""" MesReferencia=""1""&gt; "&amp;C306&amp;" &lt;/PrevisaoVAZAO&gt;"</f>
        <v>&lt;PrevisaoVAZAO Posto="166" MesReferencia="1"&gt; 0 0 0 0 0 0 0 3419 0 0 0 0 &lt;/PrevisaoVAZAO&gt;</v>
      </c>
      <c r="C306" s="83" t="str">
        <f>SUBSTITUTE(TEXT('Hidrologia - 1'!D209,"0") &amp; " " &amp; TEXT('Hidrologia - 1'!E209,"0")&amp; " " &amp; TEXT('Hidrologia - 1'!F209,"0")&amp; " " &amp; TEXT('Hidrologia - 1'!G209,"0")&amp; " " &amp; TEXT('Hidrologia - 1'!H209,"0")&amp; " " &amp; TEXT('Hidrologia - 1'!I209,"0")&amp; " " &amp; TEXT('Hidrologia - 1'!J209,"0")&amp; " " &amp; TEXT('Hidrologia - 1'!K209,"0")&amp; " " &amp; TEXT('Hidrologia - 1'!L209,"0")&amp; " " &amp; TEXT('Hidrologia - 1'!M209,"0")&amp; " " &amp; TEXT('Hidrologia - 1'!N209,"0")&amp; " " &amp; TEXT('Hidrologia - 1'!O209,"0"),",",".")</f>
        <v>0 0 0 0 0 0 0 3419 0 0 0 0</v>
      </c>
    </row>
    <row r="307" spans="1:3" x14ac:dyDescent="0.25">
      <c r="A307" s="82" t="str">
        <f>"&lt;PrevisaoVAZAO Posto="""&amp;'Hidrologia - 1'!B210&amp;""" MesReferencia=""1""&gt; "&amp;C307&amp;" &lt;/PrevisaoVAZAO&gt;"</f>
        <v>&lt;PrevisaoVAZAO Posto="167" MesReferencia="1"&gt; 0 0 0 0 0 0 0 0 0 0 0 0 &lt;/PrevisaoVAZAO&gt;</v>
      </c>
      <c r="C307" s="83" t="str">
        <f>SUBSTITUTE(TEXT('Hidrologia - 1'!D210,"0") &amp; " " &amp; TEXT('Hidrologia - 1'!E210,"0")&amp; " " &amp; TEXT('Hidrologia - 1'!F210,"0")&amp; " " &amp; TEXT('Hidrologia - 1'!G210,"0")&amp; " " &amp; TEXT('Hidrologia - 1'!H210,"0")&amp; " " &amp; TEXT('Hidrologia - 1'!I210,"0")&amp; " " &amp; TEXT('Hidrologia - 1'!J210,"0")&amp; " " &amp; TEXT('Hidrologia - 1'!K210,"0")&amp; " " &amp; TEXT('Hidrologia - 1'!L210,"0")&amp; " " &amp; TEXT('Hidrologia - 1'!M210,"0")&amp; " " &amp; TEXT('Hidrologia - 1'!N210,"0")&amp; " " &amp; TEXT('Hidrologia - 1'!O210,"0"),",",".")</f>
        <v>0 0 0 0 0 0 0 0 0 0 0 0</v>
      </c>
    </row>
    <row r="308" spans="1:3" x14ac:dyDescent="0.25">
      <c r="A308" s="82" t="str">
        <f>"&lt;PrevisaoVAZAO Posto="""&amp;'Hidrologia - 1'!B211&amp;""" MesReferencia=""1""&gt; "&amp;C308&amp;" &lt;/PrevisaoVAZAO&gt;"</f>
        <v>&lt;PrevisaoVAZAO Posto="168" MesReferencia="1"&gt; 736 1118 729 689 336 328 336 363 275 294 462 834 &lt;/PrevisaoVAZAO&gt;</v>
      </c>
      <c r="C308" s="83" t="str">
        <f>SUBSTITUTE(TEXT('Hidrologia - 1'!D211,"0") &amp; " " &amp; TEXT('Hidrologia - 1'!E211,"0")&amp; " " &amp; TEXT('Hidrologia - 1'!F211,"0")&amp; " " &amp; TEXT('Hidrologia - 1'!G211,"0")&amp; " " &amp; TEXT('Hidrologia - 1'!H211,"0")&amp; " " &amp; TEXT('Hidrologia - 1'!I211,"0")&amp; " " &amp; TEXT('Hidrologia - 1'!J211,"0")&amp; " " &amp; TEXT('Hidrologia - 1'!K211,"0")&amp; " " &amp; TEXT('Hidrologia - 1'!L211,"0")&amp; " " &amp; TEXT('Hidrologia - 1'!M211,"0")&amp; " " &amp; TEXT('Hidrologia - 1'!N211,"0")&amp; " " &amp; TEXT('Hidrologia - 1'!O211,"0"),",",".")</f>
        <v>736 1118 729 689 336 328 336 363 275 294 462 834</v>
      </c>
    </row>
    <row r="309" spans="1:3" x14ac:dyDescent="0.25">
      <c r="A309" s="82" t="str">
        <f>"&lt;PrevisaoVAZAO Posto="""&amp;'Hidrologia - 1'!B212&amp;""" MesReferencia=""1""&gt; "&amp;C309&amp;" &lt;/PrevisaoVAZAO&gt;"</f>
        <v>&lt;PrevisaoVAZAO Posto="169" MesReferencia="1"&gt; 1289 1600 1032 920 510 499 417 460 518 606 1052 1919 &lt;/PrevisaoVAZAO&gt;</v>
      </c>
      <c r="C309" s="83" t="str">
        <f>SUBSTITUTE(TEXT('Hidrologia - 1'!D212,"0") &amp; " " &amp; TEXT('Hidrologia - 1'!E212,"0")&amp; " " &amp; TEXT('Hidrologia - 1'!F212,"0")&amp; " " &amp; TEXT('Hidrologia - 1'!G212,"0")&amp; " " &amp; TEXT('Hidrologia - 1'!H212,"0")&amp; " " &amp; TEXT('Hidrologia - 1'!I212,"0")&amp; " " &amp; TEXT('Hidrologia - 1'!J212,"0")&amp; " " &amp; TEXT('Hidrologia - 1'!K212,"0")&amp; " " &amp; TEXT('Hidrologia - 1'!L212,"0")&amp; " " &amp; TEXT('Hidrologia - 1'!M212,"0")&amp; " " &amp; TEXT('Hidrologia - 1'!N212,"0")&amp; " " &amp; TEXT('Hidrologia - 1'!O212,"0"),",",".")</f>
        <v>1289 1600 1032 920 510 499 417 460 518 606 1052 1919</v>
      </c>
    </row>
    <row r="310" spans="1:3" x14ac:dyDescent="0.25">
      <c r="A310" s="82" t="str">
        <f>"&lt;PrevisaoVAZAO Posto="""&amp;'Hidrologia - 1'!B213&amp;""" MesReferencia=""1""&gt; "&amp;C310&amp;" &lt;/PrevisaoVAZAO&gt;"</f>
        <v>&lt;PrevisaoVAZAO Posto="170" MesReferencia="1"&gt; 0 0 0 0 0 0 0 0 0 0 0 0 &lt;/PrevisaoVAZAO&gt;</v>
      </c>
      <c r="C310" s="83" t="str">
        <f>SUBSTITUTE(TEXT('Hidrologia - 1'!D213,"0") &amp; " " &amp; TEXT('Hidrologia - 1'!E213,"0")&amp; " " &amp; TEXT('Hidrologia - 1'!F213,"0")&amp; " " &amp; TEXT('Hidrologia - 1'!G213,"0")&amp; " " &amp; TEXT('Hidrologia - 1'!H213,"0")&amp; " " &amp; TEXT('Hidrologia - 1'!I213,"0")&amp; " " &amp; TEXT('Hidrologia - 1'!J213,"0")&amp; " " &amp; TEXT('Hidrologia - 1'!K213,"0")&amp; " " &amp; TEXT('Hidrologia - 1'!L213,"0")&amp; " " &amp; TEXT('Hidrologia - 1'!M213,"0")&amp; " " &amp; TEXT('Hidrologia - 1'!N213,"0")&amp; " " &amp; TEXT('Hidrologia - 1'!O213,"0"),",",".")</f>
        <v>0 0 0 0 0 0 0 0 0 0 0 0</v>
      </c>
    </row>
    <row r="311" spans="1:3" x14ac:dyDescent="0.25">
      <c r="A311" s="82" t="str">
        <f>"&lt;PrevisaoVAZAO Posto="""&amp;'Hidrologia - 1'!B214&amp;""" MesReferencia=""1""&gt; "&amp;C311&amp;" &lt;/PrevisaoVAZAO&gt;"</f>
        <v>&lt;PrevisaoVAZAO Posto="171" MesReferencia="1"&gt; 0 0 0 0 0 0 0 0 8 8 13 29 &lt;/PrevisaoVAZAO&gt;</v>
      </c>
      <c r="C311" s="83" t="str">
        <f>SUBSTITUTE(TEXT('Hidrologia - 1'!D214,"0") &amp; " " &amp; TEXT('Hidrologia - 1'!E214,"0")&amp; " " &amp; TEXT('Hidrologia - 1'!F214,"0")&amp; " " &amp; TEXT('Hidrologia - 1'!G214,"0")&amp; " " &amp; TEXT('Hidrologia - 1'!H214,"0")&amp; " " &amp; TEXT('Hidrologia - 1'!I214,"0")&amp; " " &amp; TEXT('Hidrologia - 1'!J214,"0")&amp; " " &amp; TEXT('Hidrologia - 1'!K214,"0")&amp; " " &amp; TEXT('Hidrologia - 1'!L214,"0")&amp; " " &amp; TEXT('Hidrologia - 1'!M214,"0")&amp; " " &amp; TEXT('Hidrologia - 1'!N214,"0")&amp; " " &amp; TEXT('Hidrologia - 1'!O214,"0"),",",".")</f>
        <v>0 0 0 0 0 0 0 0 8 8 13 29</v>
      </c>
    </row>
    <row r="312" spans="1:3" x14ac:dyDescent="0.25">
      <c r="A312" s="82" t="str">
        <f>"&lt;PrevisaoVAZAO Posto="""&amp;'Hidrologia - 1'!B215&amp;""" MesReferencia=""1""&gt; "&amp;C312&amp;" &lt;/PrevisaoVAZAO&gt;"</f>
        <v>&lt;PrevisaoVAZAO Posto="172" MesReferencia="1"&gt; 1387 1559 1120 931 515 508 418 460 528 606 1052 1919 &lt;/PrevisaoVAZAO&gt;</v>
      </c>
      <c r="C312" s="83" t="str">
        <f>SUBSTITUTE(TEXT('Hidrologia - 1'!D215,"0") &amp; " " &amp; TEXT('Hidrologia - 1'!E215,"0")&amp; " " &amp; TEXT('Hidrologia - 1'!F215,"0")&amp; " " &amp; TEXT('Hidrologia - 1'!G215,"0")&amp; " " &amp; TEXT('Hidrologia - 1'!H215,"0")&amp; " " &amp; TEXT('Hidrologia - 1'!I215,"0")&amp; " " &amp; TEXT('Hidrologia - 1'!J215,"0")&amp; " " &amp; TEXT('Hidrologia - 1'!K215,"0")&amp; " " &amp; TEXT('Hidrologia - 1'!L215,"0")&amp; " " &amp; TEXT('Hidrologia - 1'!M215,"0")&amp; " " &amp; TEXT('Hidrologia - 1'!N215,"0")&amp; " " &amp; TEXT('Hidrologia - 1'!O215,"0"),",",".")</f>
        <v>1387 1559 1120 931 515 508 418 460 528 606 1052 1919</v>
      </c>
    </row>
    <row r="313" spans="1:3" x14ac:dyDescent="0.25">
      <c r="A313" s="82" t="str">
        <f>"&lt;PrevisaoVAZAO Posto="""&amp;'Hidrologia - 1'!B216&amp;""" MesReferencia=""1""&gt; "&amp;C313&amp;" &lt;/PrevisaoVAZAO&gt;"</f>
        <v>&lt;PrevisaoVAZAO Posto="173" MesReferencia="1"&gt; 1387 1559 1120 931 515 508 418 460 378 395 602 1124 &lt;/PrevisaoVAZAO&gt;</v>
      </c>
      <c r="C313" s="83" t="str">
        <f>SUBSTITUTE(TEXT('Hidrologia - 1'!D216,"0") &amp; " " &amp; TEXT('Hidrologia - 1'!E216,"0")&amp; " " &amp; TEXT('Hidrologia - 1'!F216,"0")&amp; " " &amp; TEXT('Hidrologia - 1'!G216,"0")&amp; " " &amp; TEXT('Hidrologia - 1'!H216,"0")&amp; " " &amp; TEXT('Hidrologia - 1'!I216,"0")&amp; " " &amp; TEXT('Hidrologia - 1'!J216,"0")&amp; " " &amp; TEXT('Hidrologia - 1'!K216,"0")&amp; " " &amp; TEXT('Hidrologia - 1'!L216,"0")&amp; " " &amp; TEXT('Hidrologia - 1'!M216,"0")&amp; " " &amp; TEXT('Hidrologia - 1'!N216,"0")&amp; " " &amp; TEXT('Hidrologia - 1'!O216,"0"),",",".")</f>
        <v>1387 1559 1120 931 515 508 418 460 378 395 602 1124</v>
      </c>
    </row>
    <row r="314" spans="1:3" x14ac:dyDescent="0.25">
      <c r="A314" s="82" t="str">
        <f>"&lt;PrevisaoVAZAO Posto="""&amp;'Hidrologia - 1'!B217&amp;""" MesReferencia=""1""&gt; "&amp;C314&amp;" &lt;/PrevisaoVAZAO&gt;"</f>
        <v>&lt;PrevisaoVAZAO Posto="174" MesReferencia="1"&gt; 0 0 0 0 0 0 0 0 0 0 0 0 &lt;/PrevisaoVAZAO&gt;</v>
      </c>
      <c r="C314" s="83" t="str">
        <f>SUBSTITUTE(TEXT('Hidrologia - 1'!D217,"0") &amp; " " &amp; TEXT('Hidrologia - 1'!E217,"0")&amp; " " &amp; TEXT('Hidrologia - 1'!F217,"0")&amp; " " &amp; TEXT('Hidrologia - 1'!G217,"0")&amp; " " &amp; TEXT('Hidrologia - 1'!H217,"0")&amp; " " &amp; TEXT('Hidrologia - 1'!I217,"0")&amp; " " &amp; TEXT('Hidrologia - 1'!J217,"0")&amp; " " &amp; TEXT('Hidrologia - 1'!K217,"0")&amp; " " &amp; TEXT('Hidrologia - 1'!L217,"0")&amp; " " &amp; TEXT('Hidrologia - 1'!M217,"0")&amp; " " &amp; TEXT('Hidrologia - 1'!N217,"0")&amp; " " &amp; TEXT('Hidrologia - 1'!O217,"0"),",",".")</f>
        <v>0 0 0 0 0 0 0 0 0 0 0 0</v>
      </c>
    </row>
    <row r="315" spans="1:3" x14ac:dyDescent="0.25">
      <c r="A315" s="82" t="str">
        <f>"&lt;PrevisaoVAZAO Posto="""&amp;'Hidrologia - 1'!B218&amp;""" MesReferencia=""1""&gt; "&amp;C315&amp;" &lt;/PrevisaoVAZAO&gt;"</f>
        <v>&lt;PrevisaoVAZAO Posto="175" MesReferencia="1"&gt; 1387 1559 1120 931 515 508 419 460 378 395 602 1124 &lt;/PrevisaoVAZAO&gt;</v>
      </c>
      <c r="C315" s="83" t="str">
        <f>SUBSTITUTE(TEXT('Hidrologia - 1'!D218,"0") &amp; " " &amp; TEXT('Hidrologia - 1'!E218,"0")&amp; " " &amp; TEXT('Hidrologia - 1'!F218,"0")&amp; " " &amp; TEXT('Hidrologia - 1'!G218,"0")&amp; " " &amp; TEXT('Hidrologia - 1'!H218,"0")&amp; " " &amp; TEXT('Hidrologia - 1'!I218,"0")&amp; " " &amp; TEXT('Hidrologia - 1'!J218,"0")&amp; " " &amp; TEXT('Hidrologia - 1'!K218,"0")&amp; " " &amp; TEXT('Hidrologia - 1'!L218,"0")&amp; " " &amp; TEXT('Hidrologia - 1'!M218,"0")&amp; " " &amp; TEXT('Hidrologia - 1'!N218,"0")&amp; " " &amp; TEXT('Hidrologia - 1'!O218,"0"),",",".")</f>
        <v>1387 1559 1120 931 515 508 419 460 378 395 602 1124</v>
      </c>
    </row>
    <row r="316" spans="1:3" x14ac:dyDescent="0.25">
      <c r="A316" s="82" t="str">
        <f>"&lt;PrevisaoVAZAO Posto="""&amp;'Hidrologia - 1'!B219&amp;""" MesReferencia=""1""&gt; "&amp;C316&amp;" &lt;/PrevisaoVAZAO&gt;"</f>
        <v>&lt;PrevisaoVAZAO Posto="176" MesReferencia="1"&gt; 1387 1559 1120 931 515 508 418 460 378 395 602 1124 &lt;/PrevisaoVAZAO&gt;</v>
      </c>
      <c r="C316" s="83" t="str">
        <f>SUBSTITUTE(TEXT('Hidrologia - 1'!D219,"0") &amp; " " &amp; TEXT('Hidrologia - 1'!E219,"0")&amp; " " &amp; TEXT('Hidrologia - 1'!F219,"0")&amp; " " &amp; TEXT('Hidrologia - 1'!G219,"0")&amp; " " &amp; TEXT('Hidrologia - 1'!H219,"0")&amp; " " &amp; TEXT('Hidrologia - 1'!I219,"0")&amp; " " &amp; TEXT('Hidrologia - 1'!J219,"0")&amp; " " &amp; TEXT('Hidrologia - 1'!K219,"0")&amp; " " &amp; TEXT('Hidrologia - 1'!L219,"0")&amp; " " &amp; TEXT('Hidrologia - 1'!M219,"0")&amp; " " &amp; TEXT('Hidrologia - 1'!N219,"0")&amp; " " &amp; TEXT('Hidrologia - 1'!O219,"0"),",",".")</f>
        <v>1387 1559 1120 931 515 508 418 460 378 395 602 1124</v>
      </c>
    </row>
    <row r="317" spans="1:3" x14ac:dyDescent="0.25">
      <c r="A317" s="82" t="str">
        <f>"&lt;PrevisaoVAZAO Posto="""&amp;'Hidrologia - 1'!B220&amp;""" MesReferencia=""1""&gt; "&amp;C317&amp;" &lt;/PrevisaoVAZAO&gt;"</f>
        <v>&lt;PrevisaoVAZAO Posto="177" MesReferencia="1"&gt; 0 0 0 0 0 0 0 0 0 0 0 0 &lt;/PrevisaoVAZAO&gt;</v>
      </c>
      <c r="C317" s="83" t="str">
        <f>SUBSTITUTE(TEXT('Hidrologia - 1'!D220,"0") &amp; " " &amp; TEXT('Hidrologia - 1'!E220,"0")&amp; " " &amp; TEXT('Hidrologia - 1'!F220,"0")&amp; " " &amp; TEXT('Hidrologia - 1'!G220,"0")&amp; " " &amp; TEXT('Hidrologia - 1'!H220,"0")&amp; " " &amp; TEXT('Hidrologia - 1'!I220,"0")&amp; " " &amp; TEXT('Hidrologia - 1'!J220,"0")&amp; " " &amp; TEXT('Hidrologia - 1'!K220,"0")&amp; " " &amp; TEXT('Hidrologia - 1'!L220,"0")&amp; " " &amp; TEXT('Hidrologia - 1'!M220,"0")&amp; " " &amp; TEXT('Hidrologia - 1'!N220,"0")&amp; " " &amp; TEXT('Hidrologia - 1'!O220,"0"),",",".")</f>
        <v>0 0 0 0 0 0 0 0 0 0 0 0</v>
      </c>
    </row>
    <row r="318" spans="1:3" x14ac:dyDescent="0.25">
      <c r="A318" s="82" t="str">
        <f>"&lt;PrevisaoVAZAO Posto="""&amp;'Hidrologia - 1'!B221&amp;""" MesReferencia=""1""&gt; "&amp;C318&amp;" &lt;/PrevisaoVAZAO&gt;"</f>
        <v>&lt;PrevisaoVAZAO Posto="178" MesReferencia="1"&gt; 1441 1526 1172 936 520 512 419 460 378 395 602 1124 &lt;/PrevisaoVAZAO&gt;</v>
      </c>
      <c r="C318" s="83" t="str">
        <f>SUBSTITUTE(TEXT('Hidrologia - 1'!D221,"0") &amp; " " &amp; TEXT('Hidrologia - 1'!E221,"0")&amp; " " &amp; TEXT('Hidrologia - 1'!F221,"0")&amp; " " &amp; TEXT('Hidrologia - 1'!G221,"0")&amp; " " &amp; TEXT('Hidrologia - 1'!H221,"0")&amp; " " &amp; TEXT('Hidrologia - 1'!I221,"0")&amp; " " &amp; TEXT('Hidrologia - 1'!J221,"0")&amp; " " &amp; TEXT('Hidrologia - 1'!K221,"0")&amp; " " &amp; TEXT('Hidrologia - 1'!L221,"0")&amp; " " &amp; TEXT('Hidrologia - 1'!M221,"0")&amp; " " &amp; TEXT('Hidrologia - 1'!N221,"0")&amp; " " &amp; TEXT('Hidrologia - 1'!O221,"0"),",",".")</f>
        <v>1441 1526 1172 936 520 512 419 460 378 395 602 1124</v>
      </c>
    </row>
    <row r="319" spans="1:3" x14ac:dyDescent="0.25">
      <c r="A319" s="82" t="str">
        <f>"&lt;PrevisaoVAZAO Posto="""&amp;'Hidrologia - 1'!B222&amp;""" MesReferencia=""1""&gt; "&amp;C319&amp;" &lt;/PrevisaoVAZAO&gt;"</f>
        <v>&lt;PrevisaoVAZAO Posto="179" MesReferencia="1"&gt; 0 0 0 0 0 0 0 0 0 0 0 0 &lt;/PrevisaoVAZAO&gt;</v>
      </c>
      <c r="C319" s="83" t="str">
        <f>SUBSTITUTE(TEXT('Hidrologia - 1'!D222,"0") &amp; " " &amp; TEXT('Hidrologia - 1'!E222,"0")&amp; " " &amp; TEXT('Hidrologia - 1'!F222,"0")&amp; " " &amp; TEXT('Hidrologia - 1'!G222,"0")&amp; " " &amp; TEXT('Hidrologia - 1'!H222,"0")&amp; " " &amp; TEXT('Hidrologia - 1'!I222,"0")&amp; " " &amp; TEXT('Hidrologia - 1'!J222,"0")&amp; " " &amp; TEXT('Hidrologia - 1'!K222,"0")&amp; " " &amp; TEXT('Hidrologia - 1'!L222,"0")&amp; " " &amp; TEXT('Hidrologia - 1'!M222,"0")&amp; " " &amp; TEXT('Hidrologia - 1'!N222,"0")&amp; " " &amp; TEXT('Hidrologia - 1'!O222,"0"),",",".")</f>
        <v>0 0 0 0 0 0 0 0 0 0 0 0</v>
      </c>
    </row>
    <row r="320" spans="1:3" x14ac:dyDescent="0.25">
      <c r="A320" s="82" t="str">
        <f>"&lt;PrevisaoVAZAO Posto="""&amp;'Hidrologia - 1'!B223&amp;""" MesReferencia=""1""&gt; "&amp;C320&amp;" &lt;/PrevisaoVAZAO&gt;"</f>
        <v>&lt;PrevisaoVAZAO Posto="180" MesReferencia="1"&gt; 0 0 0 0 0 0 0 0 0 0 0 0 &lt;/PrevisaoVAZAO&gt;</v>
      </c>
      <c r="C320" s="83" t="str">
        <f>SUBSTITUTE(TEXT('Hidrologia - 1'!D223,"0") &amp; " " &amp; TEXT('Hidrologia - 1'!E223,"0")&amp; " " &amp; TEXT('Hidrologia - 1'!F223,"0")&amp; " " &amp; TEXT('Hidrologia - 1'!G223,"0")&amp; " " &amp; TEXT('Hidrologia - 1'!H223,"0")&amp; " " &amp; TEXT('Hidrologia - 1'!I223,"0")&amp; " " &amp; TEXT('Hidrologia - 1'!J223,"0")&amp; " " &amp; TEXT('Hidrologia - 1'!K223,"0")&amp; " " &amp; TEXT('Hidrologia - 1'!L223,"0")&amp; " " &amp; TEXT('Hidrologia - 1'!M223,"0")&amp; " " &amp; TEXT('Hidrologia - 1'!N223,"0")&amp; " " &amp; TEXT('Hidrologia - 1'!O223,"0"),",",".")</f>
        <v>0 0 0 0 0 0 0 0 0 0 0 0</v>
      </c>
    </row>
    <row r="321" spans="1:3" x14ac:dyDescent="0.25">
      <c r="A321" s="82" t="str">
        <f>"&lt;PrevisaoVAZAO Posto="""&amp;'Hidrologia - 1'!B224&amp;""" MesReferencia=""1""&gt; "&amp;C321&amp;" &lt;/PrevisaoVAZAO&gt;"</f>
        <v>&lt;PrevisaoVAZAO Posto="181" MesReferencia="1"&gt; 0 0 0 0 0 0 0 0 0 0 0 0 &lt;/PrevisaoVAZAO&gt;</v>
      </c>
      <c r="C321" s="83" t="str">
        <f>SUBSTITUTE(TEXT('Hidrologia - 1'!D224,"0") &amp; " " &amp; TEXT('Hidrologia - 1'!E224,"0")&amp; " " &amp; TEXT('Hidrologia - 1'!F224,"0")&amp; " " &amp; TEXT('Hidrologia - 1'!G224,"0")&amp; " " &amp; TEXT('Hidrologia - 1'!H224,"0")&amp; " " &amp; TEXT('Hidrologia - 1'!I224,"0")&amp; " " &amp; TEXT('Hidrologia - 1'!J224,"0")&amp; " " &amp; TEXT('Hidrologia - 1'!K224,"0")&amp; " " &amp; TEXT('Hidrologia - 1'!L224,"0")&amp; " " &amp; TEXT('Hidrologia - 1'!M224,"0")&amp; " " &amp; TEXT('Hidrologia - 1'!N224,"0")&amp; " " &amp; TEXT('Hidrologia - 1'!O224,"0"),",",".")</f>
        <v>0 0 0 0 0 0 0 0 0 0 0 0</v>
      </c>
    </row>
    <row r="322" spans="1:3" x14ac:dyDescent="0.25">
      <c r="A322" s="82" t="str">
        <f>"&lt;PrevisaoVAZAO Posto="""&amp;'Hidrologia - 1'!B225&amp;""" MesReferencia=""1""&gt; "&amp;C322&amp;" &lt;/PrevisaoVAZAO&gt;"</f>
        <v>&lt;PrevisaoVAZAO Posto="182" MesReferencia="1"&gt; 0 0 0 0 0 0 0 0 0 0 0 0 &lt;/PrevisaoVAZAO&gt;</v>
      </c>
      <c r="C322" s="83" t="str">
        <f>SUBSTITUTE(TEXT('Hidrologia - 1'!D225,"0") &amp; " " &amp; TEXT('Hidrologia - 1'!E225,"0")&amp; " " &amp; TEXT('Hidrologia - 1'!F225,"0")&amp; " " &amp; TEXT('Hidrologia - 1'!G225,"0")&amp; " " &amp; TEXT('Hidrologia - 1'!H225,"0")&amp; " " &amp; TEXT('Hidrologia - 1'!I225,"0")&amp; " " &amp; TEXT('Hidrologia - 1'!J225,"0")&amp; " " &amp; TEXT('Hidrologia - 1'!K225,"0")&amp; " " &amp; TEXT('Hidrologia - 1'!L225,"0")&amp; " " &amp; TEXT('Hidrologia - 1'!M225,"0")&amp; " " &amp; TEXT('Hidrologia - 1'!N225,"0")&amp; " " &amp; TEXT('Hidrologia - 1'!O225,"0"),",",".")</f>
        <v>0 0 0 0 0 0 0 0 0 0 0 0</v>
      </c>
    </row>
    <row r="323" spans="1:3" x14ac:dyDescent="0.25">
      <c r="A323" s="82" t="str">
        <f>"&lt;PrevisaoVAZAO Posto="""&amp;'Hidrologia - 1'!B226&amp;""" MesReferencia=""1""&gt; "&amp;C323&amp;" &lt;/PrevisaoVAZAO&gt;"</f>
        <v>&lt;PrevisaoVAZAO Posto="183" MesReferencia="1"&gt; 49 49 42 27 27 22 26 25 41 52 85 142 &lt;/PrevisaoVAZAO&gt;</v>
      </c>
      <c r="C323" s="83" t="str">
        <f>SUBSTITUTE(TEXT('Hidrologia - 1'!D226,"0") &amp; " " &amp; TEXT('Hidrologia - 1'!E226,"0")&amp; " " &amp; TEXT('Hidrologia - 1'!F226,"0")&amp; " " &amp; TEXT('Hidrologia - 1'!G226,"0")&amp; " " &amp; TEXT('Hidrologia - 1'!H226,"0")&amp; " " &amp; TEXT('Hidrologia - 1'!I226,"0")&amp; " " &amp; TEXT('Hidrologia - 1'!J226,"0")&amp; " " &amp; TEXT('Hidrologia - 1'!K226,"0")&amp; " " &amp; TEXT('Hidrologia - 1'!L226,"0")&amp; " " &amp; TEXT('Hidrologia - 1'!M226,"0")&amp; " " &amp; TEXT('Hidrologia - 1'!N226,"0")&amp; " " &amp; TEXT('Hidrologia - 1'!O226,"0"),",",".")</f>
        <v>49 49 42 27 27 22 26 25 41 52 85 142</v>
      </c>
    </row>
    <row r="324" spans="1:3" x14ac:dyDescent="0.25">
      <c r="A324" s="82" t="str">
        <f>"&lt;PrevisaoVAZAO Posto="""&amp;'Hidrologia - 1'!B227&amp;""" MesReferencia=""1""&gt; "&amp;C324&amp;" &lt;/PrevisaoVAZAO&gt;"</f>
        <v>&lt;PrevisaoVAZAO Posto="184" MesReferencia="1"&gt; 0 0 0 0 0 0 0 0 0 0 0 0 &lt;/PrevisaoVAZAO&gt;</v>
      </c>
      <c r="C324" s="83" t="str">
        <f>SUBSTITUTE(TEXT('Hidrologia - 1'!D227,"0") &amp; " " &amp; TEXT('Hidrologia - 1'!E227,"0")&amp; " " &amp; TEXT('Hidrologia - 1'!F227,"0")&amp; " " &amp; TEXT('Hidrologia - 1'!G227,"0")&amp; " " &amp; TEXT('Hidrologia - 1'!H227,"0")&amp; " " &amp; TEXT('Hidrologia - 1'!I227,"0")&amp; " " &amp; TEXT('Hidrologia - 1'!J227,"0")&amp; " " &amp; TEXT('Hidrologia - 1'!K227,"0")&amp; " " &amp; TEXT('Hidrologia - 1'!L227,"0")&amp; " " &amp; TEXT('Hidrologia - 1'!M227,"0")&amp; " " &amp; TEXT('Hidrologia - 1'!N227,"0")&amp; " " &amp; TEXT('Hidrologia - 1'!O227,"0"),",",".")</f>
        <v>0 0 0 0 0 0 0 0 0 0 0 0</v>
      </c>
    </row>
    <row r="325" spans="1:3" x14ac:dyDescent="0.25">
      <c r="A325" s="82" t="str">
        <f>"&lt;PrevisaoVAZAO Posto="""&amp;'Hidrologia - 1'!B228&amp;""" MesReferencia=""1""&gt; "&amp;C325&amp;" &lt;/PrevisaoVAZAO&gt;"</f>
        <v>&lt;PrevisaoVAZAO Posto="185" MesReferencia="1"&gt; 0 0 0 0 0 0 0 0 0 0 0 0 &lt;/PrevisaoVAZAO&gt;</v>
      </c>
      <c r="C325" s="83" t="str">
        <f>SUBSTITUTE(TEXT('Hidrologia - 1'!D228,"0") &amp; " " &amp; TEXT('Hidrologia - 1'!E228,"0")&amp; " " &amp; TEXT('Hidrologia - 1'!F228,"0")&amp; " " &amp; TEXT('Hidrologia - 1'!G228,"0")&amp; " " &amp; TEXT('Hidrologia - 1'!H228,"0")&amp; " " &amp; TEXT('Hidrologia - 1'!I228,"0")&amp; " " &amp; TEXT('Hidrologia - 1'!J228,"0")&amp; " " &amp; TEXT('Hidrologia - 1'!K228,"0")&amp; " " &amp; TEXT('Hidrologia - 1'!L228,"0")&amp; " " &amp; TEXT('Hidrologia - 1'!M228,"0")&amp; " " &amp; TEXT('Hidrologia - 1'!N228,"0")&amp; " " &amp; TEXT('Hidrologia - 1'!O228,"0"),",",".")</f>
        <v>0 0 0 0 0 0 0 0 0 0 0 0</v>
      </c>
    </row>
    <row r="326" spans="1:3" x14ac:dyDescent="0.25">
      <c r="A326" s="82" t="str">
        <f>"&lt;PrevisaoVAZAO Posto="""&amp;'Hidrologia - 1'!B229&amp;""" MesReferencia=""1""&gt; "&amp;C326&amp;" &lt;/PrevisaoVAZAO&gt;"</f>
        <v>&lt;PrevisaoVAZAO Posto="186" MesReferencia="1"&gt; 0 0 0 0 0 0 0 0 0 0 0 0 &lt;/PrevisaoVAZAO&gt;</v>
      </c>
      <c r="C326" s="83" t="str">
        <f>SUBSTITUTE(TEXT('Hidrologia - 1'!D229,"0") &amp; " " &amp; TEXT('Hidrologia - 1'!E229,"0")&amp; " " &amp; TEXT('Hidrologia - 1'!F229,"0")&amp; " " &amp; TEXT('Hidrologia - 1'!G229,"0")&amp; " " &amp; TEXT('Hidrologia - 1'!H229,"0")&amp; " " &amp; TEXT('Hidrologia - 1'!I229,"0")&amp; " " &amp; TEXT('Hidrologia - 1'!J229,"0")&amp; " " &amp; TEXT('Hidrologia - 1'!K229,"0")&amp; " " &amp; TEXT('Hidrologia - 1'!L229,"0")&amp; " " &amp; TEXT('Hidrologia - 1'!M229,"0")&amp; " " &amp; TEXT('Hidrologia - 1'!N229,"0")&amp; " " &amp; TEXT('Hidrologia - 1'!O229,"0"),",",".")</f>
        <v>0 0 0 0 0 0 0 0 0 0 0 0</v>
      </c>
    </row>
    <row r="327" spans="1:3" x14ac:dyDescent="0.25">
      <c r="A327" s="82" t="str">
        <f>"&lt;PrevisaoVAZAO Posto="""&amp;'Hidrologia - 1'!B230&amp;""" MesReferencia=""1""&gt; "&amp;C327&amp;" &lt;/PrevisaoVAZAO&gt;"</f>
        <v>&lt;PrevisaoVAZAO Posto="187" MesReferencia="1"&gt; 122 123 122 101 87 77 68 62 61 68 86 112 &lt;/PrevisaoVAZAO&gt;</v>
      </c>
      <c r="C327" s="83" t="str">
        <f>SUBSTITUTE(TEXT('Hidrologia - 1'!D230,"0") &amp; " " &amp; TEXT('Hidrologia - 1'!E230,"0")&amp; " " &amp; TEXT('Hidrologia - 1'!F230,"0")&amp; " " &amp; TEXT('Hidrologia - 1'!G230,"0")&amp; " " &amp; TEXT('Hidrologia - 1'!H230,"0")&amp; " " &amp; TEXT('Hidrologia - 1'!I230,"0")&amp; " " &amp; TEXT('Hidrologia - 1'!J230,"0")&amp; " " &amp; TEXT('Hidrologia - 1'!K230,"0")&amp; " " &amp; TEXT('Hidrologia - 1'!L230,"0")&amp; " " &amp; TEXT('Hidrologia - 1'!M230,"0")&amp; " " &amp; TEXT('Hidrologia - 1'!N230,"0")&amp; " " &amp; TEXT('Hidrologia - 1'!O230,"0"),",",".")</f>
        <v>122 123 122 101 87 77 68 62 61 68 86 112</v>
      </c>
    </row>
    <row r="328" spans="1:3" x14ac:dyDescent="0.25">
      <c r="A328" s="82" t="str">
        <f>"&lt;PrevisaoVAZAO Posto="""&amp;'Hidrologia - 1'!B231&amp;""" MesReferencia=""1""&gt; "&amp;C328&amp;" &lt;/PrevisaoVAZAO&gt;"</f>
        <v>&lt;PrevisaoVAZAO Posto="188" MesReferencia="1"&gt; 99 322 92 123 49 37 45 41 39 60 161 304 &lt;/PrevisaoVAZAO&gt;</v>
      </c>
      <c r="C328" s="83" t="str">
        <f>SUBSTITUTE(TEXT('Hidrologia - 1'!D231,"0") &amp; " " &amp; TEXT('Hidrologia - 1'!E231,"0")&amp; " " &amp; TEXT('Hidrologia - 1'!F231,"0")&amp; " " &amp; TEXT('Hidrologia - 1'!G231,"0")&amp; " " &amp; TEXT('Hidrologia - 1'!H231,"0")&amp; " " &amp; TEXT('Hidrologia - 1'!I231,"0")&amp; " " &amp; TEXT('Hidrologia - 1'!J231,"0")&amp; " " &amp; TEXT('Hidrologia - 1'!K231,"0")&amp; " " &amp; TEXT('Hidrologia - 1'!L231,"0")&amp; " " &amp; TEXT('Hidrologia - 1'!M231,"0")&amp; " " &amp; TEXT('Hidrologia - 1'!N231,"0")&amp; " " &amp; TEXT('Hidrologia - 1'!O231,"0"),",",".")</f>
        <v>99 322 92 123 49 37 45 41 39 60 161 304</v>
      </c>
    </row>
    <row r="329" spans="1:3" x14ac:dyDescent="0.25">
      <c r="A329" s="82" t="str">
        <f>"&lt;PrevisaoVAZAO Posto="""&amp;'Hidrologia - 1'!B232&amp;""" MesReferencia=""1""&gt; "&amp;C329&amp;" &lt;/PrevisaoVAZAO&gt;"</f>
        <v>&lt;PrevisaoVAZAO Posto="189" MesReferencia="1"&gt; 0 0 0 0 0 0 0 0 0 0 0 0 &lt;/PrevisaoVAZAO&gt;</v>
      </c>
      <c r="C329" s="83" t="str">
        <f>SUBSTITUTE(TEXT('Hidrologia - 1'!D232,"0") &amp; " " &amp; TEXT('Hidrologia - 1'!E232,"0")&amp; " " &amp; TEXT('Hidrologia - 1'!F232,"0")&amp; " " &amp; TEXT('Hidrologia - 1'!G232,"0")&amp; " " &amp; TEXT('Hidrologia - 1'!H232,"0")&amp; " " &amp; TEXT('Hidrologia - 1'!I232,"0")&amp; " " &amp; TEXT('Hidrologia - 1'!J232,"0")&amp; " " &amp; TEXT('Hidrologia - 1'!K232,"0")&amp; " " &amp; TEXT('Hidrologia - 1'!L232,"0")&amp; " " &amp; TEXT('Hidrologia - 1'!M232,"0")&amp; " " &amp; TEXT('Hidrologia - 1'!N232,"0")&amp; " " &amp; TEXT('Hidrologia - 1'!O232,"0"),",",".")</f>
        <v>0 0 0 0 0 0 0 0 0 0 0 0</v>
      </c>
    </row>
    <row r="330" spans="1:3" x14ac:dyDescent="0.25">
      <c r="A330" s="82" t="str">
        <f>"&lt;PrevisaoVAZAO Posto="""&amp;'Hidrologia - 1'!B233&amp;""" MesReferencia=""1""&gt; "&amp;C330&amp;" &lt;/PrevisaoVAZAO&gt;"</f>
        <v>&lt;PrevisaoVAZAO Posto="190" MesReferencia="1"&gt; 318 631 527 472 288 234 184 172 86 102 137 183 &lt;/PrevisaoVAZAO&gt;</v>
      </c>
      <c r="C330" s="83" t="str">
        <f>SUBSTITUTE(TEXT('Hidrologia - 1'!D233,"0") &amp; " " &amp; TEXT('Hidrologia - 1'!E233,"0")&amp; " " &amp; TEXT('Hidrologia - 1'!F233,"0")&amp; " " &amp; TEXT('Hidrologia - 1'!G233,"0")&amp; " " &amp; TEXT('Hidrologia - 1'!H233,"0")&amp; " " &amp; TEXT('Hidrologia - 1'!I233,"0")&amp; " " &amp; TEXT('Hidrologia - 1'!J233,"0")&amp; " " &amp; TEXT('Hidrologia - 1'!K233,"0")&amp; " " &amp; TEXT('Hidrologia - 1'!L233,"0")&amp; " " &amp; TEXT('Hidrologia - 1'!M233,"0")&amp; " " &amp; TEXT('Hidrologia - 1'!N233,"0")&amp; " " &amp; TEXT('Hidrologia - 1'!O233,"0"),",",".")</f>
        <v>318 631 527 472 288 234 184 172 86 102 137 183</v>
      </c>
    </row>
    <row r="331" spans="1:3" x14ac:dyDescent="0.25">
      <c r="A331" s="82" t="str">
        <f>"&lt;PrevisaoVAZAO Posto="""&amp;'Hidrologia - 1'!B234&amp;""" MesReferencia=""1""&gt; "&amp;C331&amp;" &lt;/PrevisaoVAZAO&gt;"</f>
        <v>&lt;PrevisaoVAZAO Posto="191" MesReferencia="1"&gt; 376 810 590 548 284 171 112 98 243 353 635 1172 &lt;/PrevisaoVAZAO&gt;</v>
      </c>
      <c r="C331" s="83" t="str">
        <f>SUBSTITUTE(TEXT('Hidrologia - 1'!D234,"0") &amp; " " &amp; TEXT('Hidrologia - 1'!E234,"0")&amp; " " &amp; TEXT('Hidrologia - 1'!F234,"0")&amp; " " &amp; TEXT('Hidrologia - 1'!G234,"0")&amp; " " &amp; TEXT('Hidrologia - 1'!H234,"0")&amp; " " &amp; TEXT('Hidrologia - 1'!I234,"0")&amp; " " &amp; TEXT('Hidrologia - 1'!J234,"0")&amp; " " &amp; TEXT('Hidrologia - 1'!K234,"0")&amp; " " &amp; TEXT('Hidrologia - 1'!L234,"0")&amp; " " &amp; TEXT('Hidrologia - 1'!M234,"0")&amp; " " &amp; TEXT('Hidrologia - 1'!N234,"0")&amp; " " &amp; TEXT('Hidrologia - 1'!O234,"0"),",",".")</f>
        <v>376 810 590 548 284 171 112 98 243 353 635 1172</v>
      </c>
    </row>
    <row r="332" spans="1:3" x14ac:dyDescent="0.25">
      <c r="A332" s="82" t="str">
        <f>"&lt;PrevisaoVAZAO Posto="""&amp;'Hidrologia - 1'!B235&amp;""" MesReferencia=""1""&gt; "&amp;C332&amp;" &lt;/PrevisaoVAZAO&gt;"</f>
        <v>&lt;PrevisaoVAZAO Posto="192" MesReferencia="1"&gt; 0 0 0 0 0 0 0 0 0 0 0 0 &lt;/PrevisaoVAZAO&gt;</v>
      </c>
      <c r="C332" s="83" t="str">
        <f>SUBSTITUTE(TEXT('Hidrologia - 1'!D235,"0") &amp; " " &amp; TEXT('Hidrologia - 1'!E235,"0")&amp; " " &amp; TEXT('Hidrologia - 1'!F235,"0")&amp; " " &amp; TEXT('Hidrologia - 1'!G235,"0")&amp; " " &amp; TEXT('Hidrologia - 1'!H235,"0")&amp; " " &amp; TEXT('Hidrologia - 1'!I235,"0")&amp; " " &amp; TEXT('Hidrologia - 1'!J235,"0")&amp; " " &amp; TEXT('Hidrologia - 1'!K235,"0")&amp; " " &amp; TEXT('Hidrologia - 1'!L235,"0")&amp; " " &amp; TEXT('Hidrologia - 1'!M235,"0")&amp; " " &amp; TEXT('Hidrologia - 1'!N235,"0")&amp; " " &amp; TEXT('Hidrologia - 1'!O235,"0"),",",".")</f>
        <v>0 0 0 0 0 0 0 0 0 0 0 0</v>
      </c>
    </row>
    <row r="333" spans="1:3" x14ac:dyDescent="0.25">
      <c r="A333" s="82" t="str">
        <f>"&lt;PrevisaoVAZAO Posto="""&amp;'Hidrologia - 1'!B236&amp;""" MesReferencia=""1""&gt; "&amp;C333&amp;" &lt;/PrevisaoVAZAO&gt;"</f>
        <v>&lt;PrevisaoVAZAO Posto="193" MesReferencia="1"&gt; 0 0 0 0 0 0 0 0 0 0 0 0 &lt;/PrevisaoVAZAO&gt;</v>
      </c>
      <c r="C333" s="83" t="str">
        <f>SUBSTITUTE(TEXT('Hidrologia - 1'!D236,"0") &amp; " " &amp; TEXT('Hidrologia - 1'!E236,"0")&amp; " " &amp; TEXT('Hidrologia - 1'!F236,"0")&amp; " " &amp; TEXT('Hidrologia - 1'!G236,"0")&amp; " " &amp; TEXT('Hidrologia - 1'!H236,"0")&amp; " " &amp; TEXT('Hidrologia - 1'!I236,"0")&amp; " " &amp; TEXT('Hidrologia - 1'!J236,"0")&amp; " " &amp; TEXT('Hidrologia - 1'!K236,"0")&amp; " " &amp; TEXT('Hidrologia - 1'!L236,"0")&amp; " " &amp; TEXT('Hidrologia - 1'!M236,"0")&amp; " " &amp; TEXT('Hidrologia - 1'!N236,"0")&amp; " " &amp; TEXT('Hidrologia - 1'!O236,"0"),",",".")</f>
        <v>0 0 0 0 0 0 0 0 0 0 0 0</v>
      </c>
    </row>
    <row r="334" spans="1:3" x14ac:dyDescent="0.25">
      <c r="A334" s="82" t="str">
        <f>"&lt;PrevisaoVAZAO Posto="""&amp;'Hidrologia - 1'!B237&amp;""" MesReferencia=""1""&gt; "&amp;C334&amp;" &lt;/PrevisaoVAZAO&gt;"</f>
        <v>&lt;PrevisaoVAZAO Posto="194" MesReferencia="1"&gt; 0 0 0 0 0 0 0 0 0 0 0 0 &lt;/PrevisaoVAZAO&gt;</v>
      </c>
      <c r="C334" s="83" t="str">
        <f>SUBSTITUTE(TEXT('Hidrologia - 1'!D237,"0") &amp; " " &amp; TEXT('Hidrologia - 1'!E237,"0")&amp; " " &amp; TEXT('Hidrologia - 1'!F237,"0")&amp; " " &amp; TEXT('Hidrologia - 1'!G237,"0")&amp; " " &amp; TEXT('Hidrologia - 1'!H237,"0")&amp; " " &amp; TEXT('Hidrologia - 1'!I237,"0")&amp; " " &amp; TEXT('Hidrologia - 1'!J237,"0")&amp; " " &amp; TEXT('Hidrologia - 1'!K237,"0")&amp; " " &amp; TEXT('Hidrologia - 1'!L237,"0")&amp; " " &amp; TEXT('Hidrologia - 1'!M237,"0")&amp; " " &amp; TEXT('Hidrologia - 1'!N237,"0")&amp; " " &amp; TEXT('Hidrologia - 1'!O237,"0"),",",".")</f>
        <v>0 0 0 0 0 0 0 0 0 0 0 0</v>
      </c>
    </row>
    <row r="335" spans="1:3" x14ac:dyDescent="0.25">
      <c r="A335" s="82" t="str">
        <f>"&lt;PrevisaoVAZAO Posto="""&amp;'Hidrologia - 1'!B238&amp;""" MesReferencia=""1""&gt; "&amp;C335&amp;" &lt;/PrevisaoVAZAO&gt;"</f>
        <v>&lt;PrevisaoVAZAO Posto="195" MesReferencia="1"&gt; 0 0 0 0 0 0 0 0 0 0 0 0 &lt;/PrevisaoVAZAO&gt;</v>
      </c>
      <c r="C335" s="83" t="str">
        <f>SUBSTITUTE(TEXT('Hidrologia - 1'!D238,"0") &amp; " " &amp; TEXT('Hidrologia - 1'!E238,"0")&amp; " " &amp; TEXT('Hidrologia - 1'!F238,"0")&amp; " " &amp; TEXT('Hidrologia - 1'!G238,"0")&amp; " " &amp; TEXT('Hidrologia - 1'!H238,"0")&amp; " " &amp; TEXT('Hidrologia - 1'!I238,"0")&amp; " " &amp; TEXT('Hidrologia - 1'!J238,"0")&amp; " " &amp; TEXT('Hidrologia - 1'!K238,"0")&amp; " " &amp; TEXT('Hidrologia - 1'!L238,"0")&amp; " " &amp; TEXT('Hidrologia - 1'!M238,"0")&amp; " " &amp; TEXT('Hidrologia - 1'!N238,"0")&amp; " " &amp; TEXT('Hidrologia - 1'!O238,"0"),",",".")</f>
        <v>0 0 0 0 0 0 0 0 0 0 0 0</v>
      </c>
    </row>
    <row r="336" spans="1:3" x14ac:dyDescent="0.25">
      <c r="A336" s="82" t="str">
        <f>"&lt;PrevisaoVAZAO Posto="""&amp;'Hidrologia - 1'!B239&amp;""" MesReferencia=""1""&gt; "&amp;C336&amp;" &lt;/PrevisaoVAZAO&gt;"</f>
        <v>&lt;PrevisaoVAZAO Posto="196" MesReferencia="1"&gt; 19 19 18 16 17 12 14 14 15 19 37 57 &lt;/PrevisaoVAZAO&gt;</v>
      </c>
      <c r="C336" s="83" t="str">
        <f>SUBSTITUTE(TEXT('Hidrologia - 1'!D239,"0") &amp; " " &amp; TEXT('Hidrologia - 1'!E239,"0")&amp; " " &amp; TEXT('Hidrologia - 1'!F239,"0")&amp; " " &amp; TEXT('Hidrologia - 1'!G239,"0")&amp; " " &amp; TEXT('Hidrologia - 1'!H239,"0")&amp; " " &amp; TEXT('Hidrologia - 1'!I239,"0")&amp; " " &amp; TEXT('Hidrologia - 1'!J239,"0")&amp; " " &amp; TEXT('Hidrologia - 1'!K239,"0")&amp; " " &amp; TEXT('Hidrologia - 1'!L239,"0")&amp; " " &amp; TEXT('Hidrologia - 1'!M239,"0")&amp; " " &amp; TEXT('Hidrologia - 1'!N239,"0")&amp; " " &amp; TEXT('Hidrologia - 1'!O239,"0"),",",".")</f>
        <v>19 19 18 16 17 12 14 14 15 19 37 57</v>
      </c>
    </row>
    <row r="337" spans="1:3" x14ac:dyDescent="0.25">
      <c r="A337" s="82" t="str">
        <f>"&lt;PrevisaoVAZAO Posto="""&amp;'Hidrologia - 1'!B240&amp;""" MesReferencia=""1""&gt; "&amp;C337&amp;" &lt;/PrevisaoVAZAO&gt;"</f>
        <v>&lt;PrevisaoVAZAO Posto="197" MesReferencia="1"&gt; 40 30 32 24 22 19 16 16 21 24 34 49 &lt;/PrevisaoVAZAO&gt;</v>
      </c>
      <c r="C337" s="83" t="str">
        <f>SUBSTITUTE(TEXT('Hidrologia - 1'!D240,"0") &amp; " " &amp; TEXT('Hidrologia - 1'!E240,"0")&amp; " " &amp; TEXT('Hidrologia - 1'!F240,"0")&amp; " " &amp; TEXT('Hidrologia - 1'!G240,"0")&amp; " " &amp; TEXT('Hidrologia - 1'!H240,"0")&amp; " " &amp; TEXT('Hidrologia - 1'!I240,"0")&amp; " " &amp; TEXT('Hidrologia - 1'!J240,"0")&amp; " " &amp; TEXT('Hidrologia - 1'!K240,"0")&amp; " " &amp; TEXT('Hidrologia - 1'!L240,"0")&amp; " " &amp; TEXT('Hidrologia - 1'!M240,"0")&amp; " " &amp; TEXT('Hidrologia - 1'!N240,"0")&amp; " " &amp; TEXT('Hidrologia - 1'!O240,"0"),",",".")</f>
        <v>40 30 32 24 22 19 16 16 21 24 34 49</v>
      </c>
    </row>
    <row r="338" spans="1:3" x14ac:dyDescent="0.25">
      <c r="A338" s="82" t="str">
        <f>"&lt;PrevisaoVAZAO Posto="""&amp;'Hidrologia - 1'!B241&amp;""" MesReferencia=""1""&gt; "&amp;C338&amp;" &lt;/PrevisaoVAZAO&gt;"</f>
        <v>&lt;PrevisaoVAZAO Posto="198" MesReferencia="1"&gt; 82 58 59 43 42 35 36 36 44 50 69 102 &lt;/PrevisaoVAZAO&gt;</v>
      </c>
      <c r="C338" s="83" t="str">
        <f>SUBSTITUTE(TEXT('Hidrologia - 1'!D241,"0") &amp; " " &amp; TEXT('Hidrologia - 1'!E241,"0")&amp; " " &amp; TEXT('Hidrologia - 1'!F241,"0")&amp; " " &amp; TEXT('Hidrologia - 1'!G241,"0")&amp; " " &amp; TEXT('Hidrologia - 1'!H241,"0")&amp; " " &amp; TEXT('Hidrologia - 1'!I241,"0")&amp; " " &amp; TEXT('Hidrologia - 1'!J241,"0")&amp; " " &amp; TEXT('Hidrologia - 1'!K241,"0")&amp; " " &amp; TEXT('Hidrologia - 1'!L241,"0")&amp; " " &amp; TEXT('Hidrologia - 1'!M241,"0")&amp; " " &amp; TEXT('Hidrologia - 1'!N241,"0")&amp; " " &amp; TEXT('Hidrologia - 1'!O241,"0"),",",".")</f>
        <v>82 58 59 43 42 35 36 36 44 50 69 102</v>
      </c>
    </row>
    <row r="339" spans="1:3" x14ac:dyDescent="0.25">
      <c r="A339" s="82" t="str">
        <f>"&lt;PrevisaoVAZAO Posto="""&amp;'Hidrologia - 1'!B242&amp;""" MesReferencia=""1""&gt; "&amp;C339&amp;" &lt;/PrevisaoVAZAO&gt;"</f>
        <v>&lt;PrevisaoVAZAO Posto="199" MesReferencia="1"&gt; 862 589 690 426 417 334 251 222 335 397 541 815 &lt;/PrevisaoVAZAO&gt;</v>
      </c>
      <c r="C339" s="83" t="str">
        <f>SUBSTITUTE(TEXT('Hidrologia - 1'!D242,"0") &amp; " " &amp; TEXT('Hidrologia - 1'!E242,"0")&amp; " " &amp; TEXT('Hidrologia - 1'!F242,"0")&amp; " " &amp; TEXT('Hidrologia - 1'!G242,"0")&amp; " " &amp; TEXT('Hidrologia - 1'!H242,"0")&amp; " " &amp; TEXT('Hidrologia - 1'!I242,"0")&amp; " " &amp; TEXT('Hidrologia - 1'!J242,"0")&amp; " " &amp; TEXT('Hidrologia - 1'!K242,"0")&amp; " " &amp; TEXT('Hidrologia - 1'!L242,"0")&amp; " " &amp; TEXT('Hidrologia - 1'!M242,"0")&amp; " " &amp; TEXT('Hidrologia - 1'!N242,"0")&amp; " " &amp; TEXT('Hidrologia - 1'!O242,"0"),",",".")</f>
        <v>862 589 690 426 417 334 251 222 335 397 541 815</v>
      </c>
    </row>
    <row r="340" spans="1:3" x14ac:dyDescent="0.25">
      <c r="A340" s="82" t="str">
        <f>"&lt;PrevisaoVAZAO Posto="""&amp;'Hidrologia - 1'!B243&amp;""" MesReferencia=""1""&gt; "&amp;C340&amp;" &lt;/PrevisaoVAZAO&gt;"</f>
        <v>&lt;PrevisaoVAZAO Posto="200" MesReferencia="1"&gt; 0 0 0 0 0 0 0 0 0 0 0 0 &lt;/PrevisaoVAZAO&gt;</v>
      </c>
      <c r="C340" s="83" t="str">
        <f>SUBSTITUTE(TEXT('Hidrologia - 1'!D243,"0") &amp; " " &amp; TEXT('Hidrologia - 1'!E243,"0")&amp; " " &amp; TEXT('Hidrologia - 1'!F243,"0")&amp; " " &amp; TEXT('Hidrologia - 1'!G243,"0")&amp; " " &amp; TEXT('Hidrologia - 1'!H243,"0")&amp; " " &amp; TEXT('Hidrologia - 1'!I243,"0")&amp; " " &amp; TEXT('Hidrologia - 1'!J243,"0")&amp; " " &amp; TEXT('Hidrologia - 1'!K243,"0")&amp; " " &amp; TEXT('Hidrologia - 1'!L243,"0")&amp; " " &amp; TEXT('Hidrologia - 1'!M243,"0")&amp; " " &amp; TEXT('Hidrologia - 1'!N243,"0")&amp; " " &amp; TEXT('Hidrologia - 1'!O243,"0"),",",".")</f>
        <v>0 0 0 0 0 0 0 0 0 0 0 0</v>
      </c>
    </row>
    <row r="341" spans="1:3" x14ac:dyDescent="0.25">
      <c r="A341" s="82" t="str">
        <f>"&lt;PrevisaoVAZAO Posto="""&amp;'Hidrologia - 1'!B244&amp;""" MesReferencia=""1""&gt; "&amp;C341&amp;" &lt;/PrevisaoVAZAO&gt;"</f>
        <v>&lt;PrevisaoVAZAO Posto="201" MesReferencia="1"&gt; 13 7 12 11 8 7 6 6 6 8 12 18 &lt;/PrevisaoVAZAO&gt;</v>
      </c>
      <c r="C341" s="83" t="str">
        <f>SUBSTITUTE(TEXT('Hidrologia - 1'!D244,"0") &amp; " " &amp; TEXT('Hidrologia - 1'!E244,"0")&amp; " " &amp; TEXT('Hidrologia - 1'!F244,"0")&amp; " " &amp; TEXT('Hidrologia - 1'!G244,"0")&amp; " " &amp; TEXT('Hidrologia - 1'!H244,"0")&amp; " " &amp; TEXT('Hidrologia - 1'!I244,"0")&amp; " " &amp; TEXT('Hidrologia - 1'!J244,"0")&amp; " " &amp; TEXT('Hidrologia - 1'!K244,"0")&amp; " " &amp; TEXT('Hidrologia - 1'!L244,"0")&amp; " " &amp; TEXT('Hidrologia - 1'!M244,"0")&amp; " " &amp; TEXT('Hidrologia - 1'!N244,"0")&amp; " " &amp; TEXT('Hidrologia - 1'!O244,"0"),",",".")</f>
        <v>13 7 12 11 8 7 6 6 6 8 12 18</v>
      </c>
    </row>
    <row r="342" spans="1:3" x14ac:dyDescent="0.25">
      <c r="A342" s="82" t="str">
        <f>"&lt;PrevisaoVAZAO Posto="""&amp;'Hidrologia - 1'!B245&amp;""" MesReferencia=""1""&gt; "&amp;C342&amp;" &lt;/PrevisaoVAZAO&gt;"</f>
        <v>&lt;PrevisaoVAZAO Posto="202" MesReferencia="1"&gt; 5 3 5 4 3 3 2 2 3 3 5 8 &lt;/PrevisaoVAZAO&gt;</v>
      </c>
      <c r="C342" s="83" t="str">
        <f>SUBSTITUTE(TEXT('Hidrologia - 1'!D245,"0") &amp; " " &amp; TEXT('Hidrologia - 1'!E245,"0")&amp; " " &amp; TEXT('Hidrologia - 1'!F245,"0")&amp; " " &amp; TEXT('Hidrologia - 1'!G245,"0")&amp; " " &amp; TEXT('Hidrologia - 1'!H245,"0")&amp; " " &amp; TEXT('Hidrologia - 1'!I245,"0")&amp; " " &amp; TEXT('Hidrologia - 1'!J245,"0")&amp; " " &amp; TEXT('Hidrologia - 1'!K245,"0")&amp; " " &amp; TEXT('Hidrologia - 1'!L245,"0")&amp; " " &amp; TEXT('Hidrologia - 1'!M245,"0")&amp; " " &amp; TEXT('Hidrologia - 1'!N245,"0")&amp; " " &amp; TEXT('Hidrologia - 1'!O245,"0"),",",".")</f>
        <v>5 3 5 4 3 3 2 2 3 3 5 8</v>
      </c>
    </row>
    <row r="343" spans="1:3" x14ac:dyDescent="0.25">
      <c r="A343" s="82" t="str">
        <f>"&lt;PrevisaoVAZAO Posto="""&amp;'Hidrologia - 1'!B246&amp;""" MesReferencia=""1""&gt; "&amp;C343&amp;" &lt;/PrevisaoVAZAO&gt;"</f>
        <v>&lt;PrevisaoVAZAO Posto="203" MesReferencia="1"&gt; 19 10 17 16 12 11 9 9 11 13 20 31 &lt;/PrevisaoVAZAO&gt;</v>
      </c>
      <c r="C343" s="83" t="str">
        <f>SUBSTITUTE(TEXT('Hidrologia - 1'!D246,"0") &amp; " " &amp; TEXT('Hidrologia - 1'!E246,"0")&amp; " " &amp; TEXT('Hidrologia - 1'!F246,"0")&amp; " " &amp; TEXT('Hidrologia - 1'!G246,"0")&amp; " " &amp; TEXT('Hidrologia - 1'!H246,"0")&amp; " " &amp; TEXT('Hidrologia - 1'!I246,"0")&amp; " " &amp; TEXT('Hidrologia - 1'!J246,"0")&amp; " " &amp; TEXT('Hidrologia - 1'!K246,"0")&amp; " " &amp; TEXT('Hidrologia - 1'!L246,"0")&amp; " " &amp; TEXT('Hidrologia - 1'!M246,"0")&amp; " " &amp; TEXT('Hidrologia - 1'!N246,"0")&amp; " " &amp; TEXT('Hidrologia - 1'!O246,"0"),",",".")</f>
        <v>19 10 17 16 12 11 9 9 11 13 20 31</v>
      </c>
    </row>
    <row r="344" spans="1:3" x14ac:dyDescent="0.25">
      <c r="A344" s="82" t="str">
        <f>"&lt;PrevisaoVAZAO Posto="""&amp;'Hidrologia - 1'!B247&amp;""" MesReferencia=""1""&gt; "&amp;C344&amp;" &lt;/PrevisaoVAZAO&gt;"</f>
        <v>&lt;PrevisaoVAZAO Posto="204" MesReferencia="1"&gt; 571 1347 2303 1992 1738 1392 979 736 338 201 142 164 &lt;/PrevisaoVAZAO&gt;</v>
      </c>
      <c r="C344" s="83" t="str">
        <f>SUBSTITUTE(TEXT('Hidrologia - 1'!D247,"0") &amp; " " &amp; TEXT('Hidrologia - 1'!E247,"0")&amp; " " &amp; TEXT('Hidrologia - 1'!F247,"0")&amp; " " &amp; TEXT('Hidrologia - 1'!G247,"0")&amp; " " &amp; TEXT('Hidrologia - 1'!H247,"0")&amp; " " &amp; TEXT('Hidrologia - 1'!I247,"0")&amp; " " &amp; TEXT('Hidrologia - 1'!J247,"0")&amp; " " &amp; TEXT('Hidrologia - 1'!K247,"0")&amp; " " &amp; TEXT('Hidrologia - 1'!L247,"0")&amp; " " &amp; TEXT('Hidrologia - 1'!M247,"0")&amp; " " &amp; TEXT('Hidrologia - 1'!N247,"0")&amp; " " &amp; TEXT('Hidrologia - 1'!O247,"0"),",",".")</f>
        <v>571 1347 2303 1992 1738 1392 979 736 338 201 142 164</v>
      </c>
    </row>
    <row r="345" spans="1:3" x14ac:dyDescent="0.25">
      <c r="A345" s="82" t="str">
        <f>"&lt;PrevisaoVAZAO Posto="""&amp;'Hidrologia - 1'!B248&amp;""" MesReferencia=""1""&gt; "&amp;C345&amp;" &lt;/PrevisaoVAZAO&gt;"</f>
        <v>&lt;PrevisaoVAZAO Posto="205" MesReferencia="1"&gt; 76 126 100 88 58 37 27 24 46 60 99 159 &lt;/PrevisaoVAZAO&gt;</v>
      </c>
      <c r="C345" s="83" t="str">
        <f>SUBSTITUTE(TEXT('Hidrologia - 1'!D248,"0") &amp; " " &amp; TEXT('Hidrologia - 1'!E248,"0")&amp; " " &amp; TEXT('Hidrologia - 1'!F248,"0")&amp; " " &amp; TEXT('Hidrologia - 1'!G248,"0")&amp; " " &amp; TEXT('Hidrologia - 1'!H248,"0")&amp; " " &amp; TEXT('Hidrologia - 1'!I248,"0")&amp; " " &amp; TEXT('Hidrologia - 1'!J248,"0")&amp; " " &amp; TEXT('Hidrologia - 1'!K248,"0")&amp; " " &amp; TEXT('Hidrologia - 1'!L248,"0")&amp; " " &amp; TEXT('Hidrologia - 1'!M248,"0")&amp; " " &amp; TEXT('Hidrologia - 1'!N248,"0")&amp; " " &amp; TEXT('Hidrologia - 1'!O248,"0"),",",".")</f>
        <v>76 126 100 88 58 37 27 24 46 60 99 159</v>
      </c>
    </row>
    <row r="346" spans="1:3" x14ac:dyDescent="0.25">
      <c r="A346" s="82" t="str">
        <f>"&lt;PrevisaoVAZAO Posto="""&amp;'Hidrologia - 1'!B249&amp;""" MesReferencia=""1""&gt; "&amp;C346&amp;" &lt;/PrevisaoVAZAO&gt;"</f>
        <v>&lt;PrevisaoVAZAO Posto="206" MesReferencia="1"&gt; 301 333 219 159 165 123 91 77 146 177 260 430 &lt;/PrevisaoVAZAO&gt;</v>
      </c>
      <c r="C346" s="83" t="str">
        <f>SUBSTITUTE(TEXT('Hidrologia - 1'!D249,"0") &amp; " " &amp; TEXT('Hidrologia - 1'!E249,"0")&amp; " " &amp; TEXT('Hidrologia - 1'!F249,"0")&amp; " " &amp; TEXT('Hidrologia - 1'!G249,"0")&amp; " " &amp; TEXT('Hidrologia - 1'!H249,"0")&amp; " " &amp; TEXT('Hidrologia - 1'!I249,"0")&amp; " " &amp; TEXT('Hidrologia - 1'!J249,"0")&amp; " " &amp; TEXT('Hidrologia - 1'!K249,"0")&amp; " " &amp; TEXT('Hidrologia - 1'!L249,"0")&amp; " " &amp; TEXT('Hidrologia - 1'!M249,"0")&amp; " " &amp; TEXT('Hidrologia - 1'!N249,"0")&amp; " " &amp; TEXT('Hidrologia - 1'!O249,"0"),",",".")</f>
        <v>301 333 219 159 165 123 91 77 146 177 260 430</v>
      </c>
    </row>
    <row r="347" spans="1:3" x14ac:dyDescent="0.25">
      <c r="A347" s="82" t="str">
        <f>"&lt;PrevisaoVAZAO Posto="""&amp;'Hidrologia - 1'!B250&amp;""" MesReferencia=""1""&gt; "&amp;C347&amp;" &lt;/PrevisaoVAZAO&gt;"</f>
        <v>&lt;PrevisaoVAZAO Posto="207" MesReferencia="1"&gt; 302 334 221 160 166 124 94 80 149 180 265 437 &lt;/PrevisaoVAZAO&gt;</v>
      </c>
      <c r="C347" s="83" t="str">
        <f>SUBSTITUTE(TEXT('Hidrologia - 1'!D250,"0") &amp; " " &amp; TEXT('Hidrologia - 1'!E250,"0")&amp; " " &amp; TEXT('Hidrologia - 1'!F250,"0")&amp; " " &amp; TEXT('Hidrologia - 1'!G250,"0")&amp; " " &amp; TEXT('Hidrologia - 1'!H250,"0")&amp; " " &amp; TEXT('Hidrologia - 1'!I250,"0")&amp; " " &amp; TEXT('Hidrologia - 1'!J250,"0")&amp; " " &amp; TEXT('Hidrologia - 1'!K250,"0")&amp; " " &amp; TEXT('Hidrologia - 1'!L250,"0")&amp; " " &amp; TEXT('Hidrologia - 1'!M250,"0")&amp; " " &amp; TEXT('Hidrologia - 1'!N250,"0")&amp; " " &amp; TEXT('Hidrologia - 1'!O250,"0"),",",".")</f>
        <v>302 334 221 160 166 124 94 80 149 180 265 437</v>
      </c>
    </row>
    <row r="348" spans="1:3" x14ac:dyDescent="0.25">
      <c r="A348" s="82" t="str">
        <f>"&lt;PrevisaoVAZAO Posto="""&amp;'Hidrologia - 1'!B251&amp;""" MesReferencia=""1""&gt; "&amp;C348&amp;" &lt;/PrevisaoVAZAO&gt;"</f>
        <v>&lt;PrevisaoVAZAO Posto="208" MesReferencia="1"&gt; 0 0 0 0 0 0 0 0 0 0 0 0 &lt;/PrevisaoVAZAO&gt;</v>
      </c>
      <c r="C348" s="83" t="str">
        <f>SUBSTITUTE(TEXT('Hidrologia - 1'!D251,"0") &amp; " " &amp; TEXT('Hidrologia - 1'!E251,"0")&amp; " " &amp; TEXT('Hidrologia - 1'!F251,"0")&amp; " " &amp; TEXT('Hidrologia - 1'!G251,"0")&amp; " " &amp; TEXT('Hidrologia - 1'!H251,"0")&amp; " " &amp; TEXT('Hidrologia - 1'!I251,"0")&amp; " " &amp; TEXT('Hidrologia - 1'!J251,"0")&amp; " " &amp; TEXT('Hidrologia - 1'!K251,"0")&amp; " " &amp; TEXT('Hidrologia - 1'!L251,"0")&amp; " " &amp; TEXT('Hidrologia - 1'!M251,"0")&amp; " " &amp; TEXT('Hidrologia - 1'!N251,"0")&amp; " " &amp; TEXT('Hidrologia - 1'!O251,"0"),",",".")</f>
        <v>0 0 0 0 0 0 0 0 0 0 0 0</v>
      </c>
    </row>
    <row r="349" spans="1:3" x14ac:dyDescent="0.25">
      <c r="A349" s="82" t="str">
        <f>"&lt;PrevisaoVAZAO Posto="""&amp;'Hidrologia - 1'!B252&amp;""" MesReferencia=""1""&gt; "&amp;C349&amp;" &lt;/PrevisaoVAZAO&gt;"</f>
        <v>&lt;PrevisaoVAZAO Posto="209" MesReferencia="1"&gt; 243 351 268 237 166 111 75 62 161 201 336 550 &lt;/PrevisaoVAZAO&gt;</v>
      </c>
      <c r="C349" s="83" t="str">
        <f>SUBSTITUTE(TEXT('Hidrologia - 1'!D252,"0") &amp; " " &amp; TEXT('Hidrologia - 1'!E252,"0")&amp; " " &amp; TEXT('Hidrologia - 1'!F252,"0")&amp; " " &amp; TEXT('Hidrologia - 1'!G252,"0")&amp; " " &amp; TEXT('Hidrologia - 1'!H252,"0")&amp; " " &amp; TEXT('Hidrologia - 1'!I252,"0")&amp; " " &amp; TEXT('Hidrologia - 1'!J252,"0")&amp; " " &amp; TEXT('Hidrologia - 1'!K252,"0")&amp; " " &amp; TEXT('Hidrologia - 1'!L252,"0")&amp; " " &amp; TEXT('Hidrologia - 1'!M252,"0")&amp; " " &amp; TEXT('Hidrologia - 1'!N252,"0")&amp; " " &amp; TEXT('Hidrologia - 1'!O252,"0"),",",".")</f>
        <v>243 351 268 237 166 111 75 62 161 201 336 550</v>
      </c>
    </row>
    <row r="350" spans="1:3" x14ac:dyDescent="0.25">
      <c r="A350" s="82" t="str">
        <f>"&lt;PrevisaoVAZAO Posto="""&amp;'Hidrologia - 1'!B253&amp;""" MesReferencia=""1""&gt; "&amp;C350&amp;" &lt;/PrevisaoVAZAO&gt;"</f>
        <v>&lt;PrevisaoVAZAO Posto="210" MesReferencia="1"&gt; 0 0 0 0 0 0 0 0 0 0 0 0 &lt;/PrevisaoVAZAO&gt;</v>
      </c>
      <c r="C350" s="83" t="str">
        <f>SUBSTITUTE(TEXT('Hidrologia - 1'!D253,"0") &amp; " " &amp; TEXT('Hidrologia - 1'!E253,"0")&amp; " " &amp; TEXT('Hidrologia - 1'!F253,"0")&amp; " " &amp; TEXT('Hidrologia - 1'!G253,"0")&amp; " " &amp; TEXT('Hidrologia - 1'!H253,"0")&amp; " " &amp; TEXT('Hidrologia - 1'!I253,"0")&amp; " " &amp; TEXT('Hidrologia - 1'!J253,"0")&amp; " " &amp; TEXT('Hidrologia - 1'!K253,"0")&amp; " " &amp; TEXT('Hidrologia - 1'!L253,"0")&amp; " " &amp; TEXT('Hidrologia - 1'!M253,"0")&amp; " " &amp; TEXT('Hidrologia - 1'!N253,"0")&amp; " " &amp; TEXT('Hidrologia - 1'!O253,"0"),",",".")</f>
        <v>0 0 0 0 0 0 0 0 0 0 0 0</v>
      </c>
    </row>
    <row r="351" spans="1:3" x14ac:dyDescent="0.25">
      <c r="A351" s="82" t="str">
        <f>"&lt;PrevisaoVAZAO Posto="""&amp;'Hidrologia - 1'!B254&amp;""" MesReferencia=""1""&gt; "&amp;C351&amp;" &lt;/PrevisaoVAZAO&gt;"</f>
        <v>&lt;PrevisaoVAZAO Posto="211" MesReferencia="1"&gt; 312 218 197 140 136 116 90 81 144 171 253 428 &lt;/PrevisaoVAZAO&gt;</v>
      </c>
      <c r="C351" s="83" t="str">
        <f>SUBSTITUTE(TEXT('Hidrologia - 1'!D254,"0") &amp; " " &amp; TEXT('Hidrologia - 1'!E254,"0")&amp; " " &amp; TEXT('Hidrologia - 1'!F254,"0")&amp; " " &amp; TEXT('Hidrologia - 1'!G254,"0")&amp; " " &amp; TEXT('Hidrologia - 1'!H254,"0")&amp; " " &amp; TEXT('Hidrologia - 1'!I254,"0")&amp; " " &amp; TEXT('Hidrologia - 1'!J254,"0")&amp; " " &amp; TEXT('Hidrologia - 1'!K254,"0")&amp; " " &amp; TEXT('Hidrologia - 1'!L254,"0")&amp; " " &amp; TEXT('Hidrologia - 1'!M254,"0")&amp; " " &amp; TEXT('Hidrologia - 1'!N254,"0")&amp; " " &amp; TEXT('Hidrologia - 1'!O254,"0"),",",".")</f>
        <v>312 218 197 140 136 116 90 81 144 171 253 428</v>
      </c>
    </row>
    <row r="352" spans="1:3" x14ac:dyDescent="0.25">
      <c r="A352" s="82" t="str">
        <f>"&lt;PrevisaoVAZAO Posto="""&amp;'Hidrologia - 1'!B255&amp;""" MesReferencia=""1""&gt; "&amp;C352&amp;" &lt;/PrevisaoVAZAO&gt;"</f>
        <v>&lt;PrevisaoVAZAO Posto="212" MesReferencia="1"&gt; 0 0 0 0 0 0 0 0 0 0 0 0 &lt;/PrevisaoVAZAO&gt;</v>
      </c>
      <c r="C352" s="83" t="str">
        <f>SUBSTITUTE(TEXT('Hidrologia - 1'!D255,"0") &amp; " " &amp; TEXT('Hidrologia - 1'!E255,"0")&amp; " " &amp; TEXT('Hidrologia - 1'!F255,"0")&amp; " " &amp; TEXT('Hidrologia - 1'!G255,"0")&amp; " " &amp; TEXT('Hidrologia - 1'!H255,"0")&amp; " " &amp; TEXT('Hidrologia - 1'!I255,"0")&amp; " " &amp; TEXT('Hidrologia - 1'!J255,"0")&amp; " " &amp; TEXT('Hidrologia - 1'!K255,"0")&amp; " " &amp; TEXT('Hidrologia - 1'!L255,"0")&amp; " " &amp; TEXT('Hidrologia - 1'!M255,"0")&amp; " " &amp; TEXT('Hidrologia - 1'!N255,"0")&amp; " " &amp; TEXT('Hidrologia - 1'!O255,"0"),",",".")</f>
        <v>0 0 0 0 0 0 0 0 0 0 0 0</v>
      </c>
    </row>
    <row r="353" spans="1:3" x14ac:dyDescent="0.25">
      <c r="A353" s="82" t="str">
        <f>"&lt;PrevisaoVAZAO Posto="""&amp;'Hidrologia - 1'!B256&amp;""" MesReferencia=""1""&gt; "&amp;C353&amp;" &lt;/PrevisaoVAZAO&gt;"</f>
        <v>&lt;PrevisaoVAZAO Posto="213" MesReferencia="1"&gt; 0 0 0 0 0 0 0 0 0 0 0 0 &lt;/PrevisaoVAZAO&gt;</v>
      </c>
      <c r="C353" s="83" t="str">
        <f>SUBSTITUTE(TEXT('Hidrologia - 1'!D256,"0") &amp; " " &amp; TEXT('Hidrologia - 1'!E256,"0")&amp; " " &amp; TEXT('Hidrologia - 1'!F256,"0")&amp; " " &amp; TEXT('Hidrologia - 1'!G256,"0")&amp; " " &amp; TEXT('Hidrologia - 1'!H256,"0")&amp; " " &amp; TEXT('Hidrologia - 1'!I256,"0")&amp; " " &amp; TEXT('Hidrologia - 1'!J256,"0")&amp; " " &amp; TEXT('Hidrologia - 1'!K256,"0")&amp; " " &amp; TEXT('Hidrologia - 1'!L256,"0")&amp; " " &amp; TEXT('Hidrologia - 1'!M256,"0")&amp; " " &amp; TEXT('Hidrologia - 1'!N256,"0")&amp; " " &amp; TEXT('Hidrologia - 1'!O256,"0"),",",".")</f>
        <v>0 0 0 0 0 0 0 0 0 0 0 0</v>
      </c>
    </row>
    <row r="354" spans="1:3" x14ac:dyDescent="0.25">
      <c r="A354" t="str">
        <f>"&lt;PrevisaoVAZAO Posto="""&amp;'Hidrologia - 1'!B257&amp;""" MesReferencia=""1""&gt; "&amp;C354&amp;" &lt;/PrevisaoVAZAO&gt;"</f>
        <v>&lt;PrevisaoVAZAO Posto="214" MesReferencia="1"&gt; 0 0 0 0 0 0 0 0 0 0 0 0 &lt;/PrevisaoVAZAO&gt;</v>
      </c>
      <c r="C354" s="83" t="str">
        <f>SUBSTITUTE(TEXT('Hidrologia - 1'!D257,"0") &amp; " " &amp; TEXT('Hidrologia - 1'!E257,"0")&amp; " " &amp; TEXT('Hidrologia - 1'!F257,"0")&amp; " " &amp; TEXT('Hidrologia - 1'!G257,"0")&amp; " " &amp; TEXT('Hidrologia - 1'!H257,"0")&amp; " " &amp; TEXT('Hidrologia - 1'!I257,"0")&amp; " " &amp; TEXT('Hidrologia - 1'!J257,"0")&amp; " " &amp; TEXT('Hidrologia - 1'!K257,"0")&amp; " " &amp; TEXT('Hidrologia - 1'!L257,"0")&amp; " " &amp; TEXT('Hidrologia - 1'!M257,"0")&amp; " " &amp; TEXT('Hidrologia - 1'!N257,"0")&amp; " " &amp; TEXT('Hidrologia - 1'!O257,"0"),",",".")</f>
        <v>0 0 0 0 0 0 0 0 0 0 0 0</v>
      </c>
    </row>
    <row r="355" spans="1:3" x14ac:dyDescent="0.25">
      <c r="A355" t="str">
        <f>"&lt;PrevisaoVAZAO Posto="""&amp;'Hidrologia - 1'!B258&amp;""" MesReferencia=""1""&gt; "&amp;C355&amp;" &lt;/PrevisaoVAZAO&gt;"</f>
        <v>&lt;PrevisaoVAZAO Posto="215" MesReferencia="1"&gt; 283 134 65 122 544 931 117 265 438 395 236 189 &lt;/PrevisaoVAZAO&gt;</v>
      </c>
      <c r="C355" s="83" t="str">
        <f>SUBSTITUTE(TEXT('Hidrologia - 1'!D258,"0") &amp; " " &amp; TEXT('Hidrologia - 1'!E258,"0")&amp; " " &amp; TEXT('Hidrologia - 1'!F258,"0")&amp; " " &amp; TEXT('Hidrologia - 1'!G258,"0")&amp; " " &amp; TEXT('Hidrologia - 1'!H258,"0")&amp; " " &amp; TEXT('Hidrologia - 1'!I258,"0")&amp; " " &amp; TEXT('Hidrologia - 1'!J258,"0")&amp; " " &amp; TEXT('Hidrologia - 1'!K258,"0")&amp; " " &amp; TEXT('Hidrologia - 1'!L258,"0")&amp; " " &amp; TEXT('Hidrologia - 1'!M258,"0")&amp; " " &amp; TEXT('Hidrologia - 1'!N258,"0")&amp; " " &amp; TEXT('Hidrologia - 1'!O258,"0"),",",".")</f>
        <v>283 134 65 122 544 931 117 265 438 395 236 189</v>
      </c>
    </row>
    <row r="356" spans="1:3" x14ac:dyDescent="0.25">
      <c r="A356" t="str">
        <f>"&lt;PrevisaoVAZAO Posto="""&amp;'Hidrologia - 1'!B259&amp;""" MesReferencia=""1""&gt; "&amp;C356&amp;" &lt;/PrevisaoVAZAO&gt;"</f>
        <v>&lt;PrevisaoVAZAO Posto="216" MesReferencia="1"&gt; 417 210 140 106 492 1459 180 241 462 491 316 227 &lt;/PrevisaoVAZAO&gt;</v>
      </c>
      <c r="C356" s="83" t="str">
        <f>SUBSTITUTE(TEXT('Hidrologia - 1'!D259,"0") &amp; " " &amp; TEXT('Hidrologia - 1'!E259,"0")&amp; " " &amp; TEXT('Hidrologia - 1'!F259,"0")&amp; " " &amp; TEXT('Hidrologia - 1'!G259,"0")&amp; " " &amp; TEXT('Hidrologia - 1'!H259,"0")&amp; " " &amp; TEXT('Hidrologia - 1'!I259,"0")&amp; " " &amp; TEXT('Hidrologia - 1'!J259,"0")&amp; " " &amp; TEXT('Hidrologia - 1'!K259,"0")&amp; " " &amp; TEXT('Hidrologia - 1'!L259,"0")&amp; " " &amp; TEXT('Hidrologia - 1'!M259,"0")&amp; " " &amp; TEXT('Hidrologia - 1'!N259,"0")&amp; " " &amp; TEXT('Hidrologia - 1'!O259,"0"),",",".")</f>
        <v>417 210 140 106 492 1459 180 241 462 491 316 227</v>
      </c>
    </row>
    <row r="357" spans="1:3" x14ac:dyDescent="0.25">
      <c r="A357" t="str">
        <f>"&lt;PrevisaoVAZAO Posto="""&amp;'Hidrologia - 1'!B260&amp;""" MesReferencia=""1""&gt; "&amp;C357&amp;" &lt;/PrevisaoVAZAO&gt;"</f>
        <v>&lt;PrevisaoVAZAO Posto="217" MesReferencia="1"&gt; 864 459 269 322 1288 3014 338 608 1123 1124 698 519 &lt;/PrevisaoVAZAO&gt;</v>
      </c>
      <c r="C357" s="83" t="str">
        <f>SUBSTITUTE(TEXT('Hidrologia - 1'!D260,"0") &amp; " " &amp; TEXT('Hidrologia - 1'!E260,"0")&amp; " " &amp; TEXT('Hidrologia - 1'!F260,"0")&amp; " " &amp; TEXT('Hidrologia - 1'!G260,"0")&amp; " " &amp; TEXT('Hidrologia - 1'!H260,"0")&amp; " " &amp; TEXT('Hidrologia - 1'!I260,"0")&amp; " " &amp; TEXT('Hidrologia - 1'!J260,"0")&amp; " " &amp; TEXT('Hidrologia - 1'!K260,"0")&amp; " " &amp; TEXT('Hidrologia - 1'!L260,"0")&amp; " " &amp; TEXT('Hidrologia - 1'!M260,"0")&amp; " " &amp; TEXT('Hidrologia - 1'!N260,"0")&amp; " " &amp; TEXT('Hidrologia - 1'!O260,"0"),",",".")</f>
        <v>864 459 269 322 1288 3014 338 608 1123 1124 698 519</v>
      </c>
    </row>
    <row r="358" spans="1:3" x14ac:dyDescent="0.25">
      <c r="A358" t="str">
        <f>"&lt;PrevisaoVAZAO Posto="""&amp;'Hidrologia - 1'!B261&amp;""" MesReferencia=""1""&gt; "&amp;C358&amp;" &lt;/PrevisaoVAZAO&gt;"</f>
        <v>&lt;PrevisaoVAZAO Posto="218" MesReferencia="1"&gt; 0 0 0 0 0 0 0 0 0 0 0 0 &lt;/PrevisaoVAZAO&gt;</v>
      </c>
      <c r="C358" s="83" t="str">
        <f>SUBSTITUTE(TEXT('Hidrologia - 1'!D261,"0") &amp; " " &amp; TEXT('Hidrologia - 1'!E261,"0")&amp; " " &amp; TEXT('Hidrologia - 1'!F261,"0")&amp; " " &amp; TEXT('Hidrologia - 1'!G261,"0")&amp; " " &amp; TEXT('Hidrologia - 1'!H261,"0")&amp; " " &amp; TEXT('Hidrologia - 1'!I261,"0")&amp; " " &amp; TEXT('Hidrologia - 1'!J261,"0")&amp; " " &amp; TEXT('Hidrologia - 1'!K261,"0")&amp; " " &amp; TEXT('Hidrologia - 1'!L261,"0")&amp; " " &amp; TEXT('Hidrologia - 1'!M261,"0")&amp; " " &amp; TEXT('Hidrologia - 1'!N261,"0")&amp; " " &amp; TEXT('Hidrologia - 1'!O261,"0"),",",".")</f>
        <v>0 0 0 0 0 0 0 0 0 0 0 0</v>
      </c>
    </row>
    <row r="359" spans="1:3" x14ac:dyDescent="0.25">
      <c r="A359" t="str">
        <f>"&lt;PrevisaoVAZAO Posto="""&amp;'Hidrologia - 1'!B262&amp;""" MesReferencia=""1""&gt; "&amp;C359&amp;" &lt;/PrevisaoVAZAO&gt;"</f>
        <v>&lt;PrevisaoVAZAO Posto="219" MesReferencia="1"&gt; 0 0 0 0 0 0 0 0 0 0 0 0 &lt;/PrevisaoVAZAO&gt;</v>
      </c>
      <c r="C359" s="83" t="str">
        <f>SUBSTITUTE(TEXT('Hidrologia - 1'!D262,"0") &amp; " " &amp; TEXT('Hidrologia - 1'!E262,"0")&amp; " " &amp; TEXT('Hidrologia - 1'!F262,"0")&amp; " " &amp; TEXT('Hidrologia - 1'!G262,"0")&amp; " " &amp; TEXT('Hidrologia - 1'!H262,"0")&amp; " " &amp; TEXT('Hidrologia - 1'!I262,"0")&amp; " " &amp; TEXT('Hidrologia - 1'!J262,"0")&amp; " " &amp; TEXT('Hidrologia - 1'!K262,"0")&amp; " " &amp; TEXT('Hidrologia - 1'!L262,"0")&amp; " " &amp; TEXT('Hidrologia - 1'!M262,"0")&amp; " " &amp; TEXT('Hidrologia - 1'!N262,"0")&amp; " " &amp; TEXT('Hidrologia - 1'!O262,"0"),",",".")</f>
        <v>0 0 0 0 0 0 0 0 0 0 0 0</v>
      </c>
    </row>
    <row r="360" spans="1:3" x14ac:dyDescent="0.25">
      <c r="A360" t="str">
        <f>"&lt;PrevisaoVAZAO Posto="""&amp;'Hidrologia - 1'!B263&amp;""" MesReferencia=""1""&gt; "&amp;C360&amp;" &lt;/PrevisaoVAZAO&gt;"</f>
        <v>&lt;PrevisaoVAZAO Posto="220" MesReferencia="1"&gt; 56 53 55 160 328 419 80 89 131 148 103 80 &lt;/PrevisaoVAZAO&gt;</v>
      </c>
      <c r="C360" s="83" t="str">
        <f>SUBSTITUTE(TEXT('Hidrologia - 1'!D263,"0") &amp; " " &amp; TEXT('Hidrologia - 1'!E263,"0")&amp; " " &amp; TEXT('Hidrologia - 1'!F263,"0")&amp; " " &amp; TEXT('Hidrologia - 1'!G263,"0")&amp; " " &amp; TEXT('Hidrologia - 1'!H263,"0")&amp; " " &amp; TEXT('Hidrologia - 1'!I263,"0")&amp; " " &amp; TEXT('Hidrologia - 1'!J263,"0")&amp; " " &amp; TEXT('Hidrologia - 1'!K263,"0")&amp; " " &amp; TEXT('Hidrologia - 1'!L263,"0")&amp; " " &amp; TEXT('Hidrologia - 1'!M263,"0")&amp; " " &amp; TEXT('Hidrologia - 1'!N263,"0")&amp; " " &amp; TEXT('Hidrologia - 1'!O263,"0"),",",".")</f>
        <v>56 53 55 160 328 419 80 89 131 148 103 80</v>
      </c>
    </row>
    <row r="361" spans="1:3" x14ac:dyDescent="0.25">
      <c r="A361" t="str">
        <f>"&lt;PrevisaoVAZAO Posto="""&amp;'Hidrologia - 1'!B264&amp;""" MesReferencia=""1""&gt; "&amp;C361&amp;" &lt;/PrevisaoVAZAO&gt;"</f>
        <v>&lt;PrevisaoVAZAO Posto="221" MesReferencia="1"&gt; 0 0 0 0 0 0 0 0 0 0 0 0 &lt;/PrevisaoVAZAO&gt;</v>
      </c>
      <c r="C361" s="83" t="str">
        <f>SUBSTITUTE(TEXT('Hidrologia - 1'!D264,"0") &amp; " " &amp; TEXT('Hidrologia - 1'!E264,"0")&amp; " " &amp; TEXT('Hidrologia - 1'!F264,"0")&amp; " " &amp; TEXT('Hidrologia - 1'!G264,"0")&amp; " " &amp; TEXT('Hidrologia - 1'!H264,"0")&amp; " " &amp; TEXT('Hidrologia - 1'!I264,"0")&amp; " " &amp; TEXT('Hidrologia - 1'!J264,"0")&amp; " " &amp; TEXT('Hidrologia - 1'!K264,"0")&amp; " " &amp; TEXT('Hidrologia - 1'!L264,"0")&amp; " " &amp; TEXT('Hidrologia - 1'!M264,"0")&amp; " " &amp; TEXT('Hidrologia - 1'!N264,"0")&amp; " " &amp; TEXT('Hidrologia - 1'!O264,"0"),",",".")</f>
        <v>0 0 0 0 0 0 0 0 0 0 0 0</v>
      </c>
    </row>
    <row r="362" spans="1:3" x14ac:dyDescent="0.25">
      <c r="A362" t="str">
        <f>"&lt;PrevisaoVAZAO Posto="""&amp;'Hidrologia - 1'!B265&amp;""" MesReferencia=""1""&gt; "&amp;C362&amp;" &lt;/PrevisaoVAZAO&gt;"</f>
        <v>&lt;PrevisaoVAZAO Posto="222" MesReferencia="1"&gt; 1774 1518 1094 634 1481 2743 639 688 1466 1960 1474 1189 &lt;/PrevisaoVAZAO&gt;</v>
      </c>
      <c r="C362" s="83" t="str">
        <f>SUBSTITUTE(TEXT('Hidrologia - 1'!D265,"0") &amp; " " &amp; TEXT('Hidrologia - 1'!E265,"0")&amp; " " &amp; TEXT('Hidrologia - 1'!F265,"0")&amp; " " &amp; TEXT('Hidrologia - 1'!G265,"0")&amp; " " &amp; TEXT('Hidrologia - 1'!H265,"0")&amp; " " &amp; TEXT('Hidrologia - 1'!I265,"0")&amp; " " &amp; TEXT('Hidrologia - 1'!J265,"0")&amp; " " &amp; TEXT('Hidrologia - 1'!K265,"0")&amp; " " &amp; TEXT('Hidrologia - 1'!L265,"0")&amp; " " &amp; TEXT('Hidrologia - 1'!M265,"0")&amp; " " &amp; TEXT('Hidrologia - 1'!N265,"0")&amp; " " &amp; TEXT('Hidrologia - 1'!O265,"0"),",",".")</f>
        <v>1774 1518 1094 634 1481 2743 639 688 1466 1960 1474 1189</v>
      </c>
    </row>
    <row r="363" spans="1:3" x14ac:dyDescent="0.25">
      <c r="A363" t="str">
        <f>"&lt;PrevisaoVAZAO Posto="""&amp;'Hidrologia - 1'!B266&amp;""" MesReferencia=""1""&gt; "&amp;C363&amp;" &lt;/PrevisaoVAZAO&gt;"</f>
        <v>&lt;PrevisaoVAZAO Posto="223" MesReferencia="1"&gt; 0 0 0 0 0 0 0 0 0 0 0 0 &lt;/PrevisaoVAZAO&gt;</v>
      </c>
      <c r="C363" s="83" t="str">
        <f>SUBSTITUTE(TEXT('Hidrologia - 1'!D266,"0") &amp; " " &amp; TEXT('Hidrologia - 1'!E266,"0")&amp; " " &amp; TEXT('Hidrologia - 1'!F266,"0")&amp; " " &amp; TEXT('Hidrologia - 1'!G266,"0")&amp; " " &amp; TEXT('Hidrologia - 1'!H266,"0")&amp; " " &amp; TEXT('Hidrologia - 1'!I266,"0")&amp; " " &amp; TEXT('Hidrologia - 1'!J266,"0")&amp; " " &amp; TEXT('Hidrologia - 1'!K266,"0")&amp; " " &amp; TEXT('Hidrologia - 1'!L266,"0")&amp; " " &amp; TEXT('Hidrologia - 1'!M266,"0")&amp; " " &amp; TEXT('Hidrologia - 1'!N266,"0")&amp; " " &amp; TEXT('Hidrologia - 1'!O266,"0"),",",".")</f>
        <v>0 0 0 0 0 0 0 0 0 0 0 0</v>
      </c>
    </row>
    <row r="364" spans="1:3" x14ac:dyDescent="0.25">
      <c r="A364" t="str">
        <f>"&lt;PrevisaoVAZAO Posto="""&amp;'Hidrologia - 1'!B267&amp;""" MesReferencia=""1""&gt; "&amp;C364&amp;" &lt;/PrevisaoVAZAO&gt;"</f>
        <v>&lt;PrevisaoVAZAO Posto="224" MesReferencia="1"&gt; 0 0 0 0 0 0 0 0 0 0 0 0 &lt;/PrevisaoVAZAO&gt;</v>
      </c>
      <c r="C364" s="83" t="str">
        <f>SUBSTITUTE(TEXT('Hidrologia - 1'!D267,"0") &amp; " " &amp; TEXT('Hidrologia - 1'!E267,"0")&amp; " " &amp; TEXT('Hidrologia - 1'!F267,"0")&amp; " " &amp; TEXT('Hidrologia - 1'!G267,"0")&amp; " " &amp; TEXT('Hidrologia - 1'!H267,"0")&amp; " " &amp; TEXT('Hidrologia - 1'!I267,"0")&amp; " " &amp; TEXT('Hidrologia - 1'!J267,"0")&amp; " " &amp; TEXT('Hidrologia - 1'!K267,"0")&amp; " " &amp; TEXT('Hidrologia - 1'!L267,"0")&amp; " " &amp; TEXT('Hidrologia - 1'!M267,"0")&amp; " " &amp; TEXT('Hidrologia - 1'!N267,"0")&amp; " " &amp; TEXT('Hidrologia - 1'!O267,"0"),",",".")</f>
        <v>0 0 0 0 0 0 0 0 0 0 0 0</v>
      </c>
    </row>
    <row r="365" spans="1:3" x14ac:dyDescent="0.25">
      <c r="A365" t="str">
        <f>"&lt;PrevisaoVAZAO Posto="""&amp;'Hidrologia - 1'!B268&amp;""" MesReferencia=""1""&gt; "&amp;C365&amp;" &lt;/PrevisaoVAZAO&gt;"</f>
        <v>&lt;PrevisaoVAZAO Posto="225" MesReferencia="1"&gt; 379 476 511 376 187 75 40 25 20 31 76 213 &lt;/PrevisaoVAZAO&gt;</v>
      </c>
      <c r="C365" s="83" t="str">
        <f>SUBSTITUTE(TEXT('Hidrologia - 1'!D268,"0") &amp; " " &amp; TEXT('Hidrologia - 1'!E268,"0")&amp; " " &amp; TEXT('Hidrologia - 1'!F268,"0")&amp; " " &amp; TEXT('Hidrologia - 1'!G268,"0")&amp; " " &amp; TEXT('Hidrologia - 1'!H268,"0")&amp; " " &amp; TEXT('Hidrologia - 1'!I268,"0")&amp; " " &amp; TEXT('Hidrologia - 1'!J268,"0")&amp; " " &amp; TEXT('Hidrologia - 1'!K268,"0")&amp; " " &amp; TEXT('Hidrologia - 1'!L268,"0")&amp; " " &amp; TEXT('Hidrologia - 1'!M268,"0")&amp; " " &amp; TEXT('Hidrologia - 1'!N268,"0")&amp; " " &amp; TEXT('Hidrologia - 1'!O268,"0"),",",".")</f>
        <v>379 476 511 376 187 75 40 25 20 31 76 213</v>
      </c>
    </row>
    <row r="366" spans="1:3" x14ac:dyDescent="0.25">
      <c r="A366" t="str">
        <f>"&lt;PrevisaoVAZAO Posto="""&amp;'Hidrologia - 1'!B269&amp;""" MesReferencia=""1""&gt; "&amp;C366&amp;" &lt;/PrevisaoVAZAO&gt;"</f>
        <v>&lt;PrevisaoVAZAO Posto="226" MesReferencia="1"&gt; 0 0 0 0 0 0 0 0 0 0 0 0 &lt;/PrevisaoVAZAO&gt;</v>
      </c>
      <c r="C366" s="83" t="str">
        <f>SUBSTITUTE(TEXT('Hidrologia - 1'!D269,"0") &amp; " " &amp; TEXT('Hidrologia - 1'!E269,"0")&amp; " " &amp; TEXT('Hidrologia - 1'!F269,"0")&amp; " " &amp; TEXT('Hidrologia - 1'!G269,"0")&amp; " " &amp; TEXT('Hidrologia - 1'!H269,"0")&amp; " " &amp; TEXT('Hidrologia - 1'!I269,"0")&amp; " " &amp; TEXT('Hidrologia - 1'!J269,"0")&amp; " " &amp; TEXT('Hidrologia - 1'!K269,"0")&amp; " " &amp; TEXT('Hidrologia - 1'!L269,"0")&amp; " " &amp; TEXT('Hidrologia - 1'!M269,"0")&amp; " " &amp; TEXT('Hidrologia - 1'!N269,"0")&amp; " " &amp; TEXT('Hidrologia - 1'!O269,"0"),",",".")</f>
        <v>0 0 0 0 0 0 0 0 0 0 0 0</v>
      </c>
    </row>
    <row r="367" spans="1:3" x14ac:dyDescent="0.25">
      <c r="A367" t="str">
        <f>"&lt;PrevisaoVAZAO Posto="""&amp;'Hidrologia - 1'!B270&amp;""" MesReferencia=""1""&gt; "&amp;C367&amp;" &lt;/PrevisaoVAZAO&gt;"</f>
        <v>&lt;PrevisaoVAZAO Posto="227" MesReferencia="1"&gt; 1148 1658 1784 1405 894 597 369 321 412 480 702 1085 &lt;/PrevisaoVAZAO&gt;</v>
      </c>
      <c r="C367" s="83" t="str">
        <f>SUBSTITUTE(TEXT('Hidrologia - 1'!D270,"0") &amp; " " &amp; TEXT('Hidrologia - 1'!E270,"0")&amp; " " &amp; TEXT('Hidrologia - 1'!F270,"0")&amp; " " &amp; TEXT('Hidrologia - 1'!G270,"0")&amp; " " &amp; TEXT('Hidrologia - 1'!H270,"0")&amp; " " &amp; TEXT('Hidrologia - 1'!I270,"0")&amp; " " &amp; TEXT('Hidrologia - 1'!J270,"0")&amp; " " &amp; TEXT('Hidrologia - 1'!K270,"0")&amp; " " &amp; TEXT('Hidrologia - 1'!L270,"0")&amp; " " &amp; TEXT('Hidrologia - 1'!M270,"0")&amp; " " &amp; TEXT('Hidrologia - 1'!N270,"0")&amp; " " &amp; TEXT('Hidrologia - 1'!O270,"0"),",",".")</f>
        <v>1148 1658 1784 1405 894 597 369 321 412 480 702 1085</v>
      </c>
    </row>
    <row r="368" spans="1:3" x14ac:dyDescent="0.25">
      <c r="A368" t="str">
        <f>"&lt;PrevisaoVAZAO Posto="""&amp;'Hidrologia - 1'!B271&amp;""" MesReferencia=""1""&gt; "&amp;C368&amp;" &lt;/PrevisaoVAZAO&gt;"</f>
        <v>&lt;PrevisaoVAZAO Posto="228" MesReferencia="1"&gt; 1254 1809 1949 1534 975 652 403 351 451 525 767 1186 &lt;/PrevisaoVAZAO&gt;</v>
      </c>
      <c r="C368" s="83" t="str">
        <f>SUBSTITUTE(TEXT('Hidrologia - 1'!D271,"0") &amp; " " &amp; TEXT('Hidrologia - 1'!E271,"0")&amp; " " &amp; TEXT('Hidrologia - 1'!F271,"0")&amp; " " &amp; TEXT('Hidrologia - 1'!G271,"0")&amp; " " &amp; TEXT('Hidrologia - 1'!H271,"0")&amp; " " &amp; TEXT('Hidrologia - 1'!I271,"0")&amp; " " &amp; TEXT('Hidrologia - 1'!J271,"0")&amp; " " &amp; TEXT('Hidrologia - 1'!K271,"0")&amp; " " &amp; TEXT('Hidrologia - 1'!L271,"0")&amp; " " &amp; TEXT('Hidrologia - 1'!M271,"0")&amp; " " &amp; TEXT('Hidrologia - 1'!N271,"0")&amp; " " &amp; TEXT('Hidrologia - 1'!O271,"0"),",",".")</f>
        <v>1254 1809 1949 1534 975 652 403 351 451 525 767 1186</v>
      </c>
    </row>
    <row r="369" spans="1:3" x14ac:dyDescent="0.25">
      <c r="A369" t="str">
        <f>"&lt;PrevisaoVAZAO Posto="""&amp;'Hidrologia - 1'!B272&amp;""" MesReferencia=""1""&gt; "&amp;C369&amp;" &lt;/PrevisaoVAZAO&gt;"</f>
        <v>&lt;PrevisaoVAZAO Posto="229" MesReferencia="1"&gt; 2715 4410 5070 4029 2325 1278 749 592 706 887 1478 2564 &lt;/PrevisaoVAZAO&gt;</v>
      </c>
      <c r="C369" s="83" t="str">
        <f>SUBSTITUTE(TEXT('Hidrologia - 1'!D272,"0") &amp; " " &amp; TEXT('Hidrologia - 1'!E272,"0")&amp; " " &amp; TEXT('Hidrologia - 1'!F272,"0")&amp; " " &amp; TEXT('Hidrologia - 1'!G272,"0")&amp; " " &amp; TEXT('Hidrologia - 1'!H272,"0")&amp; " " &amp; TEXT('Hidrologia - 1'!I272,"0")&amp; " " &amp; TEXT('Hidrologia - 1'!J272,"0")&amp; " " &amp; TEXT('Hidrologia - 1'!K272,"0")&amp; " " &amp; TEXT('Hidrologia - 1'!L272,"0")&amp; " " &amp; TEXT('Hidrologia - 1'!M272,"0")&amp; " " &amp; TEXT('Hidrologia - 1'!N272,"0")&amp; " " &amp; TEXT('Hidrologia - 1'!O272,"0"),",",".")</f>
        <v>2715 4410 5070 4029 2325 1278 749 592 706 887 1478 2564</v>
      </c>
    </row>
    <row r="370" spans="1:3" x14ac:dyDescent="0.25">
      <c r="A370" t="str">
        <f>"&lt;PrevisaoVAZAO Posto="""&amp;'Hidrologia - 1'!B273&amp;""" MesReferencia=""1""&gt; "&amp;C370&amp;" &lt;/PrevisaoVAZAO&gt;"</f>
        <v>&lt;PrevisaoVAZAO Posto="230" MesReferencia="1"&gt; 2739 4450 5116 4066 2346 1289 595 441 712 896 1493 2588 &lt;/PrevisaoVAZAO&gt;</v>
      </c>
      <c r="C370" s="83" t="str">
        <f>SUBSTITUTE(TEXT('Hidrologia - 1'!D273,"0") &amp; " " &amp; TEXT('Hidrologia - 1'!E273,"0")&amp; " " &amp; TEXT('Hidrologia - 1'!F273,"0")&amp; " " &amp; TEXT('Hidrologia - 1'!G273,"0")&amp; " " &amp; TEXT('Hidrologia - 1'!H273,"0")&amp; " " &amp; TEXT('Hidrologia - 1'!I273,"0")&amp; " " &amp; TEXT('Hidrologia - 1'!J273,"0")&amp; " " &amp; TEXT('Hidrologia - 1'!K273,"0")&amp; " " &amp; TEXT('Hidrologia - 1'!L273,"0")&amp; " " &amp; TEXT('Hidrologia - 1'!M273,"0")&amp; " " &amp; TEXT('Hidrologia - 1'!N273,"0")&amp; " " &amp; TEXT('Hidrologia - 1'!O273,"0"),",",".")</f>
        <v>2739 4450 5116 4066 2346 1289 595 441 712 896 1493 2588</v>
      </c>
    </row>
    <row r="371" spans="1:3" x14ac:dyDescent="0.25">
      <c r="A371" t="str">
        <f>"&lt;PrevisaoVAZAO Posto="""&amp;'Hidrologia - 1'!B274&amp;""" MesReferencia=""1""&gt; "&amp;C371&amp;" &lt;/PrevisaoVAZAO&gt;"</f>
        <v>&lt;PrevisaoVAZAO Posto="231" MesReferencia="1"&gt; 0 0 0 0 0 0 0 0 0 0 0 0 &lt;/PrevisaoVAZAO&gt;</v>
      </c>
      <c r="C371" s="83" t="str">
        <f>SUBSTITUTE(TEXT('Hidrologia - 1'!D274,"0") &amp; " " &amp; TEXT('Hidrologia - 1'!E274,"0")&amp; " " &amp; TEXT('Hidrologia - 1'!F274,"0")&amp; " " &amp; TEXT('Hidrologia - 1'!G274,"0")&amp; " " &amp; TEXT('Hidrologia - 1'!H274,"0")&amp; " " &amp; TEXT('Hidrologia - 1'!I274,"0")&amp; " " &amp; TEXT('Hidrologia - 1'!J274,"0")&amp; " " &amp; TEXT('Hidrologia - 1'!K274,"0")&amp; " " &amp; TEXT('Hidrologia - 1'!L274,"0")&amp; " " &amp; TEXT('Hidrologia - 1'!M274,"0")&amp; " " &amp; TEXT('Hidrologia - 1'!N274,"0")&amp; " " &amp; TEXT('Hidrologia - 1'!O274,"0"),",",".")</f>
        <v>0 0 0 0 0 0 0 0 0 0 0 0</v>
      </c>
    </row>
    <row r="372" spans="1:3" x14ac:dyDescent="0.25">
      <c r="A372" t="str">
        <f>"&lt;PrevisaoVAZAO Posto="""&amp;'Hidrologia - 1'!B275&amp;""" MesReferencia=""1""&gt; "&amp;C372&amp;" &lt;/PrevisaoVAZAO&gt;"</f>
        <v>&lt;PrevisaoVAZAO Posto="232" MesReferencia="1"&gt; 0 0 0 0 0 0 0 0 0 0 0 0 &lt;/PrevisaoVAZAO&gt;</v>
      </c>
      <c r="C372" s="83" t="str">
        <f>SUBSTITUTE(TEXT('Hidrologia - 1'!D275,"0") &amp; " " &amp; TEXT('Hidrologia - 1'!E275,"0")&amp; " " &amp; TEXT('Hidrologia - 1'!F275,"0")&amp; " " &amp; TEXT('Hidrologia - 1'!G275,"0")&amp; " " &amp; TEXT('Hidrologia - 1'!H275,"0")&amp; " " &amp; TEXT('Hidrologia - 1'!I275,"0")&amp; " " &amp; TEXT('Hidrologia - 1'!J275,"0")&amp; " " &amp; TEXT('Hidrologia - 1'!K275,"0")&amp; " " &amp; TEXT('Hidrologia - 1'!L275,"0")&amp; " " &amp; TEXT('Hidrologia - 1'!M275,"0")&amp; " " &amp; TEXT('Hidrologia - 1'!N275,"0")&amp; " " &amp; TEXT('Hidrologia - 1'!O275,"0"),",",".")</f>
        <v>0 0 0 0 0 0 0 0 0 0 0 0</v>
      </c>
    </row>
    <row r="373" spans="1:3" x14ac:dyDescent="0.25">
      <c r="A373" t="str">
        <f>"&lt;PrevisaoVAZAO Posto="""&amp;'Hidrologia - 1'!B276&amp;""" MesReferencia=""1""&gt; "&amp;C373&amp;" &lt;/PrevisaoVAZAO&gt;"</f>
        <v>&lt;PrevisaoVAZAO Posto="233" MesReferencia="1"&gt; 0 0 0 0 0 0 0 0 0 0 0 0 &lt;/PrevisaoVAZAO&gt;</v>
      </c>
      <c r="C373" s="83" t="str">
        <f>SUBSTITUTE(TEXT('Hidrologia - 1'!D276,"0") &amp; " " &amp; TEXT('Hidrologia - 1'!E276,"0")&amp; " " &amp; TEXT('Hidrologia - 1'!F276,"0")&amp; " " &amp; TEXT('Hidrologia - 1'!G276,"0")&amp; " " &amp; TEXT('Hidrologia - 1'!H276,"0")&amp; " " &amp; TEXT('Hidrologia - 1'!I276,"0")&amp; " " &amp; TEXT('Hidrologia - 1'!J276,"0")&amp; " " &amp; TEXT('Hidrologia - 1'!K276,"0")&amp; " " &amp; TEXT('Hidrologia - 1'!L276,"0")&amp; " " &amp; TEXT('Hidrologia - 1'!M276,"0")&amp; " " &amp; TEXT('Hidrologia - 1'!N276,"0")&amp; " " &amp; TEXT('Hidrologia - 1'!O276,"0"),",",".")</f>
        <v>0 0 0 0 0 0 0 0 0 0 0 0</v>
      </c>
    </row>
    <row r="374" spans="1:3" x14ac:dyDescent="0.25">
      <c r="A374" t="str">
        <f>"&lt;PrevisaoVAZAO Posto="""&amp;'Hidrologia - 1'!B277&amp;""" MesReferencia=""1""&gt; "&amp;C374&amp;" &lt;/PrevisaoVAZAO&gt;"</f>
        <v>&lt;PrevisaoVAZAO Posto="234" MesReferencia="1"&gt; 0 0 0 0 0 0 0 0 0 0 0 0 &lt;/PrevisaoVAZAO&gt;</v>
      </c>
      <c r="C374" s="83" t="str">
        <f>SUBSTITUTE(TEXT('Hidrologia - 1'!D277,"0") &amp; " " &amp; TEXT('Hidrologia - 1'!E277,"0")&amp; " " &amp; TEXT('Hidrologia - 1'!F277,"0")&amp; " " &amp; TEXT('Hidrologia - 1'!G277,"0")&amp; " " &amp; TEXT('Hidrologia - 1'!H277,"0")&amp; " " &amp; TEXT('Hidrologia - 1'!I277,"0")&amp; " " &amp; TEXT('Hidrologia - 1'!J277,"0")&amp; " " &amp; TEXT('Hidrologia - 1'!K277,"0")&amp; " " &amp; TEXT('Hidrologia - 1'!L277,"0")&amp; " " &amp; TEXT('Hidrologia - 1'!M277,"0")&amp; " " &amp; TEXT('Hidrologia - 1'!N277,"0")&amp; " " &amp; TEXT('Hidrologia - 1'!O277,"0"),",",".")</f>
        <v>0 0 0 0 0 0 0 0 0 0 0 0</v>
      </c>
    </row>
    <row r="375" spans="1:3" x14ac:dyDescent="0.25">
      <c r="A375" t="str">
        <f>"&lt;PrevisaoVAZAO Posto="""&amp;'Hidrologia - 1'!B278&amp;""" MesReferencia=""1""&gt; "&amp;C375&amp;" &lt;/PrevisaoVAZAO&gt;"</f>
        <v>&lt;PrevisaoVAZAO Posto="235" MesReferencia="1"&gt; 0 0 0 0 0 0 0 0 0 0 0 0 &lt;/PrevisaoVAZAO&gt;</v>
      </c>
      <c r="C375" s="83" t="str">
        <f>SUBSTITUTE(TEXT('Hidrologia - 1'!D278,"0") &amp; " " &amp; TEXT('Hidrologia - 1'!E278,"0")&amp; " " &amp; TEXT('Hidrologia - 1'!F278,"0")&amp; " " &amp; TEXT('Hidrologia - 1'!G278,"0")&amp; " " &amp; TEXT('Hidrologia - 1'!H278,"0")&amp; " " &amp; TEXT('Hidrologia - 1'!I278,"0")&amp; " " &amp; TEXT('Hidrologia - 1'!J278,"0")&amp; " " &amp; TEXT('Hidrologia - 1'!K278,"0")&amp; " " &amp; TEXT('Hidrologia - 1'!L278,"0")&amp; " " &amp; TEXT('Hidrologia - 1'!M278,"0")&amp; " " &amp; TEXT('Hidrologia - 1'!N278,"0")&amp; " " &amp; TEXT('Hidrologia - 1'!O278,"0"),",",".")</f>
        <v>0 0 0 0 0 0 0 0 0 0 0 0</v>
      </c>
    </row>
    <row r="376" spans="1:3" x14ac:dyDescent="0.25">
      <c r="A376" t="str">
        <f>"&lt;PrevisaoVAZAO Posto="""&amp;'Hidrologia - 1'!B279&amp;""" MesReferencia=""1""&gt; "&amp;C376&amp;" &lt;/PrevisaoVAZAO&gt;"</f>
        <v>&lt;PrevisaoVAZAO Posto="236" MesReferencia="1"&gt; 0 0 0 0 0 0 0 0 0 0 0 0 &lt;/PrevisaoVAZAO&gt;</v>
      </c>
      <c r="C376" s="83" t="str">
        <f>SUBSTITUTE(TEXT('Hidrologia - 1'!D279,"0") &amp; " " &amp; TEXT('Hidrologia - 1'!E279,"0")&amp; " " &amp; TEXT('Hidrologia - 1'!F279,"0")&amp; " " &amp; TEXT('Hidrologia - 1'!G279,"0")&amp; " " &amp; TEXT('Hidrologia - 1'!H279,"0")&amp; " " &amp; TEXT('Hidrologia - 1'!I279,"0")&amp; " " &amp; TEXT('Hidrologia - 1'!J279,"0")&amp; " " &amp; TEXT('Hidrologia - 1'!K279,"0")&amp; " " &amp; TEXT('Hidrologia - 1'!L279,"0")&amp; " " &amp; TEXT('Hidrologia - 1'!M279,"0")&amp; " " &amp; TEXT('Hidrologia - 1'!N279,"0")&amp; " " &amp; TEXT('Hidrologia - 1'!O279,"0"),",",".")</f>
        <v>0 0 0 0 0 0 0 0 0 0 0 0</v>
      </c>
    </row>
    <row r="377" spans="1:3" x14ac:dyDescent="0.25">
      <c r="A377" t="str">
        <f>"&lt;PrevisaoVAZAO Posto="""&amp;'Hidrologia - 1'!B280&amp;""" MesReferencia=""1""&gt; "&amp;C377&amp;" &lt;/PrevisaoVAZAO&gt;"</f>
        <v>&lt;PrevisaoVAZAO Posto="237" MesReferencia="1"&gt; 921 626 558 426 675 548 253 209 257 313 340 512 &lt;/PrevisaoVAZAO&gt;</v>
      </c>
      <c r="C377" s="83" t="str">
        <f>SUBSTITUTE(TEXT('Hidrologia - 1'!D280,"0") &amp; " " &amp; TEXT('Hidrologia - 1'!E280,"0")&amp; " " &amp; TEXT('Hidrologia - 1'!F280,"0")&amp; " " &amp; TEXT('Hidrologia - 1'!G280,"0")&amp; " " &amp; TEXT('Hidrologia - 1'!H280,"0")&amp; " " &amp; TEXT('Hidrologia - 1'!I280,"0")&amp; " " &amp; TEXT('Hidrologia - 1'!J280,"0")&amp; " " &amp; TEXT('Hidrologia - 1'!K280,"0")&amp; " " &amp; TEXT('Hidrologia - 1'!L280,"0")&amp; " " &amp; TEXT('Hidrologia - 1'!M280,"0")&amp; " " &amp; TEXT('Hidrologia - 1'!N280,"0")&amp; " " &amp; TEXT('Hidrologia - 1'!O280,"0"),",",".")</f>
        <v>921 626 558 426 675 548 253 209 257 313 340 512</v>
      </c>
    </row>
    <row r="378" spans="1:3" x14ac:dyDescent="0.25">
      <c r="A378" t="str">
        <f>"&lt;PrevisaoVAZAO Posto="""&amp;'Hidrologia - 1'!B281&amp;""" MesReferencia=""1""&gt; "&amp;C378&amp;" &lt;/PrevisaoVAZAO&gt;"</f>
        <v>&lt;PrevisaoVAZAO Posto="238" MesReferencia="1"&gt; 1018 717 639 485 764 613 286 237 288 347 378 566 &lt;/PrevisaoVAZAO&gt;</v>
      </c>
      <c r="C378" s="83" t="str">
        <f>SUBSTITUTE(TEXT('Hidrologia - 1'!D281,"0") &amp; " " &amp; TEXT('Hidrologia - 1'!E281,"0")&amp; " " &amp; TEXT('Hidrologia - 1'!F281,"0")&amp; " " &amp; TEXT('Hidrologia - 1'!G281,"0")&amp; " " &amp; TEXT('Hidrologia - 1'!H281,"0")&amp; " " &amp; TEXT('Hidrologia - 1'!I281,"0")&amp; " " &amp; TEXT('Hidrologia - 1'!J281,"0")&amp; " " &amp; TEXT('Hidrologia - 1'!K281,"0")&amp; " " &amp; TEXT('Hidrologia - 1'!L281,"0")&amp; " " &amp; TEXT('Hidrologia - 1'!M281,"0")&amp; " " &amp; TEXT('Hidrologia - 1'!N281,"0")&amp; " " &amp; TEXT('Hidrologia - 1'!O281,"0"),",",".")</f>
        <v>1018 717 639 485 764 613 286 237 288 347 378 566</v>
      </c>
    </row>
    <row r="379" spans="1:3" x14ac:dyDescent="0.25">
      <c r="A379" t="str">
        <f>"&lt;PrevisaoVAZAO Posto="""&amp;'Hidrologia - 1'!B282&amp;""" MesReferencia=""1""&gt; "&amp;C379&amp;" &lt;/PrevisaoVAZAO&gt;"</f>
        <v>&lt;PrevisaoVAZAO Posto="239" MesReferencia="1"&gt; 1212 888 793 600 935 736 355 298 354 418 455 676 &lt;/PrevisaoVAZAO&gt;</v>
      </c>
      <c r="C379" s="83" t="str">
        <f>SUBSTITUTE(TEXT('Hidrologia - 1'!D282,"0") &amp; " " &amp; TEXT('Hidrologia - 1'!E282,"0")&amp; " " &amp; TEXT('Hidrologia - 1'!F282,"0")&amp; " " &amp; TEXT('Hidrologia - 1'!G282,"0")&amp; " " &amp; TEXT('Hidrologia - 1'!H282,"0")&amp; " " &amp; TEXT('Hidrologia - 1'!I282,"0")&amp; " " &amp; TEXT('Hidrologia - 1'!J282,"0")&amp; " " &amp; TEXT('Hidrologia - 1'!K282,"0")&amp; " " &amp; TEXT('Hidrologia - 1'!L282,"0")&amp; " " &amp; TEXT('Hidrologia - 1'!M282,"0")&amp; " " &amp; TEXT('Hidrologia - 1'!N282,"0")&amp; " " &amp; TEXT('Hidrologia - 1'!O282,"0"),",",".")</f>
        <v>1212 888 793 600 935 736 355 298 354 418 455 676</v>
      </c>
    </row>
    <row r="380" spans="1:3" x14ac:dyDescent="0.25">
      <c r="A380" t="str">
        <f>"&lt;PrevisaoVAZAO Posto="""&amp;'Hidrologia - 1'!B283&amp;""" MesReferencia=""1""&gt; "&amp;C380&amp;" &lt;/PrevisaoVAZAO&gt;"</f>
        <v>&lt;PrevisaoVAZAO Posto="240" MesReferencia="1"&gt; 1405 1024 897 696 1104 875 485 454 431 503 543 806 &lt;/PrevisaoVAZAO&gt;</v>
      </c>
      <c r="C380" s="83" t="str">
        <f>SUBSTITUTE(TEXT('Hidrologia - 1'!D283,"0") &amp; " " &amp; TEXT('Hidrologia - 1'!E283,"0")&amp; " " &amp; TEXT('Hidrologia - 1'!F283,"0")&amp; " " &amp; TEXT('Hidrologia - 1'!G283,"0")&amp; " " &amp; TEXT('Hidrologia - 1'!H283,"0")&amp; " " &amp; TEXT('Hidrologia - 1'!I283,"0")&amp; " " &amp; TEXT('Hidrologia - 1'!J283,"0")&amp; " " &amp; TEXT('Hidrologia - 1'!K283,"0")&amp; " " &amp; TEXT('Hidrologia - 1'!L283,"0")&amp; " " &amp; TEXT('Hidrologia - 1'!M283,"0")&amp; " " &amp; TEXT('Hidrologia - 1'!N283,"0")&amp; " " &amp; TEXT('Hidrologia - 1'!O283,"0"),",",".")</f>
        <v>1405 1024 897 696 1104 875 485 454 431 503 543 806</v>
      </c>
    </row>
    <row r="381" spans="1:3" x14ac:dyDescent="0.25">
      <c r="A381" t="str">
        <f>"&lt;PrevisaoVAZAO Posto="""&amp;'Hidrologia - 1'!B284&amp;""" MesReferencia=""1""&gt; "&amp;C381&amp;" &lt;/PrevisaoVAZAO&gt;"</f>
        <v>&lt;PrevisaoVAZAO Posto="241" MesReferencia="1"&gt; 252 244 300 209 174 140 122 115 133 151 179 224 &lt;/PrevisaoVAZAO&gt;</v>
      </c>
      <c r="C381" s="83" t="str">
        <f>SUBSTITUTE(TEXT('Hidrologia - 1'!D284,"0") &amp; " " &amp; TEXT('Hidrologia - 1'!E284,"0")&amp; " " &amp; TEXT('Hidrologia - 1'!F284,"0")&amp; " " &amp; TEXT('Hidrologia - 1'!G284,"0")&amp; " " &amp; TEXT('Hidrologia - 1'!H284,"0")&amp; " " &amp; TEXT('Hidrologia - 1'!I284,"0")&amp; " " &amp; TEXT('Hidrologia - 1'!J284,"0")&amp; " " &amp; TEXT('Hidrologia - 1'!K284,"0")&amp; " " &amp; TEXT('Hidrologia - 1'!L284,"0")&amp; " " &amp; TEXT('Hidrologia - 1'!M284,"0")&amp; " " &amp; TEXT('Hidrologia - 1'!N284,"0")&amp; " " &amp; TEXT('Hidrologia - 1'!O284,"0"),",",".")</f>
        <v>252 244 300 209 174 140 122 115 133 151 179 224</v>
      </c>
    </row>
    <row r="382" spans="1:3" x14ac:dyDescent="0.25">
      <c r="A382" t="str">
        <f>"&lt;PrevisaoVAZAO Posto="""&amp;'Hidrologia - 1'!B285&amp;""" MesReferencia=""1""&gt; "&amp;C382&amp;" &lt;/PrevisaoVAZAO&gt;"</f>
        <v>&lt;PrevisaoVAZAO Posto="242" MesReferencia="1"&gt; 1478 1081 940 730 1172 930 514 481 455 533 577 859 &lt;/PrevisaoVAZAO&gt;</v>
      </c>
      <c r="C382" s="83" t="str">
        <f>SUBSTITUTE(TEXT('Hidrologia - 1'!D285,"0") &amp; " " &amp; TEXT('Hidrologia - 1'!E285,"0")&amp; " " &amp; TEXT('Hidrologia - 1'!F285,"0")&amp; " " &amp; TEXT('Hidrologia - 1'!G285,"0")&amp; " " &amp; TEXT('Hidrologia - 1'!H285,"0")&amp; " " &amp; TEXT('Hidrologia - 1'!I285,"0")&amp; " " &amp; TEXT('Hidrologia - 1'!J285,"0")&amp; " " &amp; TEXT('Hidrologia - 1'!K285,"0")&amp; " " &amp; TEXT('Hidrologia - 1'!L285,"0")&amp; " " &amp; TEXT('Hidrologia - 1'!M285,"0")&amp; " " &amp; TEXT('Hidrologia - 1'!N285,"0")&amp; " " &amp; TEXT('Hidrologia - 1'!O285,"0"),",",".")</f>
        <v>1478 1081 940 730 1172 930 514 481 455 533 577 859</v>
      </c>
    </row>
    <row r="383" spans="1:3" x14ac:dyDescent="0.25">
      <c r="A383" t="str">
        <f>"&lt;PrevisaoVAZAO Posto="""&amp;'Hidrologia - 1'!B286&amp;""" MesReferencia=""1""&gt; "&amp;C383&amp;" &lt;/PrevisaoVAZAO&gt;"</f>
        <v>&lt;PrevisaoVAZAO Posto="243" MesReferencia="1"&gt; 1494 1159 989 730 1209 984 552 501 484 566 609 897 &lt;/PrevisaoVAZAO&gt;</v>
      </c>
      <c r="C383" s="83" t="str">
        <f>SUBSTITUTE(TEXT('Hidrologia - 1'!D286,"0") &amp; " " &amp; TEXT('Hidrologia - 1'!E286,"0")&amp; " " &amp; TEXT('Hidrologia - 1'!F286,"0")&amp; " " &amp; TEXT('Hidrologia - 1'!G286,"0")&amp; " " &amp; TEXT('Hidrologia - 1'!H286,"0")&amp; " " &amp; TEXT('Hidrologia - 1'!I286,"0")&amp; " " &amp; TEXT('Hidrologia - 1'!J286,"0")&amp; " " &amp; TEXT('Hidrologia - 1'!K286,"0")&amp; " " &amp; TEXT('Hidrologia - 1'!L286,"0")&amp; " " &amp; TEXT('Hidrologia - 1'!M286,"0")&amp; " " &amp; TEXT('Hidrologia - 1'!N286,"0")&amp; " " &amp; TEXT('Hidrologia - 1'!O286,"0"),",",".")</f>
        <v>1494 1159 989 730 1209 984 552 501 484 566 609 897</v>
      </c>
    </row>
    <row r="384" spans="1:3" x14ac:dyDescent="0.25">
      <c r="A384" t="str">
        <f>"&lt;PrevisaoVAZAO Posto="""&amp;'Hidrologia - 1'!B287&amp;""" MesReferencia=""1""&gt; "&amp;C384&amp;" &lt;/PrevisaoVAZAO&gt;"</f>
        <v>&lt;PrevisaoVAZAO Posto="244" MesReferencia="1"&gt; 7039 6854 6189 4690 4869 3612 2509 2248 2956 3407 4497 7151 &lt;/PrevisaoVAZAO&gt;</v>
      </c>
      <c r="C384" s="83" t="str">
        <f>SUBSTITUTE(TEXT('Hidrologia - 1'!D287,"0") &amp; " " &amp; TEXT('Hidrologia - 1'!E287,"0")&amp; " " &amp; TEXT('Hidrologia - 1'!F287,"0")&amp; " " &amp; TEXT('Hidrologia - 1'!G287,"0")&amp; " " &amp; TEXT('Hidrologia - 1'!H287,"0")&amp; " " &amp; TEXT('Hidrologia - 1'!I287,"0")&amp; " " &amp; TEXT('Hidrologia - 1'!J287,"0")&amp; " " &amp; TEXT('Hidrologia - 1'!K287,"0")&amp; " " &amp; TEXT('Hidrologia - 1'!L287,"0")&amp; " " &amp; TEXT('Hidrologia - 1'!M287,"0")&amp; " " &amp; TEXT('Hidrologia - 1'!N287,"0")&amp; " " &amp; TEXT('Hidrologia - 1'!O287,"0"),",",".")</f>
        <v>7039 6854 6189 4690 4869 3612 2509 2248 2956 3407 4497 7151</v>
      </c>
    </row>
    <row r="385" spans="1:3" x14ac:dyDescent="0.25">
      <c r="A385" t="str">
        <f>"&lt;PrevisaoVAZAO Posto="""&amp;'Hidrologia - 1'!B288&amp;""" MesReferencia=""1""&gt; "&amp;C385&amp;" &lt;/PrevisaoVAZAO&gt;"</f>
        <v>&lt;PrevisaoVAZAO Posto="245" MesReferencia="1"&gt; 7687 7584 6838 5274 5342 4040 2894 2588 3225 3681 4793 7488 &lt;/PrevisaoVAZAO&gt;</v>
      </c>
      <c r="C385" s="83" t="str">
        <f>SUBSTITUTE(TEXT('Hidrologia - 1'!D288,"0") &amp; " " &amp; TEXT('Hidrologia - 1'!E288,"0")&amp; " " &amp; TEXT('Hidrologia - 1'!F288,"0")&amp; " " &amp; TEXT('Hidrologia - 1'!G288,"0")&amp; " " &amp; TEXT('Hidrologia - 1'!H288,"0")&amp; " " &amp; TEXT('Hidrologia - 1'!I288,"0")&amp; " " &amp; TEXT('Hidrologia - 1'!J288,"0")&amp; " " &amp; TEXT('Hidrologia - 1'!K288,"0")&amp; " " &amp; TEXT('Hidrologia - 1'!L288,"0")&amp; " " &amp; TEXT('Hidrologia - 1'!M288,"0")&amp; " " &amp; TEXT('Hidrologia - 1'!N288,"0")&amp; " " &amp; TEXT('Hidrologia - 1'!O288,"0"),",",".")</f>
        <v>7687 7584 6838 5274 5342 4040 2894 2588 3225 3681 4793 7488</v>
      </c>
    </row>
    <row r="386" spans="1:3" x14ac:dyDescent="0.25">
      <c r="A386" t="str">
        <f>"&lt;PrevisaoVAZAO Posto="""&amp;'Hidrologia - 1'!B289&amp;""" MesReferencia=""1""&gt; "&amp;C386&amp;" &lt;/PrevisaoVAZAO&gt;"</f>
        <v>&lt;PrevisaoVAZAO Posto="246" MesReferencia="1"&gt; 8741 9309 7992 6470 6830 5339 3740 3328 3837 4345 5457 8154 &lt;/PrevisaoVAZAO&gt;</v>
      </c>
      <c r="C386" s="83" t="str">
        <f>SUBSTITUTE(TEXT('Hidrologia - 1'!D289,"0") &amp; " " &amp; TEXT('Hidrologia - 1'!E289,"0")&amp; " " &amp; TEXT('Hidrologia - 1'!F289,"0")&amp; " " &amp; TEXT('Hidrologia - 1'!G289,"0")&amp; " " &amp; TEXT('Hidrologia - 1'!H289,"0")&amp; " " &amp; TEXT('Hidrologia - 1'!I289,"0")&amp; " " &amp; TEXT('Hidrologia - 1'!J289,"0")&amp; " " &amp; TEXT('Hidrologia - 1'!K289,"0")&amp; " " &amp; TEXT('Hidrologia - 1'!L289,"0")&amp; " " &amp; TEXT('Hidrologia - 1'!M289,"0")&amp; " " &amp; TEXT('Hidrologia - 1'!N289,"0")&amp; " " &amp; TEXT('Hidrologia - 1'!O289,"0"),",",".")</f>
        <v>8741 9309 7992 6470 6830 5339 3740 3328 3837 4345 5457 8154</v>
      </c>
    </row>
    <row r="387" spans="1:3" x14ac:dyDescent="0.25">
      <c r="A387" t="str">
        <f>"&lt;PrevisaoVAZAO Posto="""&amp;'Hidrologia - 1'!B290&amp;""" MesReferencia=""1""&gt; "&amp;C387&amp;" &lt;/PrevisaoVAZAO&gt;"</f>
        <v>&lt;PrevisaoVAZAO Posto="247" MesReferencia="1"&gt; 212 242 314 216 164 119 97 85 103 126 165 231 &lt;/PrevisaoVAZAO&gt;</v>
      </c>
      <c r="C387" s="83" t="str">
        <f>SUBSTITUTE(TEXT('Hidrologia - 1'!D290,"0") &amp; " " &amp; TEXT('Hidrologia - 1'!E290,"0")&amp; " " &amp; TEXT('Hidrologia - 1'!F290,"0")&amp; " " &amp; TEXT('Hidrologia - 1'!G290,"0")&amp; " " &amp; TEXT('Hidrologia - 1'!H290,"0")&amp; " " &amp; TEXT('Hidrologia - 1'!I290,"0")&amp; " " &amp; TEXT('Hidrologia - 1'!J290,"0")&amp; " " &amp; TEXT('Hidrologia - 1'!K290,"0")&amp; " " &amp; TEXT('Hidrologia - 1'!L290,"0")&amp; " " &amp; TEXT('Hidrologia - 1'!M290,"0")&amp; " " &amp; TEXT('Hidrologia - 1'!N290,"0")&amp; " " &amp; TEXT('Hidrologia - 1'!O290,"0"),",",".")</f>
        <v>212 242 314 216 164 119 97 85 103 126 165 231</v>
      </c>
    </row>
    <row r="388" spans="1:3" x14ac:dyDescent="0.25">
      <c r="A388" t="str">
        <f>"&lt;PrevisaoVAZAO Posto="""&amp;'Hidrologia - 1'!B291&amp;""" MesReferencia=""1""&gt; "&amp;C388&amp;" &lt;/PrevisaoVAZAO&gt;"</f>
        <v>&lt;PrevisaoVAZAO Posto="248" MesReferencia="1"&gt; 219 252 327 225 172 124 101 88 107 132 172 241 &lt;/PrevisaoVAZAO&gt;</v>
      </c>
      <c r="C388" s="83" t="str">
        <f>SUBSTITUTE(TEXT('Hidrologia - 1'!D291,"0") &amp; " " &amp; TEXT('Hidrologia - 1'!E291,"0")&amp; " " &amp; TEXT('Hidrologia - 1'!F291,"0")&amp; " " &amp; TEXT('Hidrologia - 1'!G291,"0")&amp; " " &amp; TEXT('Hidrologia - 1'!H291,"0")&amp; " " &amp; TEXT('Hidrologia - 1'!I291,"0")&amp; " " &amp; TEXT('Hidrologia - 1'!J291,"0")&amp; " " &amp; TEXT('Hidrologia - 1'!K291,"0")&amp; " " &amp; TEXT('Hidrologia - 1'!L291,"0")&amp; " " &amp; TEXT('Hidrologia - 1'!M291,"0")&amp; " " &amp; TEXT('Hidrologia - 1'!N291,"0")&amp; " " &amp; TEXT('Hidrologia - 1'!O291,"0"),",",".")</f>
        <v>219 252 327 225 172 124 101 88 107 132 172 241</v>
      </c>
    </row>
    <row r="389" spans="1:3" x14ac:dyDescent="0.25">
      <c r="A389" t="str">
        <f>"&lt;PrevisaoVAZAO Posto="""&amp;'Hidrologia - 1'!B292&amp;""" MesReferencia=""1""&gt; "&amp;C389&amp;" &lt;/PrevisaoVAZAO&gt;"</f>
        <v>&lt;PrevisaoVAZAO Posto="249" MesReferencia="1"&gt; 746 658 390 380 651 856 428 315 262 311 292 359 &lt;/PrevisaoVAZAO&gt;</v>
      </c>
      <c r="C389" s="83" t="str">
        <f>SUBSTITUTE(TEXT('Hidrologia - 1'!D292,"0") &amp; " " &amp; TEXT('Hidrologia - 1'!E292,"0")&amp; " " &amp; TEXT('Hidrologia - 1'!F292,"0")&amp; " " &amp; TEXT('Hidrologia - 1'!G292,"0")&amp; " " &amp; TEXT('Hidrologia - 1'!H292,"0")&amp; " " &amp; TEXT('Hidrologia - 1'!I292,"0")&amp; " " &amp; TEXT('Hidrologia - 1'!J292,"0")&amp; " " &amp; TEXT('Hidrologia - 1'!K292,"0")&amp; " " &amp; TEXT('Hidrologia - 1'!L292,"0")&amp; " " &amp; TEXT('Hidrologia - 1'!M292,"0")&amp; " " &amp; TEXT('Hidrologia - 1'!N292,"0")&amp; " " &amp; TEXT('Hidrologia - 1'!O292,"0"),",",".")</f>
        <v>746 658 390 380 651 856 428 315 262 311 292 359</v>
      </c>
    </row>
    <row r="390" spans="1:3" x14ac:dyDescent="0.25">
      <c r="A390" t="str">
        <f>"&lt;PrevisaoVAZAO Posto="""&amp;'Hidrologia - 1'!B293&amp;""" MesReferencia=""1""&gt; "&amp;C390&amp;" &lt;/PrevisaoVAZAO&gt;"</f>
        <v>&lt;PrevisaoVAZAO Posto="250" MesReferencia="1"&gt; 0 0 0 0 0 0 0 0 0 0 0 0 &lt;/PrevisaoVAZAO&gt;</v>
      </c>
      <c r="C390" s="83" t="str">
        <f>SUBSTITUTE(TEXT('Hidrologia - 1'!D293,"0") &amp; " " &amp; TEXT('Hidrologia - 1'!E293,"0")&amp; " " &amp; TEXT('Hidrologia - 1'!F293,"0")&amp; " " &amp; TEXT('Hidrologia - 1'!G293,"0")&amp; " " &amp; TEXT('Hidrologia - 1'!H293,"0")&amp; " " &amp; TEXT('Hidrologia - 1'!I293,"0")&amp; " " &amp; TEXT('Hidrologia - 1'!J293,"0")&amp; " " &amp; TEXT('Hidrologia - 1'!K293,"0")&amp; " " &amp; TEXT('Hidrologia - 1'!L293,"0")&amp; " " &amp; TEXT('Hidrologia - 1'!M293,"0")&amp; " " &amp; TEXT('Hidrologia - 1'!N293,"0")&amp; " " &amp; TEXT('Hidrologia - 1'!O293,"0"),",",".")</f>
        <v>0 0 0 0 0 0 0 0 0 0 0 0</v>
      </c>
    </row>
    <row r="391" spans="1:3" x14ac:dyDescent="0.25">
      <c r="A391" t="str">
        <f>"&lt;PrevisaoVAZAO Posto="""&amp;'Hidrologia - 1'!B294&amp;""" MesReferencia=""1""&gt; "&amp;C391&amp;" &lt;/PrevisaoVAZAO&gt;"</f>
        <v>&lt;PrevisaoVAZAO Posto="251" MesReferencia="1"&gt; 85 177 121 72 65 38 30 23 61 72 125 239 &lt;/PrevisaoVAZAO&gt;</v>
      </c>
      <c r="C391" s="83" t="str">
        <f>SUBSTITUTE(TEXT('Hidrologia - 1'!D294,"0") &amp; " " &amp; TEXT('Hidrologia - 1'!E294,"0")&amp; " " &amp; TEXT('Hidrologia - 1'!F294,"0")&amp; " " &amp; TEXT('Hidrologia - 1'!G294,"0")&amp; " " &amp; TEXT('Hidrologia - 1'!H294,"0")&amp; " " &amp; TEXT('Hidrologia - 1'!I294,"0")&amp; " " &amp; TEXT('Hidrologia - 1'!J294,"0")&amp; " " &amp; TEXT('Hidrologia - 1'!K294,"0")&amp; " " &amp; TEXT('Hidrologia - 1'!L294,"0")&amp; " " &amp; TEXT('Hidrologia - 1'!M294,"0")&amp; " " &amp; TEXT('Hidrologia - 1'!N294,"0")&amp; " " &amp; TEXT('Hidrologia - 1'!O294,"0"),",",".")</f>
        <v>85 177 121 72 65 38 30 23 61 72 125 239</v>
      </c>
    </row>
    <row r="392" spans="1:3" x14ac:dyDescent="0.25">
      <c r="A392" t="str">
        <f>"&lt;PrevisaoVAZAO Posto="""&amp;'Hidrologia - 1'!B295&amp;""" MesReferencia=""1""&gt; "&amp;C392&amp;" &lt;/PrevisaoVAZAO&gt;"</f>
        <v>&lt;PrevisaoVAZAO Posto="252" MesReferencia="1"&gt; 70 101 92 88 72 65 49 48 48 52 61 80 &lt;/PrevisaoVAZAO&gt;</v>
      </c>
      <c r="C392" s="83" t="str">
        <f>SUBSTITUTE(TEXT('Hidrologia - 1'!D295,"0") &amp; " " &amp; TEXT('Hidrologia - 1'!E295,"0")&amp; " " &amp; TEXT('Hidrologia - 1'!F295,"0")&amp; " " &amp; TEXT('Hidrologia - 1'!G295,"0")&amp; " " &amp; TEXT('Hidrologia - 1'!H295,"0")&amp; " " &amp; TEXT('Hidrologia - 1'!I295,"0")&amp; " " &amp; TEXT('Hidrologia - 1'!J295,"0")&amp; " " &amp; TEXT('Hidrologia - 1'!K295,"0")&amp; " " &amp; TEXT('Hidrologia - 1'!L295,"0")&amp; " " &amp; TEXT('Hidrologia - 1'!M295,"0")&amp; " " &amp; TEXT('Hidrologia - 1'!N295,"0")&amp; " " &amp; TEXT('Hidrologia - 1'!O295,"0"),",",".")</f>
        <v>70 101 92 88 72 65 49 48 48 52 61 80</v>
      </c>
    </row>
    <row r="393" spans="1:3" x14ac:dyDescent="0.25">
      <c r="A393" t="str">
        <f>"&lt;PrevisaoVAZAO Posto="""&amp;'Hidrologia - 1'!B296&amp;""" MesReferencia=""1""&gt; "&amp;C393&amp;" &lt;/PrevisaoVAZAO&gt;"</f>
        <v>&lt;PrevisaoVAZAO Posto="253" MesReferencia="1"&gt; 402 880 644 627 309 184 129 112 266 380 689 1291 &lt;/PrevisaoVAZAO&gt;</v>
      </c>
      <c r="C393" s="83" t="str">
        <f>SUBSTITUTE(TEXT('Hidrologia - 1'!D296,"0") &amp; " " &amp; TEXT('Hidrologia - 1'!E296,"0")&amp; " " &amp; TEXT('Hidrologia - 1'!F296,"0")&amp; " " &amp; TEXT('Hidrologia - 1'!G296,"0")&amp; " " &amp; TEXT('Hidrologia - 1'!H296,"0")&amp; " " &amp; TEXT('Hidrologia - 1'!I296,"0")&amp; " " &amp; TEXT('Hidrologia - 1'!J296,"0")&amp; " " &amp; TEXT('Hidrologia - 1'!K296,"0")&amp; " " &amp; TEXT('Hidrologia - 1'!L296,"0")&amp; " " &amp; TEXT('Hidrologia - 1'!M296,"0")&amp; " " &amp; TEXT('Hidrologia - 1'!N296,"0")&amp; " " &amp; TEXT('Hidrologia - 1'!O296,"0"),",",".")</f>
        <v>402 880 644 627 309 184 129 112 266 380 689 1291</v>
      </c>
    </row>
    <row r="394" spans="1:3" x14ac:dyDescent="0.25">
      <c r="A394" t="str">
        <f>"&lt;PrevisaoVAZAO Posto="""&amp;'Hidrologia - 1'!B297&amp;""" MesReferencia=""1""&gt; "&amp;C394&amp;" &lt;/PrevisaoVAZAO&gt;"</f>
        <v>&lt;PrevisaoVAZAO Posto="254" MesReferencia="1"&gt; 4 3 3 28 8 26 17 22 11 13 33 69 &lt;/PrevisaoVAZAO&gt;</v>
      </c>
      <c r="C394" s="83" t="str">
        <f>SUBSTITUTE(TEXT('Hidrologia - 1'!D297,"0") &amp; " " &amp; TEXT('Hidrologia - 1'!E297,"0")&amp; " " &amp; TEXT('Hidrologia - 1'!F297,"0")&amp; " " &amp; TEXT('Hidrologia - 1'!G297,"0")&amp; " " &amp; TEXT('Hidrologia - 1'!H297,"0")&amp; " " &amp; TEXT('Hidrologia - 1'!I297,"0")&amp; " " &amp; TEXT('Hidrologia - 1'!J297,"0")&amp; " " &amp; TEXT('Hidrologia - 1'!K297,"0")&amp; " " &amp; TEXT('Hidrologia - 1'!L297,"0")&amp; " " &amp; TEXT('Hidrologia - 1'!M297,"0")&amp; " " &amp; TEXT('Hidrologia - 1'!N297,"0")&amp; " " &amp; TEXT('Hidrologia - 1'!O297,"0"),",",".")</f>
        <v>4 3 3 28 8 26 17 22 11 13 33 69</v>
      </c>
    </row>
    <row r="395" spans="1:3" x14ac:dyDescent="0.25">
      <c r="A395" t="str">
        <f>"&lt;PrevisaoVAZAO Posto="""&amp;'Hidrologia - 1'!B298&amp;""" MesReferencia=""1""&gt; "&amp;C395&amp;" &lt;/PrevisaoVAZAO&gt;"</f>
        <v>&lt;PrevisaoVAZAO Posto="255" MesReferencia="1"&gt; 45 152 66 29 16 11 11 11 35 67 198 354 &lt;/PrevisaoVAZAO&gt;</v>
      </c>
      <c r="C395" s="83" t="str">
        <f>SUBSTITUTE(TEXT('Hidrologia - 1'!D298,"0") &amp; " " &amp; TEXT('Hidrologia - 1'!E298,"0")&amp; " " &amp; TEXT('Hidrologia - 1'!F298,"0")&amp; " " &amp; TEXT('Hidrologia - 1'!G298,"0")&amp; " " &amp; TEXT('Hidrologia - 1'!H298,"0")&amp; " " &amp; TEXT('Hidrologia - 1'!I298,"0")&amp; " " &amp; TEXT('Hidrologia - 1'!J298,"0")&amp; " " &amp; TEXT('Hidrologia - 1'!K298,"0")&amp; " " &amp; TEXT('Hidrologia - 1'!L298,"0")&amp; " " &amp; TEXT('Hidrologia - 1'!M298,"0")&amp; " " &amp; TEXT('Hidrologia - 1'!N298,"0")&amp; " " &amp; TEXT('Hidrologia - 1'!O298,"0"),",",".")</f>
        <v>45 152 66 29 16 11 11 11 35 67 198 354</v>
      </c>
    </row>
    <row r="396" spans="1:3" x14ac:dyDescent="0.25">
      <c r="A396" t="str">
        <f>"&lt;PrevisaoVAZAO Posto="""&amp;'Hidrologia - 1'!B299&amp;""" MesReferencia=""1""&gt; "&amp;C396&amp;" &lt;/PrevisaoVAZAO&gt;"</f>
        <v>&lt;PrevisaoVAZAO Posto="256" MesReferencia="1"&gt; 0 0 0 0 0 0 0 0 0 0 0 0 &lt;/PrevisaoVAZAO&gt;</v>
      </c>
      <c r="C396" s="83" t="str">
        <f>SUBSTITUTE(TEXT('Hidrologia - 1'!D299,"0") &amp; " " &amp; TEXT('Hidrologia - 1'!E299,"0")&amp; " " &amp; TEXT('Hidrologia - 1'!F299,"0")&amp; " " &amp; TEXT('Hidrologia - 1'!G299,"0")&amp; " " &amp; TEXT('Hidrologia - 1'!H299,"0")&amp; " " &amp; TEXT('Hidrologia - 1'!I299,"0")&amp; " " &amp; TEXT('Hidrologia - 1'!J299,"0")&amp; " " &amp; TEXT('Hidrologia - 1'!K299,"0")&amp; " " &amp; TEXT('Hidrologia - 1'!L299,"0")&amp; " " &amp; TEXT('Hidrologia - 1'!M299,"0")&amp; " " &amp; TEXT('Hidrologia - 1'!N299,"0")&amp; " " &amp; TEXT('Hidrologia - 1'!O299,"0"),",",".")</f>
        <v>0 0 0 0 0 0 0 0 0 0 0 0</v>
      </c>
    </row>
    <row r="397" spans="1:3" x14ac:dyDescent="0.25">
      <c r="A397" t="str">
        <f>"&lt;PrevisaoVAZAO Posto="""&amp;'Hidrologia - 1'!B300&amp;""" MesReferencia=""1""&gt; "&amp;C397&amp;" &lt;/PrevisaoVAZAO&gt;"</f>
        <v>&lt;PrevisaoVAZAO Posto="257" MesReferencia="1"&gt; 635 1485 1093 1196 477 274 188 143 454 626 1181 2302 &lt;/PrevisaoVAZAO&gt;</v>
      </c>
      <c r="C397" s="83" t="str">
        <f>SUBSTITUTE(TEXT('Hidrologia - 1'!D300,"0") &amp; " " &amp; TEXT('Hidrologia - 1'!E300,"0")&amp; " " &amp; TEXT('Hidrologia - 1'!F300,"0")&amp; " " &amp; TEXT('Hidrologia - 1'!G300,"0")&amp; " " &amp; TEXT('Hidrologia - 1'!H300,"0")&amp; " " &amp; TEXT('Hidrologia - 1'!I300,"0")&amp; " " &amp; TEXT('Hidrologia - 1'!J300,"0")&amp; " " &amp; TEXT('Hidrologia - 1'!K300,"0")&amp; " " &amp; TEXT('Hidrologia - 1'!L300,"0")&amp; " " &amp; TEXT('Hidrologia - 1'!M300,"0")&amp; " " &amp; TEXT('Hidrologia - 1'!N300,"0")&amp; " " &amp; TEXT('Hidrologia - 1'!O300,"0"),",",".")</f>
        <v>635 1485 1093 1196 477 274 188 143 454 626 1181 2302</v>
      </c>
    </row>
    <row r="398" spans="1:3" x14ac:dyDescent="0.25">
      <c r="A398" t="str">
        <f>"&lt;PrevisaoVAZAO Posto="""&amp;'Hidrologia - 1'!B301&amp;""" MesReferencia=""1""&gt; "&amp;C398&amp;" &lt;/PrevisaoVAZAO&gt;"</f>
        <v>&lt;PrevisaoVAZAO Posto="258" MesReferencia="1"&gt; 52 174 69 41 20 14 12 12 42 77 232 422 &lt;/PrevisaoVAZAO&gt;</v>
      </c>
      <c r="C398" s="83" t="str">
        <f>SUBSTITUTE(TEXT('Hidrologia - 1'!D301,"0") &amp; " " &amp; TEXT('Hidrologia - 1'!E301,"0")&amp; " " &amp; TEXT('Hidrologia - 1'!F301,"0")&amp; " " &amp; TEXT('Hidrologia - 1'!G301,"0")&amp; " " &amp; TEXT('Hidrologia - 1'!H301,"0")&amp; " " &amp; TEXT('Hidrologia - 1'!I301,"0")&amp; " " &amp; TEXT('Hidrologia - 1'!J301,"0")&amp; " " &amp; TEXT('Hidrologia - 1'!K301,"0")&amp; " " &amp; TEXT('Hidrologia - 1'!L301,"0")&amp; " " &amp; TEXT('Hidrologia - 1'!M301,"0")&amp; " " &amp; TEXT('Hidrologia - 1'!N301,"0")&amp; " " &amp; TEXT('Hidrologia - 1'!O301,"0"),",",".")</f>
        <v>52 174 69 41 20 14 12 12 42 77 232 422</v>
      </c>
    </row>
    <row r="399" spans="1:3" x14ac:dyDescent="0.25">
      <c r="A399" t="str">
        <f>"&lt;PrevisaoVAZAO Posto="""&amp;'Hidrologia - 1'!B302&amp;""" MesReferencia=""1""&gt; "&amp;C399&amp;" &lt;/PrevisaoVAZAO&gt;"</f>
        <v>&lt;PrevisaoVAZAO Posto="259" MesReferencia="1"&gt; 70 101 92 88 72 65 49 48 48 52 61 80 &lt;/PrevisaoVAZAO&gt;</v>
      </c>
      <c r="C399" s="83" t="str">
        <f>SUBSTITUTE(TEXT('Hidrologia - 1'!D302,"0") &amp; " " &amp; TEXT('Hidrologia - 1'!E302,"0")&amp; " " &amp; TEXT('Hidrologia - 1'!F302,"0")&amp; " " &amp; TEXT('Hidrologia - 1'!G302,"0")&amp; " " &amp; TEXT('Hidrologia - 1'!H302,"0")&amp; " " &amp; TEXT('Hidrologia - 1'!I302,"0")&amp; " " &amp; TEXT('Hidrologia - 1'!J302,"0")&amp; " " &amp; TEXT('Hidrologia - 1'!K302,"0")&amp; " " &amp; TEXT('Hidrologia - 1'!L302,"0")&amp; " " &amp; TEXT('Hidrologia - 1'!M302,"0")&amp; " " &amp; TEXT('Hidrologia - 1'!N302,"0")&amp; " " &amp; TEXT('Hidrologia - 1'!O302,"0"),",",".")</f>
        <v>70 101 92 88 72 65 49 48 48 52 61 80</v>
      </c>
    </row>
    <row r="400" spans="1:3" x14ac:dyDescent="0.25">
      <c r="A400" t="str">
        <f>"&lt;PrevisaoVAZAO Posto="""&amp;'Hidrologia - 1'!B303&amp;""" MesReferencia=""1""&gt; "&amp;C400&amp;" &lt;/PrevisaoVAZAO&gt;"</f>
        <v>&lt;PrevisaoVAZAO Posto="260" MesReferencia="1"&gt; 0 0 0 0 0 0 0 0 0 0 0 0 &lt;/PrevisaoVAZAO&gt;</v>
      </c>
      <c r="C400" s="83" t="str">
        <f>SUBSTITUTE(TEXT('Hidrologia - 1'!D303,"0") &amp; " " &amp; TEXT('Hidrologia - 1'!E303,"0")&amp; " " &amp; TEXT('Hidrologia - 1'!F303,"0")&amp; " " &amp; TEXT('Hidrologia - 1'!G303,"0")&amp; " " &amp; TEXT('Hidrologia - 1'!H303,"0")&amp; " " &amp; TEXT('Hidrologia - 1'!I303,"0")&amp; " " &amp; TEXT('Hidrologia - 1'!J303,"0")&amp; " " &amp; TEXT('Hidrologia - 1'!K303,"0")&amp; " " &amp; TEXT('Hidrologia - 1'!L303,"0")&amp; " " &amp; TEXT('Hidrologia - 1'!M303,"0")&amp; " " &amp; TEXT('Hidrologia - 1'!N303,"0")&amp; " " &amp; TEXT('Hidrologia - 1'!O303,"0"),",",".")</f>
        <v>0 0 0 0 0 0 0 0 0 0 0 0</v>
      </c>
    </row>
    <row r="401" spans="1:3" x14ac:dyDescent="0.25">
      <c r="A401" t="str">
        <f>"&lt;PrevisaoVAZAO Posto="""&amp;'Hidrologia - 1'!B304&amp;""" MesReferencia=""1""&gt; "&amp;C401&amp;" &lt;/PrevisaoVAZAO&gt;"</f>
        <v>&lt;PrevisaoVAZAO Posto="261" MesReferencia="1"&gt; 232 267 351 243 185 133 109 95 115 141 184 257 &lt;/PrevisaoVAZAO&gt;</v>
      </c>
      <c r="C401" s="83" t="str">
        <f>SUBSTITUTE(TEXT('Hidrologia - 1'!D304,"0") &amp; " " &amp; TEXT('Hidrologia - 1'!E304,"0")&amp; " " &amp; TEXT('Hidrologia - 1'!F304,"0")&amp; " " &amp; TEXT('Hidrologia - 1'!G304,"0")&amp; " " &amp; TEXT('Hidrologia - 1'!H304,"0")&amp; " " &amp; TEXT('Hidrologia - 1'!I304,"0")&amp; " " &amp; TEXT('Hidrologia - 1'!J304,"0")&amp; " " &amp; TEXT('Hidrologia - 1'!K304,"0")&amp; " " &amp; TEXT('Hidrologia - 1'!L304,"0")&amp; " " &amp; TEXT('Hidrologia - 1'!M304,"0")&amp; " " &amp; TEXT('Hidrologia - 1'!N304,"0")&amp; " " &amp; TEXT('Hidrologia - 1'!O304,"0"),",",".")</f>
        <v>232 267 351 243 185 133 109 95 115 141 184 257</v>
      </c>
    </row>
    <row r="402" spans="1:3" x14ac:dyDescent="0.25">
      <c r="A402" t="str">
        <f>"&lt;PrevisaoVAZAO Posto="""&amp;'Hidrologia - 1'!B305&amp;""" MesReferencia=""1""&gt; "&amp;C402&amp;" &lt;/PrevisaoVAZAO&gt;"</f>
        <v>&lt;PrevisaoVAZAO Posto="262" MesReferencia="1"&gt; 46 45 40 25 25 20 24 23 38 47 78 129 &lt;/PrevisaoVAZAO&gt;</v>
      </c>
      <c r="C402" s="83" t="str">
        <f>SUBSTITUTE(TEXT('Hidrologia - 1'!D305,"0") &amp; " " &amp; TEXT('Hidrologia - 1'!E305,"0")&amp; " " &amp; TEXT('Hidrologia - 1'!F305,"0")&amp; " " &amp; TEXT('Hidrologia - 1'!G305,"0")&amp; " " &amp; TEXT('Hidrologia - 1'!H305,"0")&amp; " " &amp; TEXT('Hidrologia - 1'!I305,"0")&amp; " " &amp; TEXT('Hidrologia - 1'!J305,"0")&amp; " " &amp; TEXT('Hidrologia - 1'!K305,"0")&amp; " " &amp; TEXT('Hidrologia - 1'!L305,"0")&amp; " " &amp; TEXT('Hidrologia - 1'!M305,"0")&amp; " " &amp; TEXT('Hidrologia - 1'!N305,"0")&amp; " " &amp; TEXT('Hidrologia - 1'!O305,"0"),",",".")</f>
        <v>46 45 40 25 25 20 24 23 38 47 78 129</v>
      </c>
    </row>
    <row r="403" spans="1:3" x14ac:dyDescent="0.25">
      <c r="A403" t="str">
        <f>"&lt;PrevisaoVAZAO Posto="""&amp;'Hidrologia - 1'!B306&amp;""" MesReferencia=""1""&gt; "&amp;C403&amp;" &lt;/PrevisaoVAZAO&gt;"</f>
        <v>&lt;PrevisaoVAZAO Posto="263" MesReferencia="1"&gt; 64 92 79 53 59 40 32 27 70 89 166 265 &lt;/PrevisaoVAZAO&gt;</v>
      </c>
      <c r="C403" s="83" t="str">
        <f>SUBSTITUTE(TEXT('Hidrologia - 1'!D306,"0") &amp; " " &amp; TEXT('Hidrologia - 1'!E306,"0")&amp; " " &amp; TEXT('Hidrologia - 1'!F306,"0")&amp; " " &amp; TEXT('Hidrologia - 1'!G306,"0")&amp; " " &amp; TEXT('Hidrologia - 1'!H306,"0")&amp; " " &amp; TEXT('Hidrologia - 1'!I306,"0")&amp; " " &amp; TEXT('Hidrologia - 1'!J306,"0")&amp; " " &amp; TEXT('Hidrologia - 1'!K306,"0")&amp; " " &amp; TEXT('Hidrologia - 1'!L306,"0")&amp; " " &amp; TEXT('Hidrologia - 1'!M306,"0")&amp; " " &amp; TEXT('Hidrologia - 1'!N306,"0")&amp; " " &amp; TEXT('Hidrologia - 1'!O306,"0"),",",".")</f>
        <v>64 92 79 53 59 40 32 27 70 89 166 265</v>
      </c>
    </row>
    <row r="404" spans="1:3" x14ac:dyDescent="0.25">
      <c r="A404" t="str">
        <f>"&lt;PrevisaoVAZAO Posto="""&amp;'Hidrologia - 1'!B307&amp;""" MesReferencia=""1""&gt; "&amp;C404&amp;" &lt;/PrevisaoVAZAO&gt;"</f>
        <v>&lt;PrevisaoVAZAO Posto="264" MesReferencia="1"&gt; 0 0 0 0 0 0 0 0 0 0 0 0 &lt;/PrevisaoVAZAO&gt;</v>
      </c>
      <c r="C404" s="83" t="str">
        <f>SUBSTITUTE(TEXT('Hidrologia - 1'!D307,"0") &amp; " " &amp; TEXT('Hidrologia - 1'!E307,"0")&amp; " " &amp; TEXT('Hidrologia - 1'!F307,"0")&amp; " " &amp; TEXT('Hidrologia - 1'!G307,"0")&amp; " " &amp; TEXT('Hidrologia - 1'!H307,"0")&amp; " " &amp; TEXT('Hidrologia - 1'!I307,"0")&amp; " " &amp; TEXT('Hidrologia - 1'!J307,"0")&amp; " " &amp; TEXT('Hidrologia - 1'!K307,"0")&amp; " " &amp; TEXT('Hidrologia - 1'!L307,"0")&amp; " " &amp; TEXT('Hidrologia - 1'!M307,"0")&amp; " " &amp; TEXT('Hidrologia - 1'!N307,"0")&amp; " " &amp; TEXT('Hidrologia - 1'!O307,"0"),",",".")</f>
        <v>0 0 0 0 0 0 0 0 0 0 0 0</v>
      </c>
    </row>
    <row r="405" spans="1:3" x14ac:dyDescent="0.25">
      <c r="A405" t="str">
        <f>"&lt;PrevisaoVAZAO Posto="""&amp;'Hidrologia - 1'!B308&amp;""" MesReferencia=""1""&gt; "&amp;C405&amp;" &lt;/PrevisaoVAZAO&gt;"</f>
        <v>&lt;PrevisaoVAZAO Posto="265" MesReferencia="1"&gt; 15 22 13 13 11 8 5 5 21 25 39 61 &lt;/PrevisaoVAZAO&gt;</v>
      </c>
      <c r="C405" s="83" t="str">
        <f>SUBSTITUTE(TEXT('Hidrologia - 1'!D308,"0") &amp; " " &amp; TEXT('Hidrologia - 1'!E308,"0")&amp; " " &amp; TEXT('Hidrologia - 1'!F308,"0")&amp; " " &amp; TEXT('Hidrologia - 1'!G308,"0")&amp; " " &amp; TEXT('Hidrologia - 1'!H308,"0")&amp; " " &amp; TEXT('Hidrologia - 1'!I308,"0")&amp; " " &amp; TEXT('Hidrologia - 1'!J308,"0")&amp; " " &amp; TEXT('Hidrologia - 1'!K308,"0")&amp; " " &amp; TEXT('Hidrologia - 1'!L308,"0")&amp; " " &amp; TEXT('Hidrologia - 1'!M308,"0")&amp; " " &amp; TEXT('Hidrologia - 1'!N308,"0")&amp; " " &amp; TEXT('Hidrologia - 1'!O308,"0"),",",".")</f>
        <v>15 22 13 13 11 8 5 5 21 25 39 61</v>
      </c>
    </row>
    <row r="406" spans="1:3" x14ac:dyDescent="0.25">
      <c r="A406" t="str">
        <f>"&lt;PrevisaoVAZAO Posto="""&amp;'Hidrologia - 1'!B309&amp;""" MesReferencia=""1""&gt; "&amp;C406&amp;" &lt;/PrevisaoVAZAO&gt;"</f>
        <v>&lt;PrevisaoVAZAO Posto="266" MesReferencia="1"&gt; 13204 15263 11921 10684 12942 13435 7203 6052 6398 7662 8441 11148 &lt;/PrevisaoVAZAO&gt;</v>
      </c>
      <c r="C406" s="83" t="str">
        <f>SUBSTITUTE(TEXT('Hidrologia - 1'!D309,"0") &amp; " " &amp; TEXT('Hidrologia - 1'!E309,"0")&amp; " " &amp; TEXT('Hidrologia - 1'!F309,"0")&amp; " " &amp; TEXT('Hidrologia - 1'!G309,"0")&amp; " " &amp; TEXT('Hidrologia - 1'!H309,"0")&amp; " " &amp; TEXT('Hidrologia - 1'!I309,"0")&amp; " " &amp; TEXT('Hidrologia - 1'!J309,"0")&amp; " " &amp; TEXT('Hidrologia - 1'!K309,"0")&amp; " " &amp; TEXT('Hidrologia - 1'!L309,"0")&amp; " " &amp; TEXT('Hidrologia - 1'!M309,"0")&amp; " " &amp; TEXT('Hidrologia - 1'!N309,"0")&amp; " " &amp; TEXT('Hidrologia - 1'!O309,"0"),",",".")</f>
        <v>13204 15263 11921 10684 12942 13435 7203 6052 6398 7662 8441 11148</v>
      </c>
    </row>
    <row r="407" spans="1:3" x14ac:dyDescent="0.25">
      <c r="A407" t="str">
        <f>"&lt;PrevisaoVAZAO Posto="""&amp;'Hidrologia - 1'!B310&amp;""" MesReferencia=""1""&gt; "&amp;C407&amp;" &lt;/PrevisaoVAZAO&gt;"</f>
        <v>&lt;PrevisaoVAZAO Posto="267" MesReferencia="1"&gt; 79 77 73 54 55 57 55 46 84 99 144 227 &lt;/PrevisaoVAZAO&gt;</v>
      </c>
      <c r="C407" s="83" t="str">
        <f>SUBSTITUTE(TEXT('Hidrologia - 1'!D310,"0") &amp; " " &amp; TEXT('Hidrologia - 1'!E310,"0")&amp; " " &amp; TEXT('Hidrologia - 1'!F310,"0")&amp; " " &amp; TEXT('Hidrologia - 1'!G310,"0")&amp; " " &amp; TEXT('Hidrologia - 1'!H310,"0")&amp; " " &amp; TEXT('Hidrologia - 1'!I310,"0")&amp; " " &amp; TEXT('Hidrologia - 1'!J310,"0")&amp; " " &amp; TEXT('Hidrologia - 1'!K310,"0")&amp; " " &amp; TEXT('Hidrologia - 1'!L310,"0")&amp; " " &amp; TEXT('Hidrologia - 1'!M310,"0")&amp; " " &amp; TEXT('Hidrologia - 1'!N310,"0")&amp; " " &amp; TEXT('Hidrologia - 1'!O310,"0"),",",".")</f>
        <v>79 77 73 54 55 57 55 46 84 99 144 227</v>
      </c>
    </row>
    <row r="408" spans="1:3" x14ac:dyDescent="0.25">
      <c r="A408" t="str">
        <f>"&lt;PrevisaoVAZAO Posto="""&amp;'Hidrologia - 1'!B311&amp;""" MesReferencia=""1""&gt; "&amp;C408&amp;" &lt;/PrevisaoVAZAO&gt;"</f>
        <v>&lt;PrevisaoVAZAO Posto="268" MesReferencia="1"&gt; 0 0 0 0 0 0 0 0 0 0 0 0 &lt;/PrevisaoVAZAO&gt;</v>
      </c>
      <c r="C408" s="83" t="str">
        <f>SUBSTITUTE(TEXT('Hidrologia - 1'!D311,"0") &amp; " " &amp; TEXT('Hidrologia - 1'!E311,"0")&amp; " " &amp; TEXT('Hidrologia - 1'!F311,"0")&amp; " " &amp; TEXT('Hidrologia - 1'!G311,"0")&amp; " " &amp; TEXT('Hidrologia - 1'!H311,"0")&amp; " " &amp; TEXT('Hidrologia - 1'!I311,"0")&amp; " " &amp; TEXT('Hidrologia - 1'!J311,"0")&amp; " " &amp; TEXT('Hidrologia - 1'!K311,"0")&amp; " " &amp; TEXT('Hidrologia - 1'!L311,"0")&amp; " " &amp; TEXT('Hidrologia - 1'!M311,"0")&amp; " " &amp; TEXT('Hidrologia - 1'!N311,"0")&amp; " " &amp; TEXT('Hidrologia - 1'!O311,"0"),",",".")</f>
        <v>0 0 0 0 0 0 0 0 0 0 0 0</v>
      </c>
    </row>
    <row r="409" spans="1:3" x14ac:dyDescent="0.25">
      <c r="A409" t="str">
        <f>"&lt;PrevisaoVAZAO Posto="""&amp;'Hidrologia - 1'!B312&amp;""" MesReferencia=""1""&gt; "&amp;C409&amp;" &lt;/PrevisaoVAZAO&gt;"</f>
        <v>&lt;PrevisaoVAZAO Posto="269" MesReferencia="1"&gt; 772 1001 1315 1220 960 558 486 322 233 196 190 210 &lt;/PrevisaoVAZAO&gt;</v>
      </c>
      <c r="C409" s="83" t="str">
        <f>SUBSTITUTE(TEXT('Hidrologia - 1'!D312,"0") &amp; " " &amp; TEXT('Hidrologia - 1'!E312,"0")&amp; " " &amp; TEXT('Hidrologia - 1'!F312,"0")&amp; " " &amp; TEXT('Hidrologia - 1'!G312,"0")&amp; " " &amp; TEXT('Hidrologia - 1'!H312,"0")&amp; " " &amp; TEXT('Hidrologia - 1'!I312,"0")&amp; " " &amp; TEXT('Hidrologia - 1'!J312,"0")&amp; " " &amp; TEXT('Hidrologia - 1'!K312,"0")&amp; " " &amp; TEXT('Hidrologia - 1'!L312,"0")&amp; " " &amp; TEXT('Hidrologia - 1'!M312,"0")&amp; " " &amp; TEXT('Hidrologia - 1'!N312,"0")&amp; " " &amp; TEXT('Hidrologia - 1'!O312,"0"),",",".")</f>
        <v>772 1001 1315 1220 960 558 486 322 233 196 190 210</v>
      </c>
    </row>
    <row r="410" spans="1:3" x14ac:dyDescent="0.25">
      <c r="A410" t="str">
        <f>"&lt;PrevisaoVAZAO Posto="""&amp;'Hidrologia - 1'!B313&amp;""" MesReferencia=""1""&gt; "&amp;C410&amp;" &lt;/PrevisaoVAZAO&gt;"</f>
        <v>&lt;PrevisaoVAZAO Posto="270" MesReferencia="1"&gt; 347 735 533 471 260 158 99 85 214 312 563 1052 &lt;/PrevisaoVAZAO&gt;</v>
      </c>
      <c r="C410" s="83" t="str">
        <f>SUBSTITUTE(TEXT('Hidrologia - 1'!D313,"0") &amp; " " &amp; TEXT('Hidrologia - 1'!E313,"0")&amp; " " &amp; TEXT('Hidrologia - 1'!F313,"0")&amp; " " &amp; TEXT('Hidrologia - 1'!G313,"0")&amp; " " &amp; TEXT('Hidrologia - 1'!H313,"0")&amp; " " &amp; TEXT('Hidrologia - 1'!I313,"0")&amp; " " &amp; TEXT('Hidrologia - 1'!J313,"0")&amp; " " &amp; TEXT('Hidrologia - 1'!K313,"0")&amp; " " &amp; TEXT('Hidrologia - 1'!L313,"0")&amp; " " &amp; TEXT('Hidrologia - 1'!M313,"0")&amp; " " &amp; TEXT('Hidrologia - 1'!N313,"0")&amp; " " &amp; TEXT('Hidrologia - 1'!O313,"0"),",",".")</f>
        <v>347 735 533 471 260 158 99 85 214 312 563 1052</v>
      </c>
    </row>
    <row r="411" spans="1:3" x14ac:dyDescent="0.25">
      <c r="A411" t="str">
        <f>"&lt;PrevisaoVAZAO Posto="""&amp;'Hidrologia - 1'!B314&amp;""" MesReferencia=""1""&gt; "&amp;C411&amp;" &lt;/PrevisaoVAZAO&gt;"</f>
        <v>&lt;PrevisaoVAZAO Posto="271" MesReferencia="1"&gt; 1750 4622 3813 3894 1584 1003 711 593 970 1251 2185 4041 &lt;/PrevisaoVAZAO&gt;</v>
      </c>
      <c r="C411" s="83" t="str">
        <f>SUBSTITUTE(TEXT('Hidrologia - 1'!D314,"0") &amp; " " &amp; TEXT('Hidrologia - 1'!E314,"0")&amp; " " &amp; TEXT('Hidrologia - 1'!F314,"0")&amp; " " &amp; TEXT('Hidrologia - 1'!G314,"0")&amp; " " &amp; TEXT('Hidrologia - 1'!H314,"0")&amp; " " &amp; TEXT('Hidrologia - 1'!I314,"0")&amp; " " &amp; TEXT('Hidrologia - 1'!J314,"0")&amp; " " &amp; TEXT('Hidrologia - 1'!K314,"0")&amp; " " &amp; TEXT('Hidrologia - 1'!L314,"0")&amp; " " &amp; TEXT('Hidrologia - 1'!M314,"0")&amp; " " &amp; TEXT('Hidrologia - 1'!N314,"0")&amp; " " &amp; TEXT('Hidrologia - 1'!O314,"0"),",",".")</f>
        <v>1750 4622 3813 3894 1584 1003 711 593 970 1251 2185 4041</v>
      </c>
    </row>
    <row r="412" spans="1:3" x14ac:dyDescent="0.25">
      <c r="A412" t="str">
        <f>"&lt;PrevisaoVAZAO Posto="""&amp;'Hidrologia - 1'!B315&amp;""" MesReferencia=""1""&gt; "&amp;C412&amp;" &lt;/PrevisaoVAZAO&gt;"</f>
        <v>&lt;PrevisaoVAZAO Posto="272" MesReferencia="1"&gt; 0 0 0 0 0 0 0 0 0 0 0 0 &lt;/PrevisaoVAZAO&gt;</v>
      </c>
      <c r="C412" s="83" t="str">
        <f>SUBSTITUTE(TEXT('Hidrologia - 1'!D315,"0") &amp; " " &amp; TEXT('Hidrologia - 1'!E315,"0")&amp; " " &amp; TEXT('Hidrologia - 1'!F315,"0")&amp; " " &amp; TEXT('Hidrologia - 1'!G315,"0")&amp; " " &amp; TEXT('Hidrologia - 1'!H315,"0")&amp; " " &amp; TEXT('Hidrologia - 1'!I315,"0")&amp; " " &amp; TEXT('Hidrologia - 1'!J315,"0")&amp; " " &amp; TEXT('Hidrologia - 1'!K315,"0")&amp; " " &amp; TEXT('Hidrologia - 1'!L315,"0")&amp; " " &amp; TEXT('Hidrologia - 1'!M315,"0")&amp; " " &amp; TEXT('Hidrologia - 1'!N315,"0")&amp; " " &amp; TEXT('Hidrologia - 1'!O315,"0"),",",".")</f>
        <v>0 0 0 0 0 0 0 0 0 0 0 0</v>
      </c>
    </row>
    <row r="413" spans="1:3" x14ac:dyDescent="0.25">
      <c r="A413" t="str">
        <f>"&lt;PrevisaoVAZAO Posto="""&amp;'Hidrologia - 1'!B316&amp;""" MesReferencia=""1""&gt; "&amp;C413&amp;" &lt;/PrevisaoVAZAO&gt;"</f>
        <v>&lt;PrevisaoVAZAO Posto="273" MesReferencia="1"&gt; 852 2090 1549 1837 681 386 283 214 561 784 1553 3139 &lt;/PrevisaoVAZAO&gt;</v>
      </c>
      <c r="C413" s="83" t="str">
        <f>SUBSTITUTE(TEXT('Hidrologia - 1'!D316,"0") &amp; " " &amp; TEXT('Hidrologia - 1'!E316,"0")&amp; " " &amp; TEXT('Hidrologia - 1'!F316,"0")&amp; " " &amp; TEXT('Hidrologia - 1'!G316,"0")&amp; " " &amp; TEXT('Hidrologia - 1'!H316,"0")&amp; " " &amp; TEXT('Hidrologia - 1'!I316,"0")&amp; " " &amp; TEXT('Hidrologia - 1'!J316,"0")&amp; " " &amp; TEXT('Hidrologia - 1'!K316,"0")&amp; " " &amp; TEXT('Hidrologia - 1'!L316,"0")&amp; " " &amp; TEXT('Hidrologia - 1'!M316,"0")&amp; " " &amp; TEXT('Hidrologia - 1'!N316,"0")&amp; " " &amp; TEXT('Hidrologia - 1'!O316,"0"),",",".")</f>
        <v>852 2090 1549 1837 681 386 283 214 561 784 1553 3139</v>
      </c>
    </row>
    <row r="414" spans="1:3" x14ac:dyDescent="0.25">
      <c r="A414" t="str">
        <f>"&lt;PrevisaoVAZAO Posto="""&amp;'Hidrologia - 1'!B317&amp;""" MesReferencia=""1""&gt; "&amp;C414&amp;" &lt;/PrevisaoVAZAO&gt;"</f>
        <v>&lt;PrevisaoVAZAO Posto="274" MesReferencia="1"&gt; 2151 5381 5888 5594 2599 1216 611 486 1368 1681 2736 4815 &lt;/PrevisaoVAZAO&gt;</v>
      </c>
      <c r="C414" s="83" t="str">
        <f>SUBSTITUTE(TEXT('Hidrologia - 1'!D317,"0") &amp; " " &amp; TEXT('Hidrologia - 1'!E317,"0")&amp; " " &amp; TEXT('Hidrologia - 1'!F317,"0")&amp; " " &amp; TEXT('Hidrologia - 1'!G317,"0")&amp; " " &amp; TEXT('Hidrologia - 1'!H317,"0")&amp; " " &amp; TEXT('Hidrologia - 1'!I317,"0")&amp; " " &amp; TEXT('Hidrologia - 1'!J317,"0")&amp; " " &amp; TEXT('Hidrologia - 1'!K317,"0")&amp; " " &amp; TEXT('Hidrologia - 1'!L317,"0")&amp; " " &amp; TEXT('Hidrologia - 1'!M317,"0")&amp; " " &amp; TEXT('Hidrologia - 1'!N317,"0")&amp; " " &amp; TEXT('Hidrologia - 1'!O317,"0"),",",".")</f>
        <v>2151 5381 5888 5594 2599 1216 611 486 1368 1681 2736 4815</v>
      </c>
    </row>
    <row r="415" spans="1:3" x14ac:dyDescent="0.25">
      <c r="A415" t="str">
        <f>"&lt;PrevisaoVAZAO Posto="""&amp;'Hidrologia - 1'!B318&amp;""" MesReferencia=""1""&gt; "&amp;C415&amp;" &lt;/PrevisaoVAZAO&gt;"</f>
        <v>&lt;PrevisaoVAZAO Posto="275" MesReferencia="1"&gt; 6087 15352 19035 16978 8410 3732 2131 1603 1839 2069 3432 6734 &lt;/PrevisaoVAZAO&gt;</v>
      </c>
      <c r="C415" s="83" t="str">
        <f>SUBSTITUTE(TEXT('Hidrologia - 1'!D318,"0") &amp; " " &amp; TEXT('Hidrologia - 1'!E318,"0")&amp; " " &amp; TEXT('Hidrologia - 1'!F318,"0")&amp; " " &amp; TEXT('Hidrologia - 1'!G318,"0")&amp; " " &amp; TEXT('Hidrologia - 1'!H318,"0")&amp; " " &amp; TEXT('Hidrologia - 1'!I318,"0")&amp; " " &amp; TEXT('Hidrologia - 1'!J318,"0")&amp; " " &amp; TEXT('Hidrologia - 1'!K318,"0")&amp; " " &amp; TEXT('Hidrologia - 1'!L318,"0")&amp; " " &amp; TEXT('Hidrologia - 1'!M318,"0")&amp; " " &amp; TEXT('Hidrologia - 1'!N318,"0")&amp; " " &amp; TEXT('Hidrologia - 1'!O318,"0"),",",".")</f>
        <v>6087 15352 19035 16978 8410 3732 2131 1603 1839 2069 3432 6734</v>
      </c>
    </row>
    <row r="416" spans="1:3" x14ac:dyDescent="0.25">
      <c r="A416" t="str">
        <f>"&lt;PrevisaoVAZAO Posto="""&amp;'Hidrologia - 1'!B319&amp;""" MesReferencia=""1""&gt; "&amp;C416&amp;" &lt;/PrevisaoVAZAO&gt;"</f>
        <v>&lt;PrevisaoVAZAO Posto="276" MesReferencia="1"&gt; 3323 8418 11099 9611 4906 2124 835 510 824 953 1644 3327 &lt;/PrevisaoVAZAO&gt;</v>
      </c>
      <c r="C416" s="83" t="str">
        <f>SUBSTITUTE(TEXT('Hidrologia - 1'!D319,"0") &amp; " " &amp; TEXT('Hidrologia - 1'!E319,"0")&amp; " " &amp; TEXT('Hidrologia - 1'!F319,"0")&amp; " " &amp; TEXT('Hidrologia - 1'!G319,"0")&amp; " " &amp; TEXT('Hidrologia - 1'!H319,"0")&amp; " " &amp; TEXT('Hidrologia - 1'!I319,"0")&amp; " " &amp; TEXT('Hidrologia - 1'!J319,"0")&amp; " " &amp; TEXT('Hidrologia - 1'!K319,"0")&amp; " " &amp; TEXT('Hidrologia - 1'!L319,"0")&amp; " " &amp; TEXT('Hidrologia - 1'!M319,"0")&amp; " " &amp; TEXT('Hidrologia - 1'!N319,"0")&amp; " " &amp; TEXT('Hidrologia - 1'!O319,"0"),",",".")</f>
        <v>3323 8418 11099 9611 4906 2124 835 510 824 953 1644 3327</v>
      </c>
    </row>
    <row r="417" spans="1:3" x14ac:dyDescent="0.25">
      <c r="A417" t="str">
        <f>"&lt;PrevisaoVAZAO Posto="""&amp;'Hidrologia - 1'!B320&amp;""" MesReferencia=""1""&gt; "&amp;C417&amp;" &lt;/PrevisaoVAZAO&gt;"</f>
        <v>&lt;PrevisaoVAZAO Posto="277" MesReferencia="1"&gt; 132 226 346 513 339 202 138 116 96 84 83 85 &lt;/PrevisaoVAZAO&gt;</v>
      </c>
      <c r="C417" s="83" t="str">
        <f>SUBSTITUTE(TEXT('Hidrologia - 1'!D320,"0") &amp; " " &amp; TEXT('Hidrologia - 1'!E320,"0")&amp; " " &amp; TEXT('Hidrologia - 1'!F320,"0")&amp; " " &amp; TEXT('Hidrologia - 1'!G320,"0")&amp; " " &amp; TEXT('Hidrologia - 1'!H320,"0")&amp; " " &amp; TEXT('Hidrologia - 1'!I320,"0")&amp; " " &amp; TEXT('Hidrologia - 1'!J320,"0")&amp; " " &amp; TEXT('Hidrologia - 1'!K320,"0")&amp; " " &amp; TEXT('Hidrologia - 1'!L320,"0")&amp; " " &amp; TEXT('Hidrologia - 1'!M320,"0")&amp; " " &amp; TEXT('Hidrologia - 1'!N320,"0")&amp; " " &amp; TEXT('Hidrologia - 1'!O320,"0"),",",".")</f>
        <v>132 226 346 513 339 202 138 116 96 84 83 85</v>
      </c>
    </row>
    <row r="418" spans="1:3" x14ac:dyDescent="0.25">
      <c r="A418" t="str">
        <f>"&lt;PrevisaoVAZAO Posto="""&amp;'Hidrologia - 1'!B321&amp;""" MesReferencia=""1""&gt; "&amp;C418&amp;" &lt;/PrevisaoVAZAO&gt;"</f>
        <v>&lt;PrevisaoVAZAO Posto="278" MesReferencia="1"&gt; 229 367 374 185 113 64 57 51 70 94 130 208 &lt;/PrevisaoVAZAO&gt;</v>
      </c>
      <c r="C418" s="83" t="str">
        <f>SUBSTITUTE(TEXT('Hidrologia - 1'!D321,"0") &amp; " " &amp; TEXT('Hidrologia - 1'!E321,"0")&amp; " " &amp; TEXT('Hidrologia - 1'!F321,"0")&amp; " " &amp; TEXT('Hidrologia - 1'!G321,"0")&amp; " " &amp; TEXT('Hidrologia - 1'!H321,"0")&amp; " " &amp; TEXT('Hidrologia - 1'!I321,"0")&amp; " " &amp; TEXT('Hidrologia - 1'!J321,"0")&amp; " " &amp; TEXT('Hidrologia - 1'!K321,"0")&amp; " " &amp; TEXT('Hidrologia - 1'!L321,"0")&amp; " " &amp; TEXT('Hidrologia - 1'!M321,"0")&amp; " " &amp; TEXT('Hidrologia - 1'!N321,"0")&amp; " " &amp; TEXT('Hidrologia - 1'!O321,"0"),",",".")</f>
        <v>229 367 374 185 113 64 57 51 70 94 130 208</v>
      </c>
    </row>
    <row r="419" spans="1:3" x14ac:dyDescent="0.25">
      <c r="A419" t="str">
        <f>"&lt;PrevisaoVAZAO Posto="""&amp;'Hidrologia - 1'!B322&amp;""" MesReferencia=""1""&gt; "&amp;C419&amp;" &lt;/PrevisaoVAZAO&gt;"</f>
        <v>&lt;PrevisaoVAZAO Posto="279" MesReferencia="1"&gt; 550 666 961 718 381 150 77 41 63 61 117 241 &lt;/PrevisaoVAZAO&gt;</v>
      </c>
      <c r="C419" s="83" t="str">
        <f>SUBSTITUTE(TEXT('Hidrologia - 1'!D322,"0") &amp; " " &amp; TEXT('Hidrologia - 1'!E322,"0")&amp; " " &amp; TEXT('Hidrologia - 1'!F322,"0")&amp; " " &amp; TEXT('Hidrologia - 1'!G322,"0")&amp; " " &amp; TEXT('Hidrologia - 1'!H322,"0")&amp; " " &amp; TEXT('Hidrologia - 1'!I322,"0")&amp; " " &amp; TEXT('Hidrologia - 1'!J322,"0")&amp; " " &amp; TEXT('Hidrologia - 1'!K322,"0")&amp; " " &amp; TEXT('Hidrologia - 1'!L322,"0")&amp; " " &amp; TEXT('Hidrologia - 1'!M322,"0")&amp; " " &amp; TEXT('Hidrologia - 1'!N322,"0")&amp; " " &amp; TEXT('Hidrologia - 1'!O322,"0"),",",".")</f>
        <v>550 666 961 718 381 150 77 41 63 61 117 241</v>
      </c>
    </row>
    <row r="420" spans="1:3" x14ac:dyDescent="0.25">
      <c r="A420" t="str">
        <f>"&lt;PrevisaoVAZAO Posto="""&amp;'Hidrologia - 1'!B323&amp;""" MesReferencia=""1""&gt; "&amp;C420&amp;" &lt;/PrevisaoVAZAO&gt;"</f>
        <v>&lt;PrevisaoVAZAO Posto="280" MesReferencia="1"&gt; 571 1351 2305 2001 1745 1396 982 738 339 202 142 164 &lt;/PrevisaoVAZAO&gt;</v>
      </c>
      <c r="C420" s="83" t="str">
        <f>SUBSTITUTE(TEXT('Hidrologia - 1'!D323,"0") &amp; " " &amp; TEXT('Hidrologia - 1'!E323,"0")&amp; " " &amp; TEXT('Hidrologia - 1'!F323,"0")&amp; " " &amp; TEXT('Hidrologia - 1'!G323,"0")&amp; " " &amp; TEXT('Hidrologia - 1'!H323,"0")&amp; " " &amp; TEXT('Hidrologia - 1'!I323,"0")&amp; " " &amp; TEXT('Hidrologia - 1'!J323,"0")&amp; " " &amp; TEXT('Hidrologia - 1'!K323,"0")&amp; " " &amp; TEXT('Hidrologia - 1'!L323,"0")&amp; " " &amp; TEXT('Hidrologia - 1'!M323,"0")&amp; " " &amp; TEXT('Hidrologia - 1'!N323,"0")&amp; " " &amp; TEXT('Hidrologia - 1'!O323,"0"),",",".")</f>
        <v>571 1351 2305 2001 1745 1396 982 738 339 202 142 164</v>
      </c>
    </row>
    <row r="421" spans="1:3" x14ac:dyDescent="0.25">
      <c r="A421" t="str">
        <f>"&lt;PrevisaoVAZAO Posto="""&amp;'Hidrologia - 1'!B324&amp;""" MesReferencia=""1""&gt; "&amp;C421&amp;" &lt;/PrevisaoVAZAO&gt;"</f>
        <v>&lt;PrevisaoVAZAO Posto="281" MesReferencia="1"&gt; 95 102 98 89 80 74 69 67 63 67 72 79 &lt;/PrevisaoVAZAO&gt;</v>
      </c>
      <c r="C421" s="83" t="str">
        <f>SUBSTITUTE(TEXT('Hidrologia - 1'!D324,"0") &amp; " " &amp; TEXT('Hidrologia - 1'!E324,"0")&amp; " " &amp; TEXT('Hidrologia - 1'!F324,"0")&amp; " " &amp; TEXT('Hidrologia - 1'!G324,"0")&amp; " " &amp; TEXT('Hidrologia - 1'!H324,"0")&amp; " " &amp; TEXT('Hidrologia - 1'!I324,"0")&amp; " " &amp; TEXT('Hidrologia - 1'!J324,"0")&amp; " " &amp; TEXT('Hidrologia - 1'!K324,"0")&amp; " " &amp; TEXT('Hidrologia - 1'!L324,"0")&amp; " " &amp; TEXT('Hidrologia - 1'!M324,"0")&amp; " " &amp; TEXT('Hidrologia - 1'!N324,"0")&amp; " " &amp; TEXT('Hidrologia - 1'!O324,"0"),",",".")</f>
        <v>95 102 98 89 80 74 69 67 63 67 72 79</v>
      </c>
    </row>
    <row r="422" spans="1:3" x14ac:dyDescent="0.25">
      <c r="A422" t="str">
        <f>"&lt;PrevisaoVAZAO Posto="""&amp;'Hidrologia - 1'!B325&amp;""" MesReferencia=""1""&gt; "&amp;C422&amp;" &lt;/PrevisaoVAZAO&gt;"</f>
        <v>&lt;PrevisaoVAZAO Posto="282" MesReferencia="1"&gt; 108 129 110 98 85 77 67 67 57 62 71 86 &lt;/PrevisaoVAZAO&gt;</v>
      </c>
      <c r="C422" s="83" t="str">
        <f>SUBSTITUTE(TEXT('Hidrologia - 1'!D325,"0") &amp; " " &amp; TEXT('Hidrologia - 1'!E325,"0")&amp; " " &amp; TEXT('Hidrologia - 1'!F325,"0")&amp; " " &amp; TEXT('Hidrologia - 1'!G325,"0")&amp; " " &amp; TEXT('Hidrologia - 1'!H325,"0")&amp; " " &amp; TEXT('Hidrologia - 1'!I325,"0")&amp; " " &amp; TEXT('Hidrologia - 1'!J325,"0")&amp; " " &amp; TEXT('Hidrologia - 1'!K325,"0")&amp; " " &amp; TEXT('Hidrologia - 1'!L325,"0")&amp; " " &amp; TEXT('Hidrologia - 1'!M325,"0")&amp; " " &amp; TEXT('Hidrologia - 1'!N325,"0")&amp; " " &amp; TEXT('Hidrologia - 1'!O325,"0"),",",".")</f>
        <v>108 129 110 98 85 77 67 67 57 62 71 86</v>
      </c>
    </row>
    <row r="423" spans="1:3" x14ac:dyDescent="0.25">
      <c r="A423" t="str">
        <f>"&lt;PrevisaoVAZAO Posto="""&amp;'Hidrologia - 1'!B326&amp;""" MesReferencia=""1""&gt; "&amp;C423&amp;" &lt;/PrevisaoVAZAO&gt;"</f>
        <v>&lt;PrevisaoVAZAO Posto="283" MesReferencia="1"&gt; 17 78 13 18 12 10 20 21 44 61 122 182 &lt;/PrevisaoVAZAO&gt;</v>
      </c>
      <c r="C423" s="83" t="str">
        <f>SUBSTITUTE(TEXT('Hidrologia - 1'!D326,"0") &amp; " " &amp; TEXT('Hidrologia - 1'!E326,"0")&amp; " " &amp; TEXT('Hidrologia - 1'!F326,"0")&amp; " " &amp; TEXT('Hidrologia - 1'!G326,"0")&amp; " " &amp; TEXT('Hidrologia - 1'!H326,"0")&amp; " " &amp; TEXT('Hidrologia - 1'!I326,"0")&amp; " " &amp; TEXT('Hidrologia - 1'!J326,"0")&amp; " " &amp; TEXT('Hidrologia - 1'!K326,"0")&amp; " " &amp; TEXT('Hidrologia - 1'!L326,"0")&amp; " " &amp; TEXT('Hidrologia - 1'!M326,"0")&amp; " " &amp; TEXT('Hidrologia - 1'!N326,"0")&amp; " " &amp; TEXT('Hidrologia - 1'!O326,"0"),",",".")</f>
        <v>17 78 13 18 12 10 20 21 44 61 122 182</v>
      </c>
    </row>
    <row r="424" spans="1:3" x14ac:dyDescent="0.25">
      <c r="A424" t="str">
        <f>"&lt;PrevisaoVAZAO Posto="""&amp;'Hidrologia - 1'!B327&amp;""" MesReferencia=""1""&gt; "&amp;C424&amp;" &lt;/PrevisaoVAZAO&gt;"</f>
        <v>&lt;PrevisaoVAZAO Posto="284" MesReferencia="1"&gt; 246 92 151 194 526 832 107 282 490 412 236 189 &lt;/PrevisaoVAZAO&gt;</v>
      </c>
      <c r="C424" s="83" t="str">
        <f>SUBSTITUTE(TEXT('Hidrologia - 1'!D327,"0") &amp; " " &amp; TEXT('Hidrologia - 1'!E327,"0")&amp; " " &amp; TEXT('Hidrologia - 1'!F327,"0")&amp; " " &amp; TEXT('Hidrologia - 1'!G327,"0")&amp; " " &amp; TEXT('Hidrologia - 1'!H327,"0")&amp; " " &amp; TEXT('Hidrologia - 1'!I327,"0")&amp; " " &amp; TEXT('Hidrologia - 1'!J327,"0")&amp; " " &amp; TEXT('Hidrologia - 1'!K327,"0")&amp; " " &amp; TEXT('Hidrologia - 1'!L327,"0")&amp; " " &amp; TEXT('Hidrologia - 1'!M327,"0")&amp; " " &amp; TEXT('Hidrologia - 1'!N327,"0")&amp; " " &amp; TEXT('Hidrologia - 1'!O327,"0"),",",".")</f>
        <v>246 92 151 194 526 832 107 282 490 412 236 189</v>
      </c>
    </row>
    <row r="425" spans="1:3" x14ac:dyDescent="0.25">
      <c r="A425" t="str">
        <f>"&lt;PrevisaoVAZAO Posto="""&amp;'Hidrologia - 1'!B328&amp;""" MesReferencia=""1""&gt; "&amp;C425&amp;" &lt;/PrevisaoVAZAO&gt;"</f>
        <v>&lt;PrevisaoVAZAO Posto="285" MesReferencia="1"&gt; 19592 23357 32615 32004 26223 19756 11454 6737 5333 6402 10100 16124 &lt;/PrevisaoVAZAO&gt;</v>
      </c>
      <c r="C425" s="83" t="str">
        <f>SUBSTITUTE(TEXT('Hidrologia - 1'!D328,"0") &amp; " " &amp; TEXT('Hidrologia - 1'!E328,"0")&amp; " " &amp; TEXT('Hidrologia - 1'!F328,"0")&amp; " " &amp; TEXT('Hidrologia - 1'!G328,"0")&amp; " " &amp; TEXT('Hidrologia - 1'!H328,"0")&amp; " " &amp; TEXT('Hidrologia - 1'!I328,"0")&amp; " " &amp; TEXT('Hidrologia - 1'!J328,"0")&amp; " " &amp; TEXT('Hidrologia - 1'!K328,"0")&amp; " " &amp; TEXT('Hidrologia - 1'!L328,"0")&amp; " " &amp; TEXT('Hidrologia - 1'!M328,"0")&amp; " " &amp; TEXT('Hidrologia - 1'!N328,"0")&amp; " " &amp; TEXT('Hidrologia - 1'!O328,"0"),",",".")</f>
        <v>19592 23357 32615 32004 26223 19756 11454 6737 5333 6402 10100 16124</v>
      </c>
    </row>
    <row r="426" spans="1:3" x14ac:dyDescent="0.25">
      <c r="A426" t="str">
        <f>"&lt;PrevisaoVAZAO Posto="""&amp;'Hidrologia - 1'!B329&amp;""" MesReferencia=""1""&gt; "&amp;C426&amp;" &lt;/PrevisaoVAZAO&gt;"</f>
        <v>&lt;PrevisaoVAZAO Posto="286" MesReferencia="1"&gt; 88 45 51 24 72 173 39 58 99 123 83 63 &lt;/PrevisaoVAZAO&gt;</v>
      </c>
      <c r="C426" s="83" t="str">
        <f>SUBSTITUTE(TEXT('Hidrologia - 1'!D329,"0") &amp; " " &amp; TEXT('Hidrologia - 1'!E329,"0")&amp; " " &amp; TEXT('Hidrologia - 1'!F329,"0")&amp; " " &amp; TEXT('Hidrologia - 1'!G329,"0")&amp; " " &amp; TEXT('Hidrologia - 1'!H329,"0")&amp; " " &amp; TEXT('Hidrologia - 1'!I329,"0")&amp; " " &amp; TEXT('Hidrologia - 1'!J329,"0")&amp; " " &amp; TEXT('Hidrologia - 1'!K329,"0")&amp; " " &amp; TEXT('Hidrologia - 1'!L329,"0")&amp; " " &amp; TEXT('Hidrologia - 1'!M329,"0")&amp; " " &amp; TEXT('Hidrologia - 1'!N329,"0")&amp; " " &amp; TEXT('Hidrologia - 1'!O329,"0"),",",".")</f>
        <v>88 45 51 24 72 173 39 58 99 123 83 63</v>
      </c>
    </row>
    <row r="427" spans="1:3" x14ac:dyDescent="0.25">
      <c r="A427" t="str">
        <f>"&lt;PrevisaoVAZAO Posto="""&amp;'Hidrologia - 1'!B330&amp;""" MesReferencia=""1""&gt; "&amp;C427&amp;" &lt;/PrevisaoVAZAO&gt;"</f>
        <v>&lt;PrevisaoVAZAO Posto="287" MesReferencia="1"&gt; 19607 23402 33107 32480 26865 20330 11629 6840 5416 6496 10247 16359 &lt;/PrevisaoVAZAO&gt;</v>
      </c>
      <c r="C427" s="83" t="str">
        <f>SUBSTITUTE(TEXT('Hidrologia - 1'!D330,"0") &amp; " " &amp; TEXT('Hidrologia - 1'!E330,"0")&amp; " " &amp; TEXT('Hidrologia - 1'!F330,"0")&amp; " " &amp; TEXT('Hidrologia - 1'!G330,"0")&amp; " " &amp; TEXT('Hidrologia - 1'!H330,"0")&amp; " " &amp; TEXT('Hidrologia - 1'!I330,"0")&amp; " " &amp; TEXT('Hidrologia - 1'!J330,"0")&amp; " " &amp; TEXT('Hidrologia - 1'!K330,"0")&amp; " " &amp; TEXT('Hidrologia - 1'!L330,"0")&amp; " " &amp; TEXT('Hidrologia - 1'!M330,"0")&amp; " " &amp; TEXT('Hidrologia - 1'!N330,"0")&amp; " " &amp; TEXT('Hidrologia - 1'!O330,"0"),",",".")</f>
        <v>19607 23402 33107 32480 26865 20330 11629 6840 5416 6496 10247 16359</v>
      </c>
    </row>
    <row r="428" spans="1:3" x14ac:dyDescent="0.25">
      <c r="A428" t="str">
        <f>"&lt;PrevisaoVAZAO Posto="""&amp;'Hidrologia - 1'!B331&amp;""" MesReferencia=""1""&gt; "&amp;C428&amp;" &lt;/PrevisaoVAZAO&gt;"</f>
        <v>&lt;PrevisaoVAZAO Posto="288" MesReferencia="1"&gt; 7069 15052 22092 18756 10727 5071 2104 1283 811 815 1366 2765 &lt;/PrevisaoVAZAO&gt;</v>
      </c>
      <c r="C428" s="83" t="str">
        <f>SUBSTITUTE(TEXT('Hidrologia - 1'!D331,"0") &amp; " " &amp; TEXT('Hidrologia - 1'!E331,"0")&amp; " " &amp; TEXT('Hidrologia - 1'!F331,"0")&amp; " " &amp; TEXT('Hidrologia - 1'!G331,"0")&amp; " " &amp; TEXT('Hidrologia - 1'!H331,"0")&amp; " " &amp; TEXT('Hidrologia - 1'!I331,"0")&amp; " " &amp; TEXT('Hidrologia - 1'!J331,"0")&amp; " " &amp; TEXT('Hidrologia - 1'!K331,"0")&amp; " " &amp; TEXT('Hidrologia - 1'!L331,"0")&amp; " " &amp; TEXT('Hidrologia - 1'!M331,"0")&amp; " " &amp; TEXT('Hidrologia - 1'!N331,"0")&amp; " " &amp; TEXT('Hidrologia - 1'!O331,"0"),",",".")</f>
        <v>7069 15052 22092 18756 10727 5071 2104 1283 811 815 1366 2765</v>
      </c>
    </row>
    <row r="429" spans="1:3" x14ac:dyDescent="0.25">
      <c r="A429" t="str">
        <f>"&lt;PrevisaoVAZAO Posto="""&amp;'Hidrologia - 1'!B332&amp;""" MesReferencia=""1""&gt; "&amp;C429&amp;" &lt;/PrevisaoVAZAO&gt;"</f>
        <v>&lt;PrevisaoVAZAO Posto="289" MesReferencia="1"&gt; 71 85 73 65 56 51 44 44 38 42 47 57 &lt;/PrevisaoVAZAO&gt;</v>
      </c>
      <c r="C429" s="83" t="str">
        <f>SUBSTITUTE(TEXT('Hidrologia - 1'!D332,"0") &amp; " " &amp; TEXT('Hidrologia - 1'!E332,"0")&amp; " " &amp; TEXT('Hidrologia - 1'!F332,"0")&amp; " " &amp; TEXT('Hidrologia - 1'!G332,"0")&amp; " " &amp; TEXT('Hidrologia - 1'!H332,"0")&amp; " " &amp; TEXT('Hidrologia - 1'!I332,"0")&amp; " " &amp; TEXT('Hidrologia - 1'!J332,"0")&amp; " " &amp; TEXT('Hidrologia - 1'!K332,"0")&amp; " " &amp; TEXT('Hidrologia - 1'!L332,"0")&amp; " " &amp; TEXT('Hidrologia - 1'!M332,"0")&amp; " " &amp; TEXT('Hidrologia - 1'!N332,"0")&amp; " " &amp; TEXT('Hidrologia - 1'!O332,"0"),",",".")</f>
        <v>71 85 73 65 56 51 44 44 38 42 47 57</v>
      </c>
    </row>
    <row r="430" spans="1:3" x14ac:dyDescent="0.25">
      <c r="A430" t="str">
        <f>"&lt;PrevisaoVAZAO Posto="""&amp;'Hidrologia - 1'!B333&amp;""" MesReferencia=""1""&gt; "&amp;C430&amp;" &lt;/PrevisaoVAZAO&gt;"</f>
        <v>&lt;PrevisaoVAZAO Posto="290" MesReferencia="1"&gt; 483 977 2283 1971 2470 1619 1259 885 597 341 248 347 &lt;/PrevisaoVAZAO&gt;</v>
      </c>
      <c r="C430" s="83" t="str">
        <f>SUBSTITUTE(TEXT('Hidrologia - 1'!D333,"0") &amp; " " &amp; TEXT('Hidrologia - 1'!E333,"0")&amp; " " &amp; TEXT('Hidrologia - 1'!F333,"0")&amp; " " &amp; TEXT('Hidrologia - 1'!G333,"0")&amp; " " &amp; TEXT('Hidrologia - 1'!H333,"0")&amp; " " &amp; TEXT('Hidrologia - 1'!I333,"0")&amp; " " &amp; TEXT('Hidrologia - 1'!J333,"0")&amp; " " &amp; TEXT('Hidrologia - 1'!K333,"0")&amp; " " &amp; TEXT('Hidrologia - 1'!L333,"0")&amp; " " &amp; TEXT('Hidrologia - 1'!M333,"0")&amp; " " &amp; TEXT('Hidrologia - 1'!N333,"0")&amp; " " &amp; TEXT('Hidrologia - 1'!O333,"0"),",",".")</f>
        <v>483 977 2283 1971 2470 1619 1259 885 597 341 248 347</v>
      </c>
    </row>
    <row r="431" spans="1:3" x14ac:dyDescent="0.25">
      <c r="A431" t="str">
        <f>"&lt;PrevisaoVAZAO Posto="""&amp;'Hidrologia - 1'!B334&amp;""" MesReferencia=""1""&gt; "&amp;C431&amp;" &lt;/PrevisaoVAZAO&gt;"</f>
        <v>&lt;PrevisaoVAZAO Posto="291" MesReferencia="1"&gt; 414 922 870 837 576 239 116 63 47 54 93 227 &lt;/PrevisaoVAZAO&gt;</v>
      </c>
      <c r="C431" s="83" t="str">
        <f>SUBSTITUTE(TEXT('Hidrologia - 1'!D334,"0") &amp; " " &amp; TEXT('Hidrologia - 1'!E334,"0")&amp; " " &amp; TEXT('Hidrologia - 1'!F334,"0")&amp; " " &amp; TEXT('Hidrologia - 1'!G334,"0")&amp; " " &amp; TEXT('Hidrologia - 1'!H334,"0")&amp; " " &amp; TEXT('Hidrologia - 1'!I334,"0")&amp; " " &amp; TEXT('Hidrologia - 1'!J334,"0")&amp; " " &amp; TEXT('Hidrologia - 1'!K334,"0")&amp; " " &amp; TEXT('Hidrologia - 1'!L334,"0")&amp; " " &amp; TEXT('Hidrologia - 1'!M334,"0")&amp; " " &amp; TEXT('Hidrologia - 1'!N334,"0")&amp; " " &amp; TEXT('Hidrologia - 1'!O334,"0"),",",".")</f>
        <v>414 922 870 837 576 239 116 63 47 54 93 227</v>
      </c>
    </row>
    <row r="432" spans="1:3" x14ac:dyDescent="0.25">
      <c r="A432" t="str">
        <f>"&lt;PrevisaoVAZAO Posto="""&amp;'Hidrologia - 1'!B335&amp;""" MesReferencia=""1""&gt; "&amp;C432&amp;" &lt;/PrevisaoVAZAO&gt;"</f>
        <v>&lt;PrevisaoVAZAO Posto="292" MesReferencia="1"&gt; 5969 13452 13900 10756 6727 3071 904 383 259 312 791 2119 &lt;/PrevisaoVAZAO&gt;</v>
      </c>
      <c r="C432" s="83" t="str">
        <f>SUBSTITUTE(TEXT('Hidrologia - 1'!D335,"0") &amp; " " &amp; TEXT('Hidrologia - 1'!E335,"0")&amp; " " &amp; TEXT('Hidrologia - 1'!F335,"0")&amp; " " &amp; TEXT('Hidrologia - 1'!G335,"0")&amp; " " &amp; TEXT('Hidrologia - 1'!H335,"0")&amp; " " &amp; TEXT('Hidrologia - 1'!I335,"0")&amp; " " &amp; TEXT('Hidrologia - 1'!J335,"0")&amp; " " &amp; TEXT('Hidrologia - 1'!K335,"0")&amp; " " &amp; TEXT('Hidrologia - 1'!L335,"0")&amp; " " &amp; TEXT('Hidrologia - 1'!M335,"0")&amp; " " &amp; TEXT('Hidrologia - 1'!N335,"0")&amp; " " &amp; TEXT('Hidrologia - 1'!O335,"0"),",",".")</f>
        <v>5969 13452 13900 10756 6727 3071 904 383 259 312 791 2119</v>
      </c>
    </row>
    <row r="433" spans="1:3" x14ac:dyDescent="0.25">
      <c r="A433" t="str">
        <f>"&lt;PrevisaoVAZAO Posto="""&amp;'Hidrologia - 1'!B336&amp;""" MesReferencia=""1""&gt; "&amp;C433&amp;" &lt;/PrevisaoVAZAO&gt;"</f>
        <v>&lt;PrevisaoVAZAO Posto="293" MesReferencia="1"&gt; 1595 2654 9738 9313 4751 2355 1347 990 609 559 670 839 &lt;/PrevisaoVAZAO&gt;</v>
      </c>
      <c r="C433" s="83" t="str">
        <f>SUBSTITUTE(TEXT('Hidrologia - 1'!D336,"0") &amp; " " &amp; TEXT('Hidrologia - 1'!E336,"0")&amp; " " &amp; TEXT('Hidrologia - 1'!F336,"0")&amp; " " &amp; TEXT('Hidrologia - 1'!G336,"0")&amp; " " &amp; TEXT('Hidrologia - 1'!H336,"0")&amp; " " &amp; TEXT('Hidrologia - 1'!I336,"0")&amp; " " &amp; TEXT('Hidrologia - 1'!J336,"0")&amp; " " &amp; TEXT('Hidrologia - 1'!K336,"0")&amp; " " &amp; TEXT('Hidrologia - 1'!L336,"0")&amp; " " &amp; TEXT('Hidrologia - 1'!M336,"0")&amp; " " &amp; TEXT('Hidrologia - 1'!N336,"0")&amp; " " &amp; TEXT('Hidrologia - 1'!O336,"0"),",",".")</f>
        <v>1595 2654 9738 9313 4751 2355 1347 990 609 559 670 839</v>
      </c>
    </row>
    <row r="434" spans="1:3" x14ac:dyDescent="0.25">
      <c r="A434" t="str">
        <f>"&lt;PrevisaoVAZAO Posto="""&amp;'Hidrologia - 1'!B337&amp;""" MesReferencia=""1""&gt; "&amp;C434&amp;" &lt;/PrevisaoVAZAO&gt;"</f>
        <v>&lt;PrevisaoVAZAO Posto="294" MesReferencia="1"&gt; 237 226 273 188 158 127 112 106 122 139 165 206 &lt;/PrevisaoVAZAO&gt;</v>
      </c>
      <c r="C434" s="83" t="str">
        <f>SUBSTITUTE(TEXT('Hidrologia - 1'!D337,"0") &amp; " " &amp; TEXT('Hidrologia - 1'!E337,"0")&amp; " " &amp; TEXT('Hidrologia - 1'!F337,"0")&amp; " " &amp; TEXT('Hidrologia - 1'!G337,"0")&amp; " " &amp; TEXT('Hidrologia - 1'!H337,"0")&amp; " " &amp; TEXT('Hidrologia - 1'!I337,"0")&amp; " " &amp; TEXT('Hidrologia - 1'!J337,"0")&amp; " " &amp; TEXT('Hidrologia - 1'!K337,"0")&amp; " " &amp; TEXT('Hidrologia - 1'!L337,"0")&amp; " " &amp; TEXT('Hidrologia - 1'!M337,"0")&amp; " " &amp; TEXT('Hidrologia - 1'!N337,"0")&amp; " " &amp; TEXT('Hidrologia - 1'!O337,"0"),",",".")</f>
        <v>237 226 273 188 158 127 112 106 122 139 165 206</v>
      </c>
    </row>
    <row r="435" spans="1:3" x14ac:dyDescent="0.25">
      <c r="A435" t="str">
        <f>"&lt;PrevisaoVAZAO Posto="""&amp;'Hidrologia - 1'!B338&amp;""" MesReferencia=""1""&gt; "&amp;C435&amp;" &lt;/PrevisaoVAZAO&gt;"</f>
        <v>&lt;PrevisaoVAZAO Posto="295" MesReferencia="1"&gt; 83 95 101 91 83 77 69 67 71 75 79 87 &lt;/PrevisaoVAZAO&gt;</v>
      </c>
      <c r="C435" s="83" t="str">
        <f>SUBSTITUTE(TEXT('Hidrologia - 1'!D338,"0") &amp; " " &amp; TEXT('Hidrologia - 1'!E338,"0")&amp; " " &amp; TEXT('Hidrologia - 1'!F338,"0")&amp; " " &amp; TEXT('Hidrologia - 1'!G338,"0")&amp; " " &amp; TEXT('Hidrologia - 1'!H338,"0")&amp; " " &amp; TEXT('Hidrologia - 1'!I338,"0")&amp; " " &amp; TEXT('Hidrologia - 1'!J338,"0")&amp; " " &amp; TEXT('Hidrologia - 1'!K338,"0")&amp; " " &amp; TEXT('Hidrologia - 1'!L338,"0")&amp; " " &amp; TEXT('Hidrologia - 1'!M338,"0")&amp; " " &amp; TEXT('Hidrologia - 1'!N338,"0")&amp; " " &amp; TEXT('Hidrologia - 1'!O338,"0"),",",".")</f>
        <v>83 95 101 91 83 77 69 67 71 75 79 87</v>
      </c>
    </row>
    <row r="436" spans="1:3" x14ac:dyDescent="0.25">
      <c r="A436" t="str">
        <f>"&lt;PrevisaoVAZAO Posto="""&amp;'Hidrologia - 1'!B339&amp;""" MesReferencia=""1""&gt; "&amp;C436&amp;" &lt;/PrevisaoVAZAO&gt;"</f>
        <v>&lt;PrevisaoVAZAO Posto="296" MesReferencia="1"&gt; 37 43 48 44 40 36 34 33 29 30 31 33 &lt;/PrevisaoVAZAO&gt;</v>
      </c>
      <c r="C436" s="83" t="str">
        <f>SUBSTITUTE(TEXT('Hidrologia - 1'!D339,"0") &amp; " " &amp; TEXT('Hidrologia - 1'!E339,"0")&amp; " " &amp; TEXT('Hidrologia - 1'!F339,"0")&amp; " " &amp; TEXT('Hidrologia - 1'!G339,"0")&amp; " " &amp; TEXT('Hidrologia - 1'!H339,"0")&amp; " " &amp; TEXT('Hidrologia - 1'!I339,"0")&amp; " " &amp; TEXT('Hidrologia - 1'!J339,"0")&amp; " " &amp; TEXT('Hidrologia - 1'!K339,"0")&amp; " " &amp; TEXT('Hidrologia - 1'!L339,"0")&amp; " " &amp; TEXT('Hidrologia - 1'!M339,"0")&amp; " " &amp; TEXT('Hidrologia - 1'!N339,"0")&amp; " " &amp; TEXT('Hidrologia - 1'!O339,"0"),",",".")</f>
        <v>37 43 48 44 40 36 34 33 29 30 31 33</v>
      </c>
    </row>
    <row r="437" spans="1:3" x14ac:dyDescent="0.25">
      <c r="A437" t="str">
        <f>"&lt;PrevisaoVAZAO Posto="""&amp;'Hidrologia - 1'!B340&amp;""" MesReferencia=""1""&gt; "&amp;C437&amp;" &lt;/PrevisaoVAZAO&gt;"</f>
        <v>&lt;PrevisaoVAZAO Posto="297" MesReferencia="1"&gt; 574 1361 2319 2019 1762 1408 990 745 342 204 143 166 &lt;/PrevisaoVAZAO&gt;</v>
      </c>
      <c r="C437" s="83" t="str">
        <f>SUBSTITUTE(TEXT('Hidrologia - 1'!D340,"0") &amp; " " &amp; TEXT('Hidrologia - 1'!E340,"0")&amp; " " &amp; TEXT('Hidrologia - 1'!F340,"0")&amp; " " &amp; TEXT('Hidrologia - 1'!G340,"0")&amp; " " &amp; TEXT('Hidrologia - 1'!H340,"0")&amp; " " &amp; TEXT('Hidrologia - 1'!I340,"0")&amp; " " &amp; TEXT('Hidrologia - 1'!J340,"0")&amp; " " &amp; TEXT('Hidrologia - 1'!K340,"0")&amp; " " &amp; TEXT('Hidrologia - 1'!L340,"0")&amp; " " &amp; TEXT('Hidrologia - 1'!M340,"0")&amp; " " &amp; TEXT('Hidrologia - 1'!N340,"0")&amp; " " &amp; TEXT('Hidrologia - 1'!O340,"0"),",",".")</f>
        <v>574 1361 2319 2019 1762 1408 990 745 342 204 143 166</v>
      </c>
    </row>
    <row r="438" spans="1:3" x14ac:dyDescent="0.25">
      <c r="A438" t="str">
        <f>"&lt;PrevisaoVAZAO Posto="""&amp;'Hidrologia - 1'!B341&amp;""" MesReferencia=""1""&gt; "&amp;C438&amp;" &lt;/PrevisaoVAZAO&gt;"</f>
        <v>&lt;PrevisaoVAZAO Posto="298" MesReferencia="1"&gt; 160 160 160 118 119 98 74 73 93 110 134 154 &lt;/PrevisaoVAZAO&gt;</v>
      </c>
      <c r="C438" s="83" t="str">
        <f>SUBSTITUTE(TEXT('Hidrologia - 1'!D341,"0") &amp; " " &amp; TEXT('Hidrologia - 1'!E341,"0")&amp; " " &amp; TEXT('Hidrologia - 1'!F341,"0")&amp; " " &amp; TEXT('Hidrologia - 1'!G341,"0")&amp; " " &amp; TEXT('Hidrologia - 1'!H341,"0")&amp; " " &amp; TEXT('Hidrologia - 1'!I341,"0")&amp; " " &amp; TEXT('Hidrologia - 1'!J341,"0")&amp; " " &amp; TEXT('Hidrologia - 1'!K341,"0")&amp; " " &amp; TEXT('Hidrologia - 1'!L341,"0")&amp; " " &amp; TEXT('Hidrologia - 1'!M341,"0")&amp; " " &amp; TEXT('Hidrologia - 1'!N341,"0")&amp; " " &amp; TEXT('Hidrologia - 1'!O341,"0"),",",".")</f>
        <v>160 160 160 118 119 98 74 73 93 110 134 154</v>
      </c>
    </row>
    <row r="439" spans="1:3" x14ac:dyDescent="0.25">
      <c r="A439" t="str">
        <f>"&lt;PrevisaoVAZAO Posto="""&amp;'Hidrologia - 1'!B342&amp;""" MesReferencia=""1""&gt; "&amp;C439&amp;" &lt;/PrevisaoVAZAO&gt;"</f>
        <v>&lt;PrevisaoVAZAO Posto="299" MesReferencia="1"&gt; 644 393 482 273 267 210 174 155 215 256 363 597 &lt;/PrevisaoVAZAO&gt;</v>
      </c>
      <c r="C439" s="83" t="str">
        <f>SUBSTITUTE(TEXT('Hidrologia - 1'!D342,"0") &amp; " " &amp; TEXT('Hidrologia - 1'!E342,"0")&amp; " " &amp; TEXT('Hidrologia - 1'!F342,"0")&amp; " " &amp; TEXT('Hidrologia - 1'!G342,"0")&amp; " " &amp; TEXT('Hidrologia - 1'!H342,"0")&amp; " " &amp; TEXT('Hidrologia - 1'!I342,"0")&amp; " " &amp; TEXT('Hidrologia - 1'!J342,"0")&amp; " " &amp; TEXT('Hidrologia - 1'!K342,"0")&amp; " " &amp; TEXT('Hidrologia - 1'!L342,"0")&amp; " " &amp; TEXT('Hidrologia - 1'!M342,"0")&amp; " " &amp; TEXT('Hidrologia - 1'!N342,"0")&amp; " " &amp; TEXT('Hidrologia - 1'!O342,"0"),",",".")</f>
        <v>644 393 482 273 267 210 174 155 215 256 363 597</v>
      </c>
    </row>
    <row r="440" spans="1:3" x14ac:dyDescent="0.25">
      <c r="A440" t="str">
        <f>"&lt;PrevisaoVAZAO Posto="""&amp;'Hidrologia - 1'!B343&amp;""" MesReferencia=""1""&gt; "&amp;C440&amp;" &lt;/PrevisaoVAZAO&gt;"</f>
        <v>&lt;PrevisaoVAZAO Posto="300" MesReferencia="1"&gt; 0 0 0 0 0 0 0 0 0 0 0 0 &lt;/PrevisaoVAZAO&gt;</v>
      </c>
      <c r="C440" s="83" t="str">
        <f>SUBSTITUTE(TEXT('Hidrologia - 1'!D343,"0") &amp; " " &amp; TEXT('Hidrologia - 1'!E343,"0")&amp; " " &amp; TEXT('Hidrologia - 1'!F343,"0")&amp; " " &amp; TEXT('Hidrologia - 1'!G343,"0")&amp; " " &amp; TEXT('Hidrologia - 1'!H343,"0")&amp; " " &amp; TEXT('Hidrologia - 1'!I343,"0")&amp; " " &amp; TEXT('Hidrologia - 1'!J343,"0")&amp; " " &amp; TEXT('Hidrologia - 1'!K343,"0")&amp; " " &amp; TEXT('Hidrologia - 1'!L343,"0")&amp; " " &amp; TEXT('Hidrologia - 1'!M343,"0")&amp; " " &amp; TEXT('Hidrologia - 1'!N343,"0")&amp; " " &amp; TEXT('Hidrologia - 1'!O343,"0"),",",".")</f>
        <v>0 0 0 0 0 0 0 0 0 0 0 0</v>
      </c>
    </row>
    <row r="441" spans="1:3" x14ac:dyDescent="0.25">
      <c r="A441" t="str">
        <f>"&lt;PrevisaoVAZAO Posto="""&amp;'Hidrologia - 1'!B344&amp;""" MesReferencia=""1""&gt; "&amp;C441&amp;" &lt;/PrevisaoVAZAO&gt;"</f>
        <v>&lt;PrevisaoVAZAO Posto="301" MesReferencia="1"&gt; 35 16 28 29 24 20 15 13 14 18 18 24 &lt;/PrevisaoVAZAO&gt;</v>
      </c>
      <c r="C441" s="83" t="str">
        <f>SUBSTITUTE(TEXT('Hidrologia - 1'!D344,"0") &amp; " " &amp; TEXT('Hidrologia - 1'!E344,"0")&amp; " " &amp; TEXT('Hidrologia - 1'!F344,"0")&amp; " " &amp; TEXT('Hidrologia - 1'!G344,"0")&amp; " " &amp; TEXT('Hidrologia - 1'!H344,"0")&amp; " " &amp; TEXT('Hidrologia - 1'!I344,"0")&amp; " " &amp; TEXT('Hidrologia - 1'!J344,"0")&amp; " " &amp; TEXT('Hidrologia - 1'!K344,"0")&amp; " " &amp; TEXT('Hidrologia - 1'!L344,"0")&amp; " " &amp; TEXT('Hidrologia - 1'!M344,"0")&amp; " " &amp; TEXT('Hidrologia - 1'!N344,"0")&amp; " " &amp; TEXT('Hidrologia - 1'!O344,"0"),",",".")</f>
        <v>35 16 28 29 24 20 15 13 14 18 18 24</v>
      </c>
    </row>
    <row r="442" spans="1:3" x14ac:dyDescent="0.25">
      <c r="A442" t="str">
        <f>"&lt;PrevisaoVAZAO Posto="""&amp;'Hidrologia - 1'!B345&amp;""" MesReferencia=""1""&gt; "&amp;C442&amp;" &lt;/PrevisaoVAZAO&gt;"</f>
        <v>&lt;PrevisaoVAZAO Posto="302" MesReferencia="1"&gt; 1100 1600 8192 8000 4000 2000 1200 900 552 502 574 646 &lt;/PrevisaoVAZAO&gt;</v>
      </c>
      <c r="C442" s="83" t="str">
        <f>SUBSTITUTE(TEXT('Hidrologia - 1'!D345,"0") &amp; " " &amp; TEXT('Hidrologia - 1'!E345,"0")&amp; " " &amp; TEXT('Hidrologia - 1'!F345,"0")&amp; " " &amp; TEXT('Hidrologia - 1'!G345,"0")&amp; " " &amp; TEXT('Hidrologia - 1'!H345,"0")&amp; " " &amp; TEXT('Hidrologia - 1'!I345,"0")&amp; " " &amp; TEXT('Hidrologia - 1'!J345,"0")&amp; " " &amp; TEXT('Hidrologia - 1'!K345,"0")&amp; " " &amp; TEXT('Hidrologia - 1'!L345,"0")&amp; " " &amp; TEXT('Hidrologia - 1'!M345,"0")&amp; " " &amp; TEXT('Hidrologia - 1'!N345,"0")&amp; " " &amp; TEXT('Hidrologia - 1'!O345,"0"),",",".")</f>
        <v>1100 1600 8192 8000 4000 2000 1200 900 552 502 574 646</v>
      </c>
    </row>
    <row r="443" spans="1:3" x14ac:dyDescent="0.25">
      <c r="A443" t="str">
        <f>"&lt;PrevisaoVAZAO Posto="""&amp;'Hidrologia - 1'!B346&amp;""" MesReferencia=""1""&gt; "&amp;C443&amp;" &lt;/PrevisaoVAZAO&gt;"</f>
        <v>&lt;PrevisaoVAZAO Posto="303" MesReferencia="1"&gt; 39 29 38 15 11 10 2 2 10 15 25 41 &lt;/PrevisaoVAZAO&gt;</v>
      </c>
      <c r="C443" s="83" t="str">
        <f>SUBSTITUTE(TEXT('Hidrologia - 1'!D346,"0") &amp; " " &amp; TEXT('Hidrologia - 1'!E346,"0")&amp; " " &amp; TEXT('Hidrologia - 1'!F346,"0")&amp; " " &amp; TEXT('Hidrologia - 1'!G346,"0")&amp; " " &amp; TEXT('Hidrologia - 1'!H346,"0")&amp; " " &amp; TEXT('Hidrologia - 1'!I346,"0")&amp; " " &amp; TEXT('Hidrologia - 1'!J346,"0")&amp; " " &amp; TEXT('Hidrologia - 1'!K346,"0")&amp; " " &amp; TEXT('Hidrologia - 1'!L346,"0")&amp; " " &amp; TEXT('Hidrologia - 1'!M346,"0")&amp; " " &amp; TEXT('Hidrologia - 1'!N346,"0")&amp; " " &amp; TEXT('Hidrologia - 1'!O346,"0"),",",".")</f>
        <v>39 29 38 15 11 10 2 2 10 15 25 41</v>
      </c>
    </row>
    <row r="444" spans="1:3" x14ac:dyDescent="0.25">
      <c r="A444" t="str">
        <f>"&lt;PrevisaoVAZAO Posto="""&amp;'Hidrologia - 1'!B347&amp;""" MesReferencia=""1""&gt; "&amp;C444&amp;" &lt;/PrevisaoVAZAO&gt;"</f>
        <v>&lt;PrevisaoVAZAO Posto="304" MesReferencia="1"&gt; 0 0 0 0 0 0 0 0 0 0 0 1 &lt;/PrevisaoVAZAO&gt;</v>
      </c>
      <c r="C444" s="83" t="str">
        <f>SUBSTITUTE(TEXT('Hidrologia - 1'!D347,"0") &amp; " " &amp; TEXT('Hidrologia - 1'!E347,"0")&amp; " " &amp; TEXT('Hidrologia - 1'!F347,"0")&amp; " " &amp; TEXT('Hidrologia - 1'!G347,"0")&amp; " " &amp; TEXT('Hidrologia - 1'!H347,"0")&amp; " " &amp; TEXT('Hidrologia - 1'!I347,"0")&amp; " " &amp; TEXT('Hidrologia - 1'!J347,"0")&amp; " " &amp; TEXT('Hidrologia - 1'!K347,"0")&amp; " " &amp; TEXT('Hidrologia - 1'!L347,"0")&amp; " " &amp; TEXT('Hidrologia - 1'!M347,"0")&amp; " " &amp; TEXT('Hidrologia - 1'!N347,"0")&amp; " " &amp; TEXT('Hidrologia - 1'!O347,"0"),",",".")</f>
        <v>0 0 0 0 0 0 0 0 0 0 0 1</v>
      </c>
    </row>
    <row r="445" spans="1:3" x14ac:dyDescent="0.25">
      <c r="A445" t="str">
        <f>"&lt;PrevisaoVAZAO Posto="""&amp;'Hidrologia - 1'!B348&amp;""" MesReferencia=""1""&gt; "&amp;C445&amp;" &lt;/PrevisaoVAZAO&gt;"</f>
        <v>&lt;PrevisaoVAZAO Posto="305" MesReferencia="1"&gt; 0 0 0 0 0 0 0 0 0 0 0 0 &lt;/PrevisaoVAZAO&gt;</v>
      </c>
      <c r="C445" s="83" t="str">
        <f>SUBSTITUTE(TEXT('Hidrologia - 1'!D348,"0") &amp; " " &amp; TEXT('Hidrologia - 1'!E348,"0")&amp; " " &amp; TEXT('Hidrologia - 1'!F348,"0")&amp; " " &amp; TEXT('Hidrologia - 1'!G348,"0")&amp; " " &amp; TEXT('Hidrologia - 1'!H348,"0")&amp; " " &amp; TEXT('Hidrologia - 1'!I348,"0")&amp; " " &amp; TEXT('Hidrologia - 1'!J348,"0")&amp; " " &amp; TEXT('Hidrologia - 1'!K348,"0")&amp; " " &amp; TEXT('Hidrologia - 1'!L348,"0")&amp; " " &amp; TEXT('Hidrologia - 1'!M348,"0")&amp; " " &amp; TEXT('Hidrologia - 1'!N348,"0")&amp; " " &amp; TEXT('Hidrologia - 1'!O348,"0"),",",".")</f>
        <v>0 0 0 0 0 0 0 0 0 0 0 0</v>
      </c>
    </row>
    <row r="446" spans="1:3" x14ac:dyDescent="0.25">
      <c r="A446" t="str">
        <f>"&lt;PrevisaoVAZAO Posto="""&amp;'Hidrologia - 1'!B349&amp;""" MesReferencia=""1""&gt; "&amp;C446&amp;" &lt;/PrevisaoVAZAO&gt;"</f>
        <v>&lt;PrevisaoVAZAO Posto="306" MesReferencia="1"&gt; 183 173 182 138 134 112 79 78 106 126 156 182 &lt;/PrevisaoVAZAO&gt;</v>
      </c>
      <c r="C446" s="83" t="str">
        <f>SUBSTITUTE(TEXT('Hidrologia - 1'!D349,"0") &amp; " " &amp; TEXT('Hidrologia - 1'!E349,"0")&amp; " " &amp; TEXT('Hidrologia - 1'!F349,"0")&amp; " " &amp; TEXT('Hidrologia - 1'!G349,"0")&amp; " " &amp; TEXT('Hidrologia - 1'!H349,"0")&amp; " " &amp; TEXT('Hidrologia - 1'!I349,"0")&amp; " " &amp; TEXT('Hidrologia - 1'!J349,"0")&amp; " " &amp; TEXT('Hidrologia - 1'!K349,"0")&amp; " " &amp; TEXT('Hidrologia - 1'!L349,"0")&amp; " " &amp; TEXT('Hidrologia - 1'!M349,"0")&amp; " " &amp; TEXT('Hidrologia - 1'!N349,"0")&amp; " " &amp; TEXT('Hidrologia - 1'!O349,"0"),",",".")</f>
        <v>183 173 182 138 134 112 79 78 106 126 156 182</v>
      </c>
    </row>
    <row r="447" spans="1:3" x14ac:dyDescent="0.25">
      <c r="A447" t="str">
        <f>"&lt;PrevisaoVAZAO Posto="""&amp;'Hidrologia - 1'!B350&amp;""" MesReferencia=""1""&gt; "&amp;C447&amp;" &lt;/PrevisaoVAZAO&gt;"</f>
        <v>&lt;PrevisaoVAZAO Posto="307" MesReferencia="1"&gt; 0 0 0 0 0 0 0 0 0 0 0 0 &lt;/PrevisaoVAZAO&gt;</v>
      </c>
      <c r="C447" s="83" t="str">
        <f>SUBSTITUTE(TEXT('Hidrologia - 1'!D350,"0") &amp; " " &amp; TEXT('Hidrologia - 1'!E350,"0")&amp; " " &amp; TEXT('Hidrologia - 1'!F350,"0")&amp; " " &amp; TEXT('Hidrologia - 1'!G350,"0")&amp; " " &amp; TEXT('Hidrologia - 1'!H350,"0")&amp; " " &amp; TEXT('Hidrologia - 1'!I350,"0")&amp; " " &amp; TEXT('Hidrologia - 1'!J350,"0")&amp; " " &amp; TEXT('Hidrologia - 1'!K350,"0")&amp; " " &amp; TEXT('Hidrologia - 1'!L350,"0")&amp; " " &amp; TEXT('Hidrologia - 1'!M350,"0")&amp; " " &amp; TEXT('Hidrologia - 1'!N350,"0")&amp; " " &amp; TEXT('Hidrologia - 1'!O350,"0"),",",".")</f>
        <v>0 0 0 0 0 0 0 0 0 0 0 0</v>
      </c>
    </row>
    <row r="448" spans="1:3" x14ac:dyDescent="0.25">
      <c r="A448" t="str">
        <f>"&lt;PrevisaoVAZAO Posto="""&amp;'Hidrologia - 1'!B351&amp;""" MesReferencia=""1""&gt; "&amp;C448&amp;" &lt;/PrevisaoVAZAO&gt;"</f>
        <v>&lt;PrevisaoVAZAO Posto="308" MesReferencia="1"&gt; 0 0 0 0 0 0 0 0 0 0 0 0 &lt;/PrevisaoVAZAO&gt;</v>
      </c>
      <c r="C448" s="83" t="str">
        <f>SUBSTITUTE(TEXT('Hidrologia - 1'!D351,"0") &amp; " " &amp; TEXT('Hidrologia - 1'!E351,"0")&amp; " " &amp; TEXT('Hidrologia - 1'!F351,"0")&amp; " " &amp; TEXT('Hidrologia - 1'!G351,"0")&amp; " " &amp; TEXT('Hidrologia - 1'!H351,"0")&amp; " " &amp; TEXT('Hidrologia - 1'!I351,"0")&amp; " " &amp; TEXT('Hidrologia - 1'!J351,"0")&amp; " " &amp; TEXT('Hidrologia - 1'!K351,"0")&amp; " " &amp; TEXT('Hidrologia - 1'!L351,"0")&amp; " " &amp; TEXT('Hidrologia - 1'!M351,"0")&amp; " " &amp; TEXT('Hidrologia - 1'!N351,"0")&amp; " " &amp; TEXT('Hidrologia - 1'!O351,"0"),",",".")</f>
        <v>0 0 0 0 0 0 0 0 0 0 0 0</v>
      </c>
    </row>
    <row r="449" spans="1:3" x14ac:dyDescent="0.25">
      <c r="A449" t="str">
        <f>"&lt;PrevisaoVAZAO Posto="""&amp;'Hidrologia - 1'!B352&amp;""" MesReferencia=""1""&gt; "&amp;C449&amp;" &lt;/PrevisaoVAZAO&gt;"</f>
        <v>&lt;PrevisaoVAZAO Posto="309" MesReferencia="1"&gt; 0 0 0 0 0 0 0 0 0 0 0 0 &lt;/PrevisaoVAZAO&gt;</v>
      </c>
      <c r="C449" s="83" t="str">
        <f>SUBSTITUTE(TEXT('Hidrologia - 1'!D352,"0") &amp; " " &amp; TEXT('Hidrologia - 1'!E352,"0")&amp; " " &amp; TEXT('Hidrologia - 1'!F352,"0")&amp; " " &amp; TEXT('Hidrologia - 1'!G352,"0")&amp; " " &amp; TEXT('Hidrologia - 1'!H352,"0")&amp; " " &amp; TEXT('Hidrologia - 1'!I352,"0")&amp; " " &amp; TEXT('Hidrologia - 1'!J352,"0")&amp; " " &amp; TEXT('Hidrologia - 1'!K352,"0")&amp; " " &amp; TEXT('Hidrologia - 1'!L352,"0")&amp; " " &amp; TEXT('Hidrologia - 1'!M352,"0")&amp; " " &amp; TEXT('Hidrologia - 1'!N352,"0")&amp; " " &amp; TEXT('Hidrologia - 1'!O352,"0"),",",".")</f>
        <v>0 0 0 0 0 0 0 0 0 0 0 0</v>
      </c>
    </row>
    <row r="450" spans="1:3" x14ac:dyDescent="0.25">
      <c r="A450" t="str">
        <f>"&lt;PrevisaoVAZAO Posto="""&amp;'Hidrologia - 1'!B353&amp;""" MesReferencia=""1""&gt; "&amp;C450&amp;" &lt;/PrevisaoVAZAO&gt;"</f>
        <v>&lt;PrevisaoVAZAO Posto="310" MesReferencia="1"&gt; 0 0 0 0 0 0 0 0 0 0 0 0 &lt;/PrevisaoVAZAO&gt;</v>
      </c>
      <c r="C450" s="83" t="str">
        <f>SUBSTITUTE(TEXT('Hidrologia - 1'!D353,"0") &amp; " " &amp; TEXT('Hidrologia - 1'!E353,"0")&amp; " " &amp; TEXT('Hidrologia - 1'!F353,"0")&amp; " " &amp; TEXT('Hidrologia - 1'!G353,"0")&amp; " " &amp; TEXT('Hidrologia - 1'!H353,"0")&amp; " " &amp; TEXT('Hidrologia - 1'!I353,"0")&amp; " " &amp; TEXT('Hidrologia - 1'!J353,"0")&amp; " " &amp; TEXT('Hidrologia - 1'!K353,"0")&amp; " " &amp; TEXT('Hidrologia - 1'!L353,"0")&amp; " " &amp; TEXT('Hidrologia - 1'!M353,"0")&amp; " " &amp; TEXT('Hidrologia - 1'!N353,"0")&amp; " " &amp; TEXT('Hidrologia - 1'!O353,"0"),",",".")</f>
        <v>0 0 0 0 0 0 0 0 0 0 0 0</v>
      </c>
    </row>
    <row r="451" spans="1:3" x14ac:dyDescent="0.25">
      <c r="A451" t="str">
        <f>"&lt;PrevisaoVAZAO Posto="""&amp;'Hidrologia - 1'!B354&amp;""" MesReferencia=""1""&gt; "&amp;C451&amp;" &lt;/PrevisaoVAZAO&gt;"</f>
        <v>&lt;PrevisaoVAZAO Posto="311" MesReferencia="1"&gt; 0 0 0 0 0 0 0 0 0 0 0 0 &lt;/PrevisaoVAZAO&gt;</v>
      </c>
      <c r="C451" s="83" t="str">
        <f>SUBSTITUTE(TEXT('Hidrologia - 1'!D354,"0") &amp; " " &amp; TEXT('Hidrologia - 1'!E354,"0")&amp; " " &amp; TEXT('Hidrologia - 1'!F354,"0")&amp; " " &amp; TEXT('Hidrologia - 1'!G354,"0")&amp; " " &amp; TEXT('Hidrologia - 1'!H354,"0")&amp; " " &amp; TEXT('Hidrologia - 1'!I354,"0")&amp; " " &amp; TEXT('Hidrologia - 1'!J354,"0")&amp; " " &amp; TEXT('Hidrologia - 1'!K354,"0")&amp; " " &amp; TEXT('Hidrologia - 1'!L354,"0")&amp; " " &amp; TEXT('Hidrologia - 1'!M354,"0")&amp; " " &amp; TEXT('Hidrologia - 1'!N354,"0")&amp; " " &amp; TEXT('Hidrologia - 1'!O354,"0"),",",".")</f>
        <v>0 0 0 0 0 0 0 0 0 0 0 0</v>
      </c>
    </row>
    <row r="452" spans="1:3" x14ac:dyDescent="0.25">
      <c r="A452" t="str">
        <f>"&lt;PrevisaoVAZAO Posto="""&amp;'Hidrologia - 1'!B355&amp;""" MesReferencia=""1""&gt; "&amp;C452&amp;" &lt;/PrevisaoVAZAO&gt;"</f>
        <v>&lt;PrevisaoVAZAO Posto="312" MesReferencia="1"&gt; 0 0 0 0 0 0 0 0 0 0 0 0 &lt;/PrevisaoVAZAO&gt;</v>
      </c>
      <c r="C452" s="83" t="str">
        <f>SUBSTITUTE(TEXT('Hidrologia - 1'!D355,"0") &amp; " " &amp; TEXT('Hidrologia - 1'!E355,"0")&amp; " " &amp; TEXT('Hidrologia - 1'!F355,"0")&amp; " " &amp; TEXT('Hidrologia - 1'!G355,"0")&amp; " " &amp; TEXT('Hidrologia - 1'!H355,"0")&amp; " " &amp; TEXT('Hidrologia - 1'!I355,"0")&amp; " " &amp; TEXT('Hidrologia - 1'!J355,"0")&amp; " " &amp; TEXT('Hidrologia - 1'!K355,"0")&amp; " " &amp; TEXT('Hidrologia - 1'!L355,"0")&amp; " " &amp; TEXT('Hidrologia - 1'!M355,"0")&amp; " " &amp; TEXT('Hidrologia - 1'!N355,"0")&amp; " " &amp; TEXT('Hidrologia - 1'!O355,"0"),",",".")</f>
        <v>0 0 0 0 0 0 0 0 0 0 0 0</v>
      </c>
    </row>
    <row r="453" spans="1:3" x14ac:dyDescent="0.25">
      <c r="A453" t="str">
        <f>"&lt;PrevisaoVAZAO Posto="""&amp;'Hidrologia - 1'!B356&amp;""" MesReferencia=""1""&gt; "&amp;C453&amp;" &lt;/PrevisaoVAZAO&gt;"</f>
        <v>&lt;PrevisaoVAZAO Posto="313" MesReferencia="1"&gt; 320 358 362 280 196 154 128 112 115 142 184 258 &lt;/PrevisaoVAZAO&gt;</v>
      </c>
      <c r="C453" s="83" t="str">
        <f>SUBSTITUTE(TEXT('Hidrologia - 1'!D356,"0") &amp; " " &amp; TEXT('Hidrologia - 1'!E356,"0")&amp; " " &amp; TEXT('Hidrologia - 1'!F356,"0")&amp; " " &amp; TEXT('Hidrologia - 1'!G356,"0")&amp; " " &amp; TEXT('Hidrologia - 1'!H356,"0")&amp; " " &amp; TEXT('Hidrologia - 1'!I356,"0")&amp; " " &amp; TEXT('Hidrologia - 1'!J356,"0")&amp; " " &amp; TEXT('Hidrologia - 1'!K356,"0")&amp; " " &amp; TEXT('Hidrologia - 1'!L356,"0")&amp; " " &amp; TEXT('Hidrologia - 1'!M356,"0")&amp; " " &amp; TEXT('Hidrologia - 1'!N356,"0")&amp; " " &amp; TEXT('Hidrologia - 1'!O356,"0"),",",".")</f>
        <v>320 358 362 280 196 154 128 112 115 142 184 258</v>
      </c>
    </row>
    <row r="454" spans="1:3" x14ac:dyDescent="0.25">
      <c r="A454" t="str">
        <f>"&lt;PrevisaoVAZAO Posto="""&amp;'Hidrologia - 1'!B357&amp;""" MesReferencia=""1""&gt; "&amp;C454&amp;" &lt;/PrevisaoVAZAO&gt;"</f>
        <v>&lt;PrevisaoVAZAO Posto="314" MesReferencia="1"&gt; 683 419 513 292 286 225 169 140 231 274 387 631 &lt;/PrevisaoVAZAO&gt;</v>
      </c>
      <c r="C454" s="83" t="str">
        <f>SUBSTITUTE(TEXT('Hidrologia - 1'!D357,"0") &amp; " " &amp; TEXT('Hidrologia - 1'!E357,"0")&amp; " " &amp; TEXT('Hidrologia - 1'!F357,"0")&amp; " " &amp; TEXT('Hidrologia - 1'!G357,"0")&amp; " " &amp; TEXT('Hidrologia - 1'!H357,"0")&amp; " " &amp; TEXT('Hidrologia - 1'!I357,"0")&amp; " " &amp; TEXT('Hidrologia - 1'!J357,"0")&amp; " " &amp; TEXT('Hidrologia - 1'!K357,"0")&amp; " " &amp; TEXT('Hidrologia - 1'!L357,"0")&amp; " " &amp; TEXT('Hidrologia - 1'!M357,"0")&amp; " " &amp; TEXT('Hidrologia - 1'!N357,"0")&amp; " " &amp; TEXT('Hidrologia - 1'!O357,"0"),",",".")</f>
        <v>683 419 513 292 286 225 169 140 231 274 387 631</v>
      </c>
    </row>
    <row r="455" spans="1:3" x14ac:dyDescent="0.25">
      <c r="A455" t="str">
        <f>"&lt;PrevisaoVAZAO Posto="""&amp;'Hidrologia - 1'!B358&amp;""" MesReferencia=""1""&gt; "&amp;C455&amp;" &lt;/PrevisaoVAZAO&gt;"</f>
        <v>&lt;PrevisaoVAZAO Posto="315" MesReferencia="1"&gt; 166 163 165 123 123 102 77 76 97 115 142 168 &lt;/PrevisaoVAZAO&gt;</v>
      </c>
      <c r="C455" s="83" t="str">
        <f>SUBSTITUTE(TEXT('Hidrologia - 1'!D358,"0") &amp; " " &amp; TEXT('Hidrologia - 1'!E358,"0")&amp; " " &amp; TEXT('Hidrologia - 1'!F358,"0")&amp; " " &amp; TEXT('Hidrologia - 1'!G358,"0")&amp; " " &amp; TEXT('Hidrologia - 1'!H358,"0")&amp; " " &amp; TEXT('Hidrologia - 1'!I358,"0")&amp; " " &amp; TEXT('Hidrologia - 1'!J358,"0")&amp; " " &amp; TEXT('Hidrologia - 1'!K358,"0")&amp; " " &amp; TEXT('Hidrologia - 1'!L358,"0")&amp; " " &amp; TEXT('Hidrologia - 1'!M358,"0")&amp; " " &amp; TEXT('Hidrologia - 1'!N358,"0")&amp; " " &amp; TEXT('Hidrologia - 1'!O358,"0"),",",".")</f>
        <v>166 163 165 123 123 102 77 76 97 115 142 168</v>
      </c>
    </row>
    <row r="456" spans="1:3" x14ac:dyDescent="0.25">
      <c r="A456" t="str">
        <f>"&lt;PrevisaoVAZAO Posto="""&amp;'Hidrologia - 1'!B359&amp;""" MesReferencia=""1""&gt; "&amp;C456&amp;" &lt;/PrevisaoVAZAO&gt;"</f>
        <v>&lt;PrevisaoVAZAO Posto="316" MesReferencia="1"&gt; 166 163 165 123 123 102 77 76 97 115 142 167 &lt;/PrevisaoVAZAO&gt;</v>
      </c>
      <c r="C456" s="83" t="str">
        <f>SUBSTITUTE(TEXT('Hidrologia - 1'!D359,"0") &amp; " " &amp; TEXT('Hidrologia - 1'!E359,"0")&amp; " " &amp; TEXT('Hidrologia - 1'!F359,"0")&amp; " " &amp; TEXT('Hidrologia - 1'!G359,"0")&amp; " " &amp; TEXT('Hidrologia - 1'!H359,"0")&amp; " " &amp; TEXT('Hidrologia - 1'!I359,"0")&amp; " " &amp; TEXT('Hidrologia - 1'!J359,"0")&amp; " " &amp; TEXT('Hidrologia - 1'!K359,"0")&amp; " " &amp; TEXT('Hidrologia - 1'!L359,"0")&amp; " " &amp; TEXT('Hidrologia - 1'!M359,"0")&amp; " " &amp; TEXT('Hidrologia - 1'!N359,"0")&amp; " " &amp; TEXT('Hidrologia - 1'!O359,"0"),",",".")</f>
        <v>166 163 165 123 123 102 77 76 97 115 142 167</v>
      </c>
    </row>
    <row r="457" spans="1:3" x14ac:dyDescent="0.25">
      <c r="A457" t="str">
        <f>"&lt;PrevisaoVAZAO Posto="""&amp;'Hidrologia - 1'!B360&amp;""" MesReferencia=""1""&gt; "&amp;C457&amp;" &lt;/PrevisaoVAZAO&gt;"</f>
        <v>&lt;PrevisaoVAZAO Posto="317" MesReferencia="1"&gt; 0 0 0 0 0 0 0 0 0 0 0 1 &lt;/PrevisaoVAZAO&gt;</v>
      </c>
      <c r="C457" s="83" t="str">
        <f>SUBSTITUTE(TEXT('Hidrologia - 1'!D360,"0") &amp; " " &amp; TEXT('Hidrologia - 1'!E360,"0")&amp; " " &amp; TEXT('Hidrologia - 1'!F360,"0")&amp; " " &amp; TEXT('Hidrologia - 1'!G360,"0")&amp; " " &amp; TEXT('Hidrologia - 1'!H360,"0")&amp; " " &amp; TEXT('Hidrologia - 1'!I360,"0")&amp; " " &amp; TEXT('Hidrologia - 1'!J360,"0")&amp; " " &amp; TEXT('Hidrologia - 1'!K360,"0")&amp; " " &amp; TEXT('Hidrologia - 1'!L360,"0")&amp; " " &amp; TEXT('Hidrologia - 1'!M360,"0")&amp; " " &amp; TEXT('Hidrologia - 1'!N360,"0")&amp; " " &amp; TEXT('Hidrologia - 1'!O360,"0"),",",".")</f>
        <v>0 0 0 0 0 0 0 0 0 0 0 1</v>
      </c>
    </row>
    <row r="458" spans="1:3" x14ac:dyDescent="0.25">
      <c r="A458" t="str">
        <f>"&lt;PrevisaoVAZAO Posto="""&amp;'Hidrologia - 1'!B361&amp;""" MesReferencia=""1""&gt; "&amp;C458&amp;" &lt;/PrevisaoVAZAO&gt;"</f>
        <v>&lt;PrevisaoVAZAO Posto="318" MesReferencia="1"&gt; 101 52 68 67 64 55 35 31 29 36 37 50 &lt;/PrevisaoVAZAO&gt;</v>
      </c>
      <c r="C458" s="83" t="str">
        <f>SUBSTITUTE(TEXT('Hidrologia - 1'!D361,"0") &amp; " " &amp; TEXT('Hidrologia - 1'!E361,"0")&amp; " " &amp; TEXT('Hidrologia - 1'!F361,"0")&amp; " " &amp; TEXT('Hidrologia - 1'!G361,"0")&amp; " " &amp; TEXT('Hidrologia - 1'!H361,"0")&amp; " " &amp; TEXT('Hidrologia - 1'!I361,"0")&amp; " " &amp; TEXT('Hidrologia - 1'!J361,"0")&amp; " " &amp; TEXT('Hidrologia - 1'!K361,"0")&amp; " " &amp; TEXT('Hidrologia - 1'!L361,"0")&amp; " " &amp; TEXT('Hidrologia - 1'!M361,"0")&amp; " " &amp; TEXT('Hidrologia - 1'!N361,"0")&amp; " " &amp; TEXT('Hidrologia - 1'!O361,"0"),",",".")</f>
        <v>101 52 68 67 64 55 35 31 29 36 37 50</v>
      </c>
    </row>
    <row r="459" spans="1:3" x14ac:dyDescent="0.25">
      <c r="A459" t="str">
        <f>"&lt;PrevisaoVAZAO Posto="""&amp;'Hidrologia - 1'!B362&amp;""" MesReferencia=""1""&gt; "&amp;C459&amp;" &lt;/PrevisaoVAZAO&gt;"</f>
        <v>&lt;PrevisaoVAZAO Posto="319" MesReferencia="1"&gt; 93 48 62 61 58 51 31 28 26 33 34 45 &lt;/PrevisaoVAZAO&gt;</v>
      </c>
      <c r="C459" s="83" t="str">
        <f>SUBSTITUTE(TEXT('Hidrologia - 1'!D362,"0") &amp; " " &amp; TEXT('Hidrologia - 1'!E362,"0")&amp; " " &amp; TEXT('Hidrologia - 1'!F362,"0")&amp; " " &amp; TEXT('Hidrologia - 1'!G362,"0")&amp; " " &amp; TEXT('Hidrologia - 1'!H362,"0")&amp; " " &amp; TEXT('Hidrologia - 1'!I362,"0")&amp; " " &amp; TEXT('Hidrologia - 1'!J362,"0")&amp; " " &amp; TEXT('Hidrologia - 1'!K362,"0")&amp; " " &amp; TEXT('Hidrologia - 1'!L362,"0")&amp; " " &amp; TEXT('Hidrologia - 1'!M362,"0")&amp; " " &amp; TEXT('Hidrologia - 1'!N362,"0")&amp; " " &amp; TEXT('Hidrologia - 1'!O362,"0"),",",".")</f>
        <v>93 48 62 61 58 51 31 28 26 33 34 45</v>
      </c>
    </row>
    <row r="460" spans="1:3" x14ac:dyDescent="0.25">
      <c r="A460" t="str">
        <f>"&lt;PrevisaoVAZAO Posto="""&amp;'Hidrologia - 1'!B363&amp;""" MesReferencia=""1""&gt; "&amp;C460&amp;" &lt;/PrevisaoVAZAO&gt;"</f>
        <v>&lt;PrevisaoVAZAO Posto="320" MesReferencia="1"&gt; 43 20 34 35 30 24 18 16 14 18 19 25 &lt;/PrevisaoVAZAO&gt;</v>
      </c>
      <c r="C460" s="83" t="str">
        <f>SUBSTITUTE(TEXT('Hidrologia - 1'!D363,"0") &amp; " " &amp; TEXT('Hidrologia - 1'!E363,"0")&amp; " " &amp; TEXT('Hidrologia - 1'!F363,"0")&amp; " " &amp; TEXT('Hidrologia - 1'!G363,"0")&amp; " " &amp; TEXT('Hidrologia - 1'!H363,"0")&amp; " " &amp; TEXT('Hidrologia - 1'!I363,"0")&amp; " " &amp; TEXT('Hidrologia - 1'!J363,"0")&amp; " " &amp; TEXT('Hidrologia - 1'!K363,"0")&amp; " " &amp; TEXT('Hidrologia - 1'!L363,"0")&amp; " " &amp; TEXT('Hidrologia - 1'!M363,"0")&amp; " " &amp; TEXT('Hidrologia - 1'!N363,"0")&amp; " " &amp; TEXT('Hidrologia - 1'!O363,"0"),",",".")</f>
        <v>43 20 34 35 30 24 18 16 14 18 19 25</v>
      </c>
    </row>
    <row r="500" spans="1:1" x14ac:dyDescent="0.25">
      <c r="A500" t="s">
        <v>109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20</vt:i4>
      </vt:variant>
    </vt:vector>
  </HeadingPairs>
  <TitlesOfParts>
    <vt:vector size="23" baseType="lpstr">
      <vt:lpstr>Geral</vt:lpstr>
      <vt:lpstr>Hidrologia - 1</vt:lpstr>
      <vt:lpstr>XML</vt:lpstr>
      <vt:lpstr>_alteracao</vt:lpstr>
      <vt:lpstr>_arvore</vt:lpstr>
      <vt:lpstr>_CaminhoXml</vt:lpstr>
      <vt:lpstr>_DecompBase</vt:lpstr>
      <vt:lpstr>_earm</vt:lpstr>
      <vt:lpstr>'Hidrologia - 1'!_ena</vt:lpstr>
      <vt:lpstr>'Hidrologia - 1'!_enaMeta</vt:lpstr>
      <vt:lpstr>_NewaveBase</vt:lpstr>
      <vt:lpstr>'Hidrologia - 1'!_nome</vt:lpstr>
      <vt:lpstr>_NomeDoEstudo</vt:lpstr>
      <vt:lpstr>_rhe</vt:lpstr>
      <vt:lpstr>_rhq</vt:lpstr>
      <vt:lpstr>_rhv</vt:lpstr>
      <vt:lpstr>_tipoEarm</vt:lpstr>
      <vt:lpstr>'Hidrologia - 1'!_var</vt:lpstr>
      <vt:lpstr>'Hidrologia - 1'!_varInf</vt:lpstr>
      <vt:lpstr>'Hidrologia - 1'!_varSup</vt:lpstr>
      <vt:lpstr>'Hidrologia - 1'!_vazoes</vt:lpstr>
      <vt:lpstr>_ve</vt:lpstr>
      <vt:lpstr>_wbCen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Canducci</dc:creator>
  <cp:lastModifiedBy>Douglas Canducci</cp:lastModifiedBy>
  <dcterms:created xsi:type="dcterms:W3CDTF">2016-01-19T17:54:11Z</dcterms:created>
  <dcterms:modified xsi:type="dcterms:W3CDTF">2017-07-19T14:39:41Z</dcterms:modified>
</cp:coreProperties>
</file>